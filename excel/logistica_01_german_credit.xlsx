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7.xml" ContentType="application/vnd.openxmlformats-officedocument.spreadsheetml.worksheet+xml"/>
  <Override PartName="/xl/drawings/drawing2.xml" ContentType="application/vnd.openxmlformats-officedocument.drawing+xml"/>
  <Override PartName="/xl/comments/comment4.xml" ContentType="application/vnd.openxmlformats-officedocument.spreadsheetml.comments+xml"/>
  <Override PartName="/xl/worksheets/sheet8.xml" ContentType="application/vnd.openxmlformats-officedocument.spreadsheetml.worksheet+xml"/>
  <Override PartName="/xl/drawings/drawing3.xml" ContentType="application/vnd.openxmlformats-officedocument.drawing+xml"/>
  <Override PartName="/xl/comments/comment5.xml" ContentType="application/vnd.openxmlformats-officedocument.spreadsheetml.comments+xml"/>
  <Override PartName="/xl/worksheets/sheet9.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logica" sheetId="1" state="visible" r:id="rId1"/>
    <sheet xmlns:r="http://schemas.openxmlformats.org/officeDocument/2006/relationships" name="1 datos originales" sheetId="2" state="visible" r:id="rId2"/>
    <sheet xmlns:r="http://schemas.openxmlformats.org/officeDocument/2006/relationships" name="2 transformar y limpiar" sheetId="3" state="visible" r:id="rId3"/>
    <sheet xmlns:r="http://schemas.openxmlformats.org/officeDocument/2006/relationships" name="3 escalar" sheetId="4" state="visible" r:id="rId4"/>
    <sheet xmlns:r="http://schemas.openxmlformats.org/officeDocument/2006/relationships" name="4 modelo, umbral y evaluación" sheetId="5" state="visible" r:id="rId5"/>
    <sheet xmlns:r="http://schemas.openxmlformats.org/officeDocument/2006/relationships" name="5 métricas según umbral" sheetId="6" state="visible" r:id="rId6"/>
    <sheet xmlns:r="http://schemas.openxmlformats.org/officeDocument/2006/relationships" name="6 umbral óptimo con costos" sheetId="7" state="visible" r:id="rId7"/>
    <sheet xmlns:r="http://schemas.openxmlformats.org/officeDocument/2006/relationships" name="aux_funcion_logistica" sheetId="8" state="visible" r:id="rId8"/>
    <sheet xmlns:r="http://schemas.openxmlformats.org/officeDocument/2006/relationships" name="aux_funcion_de_perdida" sheetId="9" state="visible" r:id="rId9"/>
  </sheets>
  <definedNames/>
  <calcPr calcId="124519" fullCalcOnLoad="1"/>
</workbook>
</file>

<file path=xl/styles.xml><?xml version="1.0" encoding="utf-8"?>
<styleSheet xmlns="http://schemas.openxmlformats.org/spreadsheetml/2006/main">
  <numFmts count="4">
    <numFmt numFmtId="164" formatCode="0.000"/>
    <numFmt numFmtId="165" formatCode="0.0000"/>
    <numFmt numFmtId="166" formatCode="0.0%"/>
    <numFmt numFmtId="167" formatCode="0.0"/>
  </numFmts>
  <fonts count="3">
    <font>
      <name val="Calibri"/>
      <family val="2"/>
      <color theme="1"/>
      <sz val="11"/>
      <scheme val="minor"/>
    </font>
    <font>
      <b val="1"/>
      <sz val="13"/>
    </font>
    <font>
      <b val="1"/>
    </font>
  </fonts>
  <fills count="6">
    <fill>
      <patternFill/>
    </fill>
    <fill>
      <patternFill patternType="gray125"/>
    </fill>
    <fill>
      <patternFill patternType="solid">
        <fgColor rgb="00E7E6E6"/>
      </patternFill>
    </fill>
    <fill>
      <patternFill patternType="solid">
        <fgColor rgb="00FFF2CC"/>
      </patternFill>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2" borderId="0" pivotButton="0" quotePrefix="0" xfId="0"/>
    <xf numFmtId="0" fontId="0" fillId="2" borderId="0" pivotButton="0" quotePrefix="0" xfId="0"/>
    <xf numFmtId="164" fontId="0" fillId="3" borderId="0" pivotButton="0" quotePrefix="0" xfId="0"/>
    <xf numFmtId="164" fontId="0" fillId="0" borderId="0" pivotButton="0" quotePrefix="0" xfId="0"/>
    <xf numFmtId="165" fontId="0" fillId="3" borderId="0" pivotButton="0" quotePrefix="0" xfId="0"/>
    <xf numFmtId="0" fontId="0" fillId="5" borderId="0" pivotButton="0" quotePrefix="0" xfId="0"/>
    <xf numFmtId="165" fontId="0" fillId="4" borderId="0" pivotButton="0" quotePrefix="0" xfId="0"/>
    <xf numFmtId="165" fontId="0" fillId="2" borderId="0" pivotButton="0" quotePrefix="0" xfId="0"/>
    <xf numFmtId="0" fontId="0" fillId="3" borderId="0" pivotButton="0" quotePrefix="0" xfId="0"/>
    <xf numFmtId="164" fontId="0" fillId="5" borderId="0" pivotButton="0" quotePrefix="0" xfId="0"/>
    <xf numFmtId="2" fontId="0" fillId="4" borderId="0" pivotButton="0" quotePrefix="0" xfId="0"/>
    <xf numFmtId="166" fontId="0" fillId="2" borderId="0" pivotButton="0" quotePrefix="0" xfId="0"/>
    <xf numFmtId="2" fontId="0" fillId="5" borderId="0" pivotButton="0" quotePrefix="0" xfId="0"/>
    <xf numFmtId="164" fontId="0" fillId="2" borderId="0" pivotButton="0" quotePrefix="0" xfId="0"/>
    <xf numFmtId="165" fontId="0" fillId="5" borderId="0" pivotButton="0" quotePrefix="0" xfId="0"/>
    <xf numFmtId="166" fontId="0" fillId="5" borderId="0" pivotButton="0" quotePrefix="0" xfId="0"/>
    <xf numFmtId="2" fontId="0" fillId="2" borderId="0" pivotButton="0" quotePrefix="0" xfId="0"/>
    <xf numFmtId="164" fontId="0" fillId="4" borderId="0" pivotButton="0" quotePrefix="0" xfId="0"/>
    <xf numFmtId="2" fontId="0" fillId="0" borderId="0" pivotButton="0" quotePrefix="0" xfId="0"/>
    <xf numFmtId="165" fontId="0" fillId="0" borderId="0" pivotButton="0" quotePrefix="0" xfId="0"/>
    <xf numFmtId="167" fontId="0" fillId="3" borderId="0" pivotButton="0" quotePrefix="0" xfId="0"/>
    <xf numFmtId="167"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Recall, precision y F1 según el umbral (testing)</a:t>
            </a:r>
          </a:p>
        </rich>
      </tx>
    </title>
    <plotArea>
      <lineChart>
        <grouping val="standard"/>
        <ser>
          <idx val="0"/>
          <order val="0"/>
          <tx>
            <strRef>
              <f>'5 métricas según umbral'!G5</f>
            </strRef>
          </tx>
          <spPr>
            <a:ln xmlns:a="http://schemas.openxmlformats.org/drawingml/2006/main">
              <a:prstDash val="solid"/>
            </a:ln>
          </spPr>
          <marker>
            <symbol val="none"/>
            <spPr>
              <a:ln xmlns:a="http://schemas.openxmlformats.org/drawingml/2006/main">
                <a:prstDash val="solid"/>
              </a:ln>
            </spPr>
          </marker>
          <cat>
            <numRef>
              <f>'5 métricas según umbral'!$A$6:$A$26</f>
            </numRef>
          </cat>
          <val>
            <numRef>
              <f>'5 métricas según umbral'!$G$6:$G$26</f>
            </numRef>
          </val>
        </ser>
        <ser>
          <idx val="1"/>
          <order val="1"/>
          <tx>
            <strRef>
              <f>'5 métricas según umbral'!H5</f>
            </strRef>
          </tx>
          <spPr>
            <a:ln xmlns:a="http://schemas.openxmlformats.org/drawingml/2006/main">
              <a:prstDash val="solid"/>
            </a:ln>
          </spPr>
          <marker>
            <symbol val="none"/>
            <spPr>
              <a:ln xmlns:a="http://schemas.openxmlformats.org/drawingml/2006/main">
                <a:prstDash val="solid"/>
              </a:ln>
            </spPr>
          </marker>
          <cat>
            <numRef>
              <f>'5 métricas según umbral'!$A$6:$A$26</f>
            </numRef>
          </cat>
          <val>
            <numRef>
              <f>'5 métricas según umbral'!$H$6:$H$26</f>
            </numRef>
          </val>
        </ser>
        <ser>
          <idx val="2"/>
          <order val="2"/>
          <tx>
            <strRef>
              <f>'5 métricas según umbral'!I5</f>
            </strRef>
          </tx>
          <spPr>
            <a:ln xmlns:a="http://schemas.openxmlformats.org/drawingml/2006/main">
              <a:prstDash val="solid"/>
            </a:ln>
          </spPr>
          <marker>
            <symbol val="none"/>
            <spPr>
              <a:ln xmlns:a="http://schemas.openxmlformats.org/drawingml/2006/main">
                <a:prstDash val="solid"/>
              </a:ln>
            </spPr>
          </marker>
          <cat>
            <numRef>
              <f>'5 métricas según umbral'!$A$6:$A$26</f>
            </numRef>
          </cat>
          <val>
            <numRef>
              <f>'5 métricas según umbral'!$I$6:$I$26</f>
            </numRef>
          </val>
        </ser>
        <axId val="10"/>
        <axId val="100"/>
      </lineChart>
      <catAx>
        <axId val="10"/>
        <scaling>
          <orientation val="minMax"/>
        </scaling>
        <axPos val="l"/>
        <title>
          <tx>
            <rich>
              <a:bodyPr xmlns:a="http://schemas.openxmlformats.org/drawingml/2006/main"/>
              <a:p xmlns:a="http://schemas.openxmlformats.org/drawingml/2006/main">
                <a:pPr>
                  <a:defRPr/>
                </a:pPr>
                <a:r>
                  <a:t>umbral</a:t>
                </a:r>
              </a:p>
            </rich>
          </tx>
        </title>
        <majorTickMark val="none"/>
        <minorTickMark val="none"/>
        <crossAx val="100"/>
        <lblOffset val="100"/>
      </catAx>
      <valAx>
        <axId val="100"/>
        <scaling>
          <orientation val="minMax"/>
          <max val="1"/>
          <min val="0"/>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Curva ROC (testing)</a:t>
            </a:r>
          </a:p>
        </rich>
      </tx>
    </title>
    <plotArea>
      <scatterChart>
        <ser>
          <idx val="0"/>
          <order val="0"/>
          <tx>
            <v>modelo</v>
          </tx>
          <spPr>
            <a:ln xmlns:a="http://schemas.openxmlformats.org/drawingml/2006/main">
              <a:prstDash val="solid"/>
            </a:ln>
          </spPr>
          <marker>
            <symbol val="circle"/>
            <size val="5"/>
            <spPr>
              <a:ln xmlns:a="http://schemas.openxmlformats.org/drawingml/2006/main">
                <a:prstDash val="solid"/>
              </a:ln>
            </spPr>
          </marker>
          <xVal>
            <numRef>
              <f>'5 métricas según umbral'!$J$6:$J$26</f>
            </numRef>
          </xVal>
          <yVal>
            <numRef>
              <f>'5 métricas según umbral'!$G$6:$G$26</f>
            </numRef>
          </yVal>
        </ser>
        <ser>
          <idx val="1"/>
          <order val="1"/>
          <tx>
            <v>azar</v>
          </tx>
          <spPr>
            <a:ln xmlns:a="http://schemas.openxmlformats.org/drawingml/2006/main">
              <a:prstDash val="dash"/>
            </a:ln>
          </spPr>
          <marker>
            <symbol val="none"/>
            <spPr>
              <a:ln xmlns:a="http://schemas.openxmlformats.org/drawingml/2006/main">
                <a:prstDash val="solid"/>
              </a:ln>
            </spPr>
          </marker>
          <xVal>
            <numRef>
              <f>'5 métricas según umbral'!$J$35:$J$36</f>
            </numRef>
          </xVal>
          <yVal>
            <numRef>
              <f>'5 métricas según umbral'!$K$35:$K$36</f>
            </numRef>
          </yVal>
        </ser>
        <axId val="10"/>
        <axId val="20"/>
      </scatterChart>
      <valAx>
        <axId val="10"/>
        <scaling>
          <orientation val="minMax"/>
          <max val="1"/>
          <min val="0"/>
        </scaling>
        <axPos val="l"/>
        <majorGridlines/>
        <title>
          <tx>
            <rich>
              <a:bodyPr xmlns:a="http://schemas.openxmlformats.org/drawingml/2006/main"/>
              <a:p xmlns:a="http://schemas.openxmlformats.org/drawingml/2006/main">
                <a:pPr>
                  <a:defRPr/>
                </a:pPr>
                <a:r>
                  <a:t>tasa de falsos positivos</a:t>
                </a:r>
              </a:p>
            </rich>
          </tx>
        </title>
        <majorTickMark val="none"/>
        <minorTickMark val="none"/>
        <crossAx val="20"/>
      </valAx>
      <valAx>
        <axId val="20"/>
        <scaling>
          <orientation val="minMax"/>
          <max val="1"/>
          <min val="0"/>
        </scaling>
        <axPos val="l"/>
        <majorGridlines/>
        <title>
          <tx>
            <rich>
              <a:bodyPr xmlns:a="http://schemas.openxmlformats.org/drawingml/2006/main"/>
              <a:p xmlns:a="http://schemas.openxmlformats.org/drawingml/2006/main">
                <a:pPr>
                  <a:defRPr/>
                </a:pPr>
                <a:r>
                  <a:t>recall (tasa de verdaderos positivos)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Costo total en testing según el umbral</a:t>
            </a:r>
          </a:p>
        </rich>
      </tx>
    </title>
    <plotArea>
      <lineChart>
        <grouping val="standard"/>
        <ser>
          <idx val="0"/>
          <order val="0"/>
          <tx>
            <strRef>
              <f>'6 umbral óptimo con costos'!F13</f>
            </strRef>
          </tx>
          <spPr>
            <a:ln xmlns:a="http://schemas.openxmlformats.org/drawingml/2006/main">
              <a:prstDash val="solid"/>
            </a:ln>
          </spPr>
          <marker>
            <symbol val="none"/>
            <spPr>
              <a:ln xmlns:a="http://schemas.openxmlformats.org/drawingml/2006/main">
                <a:prstDash val="solid"/>
              </a:ln>
            </spPr>
          </marker>
          <cat>
            <numRef>
              <f>'6 umbral óptimo con costos'!$A$14:$A$34</f>
            </numRef>
          </cat>
          <val>
            <numRef>
              <f>'6 umbral óptimo con costos'!$F$14:$F$34</f>
            </numRef>
          </val>
        </ser>
        <axId val="10"/>
        <axId val="100"/>
      </lineChart>
      <catAx>
        <axId val="10"/>
        <scaling>
          <orientation val="minMax"/>
        </scaling>
        <axPos val="l"/>
        <title>
          <tx>
            <rich>
              <a:bodyPr xmlns:a="http://schemas.openxmlformats.org/drawingml/2006/main"/>
              <a:p xmlns:a="http://schemas.openxmlformats.org/drawingml/2006/main">
                <a:pPr>
                  <a:defRPr/>
                </a:pPr>
                <a:r>
                  <a:t>umbral</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Función logística y probit</a:t>
            </a:r>
          </a:p>
        </rich>
      </tx>
    </title>
    <plotArea>
      <lineChart>
        <grouping val="standard"/>
        <ser>
          <idx val="0"/>
          <order val="0"/>
          <tx>
            <strRef>
              <f>'aux_funcion_logistica'!C5</f>
            </strRef>
          </tx>
          <spPr>
            <a:ln xmlns:a="http://schemas.openxmlformats.org/drawingml/2006/main">
              <a:prstDash val="solid"/>
            </a:ln>
          </spPr>
          <marker>
            <symbol val="none"/>
            <spPr>
              <a:ln xmlns:a="http://schemas.openxmlformats.org/drawingml/2006/main">
                <a:prstDash val="solid"/>
              </a:ln>
            </spPr>
          </marker>
          <cat>
            <numRef>
              <f>'aux_funcion_logistica'!$B$6:$B$54</f>
            </numRef>
          </cat>
          <val>
            <numRef>
              <f>'aux_funcion_logistica'!$C$6:$C$54</f>
            </numRef>
          </val>
        </ser>
        <ser>
          <idx val="1"/>
          <order val="1"/>
          <tx>
            <strRef>
              <f>'aux_funcion_logistica'!D5</f>
            </strRef>
          </tx>
          <spPr>
            <a:ln xmlns:a="http://schemas.openxmlformats.org/drawingml/2006/main">
              <a:prstDash val="solid"/>
            </a:ln>
          </spPr>
          <marker>
            <symbol val="none"/>
            <spPr>
              <a:ln xmlns:a="http://schemas.openxmlformats.org/drawingml/2006/main">
                <a:prstDash val="solid"/>
              </a:ln>
            </spPr>
          </marker>
          <cat>
            <numRef>
              <f>'aux_funcion_logistica'!$B$6:$B$54</f>
            </numRef>
          </cat>
          <val>
            <numRef>
              <f>'aux_funcion_logistica'!$D$6:$D$54</f>
            </numRef>
          </val>
        </ser>
        <ser>
          <idx val="2"/>
          <order val="2"/>
          <tx>
            <strRef>
              <f>'aux_funcion_logistica'!E5</f>
            </strRef>
          </tx>
          <spPr>
            <a:ln xmlns:a="http://schemas.openxmlformats.org/drawingml/2006/main">
              <a:prstDash val="solid"/>
            </a:ln>
          </spPr>
          <marker>
            <symbol val="none"/>
            <spPr>
              <a:ln xmlns:a="http://schemas.openxmlformats.org/drawingml/2006/main">
                <a:prstDash val="solid"/>
              </a:ln>
            </spPr>
          </marker>
          <cat>
            <numRef>
              <f>'aux_funcion_logistica'!$B$6:$B$54</f>
            </numRef>
          </cat>
          <val>
            <numRef>
              <f>'aux_funcion_logistica'!$E$6:$E$54</f>
            </numRef>
          </val>
        </ser>
        <axId val="10"/>
        <axId val="100"/>
      </lineChart>
      <catAx>
        <axId val="10"/>
        <scaling>
          <orientation val="minMax"/>
        </scaling>
        <axPos val="l"/>
        <title>
          <tx>
            <rich>
              <a:bodyPr xmlns:a="http://schemas.openxmlformats.org/drawingml/2006/main"/>
              <a:p xmlns:a="http://schemas.openxmlformats.org/drawingml/2006/main">
                <a:pPr>
                  <a:defRPr/>
                </a:pPr>
                <a:r>
                  <a:t>Z</a:t>
                </a:r>
              </a:p>
            </rich>
          </tx>
        </title>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p</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Pérdida según la probabilidad predicha</a:t>
            </a:r>
          </a:p>
        </rich>
      </tx>
    </title>
    <plotArea>
      <lineChart>
        <grouping val="standard"/>
        <ser>
          <idx val="0"/>
          <order val="0"/>
          <tx>
            <strRef>
              <f>'aux_funcion_de_perdida'!C5</f>
            </strRef>
          </tx>
          <spPr>
            <a:ln xmlns:a="http://schemas.openxmlformats.org/drawingml/2006/main">
              <a:prstDash val="solid"/>
            </a:ln>
          </spPr>
          <marker>
            <symbol val="none"/>
            <spPr>
              <a:ln xmlns:a="http://schemas.openxmlformats.org/drawingml/2006/main">
                <a:prstDash val="solid"/>
              </a:ln>
            </spPr>
          </marker>
          <cat>
            <numRef>
              <f>'aux_funcion_de_perdida'!$B$6:$B$20</f>
            </numRef>
          </cat>
          <val>
            <numRef>
              <f>'aux_funcion_de_perdida'!$C$6:$C$20</f>
            </numRef>
          </val>
        </ser>
        <ser>
          <idx val="1"/>
          <order val="1"/>
          <tx>
            <strRef>
              <f>'aux_funcion_de_perdida'!D5</f>
            </strRef>
          </tx>
          <spPr>
            <a:ln xmlns:a="http://schemas.openxmlformats.org/drawingml/2006/main">
              <a:prstDash val="solid"/>
            </a:ln>
          </spPr>
          <marker>
            <symbol val="none"/>
            <spPr>
              <a:ln xmlns:a="http://schemas.openxmlformats.org/drawingml/2006/main">
                <a:prstDash val="solid"/>
              </a:ln>
            </spPr>
          </marker>
          <cat>
            <numRef>
              <f>'aux_funcion_de_perdida'!$B$6:$B$20</f>
            </numRef>
          </cat>
          <val>
            <numRef>
              <f>'aux_funcion_de_perdida'!$D$6:$D$20</f>
            </numRef>
          </val>
        </ser>
        <ser>
          <idx val="2"/>
          <order val="2"/>
          <tx>
            <strRef>
              <f>'aux_funcion_de_perdida'!E5</f>
            </strRef>
          </tx>
          <spPr>
            <a:ln xmlns:a="http://schemas.openxmlformats.org/drawingml/2006/main">
              <a:prstDash val="solid"/>
            </a:ln>
          </spPr>
          <marker>
            <symbol val="none"/>
            <spPr>
              <a:ln xmlns:a="http://schemas.openxmlformats.org/drawingml/2006/main">
                <a:prstDash val="solid"/>
              </a:ln>
            </spPr>
          </marker>
          <cat>
            <numRef>
              <f>'aux_funcion_de_perdida'!$B$6:$B$20</f>
            </numRef>
          </cat>
          <val>
            <numRef>
              <f>'aux_funcion_de_perdida'!$E$6:$E$20</f>
            </numRef>
          </val>
        </ser>
        <axId val="10"/>
        <axId val="100"/>
      </lineChart>
      <catAx>
        <axId val="10"/>
        <scaling>
          <orientation val="minMax"/>
        </scaling>
        <axPos val="l"/>
        <title>
          <tx>
            <rich>
              <a:bodyPr xmlns:a="http://schemas.openxmlformats.org/drawingml/2006/main"/>
              <a:p xmlns:a="http://schemas.openxmlformats.org/drawingml/2006/main">
                <a:pPr>
                  <a:defRPr/>
                </a:pPr>
                <a:r>
                  <a:t>p</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pérdida</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Claude</author>
  </authors>
  <commentList>
    <comment ref="C6" authorId="0" shapeId="0">
      <text>
        <t>Desviación estándar poblacional (divide por n), calculada solo sobre las filas de training. Coincide con la que usa StandardScaler de scikit-learn.</t>
      </text>
    </comment>
    <comment ref="C7" authorId="0" shapeId="0">
      <text>
        <t>Desviación estándar poblacional (divide por n), calculada solo sobre las filas de training. Coincide con la que usa StandardScaler de scikit-learn.</t>
      </text>
    </comment>
    <comment ref="C8" authorId="0" shapeId="0">
      <text>
        <t>Desviación estándar poblacional (divide por n), calculada solo sobre las filas de training. Coincide con la que usa StandardScaler de scikit-learn.</t>
      </text>
    </comment>
    <comment ref="C9" authorId="0" shapeId="0">
      <text>
        <t>Desviación estándar poblacional (divide por n), calculada solo sobre las filas de training. Coincide con la que usa StandardScaler de scikit-learn.</t>
      </text>
    </comment>
  </commentList>
</comments>
</file>

<file path=xl/comments/comment2.xml><?xml version="1.0" encoding="utf-8"?>
<comments xmlns="http://schemas.openxmlformats.org/spreadsheetml/2006/main">
  <authors>
    <author>Claude</author>
  </authors>
  <commentList>
    <comment ref="V12" authorId="0" shapeId="0">
      <text>
        <t>ŷ = intercepto + suma de cada columna escalada por su peso. Es la regresión lineal de las clases anteriores, leída directo como predicción de y: puede dar cualquier número.</t>
      </text>
    </comment>
    <comment ref="W12" authorId="0" shapeId="0">
      <text>
        <t>p = 1 / (1 + EXP(−Z)): la misma recta pasada por la función logística, que la lleva al intervalo (0, 1). Se lee como probabilidad de ser mal pagador.</t>
      </text>
    </comment>
    <comment ref="X12" authorId="0" shapeId="0">
      <text>
        <t>Entropía cruzada de la fila: −LN(p) si y = 1, −LN(1 − p) si y = 0. Pequeña si el modelo acertó con confianza, enorme si estaba seguro y falló.</t>
      </text>
    </comment>
    <comment ref="Y12" authorId="0" shapeId="0">
      <text>
        <t>1 si p supera el umbral (celda celeste a la derecha), 0 si no.</t>
      </text>
    </comment>
    <comment ref="AC12" authorId="0" shapeId="0">
      <text>
        <t>Punto de partida deliberadamente malo: 0,3 en todos los pesos. Con esto la recta se escapa del rango [0, 1] enseguida (mira el bloque de mínimos y máximos bajo la tabla). Después corre Solver, o copia la columna de referencia, y compara.</t>
      </text>
    </comment>
    <comment ref="AG21" authorId="0" shapeId="0">
      <text>
        <t>La clase 1 (mal pagador) es la que importa: su recall es la eficacia (de los malos, cuántos atrapé) y su precision la eficiencia (de los marcados, cuántos eran malos de verdad). La clase 0 tiene sus propias precision y recall; el recall de la clase 0 también se llama especificidad.</t>
      </text>
    </comment>
    <comment ref="AM21" authorId="0" shapeId="0">
      <text>
        <t>La clase 1 (mal pagador) es la que importa: su recall es la eficacia (de los malos, cuántos atrapé) y su precision la eficiencia (de los marcados, cuántos eran malos de verdad). La clase 0 tiene sus propias precision y recall; el recall de la clase 0 también se llama especificidad.</t>
      </text>
    </comment>
    <comment ref="AC32" authorId="0" shapeId="0">
      <text>
        <t>Umbral para colapsar la probabilidad en 1 o 0. Por ahora 0,5. Muévelo y mira la evaluación de la derecha; la hoja 5 lo recorre completo.</t>
      </text>
    </comment>
  </commentList>
</comments>
</file>

<file path=xl/comments/comment3.xml><?xml version="1.0" encoding="utf-8"?>
<comments xmlns="http://schemas.openxmlformats.org/spreadsheetml/2006/main">
  <authors>
    <author>Claude</author>
  </authors>
  <commentList>
    <comment ref="K28" authorId="0" shapeId="0">
      <text>
        <t>Área bajo la curva ROC por la regla del trapecio: cada fila aporta (FPR − FPR anterior) × (TPR + TPR anterior) / 2. Con más umbrales la aproximación mejora.</t>
      </text>
    </comment>
    <comment ref="K30" authorId="0" shapeId="0">
      <text>
        <t>Aquí el AUC de testing sale mayor que el de training. No es lo habitual y no significa que el modelo generalice mejor de lo que aprendió: con 300 clientes de testing el AUC tiene un error muestral de varios puntos. El notebook lo mide con bootstrap.</t>
      </text>
    </comment>
  </commentList>
</comments>
</file>

<file path=xl/comments/comment4.xml><?xml version="1.0" encoding="utf-8"?>
<comments xmlns="http://schemas.openxmlformats.org/spreadsheetml/2006/main">
  <authors>
    <author>Claude</author>
  </authors>
  <commentList>
    <comment ref="B9" authorId="0" shapeId="0">
      <text>
        <t>Matriz de costos original de german credit: aprobar a un mal pagador cuesta 5 veces lo que rechazar a uno bueno.</t>
      </text>
    </comment>
    <comment ref="B11" authorId="0" shapeId="0">
      <text>
        <t>Marcar conviene cuando p·(c_FN − c_TP) &gt; (1 − p)·(c_FP − c_TN). Despejando p sale este umbral. Con costos 0, 1, 0, 5 da 1/6 = 0,167.</t>
      </text>
    </comment>
  </commentList>
</comments>
</file>

<file path=xl/comments/comment5.xml><?xml version="1.0" encoding="utf-8"?>
<comments xmlns="http://schemas.openxmlformats.org/spreadsheetml/2006/main">
  <authors>
    <author>Claude</author>
  </authors>
  <commentList>
    <comment ref="I9" authorId="0" shapeId="0">
      <text>
        <t>Con la logística, Z es exactamente el logaritmo de las chances (odds). Por eso el peso de una variable se lee como cuánto cambia el ln(odds) cuando esa variable sube en una unidad.</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12</col>
      <colOff>0</colOff>
      <row>4</row>
      <rowOff>0</rowOff>
    </from>
    <ext cx="61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24</row>
      <rowOff>0</rowOff>
    </from>
    <ext cx="468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8</col>
      <colOff>0</colOff>
      <row>12</row>
      <rowOff>0</rowOff>
    </from>
    <ext cx="54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11</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7</col>
      <colOff>0</colOff>
      <row>4</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5" customWidth="1" min="1" max="1"/>
  </cols>
  <sheetData>
    <row r="1">
      <c r="A1" s="1" t="inlineStr">
        <is>
          <t>Regresión logística para predecir un sí o un no: el caso de riesgo de crédito (german credit)</t>
        </is>
      </c>
    </row>
    <row r="2" ht="18.5" customHeight="1">
      <c r="A2" s="2" t="inlineStr">
        <is>
          <t>Preparado por David Díaz, con asistencia de Claude (Anthropic).</t>
        </is>
      </c>
    </row>
    <row r="3">
      <c r="A3" t="inlineStr"/>
    </row>
    <row r="4" ht="65" customHeight="1">
      <c r="A4" s="2" t="inlineStr">
        <is>
          <t>Este archivo acompaña la clase en que pasamos de predecir un número (ventas, retornos, precio de una casa) a predecir una categoría: si un cliente va a pagar su crédito o no. La idea es hacer todo con los dedos, sobre una tabla real de 1.000 clientes de un banco alemán, para que no quede ninguna caja negra: cada número que aparece sale de una fórmula que se puede leer, y los pesos del modelo se pueden encontrar en vivo con Solver.</t>
        </is>
      </c>
    </row>
    <row r="5" ht="65" customHeight="1">
      <c r="A5" s="2" t="inlineStr">
        <is>
          <t>El recorrido sigue el orden de la clase. Primero (hoja 4) intentamos resolver el problema con la misma regresión lineal de las clases anteriores y vemos qué sale mal: las predicciones no viven entre 0 y 1. Después le aplicamos a esa recta una función que la aplasta al rango correcto, la función logística, y ganamos dos cosas: predicciones que se pueden leer como probabilidades y un umbral, que por ahora fijamos en 50%, para colapsar la probabilidad en un sí o un no.</t>
        </is>
      </c>
    </row>
    <row r="6" ht="65" customHeight="1">
      <c r="A6" s="2" t="inlineStr">
        <is>
          <t>Luego (hoja 4 y las dos hojas auxiliares) preguntamos cómo mide este modelo sus errores. Con una recta usábamos el error cuadrático; con probabilidades usamos la entropía cruzada binaria, que castiga fuerte a quien estaba muy seguro y se equivocó. Las hojas aux_funcion_logistica y aux_funcion_de_perdida son auxiliares, para mirar la función logística y la función de pérdida con calma, con sus gráficos.</t>
        </is>
      </c>
    </row>
    <row r="7" ht="111.5" customHeight="1">
      <c r="A7" s="2" t="inlineStr">
        <is>
          <t>Con el modelo entrenado viene la parte más importante de la clase (hoja 4, a la derecha del umbral, y hojas 5 y 6): cómo evaluamos un clasificador. Empezamos por el acierto simple, pasamos a la matriz de confusión y de ahí a recall (eficacia: de los malos pagadores, cuántos atrapé) y precision (eficiencia: de los que marqué como malos, cuántos lo eran de verdad). Ese par tiene un trade-off que depende del negocio, y cambiar el umbral es la palanca que lo mueve. La hoja 5 muestra todas las métricas como función del umbral y dibuja la curva ROC punto a punto a partir de esa misma tabla, con su área (AUC). La hoja 6 cierra con la pregunta práctica: si sé cuánto cuesta cada tipo de error, ¿cuál es el umbral que conviene?</t>
        </is>
      </c>
    </row>
    <row r="8" ht="80.5" customHeight="1">
      <c r="A8" s="2" t="inlineStr">
        <is>
          <t>Dos decisiones de diseño que conviene tener presentes. Uno: la preparación de los datos (convertir categorías en columnas 0/1, escalar las numéricas) no se hace en este Excel, se hace en el notebook que lo acompaña; aquí se muestra el resultado en las hojas 2 y 3, con una tabla que dice qué se hizo con cada columna. Dos: las 1.000 filas están separadas en 700 de training y 300 de testing desde el principio, y todo lo que es aprender (los pesos, las medias y desviaciones para escalar) usa solo training. Testing se toca únicamente para medir.</t>
        </is>
      </c>
    </row>
    <row r="9" ht="49.5" customHeight="1">
      <c r="A9" s="2" t="inlineStr">
        <is>
          <t>Lo que no está en este archivo, a propósito: regularización (L1, L2, elastic net), balanceo de clases, remuestreo, validación cruzada e intervalos de confianza. Cada uno tiene su propia planilla o su sección en el notebook, para que este archivo base se pueda leer de corrido.</t>
        </is>
      </c>
    </row>
    <row r="10" ht="34" customHeight="1">
      <c r="A10" s="2" t="inlineStr">
        <is>
          <t>Colores: celeste son parámetros que se pueden cambiar (umbral, pesos, costos), amarillo son cálculos intermedios, verde son resultados, gris son valores que vienen calculados desde Python (datos, medias, referencia de scikit-learn).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0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3" customWidth="1" min="1" max="1"/>
    <col width="16" customWidth="1" min="2" max="2"/>
    <col width="9" customWidth="1" min="3" max="3"/>
    <col width="23" customWidth="1" min="4" max="4"/>
    <col width="20" customWidth="1" min="5" max="5"/>
    <col width="14" customWidth="1" min="6" max="6"/>
    <col width="17" customWidth="1" min="7" max="7"/>
    <col width="11" customWidth="1" min="8" max="8"/>
    <col width="23" customWidth="1" min="9" max="9"/>
    <col width="19" customWidth="1" min="10" max="10"/>
    <col width="14" customWidth="1" min="11" max="11"/>
    <col width="16" customWidth="1" min="12" max="12"/>
    <col width="19" customWidth="1" min="13" max="13"/>
    <col width="7" customWidth="1" min="14" max="14"/>
    <col width="20" customWidth="1" min="15" max="15"/>
    <col width="9" customWidth="1" min="16" max="16"/>
    <col width="17" customWidth="1" min="17" max="17"/>
    <col width="23" customWidth="1" min="18" max="18"/>
    <col width="15" customWidth="1" min="19" max="19"/>
    <col width="14" customWidth="1" min="20" max="20"/>
    <col width="15" customWidth="1" min="21" max="21"/>
    <col width="7" customWidth="1" min="22" max="22"/>
  </cols>
  <sheetData>
    <row r="1">
      <c r="A1" s="3" t="inlineStr">
        <is>
          <t>Los 1.000 clientes de german credit, tal como vienen</t>
        </is>
      </c>
    </row>
    <row r="2" ht="65" customHeight="1">
      <c r="A2" s="2" t="inlineStr">
        <is>
          <t>Los 1.000 clientes tal como vienen en la base pública german credit (Statlog, UCI). Cada fila es un crédito otorgado; la última columna, class, dice si el cliente resultó ser buen pagador (good, 700 casos) o mal pagador (bad, 300 casos). Las 20 columnas anteriores describen al cliente y al crédito en el momento de la solicitud: cuánto pidió, a cuántos meses, cuánto tenía en la cuenta corriente y en ahorros, historial crediticio, edad, vivienda, propósito del crédito y otras.</t>
        </is>
      </c>
    </row>
    <row r="3" ht="34" customHeight="1">
      <c r="A3" s="2" t="inlineStr">
        <is>
          <t>Nada de esto se toca aquí. La tabla está para que se vea de dónde salen las hojas siguientes y para poder volver a mirar un cliente concreto por su id.</t>
        </is>
      </c>
    </row>
    <row r="4"/>
    <row r="5">
      <c r="A5" s="4" t="inlineStr">
        <is>
          <t>id</t>
        </is>
      </c>
      <c r="B5" s="4" t="inlineStr">
        <is>
          <t>checking_status</t>
        </is>
      </c>
      <c r="C5" s="4" t="inlineStr">
        <is>
          <t>duration</t>
        </is>
      </c>
      <c r="D5" s="4" t="inlineStr">
        <is>
          <t>credit_history</t>
        </is>
      </c>
      <c r="E5" s="4" t="inlineStr">
        <is>
          <t>purpose</t>
        </is>
      </c>
      <c r="F5" s="4" t="inlineStr">
        <is>
          <t>credit_amount</t>
        </is>
      </c>
      <c r="G5" s="4" t="inlineStr">
        <is>
          <t>savings_status</t>
        </is>
      </c>
      <c r="H5" s="4" t="inlineStr">
        <is>
          <t>employment</t>
        </is>
      </c>
      <c r="I5" s="4" t="inlineStr">
        <is>
          <t>installment_commitment</t>
        </is>
      </c>
      <c r="J5" s="4" t="inlineStr">
        <is>
          <t>personal_status</t>
        </is>
      </c>
      <c r="K5" s="4" t="inlineStr">
        <is>
          <t>other_parties</t>
        </is>
      </c>
      <c r="L5" s="4" t="inlineStr">
        <is>
          <t>residence_since</t>
        </is>
      </c>
      <c r="M5" s="4" t="inlineStr">
        <is>
          <t>property_magnitude</t>
        </is>
      </c>
      <c r="N5" s="4" t="inlineStr">
        <is>
          <t>age</t>
        </is>
      </c>
      <c r="O5" s="4" t="inlineStr">
        <is>
          <t>other_payment_plans</t>
        </is>
      </c>
      <c r="P5" s="4" t="inlineStr">
        <is>
          <t>housing</t>
        </is>
      </c>
      <c r="Q5" s="4" t="inlineStr">
        <is>
          <t>existing_credits</t>
        </is>
      </c>
      <c r="R5" s="4" t="inlineStr">
        <is>
          <t>job</t>
        </is>
      </c>
      <c r="S5" s="4" t="inlineStr">
        <is>
          <t>num_dependents</t>
        </is>
      </c>
      <c r="T5" s="4" t="inlineStr">
        <is>
          <t>own_telephone</t>
        </is>
      </c>
      <c r="U5" s="4" t="inlineStr">
        <is>
          <t>foreign_worker</t>
        </is>
      </c>
      <c r="V5" s="4" t="inlineStr">
        <is>
          <t>class</t>
        </is>
      </c>
    </row>
    <row r="6">
      <c r="A6" s="5" t="n">
        <v>1</v>
      </c>
      <c r="B6" s="5" t="inlineStr">
        <is>
          <t>&lt;0</t>
        </is>
      </c>
      <c r="C6" s="5" t="n">
        <v>6</v>
      </c>
      <c r="D6" s="5" t="inlineStr">
        <is>
          <t>critical/other existing credit</t>
        </is>
      </c>
      <c r="E6" s="5" t="inlineStr">
        <is>
          <t>radio/tv</t>
        </is>
      </c>
      <c r="F6" s="5" t="n">
        <v>1169</v>
      </c>
      <c r="G6" s="5" t="inlineStr">
        <is>
          <t>no known savings</t>
        </is>
      </c>
      <c r="H6" s="5" t="inlineStr">
        <is>
          <t>&gt;=7</t>
        </is>
      </c>
      <c r="I6" s="5" t="n">
        <v>4</v>
      </c>
      <c r="J6" s="5" t="inlineStr">
        <is>
          <t>male single</t>
        </is>
      </c>
      <c r="K6" s="5" t="inlineStr">
        <is>
          <t>none</t>
        </is>
      </c>
      <c r="L6" s="5" t="n">
        <v>4</v>
      </c>
      <c r="M6" s="5" t="inlineStr">
        <is>
          <t>real estate</t>
        </is>
      </c>
      <c r="N6" s="5" t="n">
        <v>67</v>
      </c>
      <c r="O6" s="5" t="inlineStr">
        <is>
          <t>none</t>
        </is>
      </c>
      <c r="P6" s="5" t="inlineStr">
        <is>
          <t>own</t>
        </is>
      </c>
      <c r="Q6" s="5" t="n">
        <v>2</v>
      </c>
      <c r="R6" s="5" t="inlineStr">
        <is>
          <t>skilled</t>
        </is>
      </c>
      <c r="S6" s="5" t="n">
        <v>1</v>
      </c>
      <c r="T6" s="5" t="inlineStr">
        <is>
          <t>yes</t>
        </is>
      </c>
      <c r="U6" s="5" t="inlineStr">
        <is>
          <t>yes</t>
        </is>
      </c>
      <c r="V6" s="5" t="inlineStr">
        <is>
          <t>good</t>
        </is>
      </c>
    </row>
    <row r="7">
      <c r="A7" s="5" t="n">
        <v>2</v>
      </c>
      <c r="B7" s="5" t="inlineStr">
        <is>
          <t>0&lt;=X&lt;200</t>
        </is>
      </c>
      <c r="C7" s="5" t="n">
        <v>48</v>
      </c>
      <c r="D7" s="5" t="inlineStr">
        <is>
          <t>existing paid</t>
        </is>
      </c>
      <c r="E7" s="5" t="inlineStr">
        <is>
          <t>radio/tv</t>
        </is>
      </c>
      <c r="F7" s="5" t="n">
        <v>5951</v>
      </c>
      <c r="G7" s="5" t="inlineStr">
        <is>
          <t>&lt;100</t>
        </is>
      </c>
      <c r="H7" s="5" t="inlineStr">
        <is>
          <t>1&lt;=X&lt;4</t>
        </is>
      </c>
      <c r="I7" s="5" t="n">
        <v>2</v>
      </c>
      <c r="J7" s="5" t="inlineStr">
        <is>
          <t>female div/dep/mar</t>
        </is>
      </c>
      <c r="K7" s="5" t="inlineStr">
        <is>
          <t>none</t>
        </is>
      </c>
      <c r="L7" s="5" t="n">
        <v>2</v>
      </c>
      <c r="M7" s="5" t="inlineStr">
        <is>
          <t>real estate</t>
        </is>
      </c>
      <c r="N7" s="5" t="n">
        <v>22</v>
      </c>
      <c r="O7" s="5" t="inlineStr">
        <is>
          <t>none</t>
        </is>
      </c>
      <c r="P7" s="5" t="inlineStr">
        <is>
          <t>own</t>
        </is>
      </c>
      <c r="Q7" s="5" t="n">
        <v>1</v>
      </c>
      <c r="R7" s="5" t="inlineStr">
        <is>
          <t>skilled</t>
        </is>
      </c>
      <c r="S7" s="5" t="n">
        <v>1</v>
      </c>
      <c r="T7" s="5" t="inlineStr">
        <is>
          <t>none</t>
        </is>
      </c>
      <c r="U7" s="5" t="inlineStr">
        <is>
          <t>yes</t>
        </is>
      </c>
      <c r="V7" s="5" t="inlineStr">
        <is>
          <t>bad</t>
        </is>
      </c>
    </row>
    <row r="8">
      <c r="A8" s="5" t="n">
        <v>3</v>
      </c>
      <c r="B8" s="5" t="inlineStr">
        <is>
          <t>no checking</t>
        </is>
      </c>
      <c r="C8" s="5" t="n">
        <v>12</v>
      </c>
      <c r="D8" s="5" t="inlineStr">
        <is>
          <t>critical/other existing credit</t>
        </is>
      </c>
      <c r="E8" s="5" t="inlineStr">
        <is>
          <t>education</t>
        </is>
      </c>
      <c r="F8" s="5" t="n">
        <v>2096</v>
      </c>
      <c r="G8" s="5" t="inlineStr">
        <is>
          <t>&lt;100</t>
        </is>
      </c>
      <c r="H8" s="5" t="inlineStr">
        <is>
          <t>4&lt;=X&lt;7</t>
        </is>
      </c>
      <c r="I8" s="5" t="n">
        <v>2</v>
      </c>
      <c r="J8" s="5" t="inlineStr">
        <is>
          <t>male single</t>
        </is>
      </c>
      <c r="K8" s="5" t="inlineStr">
        <is>
          <t>none</t>
        </is>
      </c>
      <c r="L8" s="5" t="n">
        <v>3</v>
      </c>
      <c r="M8" s="5" t="inlineStr">
        <is>
          <t>real estate</t>
        </is>
      </c>
      <c r="N8" s="5" t="n">
        <v>49</v>
      </c>
      <c r="O8" s="5" t="inlineStr">
        <is>
          <t>none</t>
        </is>
      </c>
      <c r="P8" s="5" t="inlineStr">
        <is>
          <t>own</t>
        </is>
      </c>
      <c r="Q8" s="5" t="n">
        <v>1</v>
      </c>
      <c r="R8" s="5" t="inlineStr">
        <is>
          <t>unskilled resident</t>
        </is>
      </c>
      <c r="S8" s="5" t="n">
        <v>2</v>
      </c>
      <c r="T8" s="5" t="inlineStr">
        <is>
          <t>none</t>
        </is>
      </c>
      <c r="U8" s="5" t="inlineStr">
        <is>
          <t>yes</t>
        </is>
      </c>
      <c r="V8" s="5" t="inlineStr">
        <is>
          <t>good</t>
        </is>
      </c>
    </row>
    <row r="9">
      <c r="A9" s="5" t="n">
        <v>4</v>
      </c>
      <c r="B9" s="5" t="inlineStr">
        <is>
          <t>&lt;0</t>
        </is>
      </c>
      <c r="C9" s="5" t="n">
        <v>42</v>
      </c>
      <c r="D9" s="5" t="inlineStr">
        <is>
          <t>existing paid</t>
        </is>
      </c>
      <c r="E9" s="5" t="inlineStr">
        <is>
          <t>furniture/equipment</t>
        </is>
      </c>
      <c r="F9" s="5" t="n">
        <v>7882</v>
      </c>
      <c r="G9" s="5" t="inlineStr">
        <is>
          <t>&lt;100</t>
        </is>
      </c>
      <c r="H9" s="5" t="inlineStr">
        <is>
          <t>4&lt;=X&lt;7</t>
        </is>
      </c>
      <c r="I9" s="5" t="n">
        <v>2</v>
      </c>
      <c r="J9" s="5" t="inlineStr">
        <is>
          <t>male single</t>
        </is>
      </c>
      <c r="K9" s="5" t="inlineStr">
        <is>
          <t>guarantor</t>
        </is>
      </c>
      <c r="L9" s="5" t="n">
        <v>4</v>
      </c>
      <c r="M9" s="5" t="inlineStr">
        <is>
          <t>life insurance</t>
        </is>
      </c>
      <c r="N9" s="5" t="n">
        <v>45</v>
      </c>
      <c r="O9" s="5" t="inlineStr">
        <is>
          <t>none</t>
        </is>
      </c>
      <c r="P9" s="5" t="inlineStr">
        <is>
          <t>for free</t>
        </is>
      </c>
      <c r="Q9" s="5" t="n">
        <v>1</v>
      </c>
      <c r="R9" s="5" t="inlineStr">
        <is>
          <t>skilled</t>
        </is>
      </c>
      <c r="S9" s="5" t="n">
        <v>2</v>
      </c>
      <c r="T9" s="5" t="inlineStr">
        <is>
          <t>none</t>
        </is>
      </c>
      <c r="U9" s="5" t="inlineStr">
        <is>
          <t>yes</t>
        </is>
      </c>
      <c r="V9" s="5" t="inlineStr">
        <is>
          <t>good</t>
        </is>
      </c>
    </row>
    <row r="10">
      <c r="A10" s="5" t="n">
        <v>5</v>
      </c>
      <c r="B10" s="5" t="inlineStr">
        <is>
          <t>&lt;0</t>
        </is>
      </c>
      <c r="C10" s="5" t="n">
        <v>24</v>
      </c>
      <c r="D10" s="5" t="inlineStr">
        <is>
          <t>delayed previously</t>
        </is>
      </c>
      <c r="E10" s="5" t="inlineStr">
        <is>
          <t>new car</t>
        </is>
      </c>
      <c r="F10" s="5" t="n">
        <v>4870</v>
      </c>
      <c r="G10" s="5" t="inlineStr">
        <is>
          <t>&lt;100</t>
        </is>
      </c>
      <c r="H10" s="5" t="inlineStr">
        <is>
          <t>1&lt;=X&lt;4</t>
        </is>
      </c>
      <c r="I10" s="5" t="n">
        <v>3</v>
      </c>
      <c r="J10" s="5" t="inlineStr">
        <is>
          <t>male single</t>
        </is>
      </c>
      <c r="K10" s="5" t="inlineStr">
        <is>
          <t>none</t>
        </is>
      </c>
      <c r="L10" s="5" t="n">
        <v>4</v>
      </c>
      <c r="M10" s="5" t="inlineStr">
        <is>
          <t>no known property</t>
        </is>
      </c>
      <c r="N10" s="5" t="n">
        <v>53</v>
      </c>
      <c r="O10" s="5" t="inlineStr">
        <is>
          <t>none</t>
        </is>
      </c>
      <c r="P10" s="5" t="inlineStr">
        <is>
          <t>for free</t>
        </is>
      </c>
      <c r="Q10" s="5" t="n">
        <v>2</v>
      </c>
      <c r="R10" s="5" t="inlineStr">
        <is>
          <t>skilled</t>
        </is>
      </c>
      <c r="S10" s="5" t="n">
        <v>2</v>
      </c>
      <c r="T10" s="5" t="inlineStr">
        <is>
          <t>none</t>
        </is>
      </c>
      <c r="U10" s="5" t="inlineStr">
        <is>
          <t>yes</t>
        </is>
      </c>
      <c r="V10" s="5" t="inlineStr">
        <is>
          <t>bad</t>
        </is>
      </c>
    </row>
    <row r="11">
      <c r="A11" s="5" t="n">
        <v>6</v>
      </c>
      <c r="B11" s="5" t="inlineStr">
        <is>
          <t>no checking</t>
        </is>
      </c>
      <c r="C11" s="5" t="n">
        <v>36</v>
      </c>
      <c r="D11" s="5" t="inlineStr">
        <is>
          <t>existing paid</t>
        </is>
      </c>
      <c r="E11" s="5" t="inlineStr">
        <is>
          <t>education</t>
        </is>
      </c>
      <c r="F11" s="5" t="n">
        <v>9055</v>
      </c>
      <c r="G11" s="5" t="inlineStr">
        <is>
          <t>no known savings</t>
        </is>
      </c>
      <c r="H11" s="5" t="inlineStr">
        <is>
          <t>1&lt;=X&lt;4</t>
        </is>
      </c>
      <c r="I11" s="5" t="n">
        <v>2</v>
      </c>
      <c r="J11" s="5" t="inlineStr">
        <is>
          <t>male single</t>
        </is>
      </c>
      <c r="K11" s="5" t="inlineStr">
        <is>
          <t>none</t>
        </is>
      </c>
      <c r="L11" s="5" t="n">
        <v>4</v>
      </c>
      <c r="M11" s="5" t="inlineStr">
        <is>
          <t>no known property</t>
        </is>
      </c>
      <c r="N11" s="5" t="n">
        <v>35</v>
      </c>
      <c r="O11" s="5" t="inlineStr">
        <is>
          <t>none</t>
        </is>
      </c>
      <c r="P11" s="5" t="inlineStr">
        <is>
          <t>for free</t>
        </is>
      </c>
      <c r="Q11" s="5" t="n">
        <v>1</v>
      </c>
      <c r="R11" s="5" t="inlineStr">
        <is>
          <t>unskilled resident</t>
        </is>
      </c>
      <c r="S11" s="5" t="n">
        <v>2</v>
      </c>
      <c r="T11" s="5" t="inlineStr">
        <is>
          <t>yes</t>
        </is>
      </c>
      <c r="U11" s="5" t="inlineStr">
        <is>
          <t>yes</t>
        </is>
      </c>
      <c r="V11" s="5" t="inlineStr">
        <is>
          <t>good</t>
        </is>
      </c>
    </row>
    <row r="12">
      <c r="A12" s="5" t="n">
        <v>7</v>
      </c>
      <c r="B12" s="5" t="inlineStr">
        <is>
          <t>no checking</t>
        </is>
      </c>
      <c r="C12" s="5" t="n">
        <v>24</v>
      </c>
      <c r="D12" s="5" t="inlineStr">
        <is>
          <t>existing paid</t>
        </is>
      </c>
      <c r="E12" s="5" t="inlineStr">
        <is>
          <t>furniture/equipment</t>
        </is>
      </c>
      <c r="F12" s="5" t="n">
        <v>2835</v>
      </c>
      <c r="G12" s="5" t="inlineStr">
        <is>
          <t>500&lt;=X&lt;1000</t>
        </is>
      </c>
      <c r="H12" s="5" t="inlineStr">
        <is>
          <t>&gt;=7</t>
        </is>
      </c>
      <c r="I12" s="5" t="n">
        <v>3</v>
      </c>
      <c r="J12" s="5" t="inlineStr">
        <is>
          <t>male single</t>
        </is>
      </c>
      <c r="K12" s="5" t="inlineStr">
        <is>
          <t>none</t>
        </is>
      </c>
      <c r="L12" s="5" t="n">
        <v>4</v>
      </c>
      <c r="M12" s="5" t="inlineStr">
        <is>
          <t>life insurance</t>
        </is>
      </c>
      <c r="N12" s="5" t="n">
        <v>53</v>
      </c>
      <c r="O12" s="5" t="inlineStr">
        <is>
          <t>none</t>
        </is>
      </c>
      <c r="P12" s="5" t="inlineStr">
        <is>
          <t>own</t>
        </is>
      </c>
      <c r="Q12" s="5" t="n">
        <v>1</v>
      </c>
      <c r="R12" s="5" t="inlineStr">
        <is>
          <t>skilled</t>
        </is>
      </c>
      <c r="S12" s="5" t="n">
        <v>1</v>
      </c>
      <c r="T12" s="5" t="inlineStr">
        <is>
          <t>none</t>
        </is>
      </c>
      <c r="U12" s="5" t="inlineStr">
        <is>
          <t>yes</t>
        </is>
      </c>
      <c r="V12" s="5" t="inlineStr">
        <is>
          <t>good</t>
        </is>
      </c>
    </row>
    <row r="13">
      <c r="A13" s="5" t="n">
        <v>8</v>
      </c>
      <c r="B13" s="5" t="inlineStr">
        <is>
          <t>0&lt;=X&lt;200</t>
        </is>
      </c>
      <c r="C13" s="5" t="n">
        <v>36</v>
      </c>
      <c r="D13" s="5" t="inlineStr">
        <is>
          <t>existing paid</t>
        </is>
      </c>
      <c r="E13" s="5" t="inlineStr">
        <is>
          <t>used car</t>
        </is>
      </c>
      <c r="F13" s="5" t="n">
        <v>6948</v>
      </c>
      <c r="G13" s="5" t="inlineStr">
        <is>
          <t>&lt;100</t>
        </is>
      </c>
      <c r="H13" s="5" t="inlineStr">
        <is>
          <t>1&lt;=X&lt;4</t>
        </is>
      </c>
      <c r="I13" s="5" t="n">
        <v>2</v>
      </c>
      <c r="J13" s="5" t="inlineStr">
        <is>
          <t>male single</t>
        </is>
      </c>
      <c r="K13" s="5" t="inlineStr">
        <is>
          <t>none</t>
        </is>
      </c>
      <c r="L13" s="5" t="n">
        <v>2</v>
      </c>
      <c r="M13" s="5" t="inlineStr">
        <is>
          <t>car</t>
        </is>
      </c>
      <c r="N13" s="5" t="n">
        <v>35</v>
      </c>
      <c r="O13" s="5" t="inlineStr">
        <is>
          <t>none</t>
        </is>
      </c>
      <c r="P13" s="5" t="inlineStr">
        <is>
          <t>rent</t>
        </is>
      </c>
      <c r="Q13" s="5" t="n">
        <v>1</v>
      </c>
      <c r="R13" s="5" t="inlineStr">
        <is>
          <t>high qualif/self emp/mgmt</t>
        </is>
      </c>
      <c r="S13" s="5" t="n">
        <v>1</v>
      </c>
      <c r="T13" s="5" t="inlineStr">
        <is>
          <t>yes</t>
        </is>
      </c>
      <c r="U13" s="5" t="inlineStr">
        <is>
          <t>yes</t>
        </is>
      </c>
      <c r="V13" s="5" t="inlineStr">
        <is>
          <t>good</t>
        </is>
      </c>
    </row>
    <row r="14">
      <c r="A14" s="5" t="n">
        <v>9</v>
      </c>
      <c r="B14" s="5" t="inlineStr">
        <is>
          <t>no checking</t>
        </is>
      </c>
      <c r="C14" s="5" t="n">
        <v>12</v>
      </c>
      <c r="D14" s="5" t="inlineStr">
        <is>
          <t>existing paid</t>
        </is>
      </c>
      <c r="E14" s="5" t="inlineStr">
        <is>
          <t>radio/tv</t>
        </is>
      </c>
      <c r="F14" s="5" t="n">
        <v>3059</v>
      </c>
      <c r="G14" s="5" t="inlineStr">
        <is>
          <t>&gt;=1000</t>
        </is>
      </c>
      <c r="H14" s="5" t="inlineStr">
        <is>
          <t>4&lt;=X&lt;7</t>
        </is>
      </c>
      <c r="I14" s="5" t="n">
        <v>2</v>
      </c>
      <c r="J14" s="5" t="inlineStr">
        <is>
          <t>male div/sep</t>
        </is>
      </c>
      <c r="K14" s="5" t="inlineStr">
        <is>
          <t>none</t>
        </is>
      </c>
      <c r="L14" s="5" t="n">
        <v>4</v>
      </c>
      <c r="M14" s="5" t="inlineStr">
        <is>
          <t>real estate</t>
        </is>
      </c>
      <c r="N14" s="5" t="n">
        <v>61</v>
      </c>
      <c r="O14" s="5" t="inlineStr">
        <is>
          <t>none</t>
        </is>
      </c>
      <c r="P14" s="5" t="inlineStr">
        <is>
          <t>own</t>
        </is>
      </c>
      <c r="Q14" s="5" t="n">
        <v>1</v>
      </c>
      <c r="R14" s="5" t="inlineStr">
        <is>
          <t>unskilled resident</t>
        </is>
      </c>
      <c r="S14" s="5" t="n">
        <v>1</v>
      </c>
      <c r="T14" s="5" t="inlineStr">
        <is>
          <t>none</t>
        </is>
      </c>
      <c r="U14" s="5" t="inlineStr">
        <is>
          <t>yes</t>
        </is>
      </c>
      <c r="V14" s="5" t="inlineStr">
        <is>
          <t>good</t>
        </is>
      </c>
    </row>
    <row r="15">
      <c r="A15" s="5" t="n">
        <v>10</v>
      </c>
      <c r="B15" s="5" t="inlineStr">
        <is>
          <t>0&lt;=X&lt;200</t>
        </is>
      </c>
      <c r="C15" s="5" t="n">
        <v>30</v>
      </c>
      <c r="D15" s="5" t="inlineStr">
        <is>
          <t>critical/other existing credit</t>
        </is>
      </c>
      <c r="E15" s="5" t="inlineStr">
        <is>
          <t>new car</t>
        </is>
      </c>
      <c r="F15" s="5" t="n">
        <v>5234</v>
      </c>
      <c r="G15" s="5" t="inlineStr">
        <is>
          <t>&lt;100</t>
        </is>
      </c>
      <c r="H15" s="5" t="inlineStr">
        <is>
          <t>unemployed</t>
        </is>
      </c>
      <c r="I15" s="5" t="n">
        <v>4</v>
      </c>
      <c r="J15" s="5" t="inlineStr">
        <is>
          <t>male mar/wid</t>
        </is>
      </c>
      <c r="K15" s="5" t="inlineStr">
        <is>
          <t>none</t>
        </is>
      </c>
      <c r="L15" s="5" t="n">
        <v>2</v>
      </c>
      <c r="M15" s="5" t="inlineStr">
        <is>
          <t>car</t>
        </is>
      </c>
      <c r="N15" s="5" t="n">
        <v>28</v>
      </c>
      <c r="O15" s="5" t="inlineStr">
        <is>
          <t>none</t>
        </is>
      </c>
      <c r="P15" s="5" t="inlineStr">
        <is>
          <t>own</t>
        </is>
      </c>
      <c r="Q15" s="5" t="n">
        <v>2</v>
      </c>
      <c r="R15" s="5" t="inlineStr">
        <is>
          <t>high qualif/self emp/mgmt</t>
        </is>
      </c>
      <c r="S15" s="5" t="n">
        <v>1</v>
      </c>
      <c r="T15" s="5" t="inlineStr">
        <is>
          <t>none</t>
        </is>
      </c>
      <c r="U15" s="5" t="inlineStr">
        <is>
          <t>yes</t>
        </is>
      </c>
      <c r="V15" s="5" t="inlineStr">
        <is>
          <t>bad</t>
        </is>
      </c>
    </row>
    <row r="16">
      <c r="A16" s="5" t="n">
        <v>11</v>
      </c>
      <c r="B16" s="5" t="inlineStr">
        <is>
          <t>0&lt;=X&lt;200</t>
        </is>
      </c>
      <c r="C16" s="5" t="n">
        <v>12</v>
      </c>
      <c r="D16" s="5" t="inlineStr">
        <is>
          <t>existing paid</t>
        </is>
      </c>
      <c r="E16" s="5" t="inlineStr">
        <is>
          <t>new car</t>
        </is>
      </c>
      <c r="F16" s="5" t="n">
        <v>1295</v>
      </c>
      <c r="G16" s="5" t="inlineStr">
        <is>
          <t>&lt;100</t>
        </is>
      </c>
      <c r="H16" s="5" t="inlineStr">
        <is>
          <t>&lt;1</t>
        </is>
      </c>
      <c r="I16" s="5" t="n">
        <v>3</v>
      </c>
      <c r="J16" s="5" t="inlineStr">
        <is>
          <t>female div/dep/mar</t>
        </is>
      </c>
      <c r="K16" s="5" t="inlineStr">
        <is>
          <t>none</t>
        </is>
      </c>
      <c r="L16" s="5" t="n">
        <v>1</v>
      </c>
      <c r="M16" s="5" t="inlineStr">
        <is>
          <t>car</t>
        </is>
      </c>
      <c r="N16" s="5" t="n">
        <v>25</v>
      </c>
      <c r="O16" s="5" t="inlineStr">
        <is>
          <t>none</t>
        </is>
      </c>
      <c r="P16" s="5" t="inlineStr">
        <is>
          <t>rent</t>
        </is>
      </c>
      <c r="Q16" s="5" t="n">
        <v>1</v>
      </c>
      <c r="R16" s="5" t="inlineStr">
        <is>
          <t>skilled</t>
        </is>
      </c>
      <c r="S16" s="5" t="n">
        <v>1</v>
      </c>
      <c r="T16" s="5" t="inlineStr">
        <is>
          <t>none</t>
        </is>
      </c>
      <c r="U16" s="5" t="inlineStr">
        <is>
          <t>yes</t>
        </is>
      </c>
      <c r="V16" s="5" t="inlineStr">
        <is>
          <t>bad</t>
        </is>
      </c>
    </row>
    <row r="17">
      <c r="A17" s="5" t="n">
        <v>12</v>
      </c>
      <c r="B17" s="5" t="inlineStr">
        <is>
          <t>&lt;0</t>
        </is>
      </c>
      <c r="C17" s="5" t="n">
        <v>48</v>
      </c>
      <c r="D17" s="5" t="inlineStr">
        <is>
          <t>existing paid</t>
        </is>
      </c>
      <c r="E17" s="5" t="inlineStr">
        <is>
          <t>business</t>
        </is>
      </c>
      <c r="F17" s="5" t="n">
        <v>4308</v>
      </c>
      <c r="G17" s="5" t="inlineStr">
        <is>
          <t>&lt;100</t>
        </is>
      </c>
      <c r="H17" s="5" t="inlineStr">
        <is>
          <t>&lt;1</t>
        </is>
      </c>
      <c r="I17" s="5" t="n">
        <v>3</v>
      </c>
      <c r="J17" s="5" t="inlineStr">
        <is>
          <t>female div/dep/mar</t>
        </is>
      </c>
      <c r="K17" s="5" t="inlineStr">
        <is>
          <t>none</t>
        </is>
      </c>
      <c r="L17" s="5" t="n">
        <v>4</v>
      </c>
      <c r="M17" s="5" t="inlineStr">
        <is>
          <t>life insurance</t>
        </is>
      </c>
      <c r="N17" s="5" t="n">
        <v>24</v>
      </c>
      <c r="O17" s="5" t="inlineStr">
        <is>
          <t>none</t>
        </is>
      </c>
      <c r="P17" s="5" t="inlineStr">
        <is>
          <t>rent</t>
        </is>
      </c>
      <c r="Q17" s="5" t="n">
        <v>1</v>
      </c>
      <c r="R17" s="5" t="inlineStr">
        <is>
          <t>skilled</t>
        </is>
      </c>
      <c r="S17" s="5" t="n">
        <v>1</v>
      </c>
      <c r="T17" s="5" t="inlineStr">
        <is>
          <t>none</t>
        </is>
      </c>
      <c r="U17" s="5" t="inlineStr">
        <is>
          <t>yes</t>
        </is>
      </c>
      <c r="V17" s="5" t="inlineStr">
        <is>
          <t>bad</t>
        </is>
      </c>
    </row>
    <row r="18">
      <c r="A18" s="5" t="n">
        <v>13</v>
      </c>
      <c r="B18" s="5" t="inlineStr">
        <is>
          <t>0&lt;=X&lt;200</t>
        </is>
      </c>
      <c r="C18" s="5" t="n">
        <v>12</v>
      </c>
      <c r="D18" s="5" t="inlineStr">
        <is>
          <t>existing paid</t>
        </is>
      </c>
      <c r="E18" s="5" t="inlineStr">
        <is>
          <t>radio/tv</t>
        </is>
      </c>
      <c r="F18" s="5" t="n">
        <v>1567</v>
      </c>
      <c r="G18" s="5" t="inlineStr">
        <is>
          <t>&lt;100</t>
        </is>
      </c>
      <c r="H18" s="5" t="inlineStr">
        <is>
          <t>1&lt;=X&lt;4</t>
        </is>
      </c>
      <c r="I18" s="5" t="n">
        <v>1</v>
      </c>
      <c r="J18" s="5" t="inlineStr">
        <is>
          <t>female div/dep/mar</t>
        </is>
      </c>
      <c r="K18" s="5" t="inlineStr">
        <is>
          <t>none</t>
        </is>
      </c>
      <c r="L18" s="5" t="n">
        <v>1</v>
      </c>
      <c r="M18" s="5" t="inlineStr">
        <is>
          <t>car</t>
        </is>
      </c>
      <c r="N18" s="5" t="n">
        <v>22</v>
      </c>
      <c r="O18" s="5" t="inlineStr">
        <is>
          <t>none</t>
        </is>
      </c>
      <c r="P18" s="5" t="inlineStr">
        <is>
          <t>own</t>
        </is>
      </c>
      <c r="Q18" s="5" t="n">
        <v>1</v>
      </c>
      <c r="R18" s="5" t="inlineStr">
        <is>
          <t>skilled</t>
        </is>
      </c>
      <c r="S18" s="5" t="n">
        <v>1</v>
      </c>
      <c r="T18" s="5" t="inlineStr">
        <is>
          <t>yes</t>
        </is>
      </c>
      <c r="U18" s="5" t="inlineStr">
        <is>
          <t>yes</t>
        </is>
      </c>
      <c r="V18" s="5" t="inlineStr">
        <is>
          <t>good</t>
        </is>
      </c>
    </row>
    <row r="19">
      <c r="A19" s="5" t="n">
        <v>14</v>
      </c>
      <c r="B19" s="5" t="inlineStr">
        <is>
          <t>&lt;0</t>
        </is>
      </c>
      <c r="C19" s="5" t="n">
        <v>24</v>
      </c>
      <c r="D19" s="5" t="inlineStr">
        <is>
          <t>critical/other existing credit</t>
        </is>
      </c>
      <c r="E19" s="5" t="inlineStr">
        <is>
          <t>new car</t>
        </is>
      </c>
      <c r="F19" s="5" t="n">
        <v>1199</v>
      </c>
      <c r="G19" s="5" t="inlineStr">
        <is>
          <t>&lt;100</t>
        </is>
      </c>
      <c r="H19" s="5" t="inlineStr">
        <is>
          <t>&gt;=7</t>
        </is>
      </c>
      <c r="I19" s="5" t="n">
        <v>4</v>
      </c>
      <c r="J19" s="5" t="inlineStr">
        <is>
          <t>male single</t>
        </is>
      </c>
      <c r="K19" s="5" t="inlineStr">
        <is>
          <t>none</t>
        </is>
      </c>
      <c r="L19" s="5" t="n">
        <v>4</v>
      </c>
      <c r="M19" s="5" t="inlineStr">
        <is>
          <t>car</t>
        </is>
      </c>
      <c r="N19" s="5" t="n">
        <v>60</v>
      </c>
      <c r="O19" s="5" t="inlineStr">
        <is>
          <t>none</t>
        </is>
      </c>
      <c r="P19" s="5" t="inlineStr">
        <is>
          <t>own</t>
        </is>
      </c>
      <c r="Q19" s="5" t="n">
        <v>2</v>
      </c>
      <c r="R19" s="5" t="inlineStr">
        <is>
          <t>unskilled resident</t>
        </is>
      </c>
      <c r="S19" s="5" t="n">
        <v>1</v>
      </c>
      <c r="T19" s="5" t="inlineStr">
        <is>
          <t>none</t>
        </is>
      </c>
      <c r="U19" s="5" t="inlineStr">
        <is>
          <t>yes</t>
        </is>
      </c>
      <c r="V19" s="5" t="inlineStr">
        <is>
          <t>bad</t>
        </is>
      </c>
    </row>
    <row r="20">
      <c r="A20" s="5" t="n">
        <v>15</v>
      </c>
      <c r="B20" s="5" t="inlineStr">
        <is>
          <t>&lt;0</t>
        </is>
      </c>
      <c r="C20" s="5" t="n">
        <v>15</v>
      </c>
      <c r="D20" s="5" t="inlineStr">
        <is>
          <t>existing paid</t>
        </is>
      </c>
      <c r="E20" s="5" t="inlineStr">
        <is>
          <t>new car</t>
        </is>
      </c>
      <c r="F20" s="5" t="n">
        <v>1403</v>
      </c>
      <c r="G20" s="5" t="inlineStr">
        <is>
          <t>&lt;100</t>
        </is>
      </c>
      <c r="H20" s="5" t="inlineStr">
        <is>
          <t>1&lt;=X&lt;4</t>
        </is>
      </c>
      <c r="I20" s="5" t="n">
        <v>2</v>
      </c>
      <c r="J20" s="5" t="inlineStr">
        <is>
          <t>female div/dep/mar</t>
        </is>
      </c>
      <c r="K20" s="5" t="inlineStr">
        <is>
          <t>none</t>
        </is>
      </c>
      <c r="L20" s="5" t="n">
        <v>4</v>
      </c>
      <c r="M20" s="5" t="inlineStr">
        <is>
          <t>car</t>
        </is>
      </c>
      <c r="N20" s="5" t="n">
        <v>28</v>
      </c>
      <c r="O20" s="5" t="inlineStr">
        <is>
          <t>none</t>
        </is>
      </c>
      <c r="P20" s="5" t="inlineStr">
        <is>
          <t>rent</t>
        </is>
      </c>
      <c r="Q20" s="5" t="n">
        <v>1</v>
      </c>
      <c r="R20" s="5" t="inlineStr">
        <is>
          <t>skilled</t>
        </is>
      </c>
      <c r="S20" s="5" t="n">
        <v>1</v>
      </c>
      <c r="T20" s="5" t="inlineStr">
        <is>
          <t>none</t>
        </is>
      </c>
      <c r="U20" s="5" t="inlineStr">
        <is>
          <t>yes</t>
        </is>
      </c>
      <c r="V20" s="5" t="inlineStr">
        <is>
          <t>good</t>
        </is>
      </c>
    </row>
    <row r="21">
      <c r="A21" s="5" t="n">
        <v>16</v>
      </c>
      <c r="B21" s="5" t="inlineStr">
        <is>
          <t>&lt;0</t>
        </is>
      </c>
      <c r="C21" s="5" t="n">
        <v>24</v>
      </c>
      <c r="D21" s="5" t="inlineStr">
        <is>
          <t>existing paid</t>
        </is>
      </c>
      <c r="E21" s="5" t="inlineStr">
        <is>
          <t>radio/tv</t>
        </is>
      </c>
      <c r="F21" s="5" t="n">
        <v>1282</v>
      </c>
      <c r="G21" s="5" t="inlineStr">
        <is>
          <t>100&lt;=X&lt;500</t>
        </is>
      </c>
      <c r="H21" s="5" t="inlineStr">
        <is>
          <t>1&lt;=X&lt;4</t>
        </is>
      </c>
      <c r="I21" s="5" t="n">
        <v>4</v>
      </c>
      <c r="J21" s="5" t="inlineStr">
        <is>
          <t>female div/dep/mar</t>
        </is>
      </c>
      <c r="K21" s="5" t="inlineStr">
        <is>
          <t>none</t>
        </is>
      </c>
      <c r="L21" s="5" t="n">
        <v>2</v>
      </c>
      <c r="M21" s="5" t="inlineStr">
        <is>
          <t>car</t>
        </is>
      </c>
      <c r="N21" s="5" t="n">
        <v>32</v>
      </c>
      <c r="O21" s="5" t="inlineStr">
        <is>
          <t>none</t>
        </is>
      </c>
      <c r="P21" s="5" t="inlineStr">
        <is>
          <t>own</t>
        </is>
      </c>
      <c r="Q21" s="5" t="n">
        <v>1</v>
      </c>
      <c r="R21" s="5" t="inlineStr">
        <is>
          <t>unskilled resident</t>
        </is>
      </c>
      <c r="S21" s="5" t="n">
        <v>1</v>
      </c>
      <c r="T21" s="5" t="inlineStr">
        <is>
          <t>none</t>
        </is>
      </c>
      <c r="U21" s="5" t="inlineStr">
        <is>
          <t>yes</t>
        </is>
      </c>
      <c r="V21" s="5" t="inlineStr">
        <is>
          <t>bad</t>
        </is>
      </c>
    </row>
    <row r="22">
      <c r="A22" s="5" t="n">
        <v>17</v>
      </c>
      <c r="B22" s="5" t="inlineStr">
        <is>
          <t>no checking</t>
        </is>
      </c>
      <c r="C22" s="5" t="n">
        <v>24</v>
      </c>
      <c r="D22" s="5" t="inlineStr">
        <is>
          <t>critical/other existing credit</t>
        </is>
      </c>
      <c r="E22" s="5" t="inlineStr">
        <is>
          <t>radio/tv</t>
        </is>
      </c>
      <c r="F22" s="5" t="n">
        <v>2424</v>
      </c>
      <c r="G22" s="5" t="inlineStr">
        <is>
          <t>no known savings</t>
        </is>
      </c>
      <c r="H22" s="5" t="inlineStr">
        <is>
          <t>&gt;=7</t>
        </is>
      </c>
      <c r="I22" s="5" t="n">
        <v>4</v>
      </c>
      <c r="J22" s="5" t="inlineStr">
        <is>
          <t>male single</t>
        </is>
      </c>
      <c r="K22" s="5" t="inlineStr">
        <is>
          <t>none</t>
        </is>
      </c>
      <c r="L22" s="5" t="n">
        <v>4</v>
      </c>
      <c r="M22" s="5" t="inlineStr">
        <is>
          <t>life insurance</t>
        </is>
      </c>
      <c r="N22" s="5" t="n">
        <v>53</v>
      </c>
      <c r="O22" s="5" t="inlineStr">
        <is>
          <t>none</t>
        </is>
      </c>
      <c r="P22" s="5" t="inlineStr">
        <is>
          <t>own</t>
        </is>
      </c>
      <c r="Q22" s="5" t="n">
        <v>2</v>
      </c>
      <c r="R22" s="5" t="inlineStr">
        <is>
          <t>skilled</t>
        </is>
      </c>
      <c r="S22" s="5" t="n">
        <v>1</v>
      </c>
      <c r="T22" s="5" t="inlineStr">
        <is>
          <t>none</t>
        </is>
      </c>
      <c r="U22" s="5" t="inlineStr">
        <is>
          <t>yes</t>
        </is>
      </c>
      <c r="V22" s="5" t="inlineStr">
        <is>
          <t>good</t>
        </is>
      </c>
    </row>
    <row r="23">
      <c r="A23" s="5" t="n">
        <v>18</v>
      </c>
      <c r="B23" s="5" t="inlineStr">
        <is>
          <t>&lt;0</t>
        </is>
      </c>
      <c r="C23" s="5" t="n">
        <v>30</v>
      </c>
      <c r="D23" s="5" t="inlineStr">
        <is>
          <t>no credits/all paid</t>
        </is>
      </c>
      <c r="E23" s="5" t="inlineStr">
        <is>
          <t>business</t>
        </is>
      </c>
      <c r="F23" s="5" t="n">
        <v>8072</v>
      </c>
      <c r="G23" s="5" t="inlineStr">
        <is>
          <t>no known savings</t>
        </is>
      </c>
      <c r="H23" s="5" t="inlineStr">
        <is>
          <t>&lt;1</t>
        </is>
      </c>
      <c r="I23" s="5" t="n">
        <v>2</v>
      </c>
      <c r="J23" s="5" t="inlineStr">
        <is>
          <t>male single</t>
        </is>
      </c>
      <c r="K23" s="5" t="inlineStr">
        <is>
          <t>none</t>
        </is>
      </c>
      <c r="L23" s="5" t="n">
        <v>3</v>
      </c>
      <c r="M23" s="5" t="inlineStr">
        <is>
          <t>car</t>
        </is>
      </c>
      <c r="N23" s="5" t="n">
        <v>25</v>
      </c>
      <c r="O23" s="5" t="inlineStr">
        <is>
          <t>bank</t>
        </is>
      </c>
      <c r="P23" s="5" t="inlineStr">
        <is>
          <t>own</t>
        </is>
      </c>
      <c r="Q23" s="5" t="n">
        <v>3</v>
      </c>
      <c r="R23" s="5" t="inlineStr">
        <is>
          <t>skilled</t>
        </is>
      </c>
      <c r="S23" s="5" t="n">
        <v>1</v>
      </c>
      <c r="T23" s="5" t="inlineStr">
        <is>
          <t>none</t>
        </is>
      </c>
      <c r="U23" s="5" t="inlineStr">
        <is>
          <t>yes</t>
        </is>
      </c>
      <c r="V23" s="5" t="inlineStr">
        <is>
          <t>good</t>
        </is>
      </c>
    </row>
    <row r="24">
      <c r="A24" s="5" t="n">
        <v>19</v>
      </c>
      <c r="B24" s="5" t="inlineStr">
        <is>
          <t>0&lt;=X&lt;200</t>
        </is>
      </c>
      <c r="C24" s="5" t="n">
        <v>24</v>
      </c>
      <c r="D24" s="5" t="inlineStr">
        <is>
          <t>existing paid</t>
        </is>
      </c>
      <c r="E24" s="5" t="inlineStr">
        <is>
          <t>used car</t>
        </is>
      </c>
      <c r="F24" s="5" t="n">
        <v>12579</v>
      </c>
      <c r="G24" s="5" t="inlineStr">
        <is>
          <t>&lt;100</t>
        </is>
      </c>
      <c r="H24" s="5" t="inlineStr">
        <is>
          <t>&gt;=7</t>
        </is>
      </c>
      <c r="I24" s="5" t="n">
        <v>4</v>
      </c>
      <c r="J24" s="5" t="inlineStr">
        <is>
          <t>female div/dep/mar</t>
        </is>
      </c>
      <c r="K24" s="5" t="inlineStr">
        <is>
          <t>none</t>
        </is>
      </c>
      <c r="L24" s="5" t="n">
        <v>2</v>
      </c>
      <c r="M24" s="5" t="inlineStr">
        <is>
          <t>no known property</t>
        </is>
      </c>
      <c r="N24" s="5" t="n">
        <v>44</v>
      </c>
      <c r="O24" s="5" t="inlineStr">
        <is>
          <t>none</t>
        </is>
      </c>
      <c r="P24" s="5" t="inlineStr">
        <is>
          <t>for free</t>
        </is>
      </c>
      <c r="Q24" s="5" t="n">
        <v>1</v>
      </c>
      <c r="R24" s="5" t="inlineStr">
        <is>
          <t>high qualif/self emp/mgmt</t>
        </is>
      </c>
      <c r="S24" s="5" t="n">
        <v>1</v>
      </c>
      <c r="T24" s="5" t="inlineStr">
        <is>
          <t>yes</t>
        </is>
      </c>
      <c r="U24" s="5" t="inlineStr">
        <is>
          <t>yes</t>
        </is>
      </c>
      <c r="V24" s="5" t="inlineStr">
        <is>
          <t>bad</t>
        </is>
      </c>
    </row>
    <row r="25">
      <c r="A25" s="5" t="n">
        <v>20</v>
      </c>
      <c r="B25" s="5" t="inlineStr">
        <is>
          <t>no checking</t>
        </is>
      </c>
      <c r="C25" s="5" t="n">
        <v>24</v>
      </c>
      <c r="D25" s="5" t="inlineStr">
        <is>
          <t>existing paid</t>
        </is>
      </c>
      <c r="E25" s="5" t="inlineStr">
        <is>
          <t>radio/tv</t>
        </is>
      </c>
      <c r="F25" s="5" t="n">
        <v>3430</v>
      </c>
      <c r="G25" s="5" t="inlineStr">
        <is>
          <t>500&lt;=X&lt;1000</t>
        </is>
      </c>
      <c r="H25" s="5" t="inlineStr">
        <is>
          <t>&gt;=7</t>
        </is>
      </c>
      <c r="I25" s="5" t="n">
        <v>3</v>
      </c>
      <c r="J25" s="5" t="inlineStr">
        <is>
          <t>male single</t>
        </is>
      </c>
      <c r="K25" s="5" t="inlineStr">
        <is>
          <t>none</t>
        </is>
      </c>
      <c r="L25" s="5" t="n">
        <v>2</v>
      </c>
      <c r="M25" s="5" t="inlineStr">
        <is>
          <t>car</t>
        </is>
      </c>
      <c r="N25" s="5" t="n">
        <v>31</v>
      </c>
      <c r="O25" s="5" t="inlineStr">
        <is>
          <t>none</t>
        </is>
      </c>
      <c r="P25" s="5" t="inlineStr">
        <is>
          <t>own</t>
        </is>
      </c>
      <c r="Q25" s="5" t="n">
        <v>1</v>
      </c>
      <c r="R25" s="5" t="inlineStr">
        <is>
          <t>skilled</t>
        </is>
      </c>
      <c r="S25" s="5" t="n">
        <v>2</v>
      </c>
      <c r="T25" s="5" t="inlineStr">
        <is>
          <t>yes</t>
        </is>
      </c>
      <c r="U25" s="5" t="inlineStr">
        <is>
          <t>yes</t>
        </is>
      </c>
      <c r="V25" s="5" t="inlineStr">
        <is>
          <t>good</t>
        </is>
      </c>
    </row>
    <row r="26">
      <c r="A26" s="5" t="n">
        <v>21</v>
      </c>
      <c r="B26" s="5" t="inlineStr">
        <is>
          <t>no checking</t>
        </is>
      </c>
      <c r="C26" s="5" t="n">
        <v>9</v>
      </c>
      <c r="D26" s="5" t="inlineStr">
        <is>
          <t>critical/other existing credit</t>
        </is>
      </c>
      <c r="E26" s="5" t="inlineStr">
        <is>
          <t>new car</t>
        </is>
      </c>
      <c r="F26" s="5" t="n">
        <v>2134</v>
      </c>
      <c r="G26" s="5" t="inlineStr">
        <is>
          <t>&lt;100</t>
        </is>
      </c>
      <c r="H26" s="5" t="inlineStr">
        <is>
          <t>1&lt;=X&lt;4</t>
        </is>
      </c>
      <c r="I26" s="5" t="n">
        <v>4</v>
      </c>
      <c r="J26" s="5" t="inlineStr">
        <is>
          <t>male single</t>
        </is>
      </c>
      <c r="K26" s="5" t="inlineStr">
        <is>
          <t>none</t>
        </is>
      </c>
      <c r="L26" s="5" t="n">
        <v>4</v>
      </c>
      <c r="M26" s="5" t="inlineStr">
        <is>
          <t>car</t>
        </is>
      </c>
      <c r="N26" s="5" t="n">
        <v>48</v>
      </c>
      <c r="O26" s="5" t="inlineStr">
        <is>
          <t>none</t>
        </is>
      </c>
      <c r="P26" s="5" t="inlineStr">
        <is>
          <t>own</t>
        </is>
      </c>
      <c r="Q26" s="5" t="n">
        <v>3</v>
      </c>
      <c r="R26" s="5" t="inlineStr">
        <is>
          <t>skilled</t>
        </is>
      </c>
      <c r="S26" s="5" t="n">
        <v>1</v>
      </c>
      <c r="T26" s="5" t="inlineStr">
        <is>
          <t>yes</t>
        </is>
      </c>
      <c r="U26" s="5" t="inlineStr">
        <is>
          <t>yes</t>
        </is>
      </c>
      <c r="V26" s="5" t="inlineStr">
        <is>
          <t>good</t>
        </is>
      </c>
    </row>
    <row r="27">
      <c r="A27" s="5" t="n">
        <v>22</v>
      </c>
      <c r="B27" s="5" t="inlineStr">
        <is>
          <t>&lt;0</t>
        </is>
      </c>
      <c r="C27" s="5" t="n">
        <v>6</v>
      </c>
      <c r="D27" s="5" t="inlineStr">
        <is>
          <t>existing paid</t>
        </is>
      </c>
      <c r="E27" s="5" t="inlineStr">
        <is>
          <t>radio/tv</t>
        </is>
      </c>
      <c r="F27" s="5" t="n">
        <v>2647</v>
      </c>
      <c r="G27" s="5" t="inlineStr">
        <is>
          <t>500&lt;=X&lt;1000</t>
        </is>
      </c>
      <c r="H27" s="5" t="inlineStr">
        <is>
          <t>1&lt;=X&lt;4</t>
        </is>
      </c>
      <c r="I27" s="5" t="n">
        <v>2</v>
      </c>
      <c r="J27" s="5" t="inlineStr">
        <is>
          <t>male single</t>
        </is>
      </c>
      <c r="K27" s="5" t="inlineStr">
        <is>
          <t>none</t>
        </is>
      </c>
      <c r="L27" s="5" t="n">
        <v>3</v>
      </c>
      <c r="M27" s="5" t="inlineStr">
        <is>
          <t>real estate</t>
        </is>
      </c>
      <c r="N27" s="5" t="n">
        <v>44</v>
      </c>
      <c r="O27" s="5" t="inlineStr">
        <is>
          <t>none</t>
        </is>
      </c>
      <c r="P27" s="5" t="inlineStr">
        <is>
          <t>rent</t>
        </is>
      </c>
      <c r="Q27" s="5" t="n">
        <v>1</v>
      </c>
      <c r="R27" s="5" t="inlineStr">
        <is>
          <t>skilled</t>
        </is>
      </c>
      <c r="S27" s="5" t="n">
        <v>2</v>
      </c>
      <c r="T27" s="5" t="inlineStr">
        <is>
          <t>none</t>
        </is>
      </c>
      <c r="U27" s="5" t="inlineStr">
        <is>
          <t>yes</t>
        </is>
      </c>
      <c r="V27" s="5" t="inlineStr">
        <is>
          <t>good</t>
        </is>
      </c>
    </row>
    <row r="28">
      <c r="A28" s="5" t="n">
        <v>23</v>
      </c>
      <c r="B28" s="5" t="inlineStr">
        <is>
          <t>&lt;0</t>
        </is>
      </c>
      <c r="C28" s="5" t="n">
        <v>10</v>
      </c>
      <c r="D28" s="5" t="inlineStr">
        <is>
          <t>critical/other existing credit</t>
        </is>
      </c>
      <c r="E28" s="5" t="inlineStr">
        <is>
          <t>new car</t>
        </is>
      </c>
      <c r="F28" s="5" t="n">
        <v>2241</v>
      </c>
      <c r="G28" s="5" t="inlineStr">
        <is>
          <t>&lt;100</t>
        </is>
      </c>
      <c r="H28" s="5" t="inlineStr">
        <is>
          <t>&lt;1</t>
        </is>
      </c>
      <c r="I28" s="5" t="n">
        <v>1</v>
      </c>
      <c r="J28" s="5" t="inlineStr">
        <is>
          <t>male single</t>
        </is>
      </c>
      <c r="K28" s="5" t="inlineStr">
        <is>
          <t>none</t>
        </is>
      </c>
      <c r="L28" s="5" t="n">
        <v>3</v>
      </c>
      <c r="M28" s="5" t="inlineStr">
        <is>
          <t>real estate</t>
        </is>
      </c>
      <c r="N28" s="5" t="n">
        <v>48</v>
      </c>
      <c r="O28" s="5" t="inlineStr">
        <is>
          <t>none</t>
        </is>
      </c>
      <c r="P28" s="5" t="inlineStr">
        <is>
          <t>rent</t>
        </is>
      </c>
      <c r="Q28" s="5" t="n">
        <v>2</v>
      </c>
      <c r="R28" s="5" t="inlineStr">
        <is>
          <t>unskilled resident</t>
        </is>
      </c>
      <c r="S28" s="5" t="n">
        <v>2</v>
      </c>
      <c r="T28" s="5" t="inlineStr">
        <is>
          <t>none</t>
        </is>
      </c>
      <c r="U28" s="5" t="inlineStr">
        <is>
          <t>no</t>
        </is>
      </c>
      <c r="V28" s="5" t="inlineStr">
        <is>
          <t>good</t>
        </is>
      </c>
    </row>
    <row r="29">
      <c r="A29" s="5" t="n">
        <v>24</v>
      </c>
      <c r="B29" s="5" t="inlineStr">
        <is>
          <t>0&lt;=X&lt;200</t>
        </is>
      </c>
      <c r="C29" s="5" t="n">
        <v>12</v>
      </c>
      <c r="D29" s="5" t="inlineStr">
        <is>
          <t>critical/other existing credit</t>
        </is>
      </c>
      <c r="E29" s="5" t="inlineStr">
        <is>
          <t>used car</t>
        </is>
      </c>
      <c r="F29" s="5" t="n">
        <v>1804</v>
      </c>
      <c r="G29" s="5" t="inlineStr">
        <is>
          <t>100&lt;=X&lt;500</t>
        </is>
      </c>
      <c r="H29" s="5" t="inlineStr">
        <is>
          <t>&lt;1</t>
        </is>
      </c>
      <c r="I29" s="5" t="n">
        <v>3</v>
      </c>
      <c r="J29" s="5" t="inlineStr">
        <is>
          <t>male single</t>
        </is>
      </c>
      <c r="K29" s="5" t="inlineStr">
        <is>
          <t>none</t>
        </is>
      </c>
      <c r="L29" s="5" t="n">
        <v>4</v>
      </c>
      <c r="M29" s="5" t="inlineStr">
        <is>
          <t>life insurance</t>
        </is>
      </c>
      <c r="N29" s="5" t="n">
        <v>44</v>
      </c>
      <c r="O29" s="5" t="inlineStr">
        <is>
          <t>none</t>
        </is>
      </c>
      <c r="P29" s="5" t="inlineStr">
        <is>
          <t>own</t>
        </is>
      </c>
      <c r="Q29" s="5" t="n">
        <v>1</v>
      </c>
      <c r="R29" s="5" t="inlineStr">
        <is>
          <t>skilled</t>
        </is>
      </c>
      <c r="S29" s="5" t="n">
        <v>1</v>
      </c>
      <c r="T29" s="5" t="inlineStr">
        <is>
          <t>none</t>
        </is>
      </c>
      <c r="U29" s="5" t="inlineStr">
        <is>
          <t>yes</t>
        </is>
      </c>
      <c r="V29" s="5" t="inlineStr">
        <is>
          <t>good</t>
        </is>
      </c>
    </row>
    <row r="30">
      <c r="A30" s="5" t="n">
        <v>25</v>
      </c>
      <c r="B30" s="5" t="inlineStr">
        <is>
          <t>no checking</t>
        </is>
      </c>
      <c r="C30" s="5" t="n">
        <v>10</v>
      </c>
      <c r="D30" s="5" t="inlineStr">
        <is>
          <t>critical/other existing credit</t>
        </is>
      </c>
      <c r="E30" s="5" t="inlineStr">
        <is>
          <t>furniture/equipment</t>
        </is>
      </c>
      <c r="F30" s="5" t="n">
        <v>2069</v>
      </c>
      <c r="G30" s="5" t="inlineStr">
        <is>
          <t>no known savings</t>
        </is>
      </c>
      <c r="H30" s="5" t="inlineStr">
        <is>
          <t>1&lt;=X&lt;4</t>
        </is>
      </c>
      <c r="I30" s="5" t="n">
        <v>2</v>
      </c>
      <c r="J30" s="5" t="inlineStr">
        <is>
          <t>male mar/wid</t>
        </is>
      </c>
      <c r="K30" s="5" t="inlineStr">
        <is>
          <t>none</t>
        </is>
      </c>
      <c r="L30" s="5" t="n">
        <v>1</v>
      </c>
      <c r="M30" s="5" t="inlineStr">
        <is>
          <t>car</t>
        </is>
      </c>
      <c r="N30" s="5" t="n">
        <v>26</v>
      </c>
      <c r="O30" s="5" t="inlineStr">
        <is>
          <t>none</t>
        </is>
      </c>
      <c r="P30" s="5" t="inlineStr">
        <is>
          <t>own</t>
        </is>
      </c>
      <c r="Q30" s="5" t="n">
        <v>2</v>
      </c>
      <c r="R30" s="5" t="inlineStr">
        <is>
          <t>skilled</t>
        </is>
      </c>
      <c r="S30" s="5" t="n">
        <v>1</v>
      </c>
      <c r="T30" s="5" t="inlineStr">
        <is>
          <t>none</t>
        </is>
      </c>
      <c r="U30" s="5" t="inlineStr">
        <is>
          <t>no</t>
        </is>
      </c>
      <c r="V30" s="5" t="inlineStr">
        <is>
          <t>good</t>
        </is>
      </c>
    </row>
    <row r="31">
      <c r="A31" s="5" t="n">
        <v>26</v>
      </c>
      <c r="B31" s="5" t="inlineStr">
        <is>
          <t>&lt;0</t>
        </is>
      </c>
      <c r="C31" s="5" t="n">
        <v>6</v>
      </c>
      <c r="D31" s="5" t="inlineStr">
        <is>
          <t>existing paid</t>
        </is>
      </c>
      <c r="E31" s="5" t="inlineStr">
        <is>
          <t>furniture/equipment</t>
        </is>
      </c>
      <c r="F31" s="5" t="n">
        <v>1374</v>
      </c>
      <c r="G31" s="5" t="inlineStr">
        <is>
          <t>&lt;100</t>
        </is>
      </c>
      <c r="H31" s="5" t="inlineStr">
        <is>
          <t>1&lt;=X&lt;4</t>
        </is>
      </c>
      <c r="I31" s="5" t="n">
        <v>1</v>
      </c>
      <c r="J31" s="5" t="inlineStr">
        <is>
          <t>male single</t>
        </is>
      </c>
      <c r="K31" s="5" t="inlineStr">
        <is>
          <t>none</t>
        </is>
      </c>
      <c r="L31" s="5" t="n">
        <v>2</v>
      </c>
      <c r="M31" s="5" t="inlineStr">
        <is>
          <t>real estate</t>
        </is>
      </c>
      <c r="N31" s="5" t="n">
        <v>36</v>
      </c>
      <c r="O31" s="5" t="inlineStr">
        <is>
          <t>bank</t>
        </is>
      </c>
      <c r="P31" s="5" t="inlineStr">
        <is>
          <t>own</t>
        </is>
      </c>
      <c r="Q31" s="5" t="n">
        <v>1</v>
      </c>
      <c r="R31" s="5" t="inlineStr">
        <is>
          <t>unskilled resident</t>
        </is>
      </c>
      <c r="S31" s="5" t="n">
        <v>1</v>
      </c>
      <c r="T31" s="5" t="inlineStr">
        <is>
          <t>yes</t>
        </is>
      </c>
      <c r="U31" s="5" t="inlineStr">
        <is>
          <t>yes</t>
        </is>
      </c>
      <c r="V31" s="5" t="inlineStr">
        <is>
          <t>good</t>
        </is>
      </c>
    </row>
    <row r="32">
      <c r="A32" s="5" t="n">
        <v>27</v>
      </c>
      <c r="B32" s="5" t="inlineStr">
        <is>
          <t>no checking</t>
        </is>
      </c>
      <c r="C32" s="5" t="n">
        <v>6</v>
      </c>
      <c r="D32" s="5" t="inlineStr">
        <is>
          <t>no credits/all paid</t>
        </is>
      </c>
      <c r="E32" s="5" t="inlineStr">
        <is>
          <t>radio/tv</t>
        </is>
      </c>
      <c r="F32" s="5" t="n">
        <v>426</v>
      </c>
      <c r="G32" s="5" t="inlineStr">
        <is>
          <t>&lt;100</t>
        </is>
      </c>
      <c r="H32" s="5" t="inlineStr">
        <is>
          <t>&gt;=7</t>
        </is>
      </c>
      <c r="I32" s="5" t="n">
        <v>4</v>
      </c>
      <c r="J32" s="5" t="inlineStr">
        <is>
          <t>male mar/wid</t>
        </is>
      </c>
      <c r="K32" s="5" t="inlineStr">
        <is>
          <t>none</t>
        </is>
      </c>
      <c r="L32" s="5" t="n">
        <v>4</v>
      </c>
      <c r="M32" s="5" t="inlineStr">
        <is>
          <t>car</t>
        </is>
      </c>
      <c r="N32" s="5" t="n">
        <v>39</v>
      </c>
      <c r="O32" s="5" t="inlineStr">
        <is>
          <t>none</t>
        </is>
      </c>
      <c r="P32" s="5" t="inlineStr">
        <is>
          <t>own</t>
        </is>
      </c>
      <c r="Q32" s="5" t="n">
        <v>1</v>
      </c>
      <c r="R32" s="5" t="inlineStr">
        <is>
          <t>unskilled resident</t>
        </is>
      </c>
      <c r="S32" s="5" t="n">
        <v>1</v>
      </c>
      <c r="T32" s="5" t="inlineStr">
        <is>
          <t>none</t>
        </is>
      </c>
      <c r="U32" s="5" t="inlineStr">
        <is>
          <t>yes</t>
        </is>
      </c>
      <c r="V32" s="5" t="inlineStr">
        <is>
          <t>good</t>
        </is>
      </c>
    </row>
    <row r="33">
      <c r="A33" s="5" t="n">
        <v>28</v>
      </c>
      <c r="B33" s="5" t="inlineStr">
        <is>
          <t>&gt;=200</t>
        </is>
      </c>
      <c r="C33" s="5" t="n">
        <v>12</v>
      </c>
      <c r="D33" s="5" t="inlineStr">
        <is>
          <t>all paid</t>
        </is>
      </c>
      <c r="E33" s="5" t="inlineStr">
        <is>
          <t>radio/tv</t>
        </is>
      </c>
      <c r="F33" s="5" t="n">
        <v>409</v>
      </c>
      <c r="G33" s="5" t="inlineStr">
        <is>
          <t>&gt;=1000</t>
        </is>
      </c>
      <c r="H33" s="5" t="inlineStr">
        <is>
          <t>1&lt;=X&lt;4</t>
        </is>
      </c>
      <c r="I33" s="5" t="n">
        <v>3</v>
      </c>
      <c r="J33" s="5" t="inlineStr">
        <is>
          <t>female div/dep/mar</t>
        </is>
      </c>
      <c r="K33" s="5" t="inlineStr">
        <is>
          <t>none</t>
        </is>
      </c>
      <c r="L33" s="5" t="n">
        <v>3</v>
      </c>
      <c r="M33" s="5" t="inlineStr">
        <is>
          <t>real estate</t>
        </is>
      </c>
      <c r="N33" s="5" t="n">
        <v>42</v>
      </c>
      <c r="O33" s="5" t="inlineStr">
        <is>
          <t>none</t>
        </is>
      </c>
      <c r="P33" s="5" t="inlineStr">
        <is>
          <t>rent</t>
        </is>
      </c>
      <c r="Q33" s="5" t="n">
        <v>2</v>
      </c>
      <c r="R33" s="5" t="inlineStr">
        <is>
          <t>skilled</t>
        </is>
      </c>
      <c r="S33" s="5" t="n">
        <v>1</v>
      </c>
      <c r="T33" s="5" t="inlineStr">
        <is>
          <t>none</t>
        </is>
      </c>
      <c r="U33" s="5" t="inlineStr">
        <is>
          <t>yes</t>
        </is>
      </c>
      <c r="V33" s="5" t="inlineStr">
        <is>
          <t>good</t>
        </is>
      </c>
    </row>
    <row r="34">
      <c r="A34" s="5" t="n">
        <v>29</v>
      </c>
      <c r="B34" s="5" t="inlineStr">
        <is>
          <t>0&lt;=X&lt;200</t>
        </is>
      </c>
      <c r="C34" s="5" t="n">
        <v>7</v>
      </c>
      <c r="D34" s="5" t="inlineStr">
        <is>
          <t>existing paid</t>
        </is>
      </c>
      <c r="E34" s="5" t="inlineStr">
        <is>
          <t>radio/tv</t>
        </is>
      </c>
      <c r="F34" s="5" t="n">
        <v>2415</v>
      </c>
      <c r="G34" s="5" t="inlineStr">
        <is>
          <t>&lt;100</t>
        </is>
      </c>
      <c r="H34" s="5" t="inlineStr">
        <is>
          <t>1&lt;=X&lt;4</t>
        </is>
      </c>
      <c r="I34" s="5" t="n">
        <v>3</v>
      </c>
      <c r="J34" s="5" t="inlineStr">
        <is>
          <t>male single</t>
        </is>
      </c>
      <c r="K34" s="5" t="inlineStr">
        <is>
          <t>guarantor</t>
        </is>
      </c>
      <c r="L34" s="5" t="n">
        <v>2</v>
      </c>
      <c r="M34" s="5" t="inlineStr">
        <is>
          <t>real estate</t>
        </is>
      </c>
      <c r="N34" s="5" t="n">
        <v>34</v>
      </c>
      <c r="O34" s="5" t="inlineStr">
        <is>
          <t>none</t>
        </is>
      </c>
      <c r="P34" s="5" t="inlineStr">
        <is>
          <t>own</t>
        </is>
      </c>
      <c r="Q34" s="5" t="n">
        <v>1</v>
      </c>
      <c r="R34" s="5" t="inlineStr">
        <is>
          <t>skilled</t>
        </is>
      </c>
      <c r="S34" s="5" t="n">
        <v>1</v>
      </c>
      <c r="T34" s="5" t="inlineStr">
        <is>
          <t>none</t>
        </is>
      </c>
      <c r="U34" s="5" t="inlineStr">
        <is>
          <t>yes</t>
        </is>
      </c>
      <c r="V34" s="5" t="inlineStr">
        <is>
          <t>good</t>
        </is>
      </c>
    </row>
    <row r="35">
      <c r="A35" s="5" t="n">
        <v>30</v>
      </c>
      <c r="B35" s="5" t="inlineStr">
        <is>
          <t>&lt;0</t>
        </is>
      </c>
      <c r="C35" s="5" t="n">
        <v>60</v>
      </c>
      <c r="D35" s="5" t="inlineStr">
        <is>
          <t>delayed previously</t>
        </is>
      </c>
      <c r="E35" s="5" t="inlineStr">
        <is>
          <t>business</t>
        </is>
      </c>
      <c r="F35" s="5" t="n">
        <v>6836</v>
      </c>
      <c r="G35" s="5" t="inlineStr">
        <is>
          <t>&lt;100</t>
        </is>
      </c>
      <c r="H35" s="5" t="inlineStr">
        <is>
          <t>&gt;=7</t>
        </is>
      </c>
      <c r="I35" s="5" t="n">
        <v>3</v>
      </c>
      <c r="J35" s="5" t="inlineStr">
        <is>
          <t>male single</t>
        </is>
      </c>
      <c r="K35" s="5" t="inlineStr">
        <is>
          <t>none</t>
        </is>
      </c>
      <c r="L35" s="5" t="n">
        <v>4</v>
      </c>
      <c r="M35" s="5" t="inlineStr">
        <is>
          <t>no known property</t>
        </is>
      </c>
      <c r="N35" s="5" t="n">
        <v>63</v>
      </c>
      <c r="O35" s="5" t="inlineStr">
        <is>
          <t>none</t>
        </is>
      </c>
      <c r="P35" s="5" t="inlineStr">
        <is>
          <t>own</t>
        </is>
      </c>
      <c r="Q35" s="5" t="n">
        <v>2</v>
      </c>
      <c r="R35" s="5" t="inlineStr">
        <is>
          <t>skilled</t>
        </is>
      </c>
      <c r="S35" s="5" t="n">
        <v>1</v>
      </c>
      <c r="T35" s="5" t="inlineStr">
        <is>
          <t>yes</t>
        </is>
      </c>
      <c r="U35" s="5" t="inlineStr">
        <is>
          <t>yes</t>
        </is>
      </c>
      <c r="V35" s="5" t="inlineStr">
        <is>
          <t>bad</t>
        </is>
      </c>
    </row>
    <row r="36">
      <c r="A36" s="5" t="n">
        <v>31</v>
      </c>
      <c r="B36" s="5" t="inlineStr">
        <is>
          <t>0&lt;=X&lt;200</t>
        </is>
      </c>
      <c r="C36" s="5" t="n">
        <v>18</v>
      </c>
      <c r="D36" s="5" t="inlineStr">
        <is>
          <t>existing paid</t>
        </is>
      </c>
      <c r="E36" s="5" t="inlineStr">
        <is>
          <t>business</t>
        </is>
      </c>
      <c r="F36" s="5" t="n">
        <v>1913</v>
      </c>
      <c r="G36" s="5" t="inlineStr">
        <is>
          <t>&gt;=1000</t>
        </is>
      </c>
      <c r="H36" s="5" t="inlineStr">
        <is>
          <t>&lt;1</t>
        </is>
      </c>
      <c r="I36" s="5" t="n">
        <v>3</v>
      </c>
      <c r="J36" s="5" t="inlineStr">
        <is>
          <t>male mar/wid</t>
        </is>
      </c>
      <c r="K36" s="5" t="inlineStr">
        <is>
          <t>none</t>
        </is>
      </c>
      <c r="L36" s="5" t="n">
        <v>3</v>
      </c>
      <c r="M36" s="5" t="inlineStr">
        <is>
          <t>real estate</t>
        </is>
      </c>
      <c r="N36" s="5" t="n">
        <v>36</v>
      </c>
      <c r="O36" s="5" t="inlineStr">
        <is>
          <t>bank</t>
        </is>
      </c>
      <c r="P36" s="5" t="inlineStr">
        <is>
          <t>own</t>
        </is>
      </c>
      <c r="Q36" s="5" t="n">
        <v>1</v>
      </c>
      <c r="R36" s="5" t="inlineStr">
        <is>
          <t>skilled</t>
        </is>
      </c>
      <c r="S36" s="5" t="n">
        <v>1</v>
      </c>
      <c r="T36" s="5" t="inlineStr">
        <is>
          <t>yes</t>
        </is>
      </c>
      <c r="U36" s="5" t="inlineStr">
        <is>
          <t>yes</t>
        </is>
      </c>
      <c r="V36" s="5" t="inlineStr">
        <is>
          <t>good</t>
        </is>
      </c>
    </row>
    <row r="37">
      <c r="A37" s="5" t="n">
        <v>32</v>
      </c>
      <c r="B37" s="5" t="inlineStr">
        <is>
          <t>&lt;0</t>
        </is>
      </c>
      <c r="C37" s="5" t="n">
        <v>24</v>
      </c>
      <c r="D37" s="5" t="inlineStr">
        <is>
          <t>existing paid</t>
        </is>
      </c>
      <c r="E37" s="5" t="inlineStr">
        <is>
          <t>furniture/equipment</t>
        </is>
      </c>
      <c r="F37" s="5" t="n">
        <v>4020</v>
      </c>
      <c r="G37" s="5" t="inlineStr">
        <is>
          <t>&lt;100</t>
        </is>
      </c>
      <c r="H37" s="5" t="inlineStr">
        <is>
          <t>1&lt;=X&lt;4</t>
        </is>
      </c>
      <c r="I37" s="5" t="n">
        <v>2</v>
      </c>
      <c r="J37" s="5" t="inlineStr">
        <is>
          <t>male single</t>
        </is>
      </c>
      <c r="K37" s="5" t="inlineStr">
        <is>
          <t>none</t>
        </is>
      </c>
      <c r="L37" s="5" t="n">
        <v>2</v>
      </c>
      <c r="M37" s="5" t="inlineStr">
        <is>
          <t>car</t>
        </is>
      </c>
      <c r="N37" s="5" t="n">
        <v>27</v>
      </c>
      <c r="O37" s="5" t="inlineStr">
        <is>
          <t>stores</t>
        </is>
      </c>
      <c r="P37" s="5" t="inlineStr">
        <is>
          <t>own</t>
        </is>
      </c>
      <c r="Q37" s="5" t="n">
        <v>1</v>
      </c>
      <c r="R37" s="5" t="inlineStr">
        <is>
          <t>skilled</t>
        </is>
      </c>
      <c r="S37" s="5" t="n">
        <v>1</v>
      </c>
      <c r="T37" s="5" t="inlineStr">
        <is>
          <t>none</t>
        </is>
      </c>
      <c r="U37" s="5" t="inlineStr">
        <is>
          <t>yes</t>
        </is>
      </c>
      <c r="V37" s="5" t="inlineStr">
        <is>
          <t>good</t>
        </is>
      </c>
    </row>
    <row r="38">
      <c r="A38" s="5" t="n">
        <v>33</v>
      </c>
      <c r="B38" s="5" t="inlineStr">
        <is>
          <t>0&lt;=X&lt;200</t>
        </is>
      </c>
      <c r="C38" s="5" t="n">
        <v>18</v>
      </c>
      <c r="D38" s="5" t="inlineStr">
        <is>
          <t>existing paid</t>
        </is>
      </c>
      <c r="E38" s="5" t="inlineStr">
        <is>
          <t>new car</t>
        </is>
      </c>
      <c r="F38" s="5" t="n">
        <v>5866</v>
      </c>
      <c r="G38" s="5" t="inlineStr">
        <is>
          <t>100&lt;=X&lt;500</t>
        </is>
      </c>
      <c r="H38" s="5" t="inlineStr">
        <is>
          <t>1&lt;=X&lt;4</t>
        </is>
      </c>
      <c r="I38" s="5" t="n">
        <v>2</v>
      </c>
      <c r="J38" s="5" t="inlineStr">
        <is>
          <t>male single</t>
        </is>
      </c>
      <c r="K38" s="5" t="inlineStr">
        <is>
          <t>none</t>
        </is>
      </c>
      <c r="L38" s="5" t="n">
        <v>2</v>
      </c>
      <c r="M38" s="5" t="inlineStr">
        <is>
          <t>car</t>
        </is>
      </c>
      <c r="N38" s="5" t="n">
        <v>30</v>
      </c>
      <c r="O38" s="5" t="inlineStr">
        <is>
          <t>none</t>
        </is>
      </c>
      <c r="P38" s="5" t="inlineStr">
        <is>
          <t>own</t>
        </is>
      </c>
      <c r="Q38" s="5" t="n">
        <v>2</v>
      </c>
      <c r="R38" s="5" t="inlineStr">
        <is>
          <t>skilled</t>
        </is>
      </c>
      <c r="S38" s="5" t="n">
        <v>1</v>
      </c>
      <c r="T38" s="5" t="inlineStr">
        <is>
          <t>yes</t>
        </is>
      </c>
      <c r="U38" s="5" t="inlineStr">
        <is>
          <t>yes</t>
        </is>
      </c>
      <c r="V38" s="5" t="inlineStr">
        <is>
          <t>good</t>
        </is>
      </c>
    </row>
    <row r="39">
      <c r="A39" s="5" t="n">
        <v>34</v>
      </c>
      <c r="B39" s="5" t="inlineStr">
        <is>
          <t>no checking</t>
        </is>
      </c>
      <c r="C39" s="5" t="n">
        <v>12</v>
      </c>
      <c r="D39" s="5" t="inlineStr">
        <is>
          <t>critical/other existing credit</t>
        </is>
      </c>
      <c r="E39" s="5" t="inlineStr">
        <is>
          <t>business</t>
        </is>
      </c>
      <c r="F39" s="5" t="n">
        <v>1264</v>
      </c>
      <c r="G39" s="5" t="inlineStr">
        <is>
          <t>no known savings</t>
        </is>
      </c>
      <c r="H39" s="5" t="inlineStr">
        <is>
          <t>&gt;=7</t>
        </is>
      </c>
      <c r="I39" s="5" t="n">
        <v>4</v>
      </c>
      <c r="J39" s="5" t="inlineStr">
        <is>
          <t>male single</t>
        </is>
      </c>
      <c r="K39" s="5" t="inlineStr">
        <is>
          <t>none</t>
        </is>
      </c>
      <c r="L39" s="5" t="n">
        <v>4</v>
      </c>
      <c r="M39" s="5" t="inlineStr">
        <is>
          <t>no known property</t>
        </is>
      </c>
      <c r="N39" s="5" t="n">
        <v>57</v>
      </c>
      <c r="O39" s="5" t="inlineStr">
        <is>
          <t>none</t>
        </is>
      </c>
      <c r="P39" s="5" t="inlineStr">
        <is>
          <t>rent</t>
        </is>
      </c>
      <c r="Q39" s="5" t="n">
        <v>1</v>
      </c>
      <c r="R39" s="5" t="inlineStr">
        <is>
          <t>unskilled resident</t>
        </is>
      </c>
      <c r="S39" s="5" t="n">
        <v>1</v>
      </c>
      <c r="T39" s="5" t="inlineStr">
        <is>
          <t>none</t>
        </is>
      </c>
      <c r="U39" s="5" t="inlineStr">
        <is>
          <t>yes</t>
        </is>
      </c>
      <c r="V39" s="5" t="inlineStr">
        <is>
          <t>good</t>
        </is>
      </c>
    </row>
    <row r="40">
      <c r="A40" s="5" t="n">
        <v>35</v>
      </c>
      <c r="B40" s="5" t="inlineStr">
        <is>
          <t>&gt;=200</t>
        </is>
      </c>
      <c r="C40" s="5" t="n">
        <v>12</v>
      </c>
      <c r="D40" s="5" t="inlineStr">
        <is>
          <t>existing paid</t>
        </is>
      </c>
      <c r="E40" s="5" t="inlineStr">
        <is>
          <t>furniture/equipment</t>
        </is>
      </c>
      <c r="F40" s="5" t="n">
        <v>1474</v>
      </c>
      <c r="G40" s="5" t="inlineStr">
        <is>
          <t>&lt;100</t>
        </is>
      </c>
      <c r="H40" s="5" t="inlineStr">
        <is>
          <t>&lt;1</t>
        </is>
      </c>
      <c r="I40" s="5" t="n">
        <v>4</v>
      </c>
      <c r="J40" s="5" t="inlineStr">
        <is>
          <t>female div/dep/mar</t>
        </is>
      </c>
      <c r="K40" s="5" t="inlineStr">
        <is>
          <t>none</t>
        </is>
      </c>
      <c r="L40" s="5" t="n">
        <v>1</v>
      </c>
      <c r="M40" s="5" t="inlineStr">
        <is>
          <t>life insurance</t>
        </is>
      </c>
      <c r="N40" s="5" t="n">
        <v>33</v>
      </c>
      <c r="O40" s="5" t="inlineStr">
        <is>
          <t>bank</t>
        </is>
      </c>
      <c r="P40" s="5" t="inlineStr">
        <is>
          <t>own</t>
        </is>
      </c>
      <c r="Q40" s="5" t="n">
        <v>1</v>
      </c>
      <c r="R40" s="5" t="inlineStr">
        <is>
          <t>high qualif/self emp/mgmt</t>
        </is>
      </c>
      <c r="S40" s="5" t="n">
        <v>1</v>
      </c>
      <c r="T40" s="5" t="inlineStr">
        <is>
          <t>yes</t>
        </is>
      </c>
      <c r="U40" s="5" t="inlineStr">
        <is>
          <t>yes</t>
        </is>
      </c>
      <c r="V40" s="5" t="inlineStr">
        <is>
          <t>good</t>
        </is>
      </c>
    </row>
    <row r="41">
      <c r="A41" s="5" t="n">
        <v>36</v>
      </c>
      <c r="B41" s="5" t="inlineStr">
        <is>
          <t>0&lt;=X&lt;200</t>
        </is>
      </c>
      <c r="C41" s="5" t="n">
        <v>45</v>
      </c>
      <c r="D41" s="5" t="inlineStr">
        <is>
          <t>critical/other existing credit</t>
        </is>
      </c>
      <c r="E41" s="5" t="inlineStr">
        <is>
          <t>radio/tv</t>
        </is>
      </c>
      <c r="F41" s="5" t="n">
        <v>4746</v>
      </c>
      <c r="G41" s="5" t="inlineStr">
        <is>
          <t>&lt;100</t>
        </is>
      </c>
      <c r="H41" s="5" t="inlineStr">
        <is>
          <t>&lt;1</t>
        </is>
      </c>
      <c r="I41" s="5" t="n">
        <v>4</v>
      </c>
      <c r="J41" s="5" t="inlineStr">
        <is>
          <t>male single</t>
        </is>
      </c>
      <c r="K41" s="5" t="inlineStr">
        <is>
          <t>none</t>
        </is>
      </c>
      <c r="L41" s="5" t="n">
        <v>2</v>
      </c>
      <c r="M41" s="5" t="inlineStr">
        <is>
          <t>life insurance</t>
        </is>
      </c>
      <c r="N41" s="5" t="n">
        <v>25</v>
      </c>
      <c r="O41" s="5" t="inlineStr">
        <is>
          <t>none</t>
        </is>
      </c>
      <c r="P41" s="5" t="inlineStr">
        <is>
          <t>own</t>
        </is>
      </c>
      <c r="Q41" s="5" t="n">
        <v>2</v>
      </c>
      <c r="R41" s="5" t="inlineStr">
        <is>
          <t>unskilled resident</t>
        </is>
      </c>
      <c r="S41" s="5" t="n">
        <v>1</v>
      </c>
      <c r="T41" s="5" t="inlineStr">
        <is>
          <t>none</t>
        </is>
      </c>
      <c r="U41" s="5" t="inlineStr">
        <is>
          <t>yes</t>
        </is>
      </c>
      <c r="V41" s="5" t="inlineStr">
        <is>
          <t>bad</t>
        </is>
      </c>
    </row>
    <row r="42">
      <c r="A42" s="5" t="n">
        <v>37</v>
      </c>
      <c r="B42" s="5" t="inlineStr">
        <is>
          <t>no checking</t>
        </is>
      </c>
      <c r="C42" s="5" t="n">
        <v>48</v>
      </c>
      <c r="D42" s="5" t="inlineStr">
        <is>
          <t>critical/other existing credit</t>
        </is>
      </c>
      <c r="E42" s="5" t="inlineStr">
        <is>
          <t>education</t>
        </is>
      </c>
      <c r="F42" s="5" t="n">
        <v>6110</v>
      </c>
      <c r="G42" s="5" t="inlineStr">
        <is>
          <t>&lt;100</t>
        </is>
      </c>
      <c r="H42" s="5" t="inlineStr">
        <is>
          <t>1&lt;=X&lt;4</t>
        </is>
      </c>
      <c r="I42" s="5" t="n">
        <v>1</v>
      </c>
      <c r="J42" s="5" t="inlineStr">
        <is>
          <t>male single</t>
        </is>
      </c>
      <c r="K42" s="5" t="inlineStr">
        <is>
          <t>none</t>
        </is>
      </c>
      <c r="L42" s="5" t="n">
        <v>3</v>
      </c>
      <c r="M42" s="5" t="inlineStr">
        <is>
          <t>no known property</t>
        </is>
      </c>
      <c r="N42" s="5" t="n">
        <v>31</v>
      </c>
      <c r="O42" s="5" t="inlineStr">
        <is>
          <t>bank</t>
        </is>
      </c>
      <c r="P42" s="5" t="inlineStr">
        <is>
          <t>for free</t>
        </is>
      </c>
      <c r="Q42" s="5" t="n">
        <v>1</v>
      </c>
      <c r="R42" s="5" t="inlineStr">
        <is>
          <t>skilled</t>
        </is>
      </c>
      <c r="S42" s="5" t="n">
        <v>1</v>
      </c>
      <c r="T42" s="5" t="inlineStr">
        <is>
          <t>yes</t>
        </is>
      </c>
      <c r="U42" s="5" t="inlineStr">
        <is>
          <t>yes</t>
        </is>
      </c>
      <c r="V42" s="5" t="inlineStr">
        <is>
          <t>good</t>
        </is>
      </c>
    </row>
    <row r="43">
      <c r="A43" s="5" t="n">
        <v>38</v>
      </c>
      <c r="B43" s="5" t="inlineStr">
        <is>
          <t>&gt;=200</t>
        </is>
      </c>
      <c r="C43" s="5" t="n">
        <v>18</v>
      </c>
      <c r="D43" s="5" t="inlineStr">
        <is>
          <t>existing paid</t>
        </is>
      </c>
      <c r="E43" s="5" t="inlineStr">
        <is>
          <t>radio/tv</t>
        </is>
      </c>
      <c r="F43" s="5" t="n">
        <v>2100</v>
      </c>
      <c r="G43" s="5" t="inlineStr">
        <is>
          <t>&lt;100</t>
        </is>
      </c>
      <c r="H43" s="5" t="inlineStr">
        <is>
          <t>1&lt;=X&lt;4</t>
        </is>
      </c>
      <c r="I43" s="5" t="n">
        <v>4</v>
      </c>
      <c r="J43" s="5" t="inlineStr">
        <is>
          <t>male single</t>
        </is>
      </c>
      <c r="K43" s="5" t="inlineStr">
        <is>
          <t>co applicant</t>
        </is>
      </c>
      <c r="L43" s="5" t="n">
        <v>2</v>
      </c>
      <c r="M43" s="5" t="inlineStr">
        <is>
          <t>real estate</t>
        </is>
      </c>
      <c r="N43" s="5" t="n">
        <v>37</v>
      </c>
      <c r="O43" s="5" t="inlineStr">
        <is>
          <t>stores</t>
        </is>
      </c>
      <c r="P43" s="5" t="inlineStr">
        <is>
          <t>own</t>
        </is>
      </c>
      <c r="Q43" s="5" t="n">
        <v>1</v>
      </c>
      <c r="R43" s="5" t="inlineStr">
        <is>
          <t>skilled</t>
        </is>
      </c>
      <c r="S43" s="5" t="n">
        <v>1</v>
      </c>
      <c r="T43" s="5" t="inlineStr">
        <is>
          <t>none</t>
        </is>
      </c>
      <c r="U43" s="5" t="inlineStr">
        <is>
          <t>yes</t>
        </is>
      </c>
      <c r="V43" s="5" t="inlineStr">
        <is>
          <t>bad</t>
        </is>
      </c>
    </row>
    <row r="44">
      <c r="A44" s="5" t="n">
        <v>39</v>
      </c>
      <c r="B44" s="5" t="inlineStr">
        <is>
          <t>&gt;=200</t>
        </is>
      </c>
      <c r="C44" s="5" t="n">
        <v>10</v>
      </c>
      <c r="D44" s="5" t="inlineStr">
        <is>
          <t>existing paid</t>
        </is>
      </c>
      <c r="E44" s="5" t="inlineStr">
        <is>
          <t>domestic appliance</t>
        </is>
      </c>
      <c r="F44" s="5" t="n">
        <v>1225</v>
      </c>
      <c r="G44" s="5" t="inlineStr">
        <is>
          <t>&lt;100</t>
        </is>
      </c>
      <c r="H44" s="5" t="inlineStr">
        <is>
          <t>1&lt;=X&lt;4</t>
        </is>
      </c>
      <c r="I44" s="5" t="n">
        <v>2</v>
      </c>
      <c r="J44" s="5" t="inlineStr">
        <is>
          <t>male single</t>
        </is>
      </c>
      <c r="K44" s="5" t="inlineStr">
        <is>
          <t>none</t>
        </is>
      </c>
      <c r="L44" s="5" t="n">
        <v>2</v>
      </c>
      <c r="M44" s="5" t="inlineStr">
        <is>
          <t>car</t>
        </is>
      </c>
      <c r="N44" s="5" t="n">
        <v>37</v>
      </c>
      <c r="O44" s="5" t="inlineStr">
        <is>
          <t>none</t>
        </is>
      </c>
      <c r="P44" s="5" t="inlineStr">
        <is>
          <t>own</t>
        </is>
      </c>
      <c r="Q44" s="5" t="n">
        <v>1</v>
      </c>
      <c r="R44" s="5" t="inlineStr">
        <is>
          <t>skilled</t>
        </is>
      </c>
      <c r="S44" s="5" t="n">
        <v>1</v>
      </c>
      <c r="T44" s="5" t="inlineStr">
        <is>
          <t>yes</t>
        </is>
      </c>
      <c r="U44" s="5" t="inlineStr">
        <is>
          <t>yes</t>
        </is>
      </c>
      <c r="V44" s="5" t="inlineStr">
        <is>
          <t>good</t>
        </is>
      </c>
    </row>
    <row r="45">
      <c r="A45" s="5" t="n">
        <v>40</v>
      </c>
      <c r="B45" s="5" t="inlineStr">
        <is>
          <t>0&lt;=X&lt;200</t>
        </is>
      </c>
      <c r="C45" s="5" t="n">
        <v>9</v>
      </c>
      <c r="D45" s="5" t="inlineStr">
        <is>
          <t>existing paid</t>
        </is>
      </c>
      <c r="E45" s="5" t="inlineStr">
        <is>
          <t>radio/tv</t>
        </is>
      </c>
      <c r="F45" s="5" t="n">
        <v>458</v>
      </c>
      <c r="G45" s="5" t="inlineStr">
        <is>
          <t>&lt;100</t>
        </is>
      </c>
      <c r="H45" s="5" t="inlineStr">
        <is>
          <t>1&lt;=X&lt;4</t>
        </is>
      </c>
      <c r="I45" s="5" t="n">
        <v>4</v>
      </c>
      <c r="J45" s="5" t="inlineStr">
        <is>
          <t>male single</t>
        </is>
      </c>
      <c r="K45" s="5" t="inlineStr">
        <is>
          <t>none</t>
        </is>
      </c>
      <c r="L45" s="5" t="n">
        <v>3</v>
      </c>
      <c r="M45" s="5" t="inlineStr">
        <is>
          <t>real estate</t>
        </is>
      </c>
      <c r="N45" s="5" t="n">
        <v>24</v>
      </c>
      <c r="O45" s="5" t="inlineStr">
        <is>
          <t>none</t>
        </is>
      </c>
      <c r="P45" s="5" t="inlineStr">
        <is>
          <t>own</t>
        </is>
      </c>
      <c r="Q45" s="5" t="n">
        <v>1</v>
      </c>
      <c r="R45" s="5" t="inlineStr">
        <is>
          <t>skilled</t>
        </is>
      </c>
      <c r="S45" s="5" t="n">
        <v>1</v>
      </c>
      <c r="T45" s="5" t="inlineStr">
        <is>
          <t>none</t>
        </is>
      </c>
      <c r="U45" s="5" t="inlineStr">
        <is>
          <t>yes</t>
        </is>
      </c>
      <c r="V45" s="5" t="inlineStr">
        <is>
          <t>good</t>
        </is>
      </c>
    </row>
    <row r="46">
      <c r="A46" s="5" t="n">
        <v>41</v>
      </c>
      <c r="B46" s="5" t="inlineStr">
        <is>
          <t>no checking</t>
        </is>
      </c>
      <c r="C46" s="5" t="n">
        <v>30</v>
      </c>
      <c r="D46" s="5" t="inlineStr">
        <is>
          <t>existing paid</t>
        </is>
      </c>
      <c r="E46" s="5" t="inlineStr">
        <is>
          <t>radio/tv</t>
        </is>
      </c>
      <c r="F46" s="5" t="n">
        <v>2333</v>
      </c>
      <c r="G46" s="5" t="inlineStr">
        <is>
          <t>500&lt;=X&lt;1000</t>
        </is>
      </c>
      <c r="H46" s="5" t="inlineStr">
        <is>
          <t>&gt;=7</t>
        </is>
      </c>
      <c r="I46" s="5" t="n">
        <v>4</v>
      </c>
      <c r="J46" s="5" t="inlineStr">
        <is>
          <t>male single</t>
        </is>
      </c>
      <c r="K46" s="5" t="inlineStr">
        <is>
          <t>none</t>
        </is>
      </c>
      <c r="L46" s="5" t="n">
        <v>2</v>
      </c>
      <c r="M46" s="5" t="inlineStr">
        <is>
          <t>car</t>
        </is>
      </c>
      <c r="N46" s="5" t="n">
        <v>30</v>
      </c>
      <c r="O46" s="5" t="inlineStr">
        <is>
          <t>bank</t>
        </is>
      </c>
      <c r="P46" s="5" t="inlineStr">
        <is>
          <t>own</t>
        </is>
      </c>
      <c r="Q46" s="5" t="n">
        <v>1</v>
      </c>
      <c r="R46" s="5" t="inlineStr">
        <is>
          <t>high qualif/self emp/mgmt</t>
        </is>
      </c>
      <c r="S46" s="5" t="n">
        <v>1</v>
      </c>
      <c r="T46" s="5" t="inlineStr">
        <is>
          <t>none</t>
        </is>
      </c>
      <c r="U46" s="5" t="inlineStr">
        <is>
          <t>yes</t>
        </is>
      </c>
      <c r="V46" s="5" t="inlineStr">
        <is>
          <t>good</t>
        </is>
      </c>
    </row>
    <row r="47">
      <c r="A47" s="5" t="n">
        <v>42</v>
      </c>
      <c r="B47" s="5" t="inlineStr">
        <is>
          <t>0&lt;=X&lt;200</t>
        </is>
      </c>
      <c r="C47" s="5" t="n">
        <v>12</v>
      </c>
      <c r="D47" s="5" t="inlineStr">
        <is>
          <t>existing paid</t>
        </is>
      </c>
      <c r="E47" s="5" t="inlineStr">
        <is>
          <t>radio/tv</t>
        </is>
      </c>
      <c r="F47" s="5" t="n">
        <v>1158</v>
      </c>
      <c r="G47" s="5" t="inlineStr">
        <is>
          <t>500&lt;=X&lt;1000</t>
        </is>
      </c>
      <c r="H47" s="5" t="inlineStr">
        <is>
          <t>1&lt;=X&lt;4</t>
        </is>
      </c>
      <c r="I47" s="5" t="n">
        <v>3</v>
      </c>
      <c r="J47" s="5" t="inlineStr">
        <is>
          <t>male div/sep</t>
        </is>
      </c>
      <c r="K47" s="5" t="inlineStr">
        <is>
          <t>none</t>
        </is>
      </c>
      <c r="L47" s="5" t="n">
        <v>1</v>
      </c>
      <c r="M47" s="5" t="inlineStr">
        <is>
          <t>car</t>
        </is>
      </c>
      <c r="N47" s="5" t="n">
        <v>26</v>
      </c>
      <c r="O47" s="5" t="inlineStr">
        <is>
          <t>none</t>
        </is>
      </c>
      <c r="P47" s="5" t="inlineStr">
        <is>
          <t>own</t>
        </is>
      </c>
      <c r="Q47" s="5" t="n">
        <v>1</v>
      </c>
      <c r="R47" s="5" t="inlineStr">
        <is>
          <t>skilled</t>
        </is>
      </c>
      <c r="S47" s="5" t="n">
        <v>1</v>
      </c>
      <c r="T47" s="5" t="inlineStr">
        <is>
          <t>yes</t>
        </is>
      </c>
      <c r="U47" s="5" t="inlineStr">
        <is>
          <t>yes</t>
        </is>
      </c>
      <c r="V47" s="5" t="inlineStr">
        <is>
          <t>good</t>
        </is>
      </c>
    </row>
    <row r="48">
      <c r="A48" s="5" t="n">
        <v>43</v>
      </c>
      <c r="B48" s="5" t="inlineStr">
        <is>
          <t>0&lt;=X&lt;200</t>
        </is>
      </c>
      <c r="C48" s="5" t="n">
        <v>18</v>
      </c>
      <c r="D48" s="5" t="inlineStr">
        <is>
          <t>delayed previously</t>
        </is>
      </c>
      <c r="E48" s="5" t="inlineStr">
        <is>
          <t>repairs</t>
        </is>
      </c>
      <c r="F48" s="5" t="n">
        <v>6204</v>
      </c>
      <c r="G48" s="5" t="inlineStr">
        <is>
          <t>&lt;100</t>
        </is>
      </c>
      <c r="H48" s="5" t="inlineStr">
        <is>
          <t>1&lt;=X&lt;4</t>
        </is>
      </c>
      <c r="I48" s="5" t="n">
        <v>2</v>
      </c>
      <c r="J48" s="5" t="inlineStr">
        <is>
          <t>male single</t>
        </is>
      </c>
      <c r="K48" s="5" t="inlineStr">
        <is>
          <t>none</t>
        </is>
      </c>
      <c r="L48" s="5" t="n">
        <v>4</v>
      </c>
      <c r="M48" s="5" t="inlineStr">
        <is>
          <t>real estate</t>
        </is>
      </c>
      <c r="N48" s="5" t="n">
        <v>44</v>
      </c>
      <c r="O48" s="5" t="inlineStr">
        <is>
          <t>none</t>
        </is>
      </c>
      <c r="P48" s="5" t="inlineStr">
        <is>
          <t>own</t>
        </is>
      </c>
      <c r="Q48" s="5" t="n">
        <v>1</v>
      </c>
      <c r="R48" s="5" t="inlineStr">
        <is>
          <t>unskilled resident</t>
        </is>
      </c>
      <c r="S48" s="5" t="n">
        <v>2</v>
      </c>
      <c r="T48" s="5" t="inlineStr">
        <is>
          <t>yes</t>
        </is>
      </c>
      <c r="U48" s="5" t="inlineStr">
        <is>
          <t>yes</t>
        </is>
      </c>
      <c r="V48" s="5" t="inlineStr">
        <is>
          <t>good</t>
        </is>
      </c>
    </row>
    <row r="49">
      <c r="A49" s="5" t="n">
        <v>44</v>
      </c>
      <c r="B49" s="5" t="inlineStr">
        <is>
          <t>&lt;0</t>
        </is>
      </c>
      <c r="C49" s="5" t="n">
        <v>30</v>
      </c>
      <c r="D49" s="5" t="inlineStr">
        <is>
          <t>critical/other existing credit</t>
        </is>
      </c>
      <c r="E49" s="5" t="inlineStr">
        <is>
          <t>used car</t>
        </is>
      </c>
      <c r="F49" s="5" t="n">
        <v>6187</v>
      </c>
      <c r="G49" s="5" t="inlineStr">
        <is>
          <t>100&lt;=X&lt;500</t>
        </is>
      </c>
      <c r="H49" s="5" t="inlineStr">
        <is>
          <t>4&lt;=X&lt;7</t>
        </is>
      </c>
      <c r="I49" s="5" t="n">
        <v>1</v>
      </c>
      <c r="J49" s="5" t="inlineStr">
        <is>
          <t>male mar/wid</t>
        </is>
      </c>
      <c r="K49" s="5" t="inlineStr">
        <is>
          <t>none</t>
        </is>
      </c>
      <c r="L49" s="5" t="n">
        <v>4</v>
      </c>
      <c r="M49" s="5" t="inlineStr">
        <is>
          <t>car</t>
        </is>
      </c>
      <c r="N49" s="5" t="n">
        <v>24</v>
      </c>
      <c r="O49" s="5" t="inlineStr">
        <is>
          <t>none</t>
        </is>
      </c>
      <c r="P49" s="5" t="inlineStr">
        <is>
          <t>rent</t>
        </is>
      </c>
      <c r="Q49" s="5" t="n">
        <v>2</v>
      </c>
      <c r="R49" s="5" t="inlineStr">
        <is>
          <t>skilled</t>
        </is>
      </c>
      <c r="S49" s="5" t="n">
        <v>1</v>
      </c>
      <c r="T49" s="5" t="inlineStr">
        <is>
          <t>none</t>
        </is>
      </c>
      <c r="U49" s="5" t="inlineStr">
        <is>
          <t>yes</t>
        </is>
      </c>
      <c r="V49" s="5" t="inlineStr">
        <is>
          <t>good</t>
        </is>
      </c>
    </row>
    <row r="50">
      <c r="A50" s="5" t="n">
        <v>45</v>
      </c>
      <c r="B50" s="5" t="inlineStr">
        <is>
          <t>&lt;0</t>
        </is>
      </c>
      <c r="C50" s="5" t="n">
        <v>48</v>
      </c>
      <c r="D50" s="5" t="inlineStr">
        <is>
          <t>critical/other existing credit</t>
        </is>
      </c>
      <c r="E50" s="5" t="inlineStr">
        <is>
          <t>used car</t>
        </is>
      </c>
      <c r="F50" s="5" t="n">
        <v>6143</v>
      </c>
      <c r="G50" s="5" t="inlineStr">
        <is>
          <t>&lt;100</t>
        </is>
      </c>
      <c r="H50" s="5" t="inlineStr">
        <is>
          <t>&gt;=7</t>
        </is>
      </c>
      <c r="I50" s="5" t="n">
        <v>4</v>
      </c>
      <c r="J50" s="5" t="inlineStr">
        <is>
          <t>female div/dep/mar</t>
        </is>
      </c>
      <c r="K50" s="5" t="inlineStr">
        <is>
          <t>none</t>
        </is>
      </c>
      <c r="L50" s="5" t="n">
        <v>4</v>
      </c>
      <c r="M50" s="5" t="inlineStr">
        <is>
          <t>no known property</t>
        </is>
      </c>
      <c r="N50" s="5" t="n">
        <v>58</v>
      </c>
      <c r="O50" s="5" t="inlineStr">
        <is>
          <t>stores</t>
        </is>
      </c>
      <c r="P50" s="5" t="inlineStr">
        <is>
          <t>for free</t>
        </is>
      </c>
      <c r="Q50" s="5" t="n">
        <v>2</v>
      </c>
      <c r="R50" s="5" t="inlineStr">
        <is>
          <t>unskilled resident</t>
        </is>
      </c>
      <c r="S50" s="5" t="n">
        <v>1</v>
      </c>
      <c r="T50" s="5" t="inlineStr">
        <is>
          <t>none</t>
        </is>
      </c>
      <c r="U50" s="5" t="inlineStr">
        <is>
          <t>yes</t>
        </is>
      </c>
      <c r="V50" s="5" t="inlineStr">
        <is>
          <t>bad</t>
        </is>
      </c>
    </row>
    <row r="51">
      <c r="A51" s="5" t="n">
        <v>46</v>
      </c>
      <c r="B51" s="5" t="inlineStr">
        <is>
          <t>no checking</t>
        </is>
      </c>
      <c r="C51" s="5" t="n">
        <v>11</v>
      </c>
      <c r="D51" s="5" t="inlineStr">
        <is>
          <t>critical/other existing credit</t>
        </is>
      </c>
      <c r="E51" s="5" t="inlineStr">
        <is>
          <t>new car</t>
        </is>
      </c>
      <c r="F51" s="5" t="n">
        <v>1393</v>
      </c>
      <c r="G51" s="5" t="inlineStr">
        <is>
          <t>&lt;100</t>
        </is>
      </c>
      <c r="H51" s="5" t="inlineStr">
        <is>
          <t>&lt;1</t>
        </is>
      </c>
      <c r="I51" s="5" t="n">
        <v>4</v>
      </c>
      <c r="J51" s="5" t="inlineStr">
        <is>
          <t>female div/dep/mar</t>
        </is>
      </c>
      <c r="K51" s="5" t="inlineStr">
        <is>
          <t>none</t>
        </is>
      </c>
      <c r="L51" s="5" t="n">
        <v>4</v>
      </c>
      <c r="M51" s="5" t="inlineStr">
        <is>
          <t>car</t>
        </is>
      </c>
      <c r="N51" s="5" t="n">
        <v>35</v>
      </c>
      <c r="O51" s="5" t="inlineStr">
        <is>
          <t>none</t>
        </is>
      </c>
      <c r="P51" s="5" t="inlineStr">
        <is>
          <t>own</t>
        </is>
      </c>
      <c r="Q51" s="5" t="n">
        <v>2</v>
      </c>
      <c r="R51" s="5" t="inlineStr">
        <is>
          <t>high qualif/self emp/mgmt</t>
        </is>
      </c>
      <c r="S51" s="5" t="n">
        <v>1</v>
      </c>
      <c r="T51" s="5" t="inlineStr">
        <is>
          <t>none</t>
        </is>
      </c>
      <c r="U51" s="5" t="inlineStr">
        <is>
          <t>yes</t>
        </is>
      </c>
      <c r="V51" s="5" t="inlineStr">
        <is>
          <t>good</t>
        </is>
      </c>
    </row>
    <row r="52">
      <c r="A52" s="5" t="n">
        <v>47</v>
      </c>
      <c r="B52" s="5" t="inlineStr">
        <is>
          <t>no checking</t>
        </is>
      </c>
      <c r="C52" s="5" t="n">
        <v>36</v>
      </c>
      <c r="D52" s="5" t="inlineStr">
        <is>
          <t>existing paid</t>
        </is>
      </c>
      <c r="E52" s="5" t="inlineStr">
        <is>
          <t>radio/tv</t>
        </is>
      </c>
      <c r="F52" s="5" t="n">
        <v>2299</v>
      </c>
      <c r="G52" s="5" t="inlineStr">
        <is>
          <t>500&lt;=X&lt;1000</t>
        </is>
      </c>
      <c r="H52" s="5" t="inlineStr">
        <is>
          <t>&gt;=7</t>
        </is>
      </c>
      <c r="I52" s="5" t="n">
        <v>4</v>
      </c>
      <c r="J52" s="5" t="inlineStr">
        <is>
          <t>male single</t>
        </is>
      </c>
      <c r="K52" s="5" t="inlineStr">
        <is>
          <t>none</t>
        </is>
      </c>
      <c r="L52" s="5" t="n">
        <v>4</v>
      </c>
      <c r="M52" s="5" t="inlineStr">
        <is>
          <t>car</t>
        </is>
      </c>
      <c r="N52" s="5" t="n">
        <v>39</v>
      </c>
      <c r="O52" s="5" t="inlineStr">
        <is>
          <t>none</t>
        </is>
      </c>
      <c r="P52" s="5" t="inlineStr">
        <is>
          <t>own</t>
        </is>
      </c>
      <c r="Q52" s="5" t="n">
        <v>1</v>
      </c>
      <c r="R52" s="5" t="inlineStr">
        <is>
          <t>skilled</t>
        </is>
      </c>
      <c r="S52" s="5" t="n">
        <v>1</v>
      </c>
      <c r="T52" s="5" t="inlineStr">
        <is>
          <t>none</t>
        </is>
      </c>
      <c r="U52" s="5" t="inlineStr">
        <is>
          <t>yes</t>
        </is>
      </c>
      <c r="V52" s="5" t="inlineStr">
        <is>
          <t>good</t>
        </is>
      </c>
    </row>
    <row r="53">
      <c r="A53" s="5" t="n">
        <v>48</v>
      </c>
      <c r="B53" s="5" t="inlineStr">
        <is>
          <t>&lt;0</t>
        </is>
      </c>
      <c r="C53" s="5" t="n">
        <v>6</v>
      </c>
      <c r="D53" s="5" t="inlineStr">
        <is>
          <t>existing paid</t>
        </is>
      </c>
      <c r="E53" s="5" t="inlineStr">
        <is>
          <t>used car</t>
        </is>
      </c>
      <c r="F53" s="5" t="n">
        <v>1352</v>
      </c>
      <c r="G53" s="5" t="inlineStr">
        <is>
          <t>500&lt;=X&lt;1000</t>
        </is>
      </c>
      <c r="H53" s="5" t="inlineStr">
        <is>
          <t>unemployed</t>
        </is>
      </c>
      <c r="I53" s="5" t="n">
        <v>1</v>
      </c>
      <c r="J53" s="5" t="inlineStr">
        <is>
          <t>female div/dep/mar</t>
        </is>
      </c>
      <c r="K53" s="5" t="inlineStr">
        <is>
          <t>none</t>
        </is>
      </c>
      <c r="L53" s="5" t="n">
        <v>2</v>
      </c>
      <c r="M53" s="5" t="inlineStr">
        <is>
          <t>life insurance</t>
        </is>
      </c>
      <c r="N53" s="5" t="n">
        <v>23</v>
      </c>
      <c r="O53" s="5" t="inlineStr">
        <is>
          <t>none</t>
        </is>
      </c>
      <c r="P53" s="5" t="inlineStr">
        <is>
          <t>rent</t>
        </is>
      </c>
      <c r="Q53" s="5" t="n">
        <v>1</v>
      </c>
      <c r="R53" s="5" t="inlineStr">
        <is>
          <t>unemp/unskilled non res</t>
        </is>
      </c>
      <c r="S53" s="5" t="n">
        <v>1</v>
      </c>
      <c r="T53" s="5" t="inlineStr">
        <is>
          <t>yes</t>
        </is>
      </c>
      <c r="U53" s="5" t="inlineStr">
        <is>
          <t>yes</t>
        </is>
      </c>
      <c r="V53" s="5" t="inlineStr">
        <is>
          <t>good</t>
        </is>
      </c>
    </row>
    <row r="54">
      <c r="A54" s="5" t="n">
        <v>49</v>
      </c>
      <c r="B54" s="5" t="inlineStr">
        <is>
          <t>no checking</t>
        </is>
      </c>
      <c r="C54" s="5" t="n">
        <v>11</v>
      </c>
      <c r="D54" s="5" t="inlineStr">
        <is>
          <t>critical/other existing credit</t>
        </is>
      </c>
      <c r="E54" s="5" t="inlineStr">
        <is>
          <t>new car</t>
        </is>
      </c>
      <c r="F54" s="5" t="n">
        <v>7228</v>
      </c>
      <c r="G54" s="5" t="inlineStr">
        <is>
          <t>&lt;100</t>
        </is>
      </c>
      <c r="H54" s="5" t="inlineStr">
        <is>
          <t>1&lt;=X&lt;4</t>
        </is>
      </c>
      <c r="I54" s="5" t="n">
        <v>1</v>
      </c>
      <c r="J54" s="5" t="inlineStr">
        <is>
          <t>male single</t>
        </is>
      </c>
      <c r="K54" s="5" t="inlineStr">
        <is>
          <t>none</t>
        </is>
      </c>
      <c r="L54" s="5" t="n">
        <v>4</v>
      </c>
      <c r="M54" s="5" t="inlineStr">
        <is>
          <t>life insurance</t>
        </is>
      </c>
      <c r="N54" s="5" t="n">
        <v>39</v>
      </c>
      <c r="O54" s="5" t="inlineStr">
        <is>
          <t>none</t>
        </is>
      </c>
      <c r="P54" s="5" t="inlineStr">
        <is>
          <t>own</t>
        </is>
      </c>
      <c r="Q54" s="5" t="n">
        <v>2</v>
      </c>
      <c r="R54" s="5" t="inlineStr">
        <is>
          <t>unskilled resident</t>
        </is>
      </c>
      <c r="S54" s="5" t="n">
        <v>1</v>
      </c>
      <c r="T54" s="5" t="inlineStr">
        <is>
          <t>none</t>
        </is>
      </c>
      <c r="U54" s="5" t="inlineStr">
        <is>
          <t>yes</t>
        </is>
      </c>
      <c r="V54" s="5" t="inlineStr">
        <is>
          <t>good</t>
        </is>
      </c>
    </row>
    <row r="55">
      <c r="A55" s="5" t="n">
        <v>50</v>
      </c>
      <c r="B55" s="5" t="inlineStr">
        <is>
          <t>no checking</t>
        </is>
      </c>
      <c r="C55" s="5" t="n">
        <v>12</v>
      </c>
      <c r="D55" s="5" t="inlineStr">
        <is>
          <t>existing paid</t>
        </is>
      </c>
      <c r="E55" s="5" t="inlineStr">
        <is>
          <t>radio/tv</t>
        </is>
      </c>
      <c r="F55" s="5" t="n">
        <v>2073</v>
      </c>
      <c r="G55" s="5" t="inlineStr">
        <is>
          <t>100&lt;=X&lt;500</t>
        </is>
      </c>
      <c r="H55" s="5" t="inlineStr">
        <is>
          <t>1&lt;=X&lt;4</t>
        </is>
      </c>
      <c r="I55" s="5" t="n">
        <v>4</v>
      </c>
      <c r="J55" s="5" t="inlineStr">
        <is>
          <t>female div/dep/mar</t>
        </is>
      </c>
      <c r="K55" s="5" t="inlineStr">
        <is>
          <t>co applicant</t>
        </is>
      </c>
      <c r="L55" s="5" t="n">
        <v>2</v>
      </c>
      <c r="M55" s="5" t="inlineStr">
        <is>
          <t>real estate</t>
        </is>
      </c>
      <c r="N55" s="5" t="n">
        <v>28</v>
      </c>
      <c r="O55" s="5" t="inlineStr">
        <is>
          <t>none</t>
        </is>
      </c>
      <c r="P55" s="5" t="inlineStr">
        <is>
          <t>own</t>
        </is>
      </c>
      <c r="Q55" s="5" t="n">
        <v>1</v>
      </c>
      <c r="R55" s="5" t="inlineStr">
        <is>
          <t>skilled</t>
        </is>
      </c>
      <c r="S55" s="5" t="n">
        <v>1</v>
      </c>
      <c r="T55" s="5" t="inlineStr">
        <is>
          <t>none</t>
        </is>
      </c>
      <c r="U55" s="5" t="inlineStr">
        <is>
          <t>yes</t>
        </is>
      </c>
      <c r="V55" s="5" t="inlineStr">
        <is>
          <t>good</t>
        </is>
      </c>
    </row>
    <row r="56">
      <c r="A56" s="5" t="n">
        <v>51</v>
      </c>
      <c r="B56" s="5" t="inlineStr">
        <is>
          <t>0&lt;=X&lt;200</t>
        </is>
      </c>
      <c r="C56" s="5" t="n">
        <v>24</v>
      </c>
      <c r="D56" s="5" t="inlineStr">
        <is>
          <t>delayed previously</t>
        </is>
      </c>
      <c r="E56" s="5" t="inlineStr">
        <is>
          <t>furniture/equipment</t>
        </is>
      </c>
      <c r="F56" s="5" t="n">
        <v>2333</v>
      </c>
      <c r="G56" s="5" t="inlineStr">
        <is>
          <t>no known savings</t>
        </is>
      </c>
      <c r="H56" s="5" t="inlineStr">
        <is>
          <t>&lt;1</t>
        </is>
      </c>
      <c r="I56" s="5" t="n">
        <v>4</v>
      </c>
      <c r="J56" s="5" t="inlineStr">
        <is>
          <t>male single</t>
        </is>
      </c>
      <c r="K56" s="5" t="inlineStr">
        <is>
          <t>none</t>
        </is>
      </c>
      <c r="L56" s="5" t="n">
        <v>2</v>
      </c>
      <c r="M56" s="5" t="inlineStr">
        <is>
          <t>life insurance</t>
        </is>
      </c>
      <c r="N56" s="5" t="n">
        <v>29</v>
      </c>
      <c r="O56" s="5" t="inlineStr">
        <is>
          <t>bank</t>
        </is>
      </c>
      <c r="P56" s="5" t="inlineStr">
        <is>
          <t>own</t>
        </is>
      </c>
      <c r="Q56" s="5" t="n">
        <v>1</v>
      </c>
      <c r="R56" s="5" t="inlineStr">
        <is>
          <t>unskilled resident</t>
        </is>
      </c>
      <c r="S56" s="5" t="n">
        <v>1</v>
      </c>
      <c r="T56" s="5" t="inlineStr">
        <is>
          <t>none</t>
        </is>
      </c>
      <c r="U56" s="5" t="inlineStr">
        <is>
          <t>yes</t>
        </is>
      </c>
      <c r="V56" s="5" t="inlineStr">
        <is>
          <t>good</t>
        </is>
      </c>
    </row>
    <row r="57">
      <c r="A57" s="5" t="n">
        <v>52</v>
      </c>
      <c r="B57" s="5" t="inlineStr">
        <is>
          <t>0&lt;=X&lt;200</t>
        </is>
      </c>
      <c r="C57" s="5" t="n">
        <v>27</v>
      </c>
      <c r="D57" s="5" t="inlineStr">
        <is>
          <t>delayed previously</t>
        </is>
      </c>
      <c r="E57" s="5" t="inlineStr">
        <is>
          <t>used car</t>
        </is>
      </c>
      <c r="F57" s="5" t="n">
        <v>5965</v>
      </c>
      <c r="G57" s="5" t="inlineStr">
        <is>
          <t>&lt;100</t>
        </is>
      </c>
      <c r="H57" s="5" t="inlineStr">
        <is>
          <t>&gt;=7</t>
        </is>
      </c>
      <c r="I57" s="5" t="n">
        <v>1</v>
      </c>
      <c r="J57" s="5" t="inlineStr">
        <is>
          <t>male single</t>
        </is>
      </c>
      <c r="K57" s="5" t="inlineStr">
        <is>
          <t>none</t>
        </is>
      </c>
      <c r="L57" s="5" t="n">
        <v>2</v>
      </c>
      <c r="M57" s="5" t="inlineStr">
        <is>
          <t>car</t>
        </is>
      </c>
      <c r="N57" s="5" t="n">
        <v>30</v>
      </c>
      <c r="O57" s="5" t="inlineStr">
        <is>
          <t>none</t>
        </is>
      </c>
      <c r="P57" s="5" t="inlineStr">
        <is>
          <t>own</t>
        </is>
      </c>
      <c r="Q57" s="5" t="n">
        <v>2</v>
      </c>
      <c r="R57" s="5" t="inlineStr">
        <is>
          <t>high qualif/self emp/mgmt</t>
        </is>
      </c>
      <c r="S57" s="5" t="n">
        <v>1</v>
      </c>
      <c r="T57" s="5" t="inlineStr">
        <is>
          <t>yes</t>
        </is>
      </c>
      <c r="U57" s="5" t="inlineStr">
        <is>
          <t>yes</t>
        </is>
      </c>
      <c r="V57" s="5" t="inlineStr">
        <is>
          <t>good</t>
        </is>
      </c>
    </row>
    <row r="58">
      <c r="A58" s="5" t="n">
        <v>53</v>
      </c>
      <c r="B58" s="5" t="inlineStr">
        <is>
          <t>no checking</t>
        </is>
      </c>
      <c r="C58" s="5" t="n">
        <v>12</v>
      </c>
      <c r="D58" s="5" t="inlineStr">
        <is>
          <t>existing paid</t>
        </is>
      </c>
      <c r="E58" s="5" t="inlineStr">
        <is>
          <t>radio/tv</t>
        </is>
      </c>
      <c r="F58" s="5" t="n">
        <v>1262</v>
      </c>
      <c r="G58" s="5" t="inlineStr">
        <is>
          <t>&lt;100</t>
        </is>
      </c>
      <c r="H58" s="5" t="inlineStr">
        <is>
          <t>1&lt;=X&lt;4</t>
        </is>
      </c>
      <c r="I58" s="5" t="n">
        <v>3</v>
      </c>
      <c r="J58" s="5" t="inlineStr">
        <is>
          <t>male single</t>
        </is>
      </c>
      <c r="K58" s="5" t="inlineStr">
        <is>
          <t>none</t>
        </is>
      </c>
      <c r="L58" s="5" t="n">
        <v>2</v>
      </c>
      <c r="M58" s="5" t="inlineStr">
        <is>
          <t>car</t>
        </is>
      </c>
      <c r="N58" s="5" t="n">
        <v>25</v>
      </c>
      <c r="O58" s="5" t="inlineStr">
        <is>
          <t>none</t>
        </is>
      </c>
      <c r="P58" s="5" t="inlineStr">
        <is>
          <t>own</t>
        </is>
      </c>
      <c r="Q58" s="5" t="n">
        <v>1</v>
      </c>
      <c r="R58" s="5" t="inlineStr">
        <is>
          <t>skilled</t>
        </is>
      </c>
      <c r="S58" s="5" t="n">
        <v>1</v>
      </c>
      <c r="T58" s="5" t="inlineStr">
        <is>
          <t>none</t>
        </is>
      </c>
      <c r="U58" s="5" t="inlineStr">
        <is>
          <t>yes</t>
        </is>
      </c>
      <c r="V58" s="5" t="inlineStr">
        <is>
          <t>good</t>
        </is>
      </c>
    </row>
    <row r="59">
      <c r="A59" s="5" t="n">
        <v>54</v>
      </c>
      <c r="B59" s="5" t="inlineStr">
        <is>
          <t>no checking</t>
        </is>
      </c>
      <c r="C59" s="5" t="n">
        <v>18</v>
      </c>
      <c r="D59" s="5" t="inlineStr">
        <is>
          <t>existing paid</t>
        </is>
      </c>
      <c r="E59" s="5" t="inlineStr">
        <is>
          <t>used car</t>
        </is>
      </c>
      <c r="F59" s="5" t="n">
        <v>3378</v>
      </c>
      <c r="G59" s="5" t="inlineStr">
        <is>
          <t>no known savings</t>
        </is>
      </c>
      <c r="H59" s="5" t="inlineStr">
        <is>
          <t>1&lt;=X&lt;4</t>
        </is>
      </c>
      <c r="I59" s="5" t="n">
        <v>2</v>
      </c>
      <c r="J59" s="5" t="inlineStr">
        <is>
          <t>male single</t>
        </is>
      </c>
      <c r="K59" s="5" t="inlineStr">
        <is>
          <t>none</t>
        </is>
      </c>
      <c r="L59" s="5" t="n">
        <v>1</v>
      </c>
      <c r="M59" s="5" t="inlineStr">
        <is>
          <t>life insurance</t>
        </is>
      </c>
      <c r="N59" s="5" t="n">
        <v>31</v>
      </c>
      <c r="O59" s="5" t="inlineStr">
        <is>
          <t>none</t>
        </is>
      </c>
      <c r="P59" s="5" t="inlineStr">
        <is>
          <t>own</t>
        </is>
      </c>
      <c r="Q59" s="5" t="n">
        <v>1</v>
      </c>
      <c r="R59" s="5" t="inlineStr">
        <is>
          <t>skilled</t>
        </is>
      </c>
      <c r="S59" s="5" t="n">
        <v>1</v>
      </c>
      <c r="T59" s="5" t="inlineStr">
        <is>
          <t>yes</t>
        </is>
      </c>
      <c r="U59" s="5" t="inlineStr">
        <is>
          <t>yes</t>
        </is>
      </c>
      <c r="V59" s="5" t="inlineStr">
        <is>
          <t>good</t>
        </is>
      </c>
    </row>
    <row r="60">
      <c r="A60" s="5" t="n">
        <v>55</v>
      </c>
      <c r="B60" s="5" t="inlineStr">
        <is>
          <t>0&lt;=X&lt;200</t>
        </is>
      </c>
      <c r="C60" s="5" t="n">
        <v>36</v>
      </c>
      <c r="D60" s="5" t="inlineStr">
        <is>
          <t>delayed previously</t>
        </is>
      </c>
      <c r="E60" s="5" t="inlineStr">
        <is>
          <t>new car</t>
        </is>
      </c>
      <c r="F60" s="5" t="n">
        <v>2225</v>
      </c>
      <c r="G60" s="5" t="inlineStr">
        <is>
          <t>&lt;100</t>
        </is>
      </c>
      <c r="H60" s="5" t="inlineStr">
        <is>
          <t>&gt;=7</t>
        </is>
      </c>
      <c r="I60" s="5" t="n">
        <v>4</v>
      </c>
      <c r="J60" s="5" t="inlineStr">
        <is>
          <t>male single</t>
        </is>
      </c>
      <c r="K60" s="5" t="inlineStr">
        <is>
          <t>none</t>
        </is>
      </c>
      <c r="L60" s="5" t="n">
        <v>4</v>
      </c>
      <c r="M60" s="5" t="inlineStr">
        <is>
          <t>no known property</t>
        </is>
      </c>
      <c r="N60" s="5" t="n">
        <v>57</v>
      </c>
      <c r="O60" s="5" t="inlineStr">
        <is>
          <t>bank</t>
        </is>
      </c>
      <c r="P60" s="5" t="inlineStr">
        <is>
          <t>for free</t>
        </is>
      </c>
      <c r="Q60" s="5" t="n">
        <v>2</v>
      </c>
      <c r="R60" s="5" t="inlineStr">
        <is>
          <t>skilled</t>
        </is>
      </c>
      <c r="S60" s="5" t="n">
        <v>1</v>
      </c>
      <c r="T60" s="5" t="inlineStr">
        <is>
          <t>yes</t>
        </is>
      </c>
      <c r="U60" s="5" t="inlineStr">
        <is>
          <t>yes</t>
        </is>
      </c>
      <c r="V60" s="5" t="inlineStr">
        <is>
          <t>bad</t>
        </is>
      </c>
    </row>
    <row r="61">
      <c r="A61" s="5" t="n">
        <v>56</v>
      </c>
      <c r="B61" s="5" t="inlineStr">
        <is>
          <t>no checking</t>
        </is>
      </c>
      <c r="C61" s="5" t="n">
        <v>6</v>
      </c>
      <c r="D61" s="5" t="inlineStr">
        <is>
          <t>all paid</t>
        </is>
      </c>
      <c r="E61" s="5" t="inlineStr">
        <is>
          <t>new car</t>
        </is>
      </c>
      <c r="F61" s="5" t="n">
        <v>783</v>
      </c>
      <c r="G61" s="5" t="inlineStr">
        <is>
          <t>no known savings</t>
        </is>
      </c>
      <c r="H61" s="5" t="inlineStr">
        <is>
          <t>1&lt;=X&lt;4</t>
        </is>
      </c>
      <c r="I61" s="5" t="n">
        <v>1</v>
      </c>
      <c r="J61" s="5" t="inlineStr">
        <is>
          <t>male single</t>
        </is>
      </c>
      <c r="K61" s="5" t="inlineStr">
        <is>
          <t>guarantor</t>
        </is>
      </c>
      <c r="L61" s="5" t="n">
        <v>2</v>
      </c>
      <c r="M61" s="5" t="inlineStr">
        <is>
          <t>real estate</t>
        </is>
      </c>
      <c r="N61" s="5" t="n">
        <v>26</v>
      </c>
      <c r="O61" s="5" t="inlineStr">
        <is>
          <t>stores</t>
        </is>
      </c>
      <c r="P61" s="5" t="inlineStr">
        <is>
          <t>own</t>
        </is>
      </c>
      <c r="Q61" s="5" t="n">
        <v>1</v>
      </c>
      <c r="R61" s="5" t="inlineStr">
        <is>
          <t>unskilled resident</t>
        </is>
      </c>
      <c r="S61" s="5" t="n">
        <v>2</v>
      </c>
      <c r="T61" s="5" t="inlineStr">
        <is>
          <t>none</t>
        </is>
      </c>
      <c r="U61" s="5" t="inlineStr">
        <is>
          <t>yes</t>
        </is>
      </c>
      <c r="V61" s="5" t="inlineStr">
        <is>
          <t>good</t>
        </is>
      </c>
    </row>
    <row r="62">
      <c r="A62" s="5" t="n">
        <v>57</v>
      </c>
      <c r="B62" s="5" t="inlineStr">
        <is>
          <t>0&lt;=X&lt;200</t>
        </is>
      </c>
      <c r="C62" s="5" t="n">
        <v>12</v>
      </c>
      <c r="D62" s="5" t="inlineStr">
        <is>
          <t>existing paid</t>
        </is>
      </c>
      <c r="E62" s="5" t="inlineStr">
        <is>
          <t>radio/tv</t>
        </is>
      </c>
      <c r="F62" s="5" t="n">
        <v>6468</v>
      </c>
      <c r="G62" s="5" t="inlineStr">
        <is>
          <t>no known savings</t>
        </is>
      </c>
      <c r="H62" s="5" t="inlineStr">
        <is>
          <t>unemployed</t>
        </is>
      </c>
      <c r="I62" s="5" t="n">
        <v>2</v>
      </c>
      <c r="J62" s="5" t="inlineStr">
        <is>
          <t>male single</t>
        </is>
      </c>
      <c r="K62" s="5" t="inlineStr">
        <is>
          <t>none</t>
        </is>
      </c>
      <c r="L62" s="5" t="n">
        <v>1</v>
      </c>
      <c r="M62" s="5" t="inlineStr">
        <is>
          <t>no known property</t>
        </is>
      </c>
      <c r="N62" s="5" t="n">
        <v>52</v>
      </c>
      <c r="O62" s="5" t="inlineStr">
        <is>
          <t>none</t>
        </is>
      </c>
      <c r="P62" s="5" t="inlineStr">
        <is>
          <t>own</t>
        </is>
      </c>
      <c r="Q62" s="5" t="n">
        <v>1</v>
      </c>
      <c r="R62" s="5" t="inlineStr">
        <is>
          <t>high qualif/self emp/mgmt</t>
        </is>
      </c>
      <c r="S62" s="5" t="n">
        <v>1</v>
      </c>
      <c r="T62" s="5" t="inlineStr">
        <is>
          <t>yes</t>
        </is>
      </c>
      <c r="U62" s="5" t="inlineStr">
        <is>
          <t>yes</t>
        </is>
      </c>
      <c r="V62" s="5" t="inlineStr">
        <is>
          <t>bad</t>
        </is>
      </c>
    </row>
    <row r="63">
      <c r="A63" s="5" t="n">
        <v>58</v>
      </c>
      <c r="B63" s="5" t="inlineStr">
        <is>
          <t>no checking</t>
        </is>
      </c>
      <c r="C63" s="5" t="n">
        <v>36</v>
      </c>
      <c r="D63" s="5" t="inlineStr">
        <is>
          <t>critical/other existing credit</t>
        </is>
      </c>
      <c r="E63" s="5" t="inlineStr">
        <is>
          <t>radio/tv</t>
        </is>
      </c>
      <c r="F63" s="5" t="n">
        <v>9566</v>
      </c>
      <c r="G63" s="5" t="inlineStr">
        <is>
          <t>&lt;100</t>
        </is>
      </c>
      <c r="H63" s="5" t="inlineStr">
        <is>
          <t>1&lt;=X&lt;4</t>
        </is>
      </c>
      <c r="I63" s="5" t="n">
        <v>2</v>
      </c>
      <c r="J63" s="5" t="inlineStr">
        <is>
          <t>female div/dep/mar</t>
        </is>
      </c>
      <c r="K63" s="5" t="inlineStr">
        <is>
          <t>none</t>
        </is>
      </c>
      <c r="L63" s="5" t="n">
        <v>2</v>
      </c>
      <c r="M63" s="5" t="inlineStr">
        <is>
          <t>car</t>
        </is>
      </c>
      <c r="N63" s="5" t="n">
        <v>31</v>
      </c>
      <c r="O63" s="5" t="inlineStr">
        <is>
          <t>stores</t>
        </is>
      </c>
      <c r="P63" s="5" t="inlineStr">
        <is>
          <t>own</t>
        </is>
      </c>
      <c r="Q63" s="5" t="n">
        <v>2</v>
      </c>
      <c r="R63" s="5" t="inlineStr">
        <is>
          <t>skilled</t>
        </is>
      </c>
      <c r="S63" s="5" t="n">
        <v>1</v>
      </c>
      <c r="T63" s="5" t="inlineStr">
        <is>
          <t>none</t>
        </is>
      </c>
      <c r="U63" s="5" t="inlineStr">
        <is>
          <t>yes</t>
        </is>
      </c>
      <c r="V63" s="5" t="inlineStr">
        <is>
          <t>good</t>
        </is>
      </c>
    </row>
    <row r="64">
      <c r="A64" s="5" t="n">
        <v>59</v>
      </c>
      <c r="B64" s="5" t="inlineStr">
        <is>
          <t>&gt;=200</t>
        </is>
      </c>
      <c r="C64" s="5" t="n">
        <v>18</v>
      </c>
      <c r="D64" s="5" t="inlineStr">
        <is>
          <t>existing paid</t>
        </is>
      </c>
      <c r="E64" s="5" t="inlineStr">
        <is>
          <t>new car</t>
        </is>
      </c>
      <c r="F64" s="5" t="n">
        <v>1961</v>
      </c>
      <c r="G64" s="5" t="inlineStr">
        <is>
          <t>&lt;100</t>
        </is>
      </c>
      <c r="H64" s="5" t="inlineStr">
        <is>
          <t>&gt;=7</t>
        </is>
      </c>
      <c r="I64" s="5" t="n">
        <v>3</v>
      </c>
      <c r="J64" s="5" t="inlineStr">
        <is>
          <t>female div/dep/mar</t>
        </is>
      </c>
      <c r="K64" s="5" t="inlineStr">
        <is>
          <t>none</t>
        </is>
      </c>
      <c r="L64" s="5" t="n">
        <v>2</v>
      </c>
      <c r="M64" s="5" t="inlineStr">
        <is>
          <t>car</t>
        </is>
      </c>
      <c r="N64" s="5" t="n">
        <v>23</v>
      </c>
      <c r="O64" s="5" t="inlineStr">
        <is>
          <t>none</t>
        </is>
      </c>
      <c r="P64" s="5" t="inlineStr">
        <is>
          <t>own</t>
        </is>
      </c>
      <c r="Q64" s="5" t="n">
        <v>1</v>
      </c>
      <c r="R64" s="5" t="inlineStr">
        <is>
          <t>high qualif/self emp/mgmt</t>
        </is>
      </c>
      <c r="S64" s="5" t="n">
        <v>1</v>
      </c>
      <c r="T64" s="5" t="inlineStr">
        <is>
          <t>none</t>
        </is>
      </c>
      <c r="U64" s="5" t="inlineStr">
        <is>
          <t>yes</t>
        </is>
      </c>
      <c r="V64" s="5" t="inlineStr">
        <is>
          <t>good</t>
        </is>
      </c>
    </row>
    <row r="65">
      <c r="A65" s="5" t="n">
        <v>60</v>
      </c>
      <c r="B65" s="5" t="inlineStr">
        <is>
          <t>&lt;0</t>
        </is>
      </c>
      <c r="C65" s="5" t="n">
        <v>36</v>
      </c>
      <c r="D65" s="5" t="inlineStr">
        <is>
          <t>critical/other existing credit</t>
        </is>
      </c>
      <c r="E65" s="5" t="inlineStr">
        <is>
          <t>furniture/equipment</t>
        </is>
      </c>
      <c r="F65" s="5" t="n">
        <v>6229</v>
      </c>
      <c r="G65" s="5" t="inlineStr">
        <is>
          <t>&lt;100</t>
        </is>
      </c>
      <c r="H65" s="5" t="inlineStr">
        <is>
          <t>&lt;1</t>
        </is>
      </c>
      <c r="I65" s="5" t="n">
        <v>4</v>
      </c>
      <c r="J65" s="5" t="inlineStr">
        <is>
          <t>female div/dep/mar</t>
        </is>
      </c>
      <c r="K65" s="5" t="inlineStr">
        <is>
          <t>co applicant</t>
        </is>
      </c>
      <c r="L65" s="5" t="n">
        <v>4</v>
      </c>
      <c r="M65" s="5" t="inlineStr">
        <is>
          <t>no known property</t>
        </is>
      </c>
      <c r="N65" s="5" t="n">
        <v>23</v>
      </c>
      <c r="O65" s="5" t="inlineStr">
        <is>
          <t>none</t>
        </is>
      </c>
      <c r="P65" s="5" t="inlineStr">
        <is>
          <t>rent</t>
        </is>
      </c>
      <c r="Q65" s="5" t="n">
        <v>2</v>
      </c>
      <c r="R65" s="5" t="inlineStr">
        <is>
          <t>unskilled resident</t>
        </is>
      </c>
      <c r="S65" s="5" t="n">
        <v>1</v>
      </c>
      <c r="T65" s="5" t="inlineStr">
        <is>
          <t>yes</t>
        </is>
      </c>
      <c r="U65" s="5" t="inlineStr">
        <is>
          <t>yes</t>
        </is>
      </c>
      <c r="V65" s="5" t="inlineStr">
        <is>
          <t>bad</t>
        </is>
      </c>
    </row>
    <row r="66">
      <c r="A66" s="5" t="n">
        <v>61</v>
      </c>
      <c r="B66" s="5" t="inlineStr">
        <is>
          <t>0&lt;=X&lt;200</t>
        </is>
      </c>
      <c r="C66" s="5" t="n">
        <v>9</v>
      </c>
      <c r="D66" s="5" t="inlineStr">
        <is>
          <t>existing paid</t>
        </is>
      </c>
      <c r="E66" s="5" t="inlineStr">
        <is>
          <t>business</t>
        </is>
      </c>
      <c r="F66" s="5" t="n">
        <v>1391</v>
      </c>
      <c r="G66" s="5" t="inlineStr">
        <is>
          <t>&lt;100</t>
        </is>
      </c>
      <c r="H66" s="5" t="inlineStr">
        <is>
          <t>1&lt;=X&lt;4</t>
        </is>
      </c>
      <c r="I66" s="5" t="n">
        <v>2</v>
      </c>
      <c r="J66" s="5" t="inlineStr">
        <is>
          <t>male mar/wid</t>
        </is>
      </c>
      <c r="K66" s="5" t="inlineStr">
        <is>
          <t>none</t>
        </is>
      </c>
      <c r="L66" s="5" t="n">
        <v>1</v>
      </c>
      <c r="M66" s="5" t="inlineStr">
        <is>
          <t>real estate</t>
        </is>
      </c>
      <c r="N66" s="5" t="n">
        <v>27</v>
      </c>
      <c r="O66" s="5" t="inlineStr">
        <is>
          <t>bank</t>
        </is>
      </c>
      <c r="P66" s="5" t="inlineStr">
        <is>
          <t>own</t>
        </is>
      </c>
      <c r="Q66" s="5" t="n">
        <v>1</v>
      </c>
      <c r="R66" s="5" t="inlineStr">
        <is>
          <t>skilled</t>
        </is>
      </c>
      <c r="S66" s="5" t="n">
        <v>1</v>
      </c>
      <c r="T66" s="5" t="inlineStr">
        <is>
          <t>yes</t>
        </is>
      </c>
      <c r="U66" s="5" t="inlineStr">
        <is>
          <t>yes</t>
        </is>
      </c>
      <c r="V66" s="5" t="inlineStr">
        <is>
          <t>good</t>
        </is>
      </c>
    </row>
    <row r="67">
      <c r="A67" s="5" t="n">
        <v>62</v>
      </c>
      <c r="B67" s="5" t="inlineStr">
        <is>
          <t>0&lt;=X&lt;200</t>
        </is>
      </c>
      <c r="C67" s="5" t="n">
        <v>15</v>
      </c>
      <c r="D67" s="5" t="inlineStr">
        <is>
          <t>critical/other existing credit</t>
        </is>
      </c>
      <c r="E67" s="5" t="inlineStr">
        <is>
          <t>radio/tv</t>
        </is>
      </c>
      <c r="F67" s="5" t="n">
        <v>1537</v>
      </c>
      <c r="G67" s="5" t="inlineStr">
        <is>
          <t>no known savings</t>
        </is>
      </c>
      <c r="H67" s="5" t="inlineStr">
        <is>
          <t>&gt;=7</t>
        </is>
      </c>
      <c r="I67" s="5" t="n">
        <v>4</v>
      </c>
      <c r="J67" s="5" t="inlineStr">
        <is>
          <t>male single</t>
        </is>
      </c>
      <c r="K67" s="5" t="inlineStr">
        <is>
          <t>guarantor</t>
        </is>
      </c>
      <c r="L67" s="5" t="n">
        <v>4</v>
      </c>
      <c r="M67" s="5" t="inlineStr">
        <is>
          <t>real estate</t>
        </is>
      </c>
      <c r="N67" s="5" t="n">
        <v>50</v>
      </c>
      <c r="O67" s="5" t="inlineStr">
        <is>
          <t>none</t>
        </is>
      </c>
      <c r="P67" s="5" t="inlineStr">
        <is>
          <t>own</t>
        </is>
      </c>
      <c r="Q67" s="5" t="n">
        <v>2</v>
      </c>
      <c r="R67" s="5" t="inlineStr">
        <is>
          <t>skilled</t>
        </is>
      </c>
      <c r="S67" s="5" t="n">
        <v>1</v>
      </c>
      <c r="T67" s="5" t="inlineStr">
        <is>
          <t>yes</t>
        </is>
      </c>
      <c r="U67" s="5" t="inlineStr">
        <is>
          <t>yes</t>
        </is>
      </c>
      <c r="V67" s="5" t="inlineStr">
        <is>
          <t>good</t>
        </is>
      </c>
    </row>
    <row r="68">
      <c r="A68" s="5" t="n">
        <v>63</v>
      </c>
      <c r="B68" s="5" t="inlineStr">
        <is>
          <t>0&lt;=X&lt;200</t>
        </is>
      </c>
      <c r="C68" s="5" t="n">
        <v>36</v>
      </c>
      <c r="D68" s="5" t="inlineStr">
        <is>
          <t>no credits/all paid</t>
        </is>
      </c>
      <c r="E68" s="5" t="inlineStr">
        <is>
          <t>business</t>
        </is>
      </c>
      <c r="F68" s="5" t="n">
        <v>1953</v>
      </c>
      <c r="G68" s="5" t="inlineStr">
        <is>
          <t>&lt;100</t>
        </is>
      </c>
      <c r="H68" s="5" t="inlineStr">
        <is>
          <t>&gt;=7</t>
        </is>
      </c>
      <c r="I68" s="5" t="n">
        <v>4</v>
      </c>
      <c r="J68" s="5" t="inlineStr">
        <is>
          <t>male single</t>
        </is>
      </c>
      <c r="K68" s="5" t="inlineStr">
        <is>
          <t>none</t>
        </is>
      </c>
      <c r="L68" s="5" t="n">
        <v>4</v>
      </c>
      <c r="M68" s="5" t="inlineStr">
        <is>
          <t>no known property</t>
        </is>
      </c>
      <c r="N68" s="5" t="n">
        <v>61</v>
      </c>
      <c r="O68" s="5" t="inlineStr">
        <is>
          <t>none</t>
        </is>
      </c>
      <c r="P68" s="5" t="inlineStr">
        <is>
          <t>for free</t>
        </is>
      </c>
      <c r="Q68" s="5" t="n">
        <v>1</v>
      </c>
      <c r="R68" s="5" t="inlineStr">
        <is>
          <t>high qualif/self emp/mgmt</t>
        </is>
      </c>
      <c r="S68" s="5" t="n">
        <v>1</v>
      </c>
      <c r="T68" s="5" t="inlineStr">
        <is>
          <t>yes</t>
        </is>
      </c>
      <c r="U68" s="5" t="inlineStr">
        <is>
          <t>yes</t>
        </is>
      </c>
      <c r="V68" s="5" t="inlineStr">
        <is>
          <t>bad</t>
        </is>
      </c>
    </row>
    <row r="69">
      <c r="A69" s="5" t="n">
        <v>64</v>
      </c>
      <c r="B69" s="5" t="inlineStr">
        <is>
          <t>0&lt;=X&lt;200</t>
        </is>
      </c>
      <c r="C69" s="5" t="n">
        <v>48</v>
      </c>
      <c r="D69" s="5" t="inlineStr">
        <is>
          <t>no credits/all paid</t>
        </is>
      </c>
      <c r="E69" s="5" t="inlineStr">
        <is>
          <t>business</t>
        </is>
      </c>
      <c r="F69" s="5" t="n">
        <v>14421</v>
      </c>
      <c r="G69" s="5" t="inlineStr">
        <is>
          <t>&lt;100</t>
        </is>
      </c>
      <c r="H69" s="5" t="inlineStr">
        <is>
          <t>1&lt;=X&lt;4</t>
        </is>
      </c>
      <c r="I69" s="5" t="n">
        <v>2</v>
      </c>
      <c r="J69" s="5" t="inlineStr">
        <is>
          <t>male single</t>
        </is>
      </c>
      <c r="K69" s="5" t="inlineStr">
        <is>
          <t>none</t>
        </is>
      </c>
      <c r="L69" s="5" t="n">
        <v>2</v>
      </c>
      <c r="M69" s="5" t="inlineStr">
        <is>
          <t>car</t>
        </is>
      </c>
      <c r="N69" s="5" t="n">
        <v>25</v>
      </c>
      <c r="O69" s="5" t="inlineStr">
        <is>
          <t>none</t>
        </is>
      </c>
      <c r="P69" s="5" t="inlineStr">
        <is>
          <t>own</t>
        </is>
      </c>
      <c r="Q69" s="5" t="n">
        <v>1</v>
      </c>
      <c r="R69" s="5" t="inlineStr">
        <is>
          <t>skilled</t>
        </is>
      </c>
      <c r="S69" s="5" t="n">
        <v>1</v>
      </c>
      <c r="T69" s="5" t="inlineStr">
        <is>
          <t>yes</t>
        </is>
      </c>
      <c r="U69" s="5" t="inlineStr">
        <is>
          <t>yes</t>
        </is>
      </c>
      <c r="V69" s="5" t="inlineStr">
        <is>
          <t>bad</t>
        </is>
      </c>
    </row>
    <row r="70">
      <c r="A70" s="5" t="n">
        <v>65</v>
      </c>
      <c r="B70" s="5" t="inlineStr">
        <is>
          <t>no checking</t>
        </is>
      </c>
      <c r="C70" s="5" t="n">
        <v>24</v>
      </c>
      <c r="D70" s="5" t="inlineStr">
        <is>
          <t>existing paid</t>
        </is>
      </c>
      <c r="E70" s="5" t="inlineStr">
        <is>
          <t>radio/tv</t>
        </is>
      </c>
      <c r="F70" s="5" t="n">
        <v>3181</v>
      </c>
      <c r="G70" s="5" t="inlineStr">
        <is>
          <t>&lt;100</t>
        </is>
      </c>
      <c r="H70" s="5" t="inlineStr">
        <is>
          <t>&lt;1</t>
        </is>
      </c>
      <c r="I70" s="5" t="n">
        <v>4</v>
      </c>
      <c r="J70" s="5" t="inlineStr">
        <is>
          <t>female div/dep/mar</t>
        </is>
      </c>
      <c r="K70" s="5" t="inlineStr">
        <is>
          <t>none</t>
        </is>
      </c>
      <c r="L70" s="5" t="n">
        <v>4</v>
      </c>
      <c r="M70" s="5" t="inlineStr">
        <is>
          <t>life insurance</t>
        </is>
      </c>
      <c r="N70" s="5" t="n">
        <v>26</v>
      </c>
      <c r="O70" s="5" t="inlineStr">
        <is>
          <t>none</t>
        </is>
      </c>
      <c r="P70" s="5" t="inlineStr">
        <is>
          <t>own</t>
        </is>
      </c>
      <c r="Q70" s="5" t="n">
        <v>1</v>
      </c>
      <c r="R70" s="5" t="inlineStr">
        <is>
          <t>skilled</t>
        </is>
      </c>
      <c r="S70" s="5" t="n">
        <v>1</v>
      </c>
      <c r="T70" s="5" t="inlineStr">
        <is>
          <t>yes</t>
        </is>
      </c>
      <c r="U70" s="5" t="inlineStr">
        <is>
          <t>yes</t>
        </is>
      </c>
      <c r="V70" s="5" t="inlineStr">
        <is>
          <t>good</t>
        </is>
      </c>
    </row>
    <row r="71">
      <c r="A71" s="5" t="n">
        <v>66</v>
      </c>
      <c r="B71" s="5" t="inlineStr">
        <is>
          <t>no checking</t>
        </is>
      </c>
      <c r="C71" s="5" t="n">
        <v>27</v>
      </c>
      <c r="D71" s="5" t="inlineStr">
        <is>
          <t>existing paid</t>
        </is>
      </c>
      <c r="E71" s="5" t="inlineStr">
        <is>
          <t>repairs</t>
        </is>
      </c>
      <c r="F71" s="5" t="n">
        <v>5190</v>
      </c>
      <c r="G71" s="5" t="inlineStr">
        <is>
          <t>no known savings</t>
        </is>
      </c>
      <c r="H71" s="5" t="inlineStr">
        <is>
          <t>&gt;=7</t>
        </is>
      </c>
      <c r="I71" s="5" t="n">
        <v>4</v>
      </c>
      <c r="J71" s="5" t="inlineStr">
        <is>
          <t>male single</t>
        </is>
      </c>
      <c r="K71" s="5" t="inlineStr">
        <is>
          <t>none</t>
        </is>
      </c>
      <c r="L71" s="5" t="n">
        <v>4</v>
      </c>
      <c r="M71" s="5" t="inlineStr">
        <is>
          <t>life insurance</t>
        </is>
      </c>
      <c r="N71" s="5" t="n">
        <v>48</v>
      </c>
      <c r="O71" s="5" t="inlineStr">
        <is>
          <t>none</t>
        </is>
      </c>
      <c r="P71" s="5" t="inlineStr">
        <is>
          <t>own</t>
        </is>
      </c>
      <c r="Q71" s="5" t="n">
        <v>4</v>
      </c>
      <c r="R71" s="5" t="inlineStr">
        <is>
          <t>skilled</t>
        </is>
      </c>
      <c r="S71" s="5" t="n">
        <v>2</v>
      </c>
      <c r="T71" s="5" t="inlineStr">
        <is>
          <t>yes</t>
        </is>
      </c>
      <c r="U71" s="5" t="inlineStr">
        <is>
          <t>yes</t>
        </is>
      </c>
      <c r="V71" s="5" t="inlineStr">
        <is>
          <t>good</t>
        </is>
      </c>
    </row>
    <row r="72">
      <c r="A72" s="5" t="n">
        <v>67</v>
      </c>
      <c r="B72" s="5" t="inlineStr">
        <is>
          <t>no checking</t>
        </is>
      </c>
      <c r="C72" s="5" t="n">
        <v>12</v>
      </c>
      <c r="D72" s="5" t="inlineStr">
        <is>
          <t>existing paid</t>
        </is>
      </c>
      <c r="E72" s="5" t="inlineStr">
        <is>
          <t>radio/tv</t>
        </is>
      </c>
      <c r="F72" s="5" t="n">
        <v>2171</v>
      </c>
      <c r="G72" s="5" t="inlineStr">
        <is>
          <t>&lt;100</t>
        </is>
      </c>
      <c r="H72" s="5" t="inlineStr">
        <is>
          <t>&lt;1</t>
        </is>
      </c>
      <c r="I72" s="5" t="n">
        <v>2</v>
      </c>
      <c r="J72" s="5" t="inlineStr">
        <is>
          <t>female div/dep/mar</t>
        </is>
      </c>
      <c r="K72" s="5" t="inlineStr">
        <is>
          <t>none</t>
        </is>
      </c>
      <c r="L72" s="5" t="n">
        <v>2</v>
      </c>
      <c r="M72" s="5" t="inlineStr">
        <is>
          <t>car</t>
        </is>
      </c>
      <c r="N72" s="5" t="n">
        <v>29</v>
      </c>
      <c r="O72" s="5" t="inlineStr">
        <is>
          <t>bank</t>
        </is>
      </c>
      <c r="P72" s="5" t="inlineStr">
        <is>
          <t>own</t>
        </is>
      </c>
      <c r="Q72" s="5" t="n">
        <v>1</v>
      </c>
      <c r="R72" s="5" t="inlineStr">
        <is>
          <t>skilled</t>
        </is>
      </c>
      <c r="S72" s="5" t="n">
        <v>1</v>
      </c>
      <c r="T72" s="5" t="inlineStr">
        <is>
          <t>none</t>
        </is>
      </c>
      <c r="U72" s="5" t="inlineStr">
        <is>
          <t>yes</t>
        </is>
      </c>
      <c r="V72" s="5" t="inlineStr">
        <is>
          <t>good</t>
        </is>
      </c>
    </row>
    <row r="73">
      <c r="A73" s="5" t="n">
        <v>68</v>
      </c>
      <c r="B73" s="5" t="inlineStr">
        <is>
          <t>0&lt;=X&lt;200</t>
        </is>
      </c>
      <c r="C73" s="5" t="n">
        <v>12</v>
      </c>
      <c r="D73" s="5" t="inlineStr">
        <is>
          <t>existing paid</t>
        </is>
      </c>
      <c r="E73" s="5" t="inlineStr">
        <is>
          <t>new car</t>
        </is>
      </c>
      <c r="F73" s="5" t="n">
        <v>1007</v>
      </c>
      <c r="G73" s="5" t="inlineStr">
        <is>
          <t>&gt;=1000</t>
        </is>
      </c>
      <c r="H73" s="5" t="inlineStr">
        <is>
          <t>1&lt;=X&lt;4</t>
        </is>
      </c>
      <c r="I73" s="5" t="n">
        <v>4</v>
      </c>
      <c r="J73" s="5" t="inlineStr">
        <is>
          <t>male mar/wid</t>
        </is>
      </c>
      <c r="K73" s="5" t="inlineStr">
        <is>
          <t>none</t>
        </is>
      </c>
      <c r="L73" s="5" t="n">
        <v>1</v>
      </c>
      <c r="M73" s="5" t="inlineStr">
        <is>
          <t>real estate</t>
        </is>
      </c>
      <c r="N73" s="5" t="n">
        <v>22</v>
      </c>
      <c r="O73" s="5" t="inlineStr">
        <is>
          <t>none</t>
        </is>
      </c>
      <c r="P73" s="5" t="inlineStr">
        <is>
          <t>own</t>
        </is>
      </c>
      <c r="Q73" s="5" t="n">
        <v>1</v>
      </c>
      <c r="R73" s="5" t="inlineStr">
        <is>
          <t>skilled</t>
        </is>
      </c>
      <c r="S73" s="5" t="n">
        <v>1</v>
      </c>
      <c r="T73" s="5" t="inlineStr">
        <is>
          <t>none</t>
        </is>
      </c>
      <c r="U73" s="5" t="inlineStr">
        <is>
          <t>yes</t>
        </is>
      </c>
      <c r="V73" s="5" t="inlineStr">
        <is>
          <t>good</t>
        </is>
      </c>
    </row>
    <row r="74">
      <c r="A74" s="5" t="n">
        <v>69</v>
      </c>
      <c r="B74" s="5" t="inlineStr">
        <is>
          <t>no checking</t>
        </is>
      </c>
      <c r="C74" s="5" t="n">
        <v>36</v>
      </c>
      <c r="D74" s="5" t="inlineStr">
        <is>
          <t>existing paid</t>
        </is>
      </c>
      <c r="E74" s="5" t="inlineStr">
        <is>
          <t>education</t>
        </is>
      </c>
      <c r="F74" s="5" t="n">
        <v>1819</v>
      </c>
      <c r="G74" s="5" t="inlineStr">
        <is>
          <t>&lt;100</t>
        </is>
      </c>
      <c r="H74" s="5" t="inlineStr">
        <is>
          <t>1&lt;=X&lt;4</t>
        </is>
      </c>
      <c r="I74" s="5" t="n">
        <v>4</v>
      </c>
      <c r="J74" s="5" t="inlineStr">
        <is>
          <t>male single</t>
        </is>
      </c>
      <c r="K74" s="5" t="inlineStr">
        <is>
          <t>none</t>
        </is>
      </c>
      <c r="L74" s="5" t="n">
        <v>4</v>
      </c>
      <c r="M74" s="5" t="inlineStr">
        <is>
          <t>no known property</t>
        </is>
      </c>
      <c r="N74" s="5" t="n">
        <v>37</v>
      </c>
      <c r="O74" s="5" t="inlineStr">
        <is>
          <t>stores</t>
        </is>
      </c>
      <c r="P74" s="5" t="inlineStr">
        <is>
          <t>for free</t>
        </is>
      </c>
      <c r="Q74" s="5" t="n">
        <v>1</v>
      </c>
      <c r="R74" s="5" t="inlineStr">
        <is>
          <t>skilled</t>
        </is>
      </c>
      <c r="S74" s="5" t="n">
        <v>1</v>
      </c>
      <c r="T74" s="5" t="inlineStr">
        <is>
          <t>yes</t>
        </is>
      </c>
      <c r="U74" s="5" t="inlineStr">
        <is>
          <t>yes</t>
        </is>
      </c>
      <c r="V74" s="5" t="inlineStr">
        <is>
          <t>bad</t>
        </is>
      </c>
    </row>
    <row r="75">
      <c r="A75" s="5" t="n">
        <v>70</v>
      </c>
      <c r="B75" s="5" t="inlineStr">
        <is>
          <t>no checking</t>
        </is>
      </c>
      <c r="C75" s="5" t="n">
        <v>36</v>
      </c>
      <c r="D75" s="5" t="inlineStr">
        <is>
          <t>existing paid</t>
        </is>
      </c>
      <c r="E75" s="5" t="inlineStr">
        <is>
          <t>radio/tv</t>
        </is>
      </c>
      <c r="F75" s="5" t="n">
        <v>2394</v>
      </c>
      <c r="G75" s="5" t="inlineStr">
        <is>
          <t>no known savings</t>
        </is>
      </c>
      <c r="H75" s="5" t="inlineStr">
        <is>
          <t>1&lt;=X&lt;4</t>
        </is>
      </c>
      <c r="I75" s="5" t="n">
        <v>4</v>
      </c>
      <c r="J75" s="5" t="inlineStr">
        <is>
          <t>female div/dep/mar</t>
        </is>
      </c>
      <c r="K75" s="5" t="inlineStr">
        <is>
          <t>none</t>
        </is>
      </c>
      <c r="L75" s="5" t="n">
        <v>4</v>
      </c>
      <c r="M75" s="5" t="inlineStr">
        <is>
          <t>car</t>
        </is>
      </c>
      <c r="N75" s="5" t="n">
        <v>25</v>
      </c>
      <c r="O75" s="5" t="inlineStr">
        <is>
          <t>none</t>
        </is>
      </c>
      <c r="P75" s="5" t="inlineStr">
        <is>
          <t>own</t>
        </is>
      </c>
      <c r="Q75" s="5" t="n">
        <v>1</v>
      </c>
      <c r="R75" s="5" t="inlineStr">
        <is>
          <t>skilled</t>
        </is>
      </c>
      <c r="S75" s="5" t="n">
        <v>1</v>
      </c>
      <c r="T75" s="5" t="inlineStr">
        <is>
          <t>none</t>
        </is>
      </c>
      <c r="U75" s="5" t="inlineStr">
        <is>
          <t>yes</t>
        </is>
      </c>
      <c r="V75" s="5" t="inlineStr">
        <is>
          <t>good</t>
        </is>
      </c>
    </row>
    <row r="76">
      <c r="A76" s="5" t="n">
        <v>71</v>
      </c>
      <c r="B76" s="5" t="inlineStr">
        <is>
          <t>no checking</t>
        </is>
      </c>
      <c r="C76" s="5" t="n">
        <v>36</v>
      </c>
      <c r="D76" s="5" t="inlineStr">
        <is>
          <t>existing paid</t>
        </is>
      </c>
      <c r="E76" s="5" t="inlineStr">
        <is>
          <t>used car</t>
        </is>
      </c>
      <c r="F76" s="5" t="n">
        <v>8133</v>
      </c>
      <c r="G76" s="5" t="inlineStr">
        <is>
          <t>&lt;100</t>
        </is>
      </c>
      <c r="H76" s="5" t="inlineStr">
        <is>
          <t>1&lt;=X&lt;4</t>
        </is>
      </c>
      <c r="I76" s="5" t="n">
        <v>1</v>
      </c>
      <c r="J76" s="5" t="inlineStr">
        <is>
          <t>female div/dep/mar</t>
        </is>
      </c>
      <c r="K76" s="5" t="inlineStr">
        <is>
          <t>none</t>
        </is>
      </c>
      <c r="L76" s="5" t="n">
        <v>2</v>
      </c>
      <c r="M76" s="5" t="inlineStr">
        <is>
          <t>life insurance</t>
        </is>
      </c>
      <c r="N76" s="5" t="n">
        <v>30</v>
      </c>
      <c r="O76" s="5" t="inlineStr">
        <is>
          <t>bank</t>
        </is>
      </c>
      <c r="P76" s="5" t="inlineStr">
        <is>
          <t>own</t>
        </is>
      </c>
      <c r="Q76" s="5" t="n">
        <v>1</v>
      </c>
      <c r="R76" s="5" t="inlineStr">
        <is>
          <t>skilled</t>
        </is>
      </c>
      <c r="S76" s="5" t="n">
        <v>1</v>
      </c>
      <c r="T76" s="5" t="inlineStr">
        <is>
          <t>none</t>
        </is>
      </c>
      <c r="U76" s="5" t="inlineStr">
        <is>
          <t>yes</t>
        </is>
      </c>
      <c r="V76" s="5" t="inlineStr">
        <is>
          <t>good</t>
        </is>
      </c>
    </row>
    <row r="77">
      <c r="A77" s="5" t="n">
        <v>72</v>
      </c>
      <c r="B77" s="5" t="inlineStr">
        <is>
          <t>no checking</t>
        </is>
      </c>
      <c r="C77" s="5" t="n">
        <v>7</v>
      </c>
      <c r="D77" s="5" t="inlineStr">
        <is>
          <t>critical/other existing credit</t>
        </is>
      </c>
      <c r="E77" s="5" t="inlineStr">
        <is>
          <t>radio/tv</t>
        </is>
      </c>
      <c r="F77" s="5" t="n">
        <v>730</v>
      </c>
      <c r="G77" s="5" t="inlineStr">
        <is>
          <t>no known savings</t>
        </is>
      </c>
      <c r="H77" s="5" t="inlineStr">
        <is>
          <t>&gt;=7</t>
        </is>
      </c>
      <c r="I77" s="5" t="n">
        <v>4</v>
      </c>
      <c r="J77" s="5" t="inlineStr">
        <is>
          <t>male single</t>
        </is>
      </c>
      <c r="K77" s="5" t="inlineStr">
        <is>
          <t>none</t>
        </is>
      </c>
      <c r="L77" s="5" t="n">
        <v>2</v>
      </c>
      <c r="M77" s="5" t="inlineStr">
        <is>
          <t>life insurance</t>
        </is>
      </c>
      <c r="N77" s="5" t="n">
        <v>46</v>
      </c>
      <c r="O77" s="5" t="inlineStr">
        <is>
          <t>none</t>
        </is>
      </c>
      <c r="P77" s="5" t="inlineStr">
        <is>
          <t>rent</t>
        </is>
      </c>
      <c r="Q77" s="5" t="n">
        <v>2</v>
      </c>
      <c r="R77" s="5" t="inlineStr">
        <is>
          <t>unskilled resident</t>
        </is>
      </c>
      <c r="S77" s="5" t="n">
        <v>1</v>
      </c>
      <c r="T77" s="5" t="inlineStr">
        <is>
          <t>yes</t>
        </is>
      </c>
      <c r="U77" s="5" t="inlineStr">
        <is>
          <t>yes</t>
        </is>
      </c>
      <c r="V77" s="5" t="inlineStr">
        <is>
          <t>good</t>
        </is>
      </c>
    </row>
    <row r="78">
      <c r="A78" s="5" t="n">
        <v>73</v>
      </c>
      <c r="B78" s="5" t="inlineStr">
        <is>
          <t>&lt;0</t>
        </is>
      </c>
      <c r="C78" s="5" t="n">
        <v>8</v>
      </c>
      <c r="D78" s="5" t="inlineStr">
        <is>
          <t>critical/other existing credit</t>
        </is>
      </c>
      <c r="E78" s="5" t="inlineStr">
        <is>
          <t>other</t>
        </is>
      </c>
      <c r="F78" s="5" t="n">
        <v>1164</v>
      </c>
      <c r="G78" s="5" t="inlineStr">
        <is>
          <t>&lt;100</t>
        </is>
      </c>
      <c r="H78" s="5" t="inlineStr">
        <is>
          <t>&gt;=7</t>
        </is>
      </c>
      <c r="I78" s="5" t="n">
        <v>3</v>
      </c>
      <c r="J78" s="5" t="inlineStr">
        <is>
          <t>male single</t>
        </is>
      </c>
      <c r="K78" s="5" t="inlineStr">
        <is>
          <t>none</t>
        </is>
      </c>
      <c r="L78" s="5" t="n">
        <v>4</v>
      </c>
      <c r="M78" s="5" t="inlineStr">
        <is>
          <t>no known property</t>
        </is>
      </c>
      <c r="N78" s="5" t="n">
        <v>51</v>
      </c>
      <c r="O78" s="5" t="inlineStr">
        <is>
          <t>bank</t>
        </is>
      </c>
      <c r="P78" s="5" t="inlineStr">
        <is>
          <t>for free</t>
        </is>
      </c>
      <c r="Q78" s="5" t="n">
        <v>2</v>
      </c>
      <c r="R78" s="5" t="inlineStr">
        <is>
          <t>high qualif/self emp/mgmt</t>
        </is>
      </c>
      <c r="S78" s="5" t="n">
        <v>2</v>
      </c>
      <c r="T78" s="5" t="inlineStr">
        <is>
          <t>yes</t>
        </is>
      </c>
      <c r="U78" s="5" t="inlineStr">
        <is>
          <t>yes</t>
        </is>
      </c>
      <c r="V78" s="5" t="inlineStr">
        <is>
          <t>good</t>
        </is>
      </c>
    </row>
    <row r="79">
      <c r="A79" s="5" t="n">
        <v>74</v>
      </c>
      <c r="B79" s="5" t="inlineStr">
        <is>
          <t>0&lt;=X&lt;200</t>
        </is>
      </c>
      <c r="C79" s="5" t="n">
        <v>42</v>
      </c>
      <c r="D79" s="5" t="inlineStr">
        <is>
          <t>critical/other existing credit</t>
        </is>
      </c>
      <c r="E79" s="5" t="inlineStr">
        <is>
          <t>business</t>
        </is>
      </c>
      <c r="F79" s="5" t="n">
        <v>5954</v>
      </c>
      <c r="G79" s="5" t="inlineStr">
        <is>
          <t>&lt;100</t>
        </is>
      </c>
      <c r="H79" s="5" t="inlineStr">
        <is>
          <t>4&lt;=X&lt;7</t>
        </is>
      </c>
      <c r="I79" s="5" t="n">
        <v>2</v>
      </c>
      <c r="J79" s="5" t="inlineStr">
        <is>
          <t>female div/dep/mar</t>
        </is>
      </c>
      <c r="K79" s="5" t="inlineStr">
        <is>
          <t>none</t>
        </is>
      </c>
      <c r="L79" s="5" t="n">
        <v>1</v>
      </c>
      <c r="M79" s="5" t="inlineStr">
        <is>
          <t>real estate</t>
        </is>
      </c>
      <c r="N79" s="5" t="n">
        <v>41</v>
      </c>
      <c r="O79" s="5" t="inlineStr">
        <is>
          <t>bank</t>
        </is>
      </c>
      <c r="P79" s="5" t="inlineStr">
        <is>
          <t>own</t>
        </is>
      </c>
      <c r="Q79" s="5" t="n">
        <v>2</v>
      </c>
      <c r="R79" s="5" t="inlineStr">
        <is>
          <t>unskilled resident</t>
        </is>
      </c>
      <c r="S79" s="5" t="n">
        <v>1</v>
      </c>
      <c r="T79" s="5" t="inlineStr">
        <is>
          <t>none</t>
        </is>
      </c>
      <c r="U79" s="5" t="inlineStr">
        <is>
          <t>yes</t>
        </is>
      </c>
      <c r="V79" s="5" t="inlineStr">
        <is>
          <t>good</t>
        </is>
      </c>
    </row>
    <row r="80">
      <c r="A80" s="5" t="n">
        <v>75</v>
      </c>
      <c r="B80" s="5" t="inlineStr">
        <is>
          <t>&lt;0</t>
        </is>
      </c>
      <c r="C80" s="5" t="n">
        <v>36</v>
      </c>
      <c r="D80" s="5" t="inlineStr">
        <is>
          <t>existing paid</t>
        </is>
      </c>
      <c r="E80" s="5" t="inlineStr">
        <is>
          <t>education</t>
        </is>
      </c>
      <c r="F80" s="5" t="n">
        <v>1977</v>
      </c>
      <c r="G80" s="5" t="inlineStr">
        <is>
          <t>no known savings</t>
        </is>
      </c>
      <c r="H80" s="5" t="inlineStr">
        <is>
          <t>&gt;=7</t>
        </is>
      </c>
      <c r="I80" s="5" t="n">
        <v>4</v>
      </c>
      <c r="J80" s="5" t="inlineStr">
        <is>
          <t>male single</t>
        </is>
      </c>
      <c r="K80" s="5" t="inlineStr">
        <is>
          <t>none</t>
        </is>
      </c>
      <c r="L80" s="5" t="n">
        <v>4</v>
      </c>
      <c r="M80" s="5" t="inlineStr">
        <is>
          <t>no known property</t>
        </is>
      </c>
      <c r="N80" s="5" t="n">
        <v>40</v>
      </c>
      <c r="O80" s="5" t="inlineStr">
        <is>
          <t>none</t>
        </is>
      </c>
      <c r="P80" s="5" t="inlineStr">
        <is>
          <t>own</t>
        </is>
      </c>
      <c r="Q80" s="5" t="n">
        <v>1</v>
      </c>
      <c r="R80" s="5" t="inlineStr">
        <is>
          <t>high qualif/self emp/mgmt</t>
        </is>
      </c>
      <c r="S80" s="5" t="n">
        <v>1</v>
      </c>
      <c r="T80" s="5" t="inlineStr">
        <is>
          <t>yes</t>
        </is>
      </c>
      <c r="U80" s="5" t="inlineStr">
        <is>
          <t>yes</t>
        </is>
      </c>
      <c r="V80" s="5" t="inlineStr">
        <is>
          <t>bad</t>
        </is>
      </c>
    </row>
    <row r="81">
      <c r="A81" s="5" t="n">
        <v>76</v>
      </c>
      <c r="B81" s="5" t="inlineStr">
        <is>
          <t>&lt;0</t>
        </is>
      </c>
      <c r="C81" s="5" t="n">
        <v>12</v>
      </c>
      <c r="D81" s="5" t="inlineStr">
        <is>
          <t>critical/other existing credit</t>
        </is>
      </c>
      <c r="E81" s="5" t="inlineStr">
        <is>
          <t>used car</t>
        </is>
      </c>
      <c r="F81" s="5" t="n">
        <v>1526</v>
      </c>
      <c r="G81" s="5" t="inlineStr">
        <is>
          <t>&lt;100</t>
        </is>
      </c>
      <c r="H81" s="5" t="inlineStr">
        <is>
          <t>&gt;=7</t>
        </is>
      </c>
      <c r="I81" s="5" t="n">
        <v>4</v>
      </c>
      <c r="J81" s="5" t="inlineStr">
        <is>
          <t>male single</t>
        </is>
      </c>
      <c r="K81" s="5" t="inlineStr">
        <is>
          <t>none</t>
        </is>
      </c>
      <c r="L81" s="5" t="n">
        <v>4</v>
      </c>
      <c r="M81" s="5" t="inlineStr">
        <is>
          <t>no known property</t>
        </is>
      </c>
      <c r="N81" s="5" t="n">
        <v>66</v>
      </c>
      <c r="O81" s="5" t="inlineStr">
        <is>
          <t>none</t>
        </is>
      </c>
      <c r="P81" s="5" t="inlineStr">
        <is>
          <t>for free</t>
        </is>
      </c>
      <c r="Q81" s="5" t="n">
        <v>2</v>
      </c>
      <c r="R81" s="5" t="inlineStr">
        <is>
          <t>high qualif/self emp/mgmt</t>
        </is>
      </c>
      <c r="S81" s="5" t="n">
        <v>1</v>
      </c>
      <c r="T81" s="5" t="inlineStr">
        <is>
          <t>none</t>
        </is>
      </c>
      <c r="U81" s="5" t="inlineStr">
        <is>
          <t>yes</t>
        </is>
      </c>
      <c r="V81" s="5" t="inlineStr">
        <is>
          <t>good</t>
        </is>
      </c>
    </row>
    <row r="82">
      <c r="A82" s="5" t="n">
        <v>77</v>
      </c>
      <c r="B82" s="5" t="inlineStr">
        <is>
          <t>&lt;0</t>
        </is>
      </c>
      <c r="C82" s="5" t="n">
        <v>42</v>
      </c>
      <c r="D82" s="5" t="inlineStr">
        <is>
          <t>existing paid</t>
        </is>
      </c>
      <c r="E82" s="5" t="inlineStr">
        <is>
          <t>radio/tv</t>
        </is>
      </c>
      <c r="F82" s="5" t="n">
        <v>3965</v>
      </c>
      <c r="G82" s="5" t="inlineStr">
        <is>
          <t>&lt;100</t>
        </is>
      </c>
      <c r="H82" s="5" t="inlineStr">
        <is>
          <t>&lt;1</t>
        </is>
      </c>
      <c r="I82" s="5" t="n">
        <v>4</v>
      </c>
      <c r="J82" s="5" t="inlineStr">
        <is>
          <t>male single</t>
        </is>
      </c>
      <c r="K82" s="5" t="inlineStr">
        <is>
          <t>none</t>
        </is>
      </c>
      <c r="L82" s="5" t="n">
        <v>3</v>
      </c>
      <c r="M82" s="5" t="inlineStr">
        <is>
          <t>car</t>
        </is>
      </c>
      <c r="N82" s="5" t="n">
        <v>34</v>
      </c>
      <c r="O82" s="5" t="inlineStr">
        <is>
          <t>none</t>
        </is>
      </c>
      <c r="P82" s="5" t="inlineStr">
        <is>
          <t>own</t>
        </is>
      </c>
      <c r="Q82" s="5" t="n">
        <v>1</v>
      </c>
      <c r="R82" s="5" t="inlineStr">
        <is>
          <t>skilled</t>
        </is>
      </c>
      <c r="S82" s="5" t="n">
        <v>1</v>
      </c>
      <c r="T82" s="5" t="inlineStr">
        <is>
          <t>none</t>
        </is>
      </c>
      <c r="U82" s="5" t="inlineStr">
        <is>
          <t>yes</t>
        </is>
      </c>
      <c r="V82" s="5" t="inlineStr">
        <is>
          <t>bad</t>
        </is>
      </c>
    </row>
    <row r="83">
      <c r="A83" s="5" t="n">
        <v>78</v>
      </c>
      <c r="B83" s="5" t="inlineStr">
        <is>
          <t>0&lt;=X&lt;200</t>
        </is>
      </c>
      <c r="C83" s="5" t="n">
        <v>11</v>
      </c>
      <c r="D83" s="5" t="inlineStr">
        <is>
          <t>delayed previously</t>
        </is>
      </c>
      <c r="E83" s="5" t="inlineStr">
        <is>
          <t>radio/tv</t>
        </is>
      </c>
      <c r="F83" s="5" t="n">
        <v>4771</v>
      </c>
      <c r="G83" s="5" t="inlineStr">
        <is>
          <t>&lt;100</t>
        </is>
      </c>
      <c r="H83" s="5" t="inlineStr">
        <is>
          <t>4&lt;=X&lt;7</t>
        </is>
      </c>
      <c r="I83" s="5" t="n">
        <v>2</v>
      </c>
      <c r="J83" s="5" t="inlineStr">
        <is>
          <t>male single</t>
        </is>
      </c>
      <c r="K83" s="5" t="inlineStr">
        <is>
          <t>none</t>
        </is>
      </c>
      <c r="L83" s="5" t="n">
        <v>4</v>
      </c>
      <c r="M83" s="5" t="inlineStr">
        <is>
          <t>life insurance</t>
        </is>
      </c>
      <c r="N83" s="5" t="n">
        <v>51</v>
      </c>
      <c r="O83" s="5" t="inlineStr">
        <is>
          <t>none</t>
        </is>
      </c>
      <c r="P83" s="5" t="inlineStr">
        <is>
          <t>own</t>
        </is>
      </c>
      <c r="Q83" s="5" t="n">
        <v>1</v>
      </c>
      <c r="R83" s="5" t="inlineStr">
        <is>
          <t>skilled</t>
        </is>
      </c>
      <c r="S83" s="5" t="n">
        <v>1</v>
      </c>
      <c r="T83" s="5" t="inlineStr">
        <is>
          <t>none</t>
        </is>
      </c>
      <c r="U83" s="5" t="inlineStr">
        <is>
          <t>yes</t>
        </is>
      </c>
      <c r="V83" s="5" t="inlineStr">
        <is>
          <t>good</t>
        </is>
      </c>
    </row>
    <row r="84">
      <c r="A84" s="5" t="n">
        <v>79</v>
      </c>
      <c r="B84" s="5" t="inlineStr">
        <is>
          <t>no checking</t>
        </is>
      </c>
      <c r="C84" s="5" t="n">
        <v>54</v>
      </c>
      <c r="D84" s="5" t="inlineStr">
        <is>
          <t>no credits/all paid</t>
        </is>
      </c>
      <c r="E84" s="5" t="inlineStr">
        <is>
          <t>used car</t>
        </is>
      </c>
      <c r="F84" s="5" t="n">
        <v>9436</v>
      </c>
      <c r="G84" s="5" t="inlineStr">
        <is>
          <t>no known savings</t>
        </is>
      </c>
      <c r="H84" s="5" t="inlineStr">
        <is>
          <t>1&lt;=X&lt;4</t>
        </is>
      </c>
      <c r="I84" s="5" t="n">
        <v>2</v>
      </c>
      <c r="J84" s="5" t="inlineStr">
        <is>
          <t>male single</t>
        </is>
      </c>
      <c r="K84" s="5" t="inlineStr">
        <is>
          <t>none</t>
        </is>
      </c>
      <c r="L84" s="5" t="n">
        <v>2</v>
      </c>
      <c r="M84" s="5" t="inlineStr">
        <is>
          <t>life insurance</t>
        </is>
      </c>
      <c r="N84" s="5" t="n">
        <v>39</v>
      </c>
      <c r="O84" s="5" t="inlineStr">
        <is>
          <t>none</t>
        </is>
      </c>
      <c r="P84" s="5" t="inlineStr">
        <is>
          <t>own</t>
        </is>
      </c>
      <c r="Q84" s="5" t="n">
        <v>1</v>
      </c>
      <c r="R84" s="5" t="inlineStr">
        <is>
          <t>unskilled resident</t>
        </is>
      </c>
      <c r="S84" s="5" t="n">
        <v>2</v>
      </c>
      <c r="T84" s="5" t="inlineStr">
        <is>
          <t>none</t>
        </is>
      </c>
      <c r="U84" s="5" t="inlineStr">
        <is>
          <t>yes</t>
        </is>
      </c>
      <c r="V84" s="5" t="inlineStr">
        <is>
          <t>good</t>
        </is>
      </c>
    </row>
    <row r="85">
      <c r="A85" s="5" t="n">
        <v>80</v>
      </c>
      <c r="B85" s="5" t="inlineStr">
        <is>
          <t>0&lt;=X&lt;200</t>
        </is>
      </c>
      <c r="C85" s="5" t="n">
        <v>30</v>
      </c>
      <c r="D85" s="5" t="inlineStr">
        <is>
          <t>existing paid</t>
        </is>
      </c>
      <c r="E85" s="5" t="inlineStr">
        <is>
          <t>furniture/equipment</t>
        </is>
      </c>
      <c r="F85" s="5" t="n">
        <v>3832</v>
      </c>
      <c r="G85" s="5" t="inlineStr">
        <is>
          <t>&lt;100</t>
        </is>
      </c>
      <c r="H85" s="5" t="inlineStr">
        <is>
          <t>&lt;1</t>
        </is>
      </c>
      <c r="I85" s="5" t="n">
        <v>2</v>
      </c>
      <c r="J85" s="5" t="inlineStr">
        <is>
          <t>male mar/wid</t>
        </is>
      </c>
      <c r="K85" s="5" t="inlineStr">
        <is>
          <t>none</t>
        </is>
      </c>
      <c r="L85" s="5" t="n">
        <v>1</v>
      </c>
      <c r="M85" s="5" t="inlineStr">
        <is>
          <t>life insurance</t>
        </is>
      </c>
      <c r="N85" s="5" t="n">
        <v>22</v>
      </c>
      <c r="O85" s="5" t="inlineStr">
        <is>
          <t>none</t>
        </is>
      </c>
      <c r="P85" s="5" t="inlineStr">
        <is>
          <t>own</t>
        </is>
      </c>
      <c r="Q85" s="5" t="n">
        <v>1</v>
      </c>
      <c r="R85" s="5" t="inlineStr">
        <is>
          <t>skilled</t>
        </is>
      </c>
      <c r="S85" s="5" t="n">
        <v>1</v>
      </c>
      <c r="T85" s="5" t="inlineStr">
        <is>
          <t>none</t>
        </is>
      </c>
      <c r="U85" s="5" t="inlineStr">
        <is>
          <t>yes</t>
        </is>
      </c>
      <c r="V85" s="5" t="inlineStr">
        <is>
          <t>good</t>
        </is>
      </c>
    </row>
    <row r="86">
      <c r="A86" s="5" t="n">
        <v>81</v>
      </c>
      <c r="B86" s="5" t="inlineStr">
        <is>
          <t>no checking</t>
        </is>
      </c>
      <c r="C86" s="5" t="n">
        <v>24</v>
      </c>
      <c r="D86" s="5" t="inlineStr">
        <is>
          <t>existing paid</t>
        </is>
      </c>
      <c r="E86" s="5" t="inlineStr">
        <is>
          <t>radio/tv</t>
        </is>
      </c>
      <c r="F86" s="5" t="n">
        <v>5943</v>
      </c>
      <c r="G86" s="5" t="inlineStr">
        <is>
          <t>no known savings</t>
        </is>
      </c>
      <c r="H86" s="5" t="inlineStr">
        <is>
          <t>&lt;1</t>
        </is>
      </c>
      <c r="I86" s="5" t="n">
        <v>1</v>
      </c>
      <c r="J86" s="5" t="inlineStr">
        <is>
          <t>female div/dep/mar</t>
        </is>
      </c>
      <c r="K86" s="5" t="inlineStr">
        <is>
          <t>none</t>
        </is>
      </c>
      <c r="L86" s="5" t="n">
        <v>1</v>
      </c>
      <c r="M86" s="5" t="inlineStr">
        <is>
          <t>car</t>
        </is>
      </c>
      <c r="N86" s="5" t="n">
        <v>44</v>
      </c>
      <c r="O86" s="5" t="inlineStr">
        <is>
          <t>none</t>
        </is>
      </c>
      <c r="P86" s="5" t="inlineStr">
        <is>
          <t>own</t>
        </is>
      </c>
      <c r="Q86" s="5" t="n">
        <v>2</v>
      </c>
      <c r="R86" s="5" t="inlineStr">
        <is>
          <t>skilled</t>
        </is>
      </c>
      <c r="S86" s="5" t="n">
        <v>1</v>
      </c>
      <c r="T86" s="5" t="inlineStr">
        <is>
          <t>yes</t>
        </is>
      </c>
      <c r="U86" s="5" t="inlineStr">
        <is>
          <t>yes</t>
        </is>
      </c>
      <c r="V86" s="5" t="inlineStr">
        <is>
          <t>bad</t>
        </is>
      </c>
    </row>
    <row r="87">
      <c r="A87" s="5" t="n">
        <v>82</v>
      </c>
      <c r="B87" s="5" t="inlineStr">
        <is>
          <t>no checking</t>
        </is>
      </c>
      <c r="C87" s="5" t="n">
        <v>15</v>
      </c>
      <c r="D87" s="5" t="inlineStr">
        <is>
          <t>existing paid</t>
        </is>
      </c>
      <c r="E87" s="5" t="inlineStr">
        <is>
          <t>radio/tv</t>
        </is>
      </c>
      <c r="F87" s="5" t="n">
        <v>1213</v>
      </c>
      <c r="G87" s="5" t="inlineStr">
        <is>
          <t>500&lt;=X&lt;1000</t>
        </is>
      </c>
      <c r="H87" s="5" t="inlineStr">
        <is>
          <t>&gt;=7</t>
        </is>
      </c>
      <c r="I87" s="5" t="n">
        <v>4</v>
      </c>
      <c r="J87" s="5" t="inlineStr">
        <is>
          <t>male single</t>
        </is>
      </c>
      <c r="K87" s="5" t="inlineStr">
        <is>
          <t>none</t>
        </is>
      </c>
      <c r="L87" s="5" t="n">
        <v>3</v>
      </c>
      <c r="M87" s="5" t="inlineStr">
        <is>
          <t>life insurance</t>
        </is>
      </c>
      <c r="N87" s="5" t="n">
        <v>47</v>
      </c>
      <c r="O87" s="5" t="inlineStr">
        <is>
          <t>stores</t>
        </is>
      </c>
      <c r="P87" s="5" t="inlineStr">
        <is>
          <t>own</t>
        </is>
      </c>
      <c r="Q87" s="5" t="n">
        <v>1</v>
      </c>
      <c r="R87" s="5" t="inlineStr">
        <is>
          <t>skilled</t>
        </is>
      </c>
      <c r="S87" s="5" t="n">
        <v>1</v>
      </c>
      <c r="T87" s="5" t="inlineStr">
        <is>
          <t>yes</t>
        </is>
      </c>
      <c r="U87" s="5" t="inlineStr">
        <is>
          <t>yes</t>
        </is>
      </c>
      <c r="V87" s="5" t="inlineStr">
        <is>
          <t>good</t>
        </is>
      </c>
    </row>
    <row r="88">
      <c r="A88" s="5" t="n">
        <v>83</v>
      </c>
      <c r="B88" s="5" t="inlineStr">
        <is>
          <t>no checking</t>
        </is>
      </c>
      <c r="C88" s="5" t="n">
        <v>18</v>
      </c>
      <c r="D88" s="5" t="inlineStr">
        <is>
          <t>existing paid</t>
        </is>
      </c>
      <c r="E88" s="5" t="inlineStr">
        <is>
          <t>business</t>
        </is>
      </c>
      <c r="F88" s="5" t="n">
        <v>1568</v>
      </c>
      <c r="G88" s="5" t="inlineStr">
        <is>
          <t>100&lt;=X&lt;500</t>
        </is>
      </c>
      <c r="H88" s="5" t="inlineStr">
        <is>
          <t>1&lt;=X&lt;4</t>
        </is>
      </c>
      <c r="I88" s="5" t="n">
        <v>3</v>
      </c>
      <c r="J88" s="5" t="inlineStr">
        <is>
          <t>female div/dep/mar</t>
        </is>
      </c>
      <c r="K88" s="5" t="inlineStr">
        <is>
          <t>none</t>
        </is>
      </c>
      <c r="L88" s="5" t="n">
        <v>4</v>
      </c>
      <c r="M88" s="5" t="inlineStr">
        <is>
          <t>life insurance</t>
        </is>
      </c>
      <c r="N88" s="5" t="n">
        <v>24</v>
      </c>
      <c r="O88" s="5" t="inlineStr">
        <is>
          <t>none</t>
        </is>
      </c>
      <c r="P88" s="5" t="inlineStr">
        <is>
          <t>rent</t>
        </is>
      </c>
      <c r="Q88" s="5" t="n">
        <v>1</v>
      </c>
      <c r="R88" s="5" t="inlineStr">
        <is>
          <t>unskilled resident</t>
        </is>
      </c>
      <c r="S88" s="5" t="n">
        <v>1</v>
      </c>
      <c r="T88" s="5" t="inlineStr">
        <is>
          <t>none</t>
        </is>
      </c>
      <c r="U88" s="5" t="inlineStr">
        <is>
          <t>yes</t>
        </is>
      </c>
      <c r="V88" s="5" t="inlineStr">
        <is>
          <t>good</t>
        </is>
      </c>
    </row>
    <row r="89">
      <c r="A89" s="5" t="n">
        <v>84</v>
      </c>
      <c r="B89" s="5" t="inlineStr">
        <is>
          <t>&lt;0</t>
        </is>
      </c>
      <c r="C89" s="5" t="n">
        <v>24</v>
      </c>
      <c r="D89" s="5" t="inlineStr">
        <is>
          <t>existing paid</t>
        </is>
      </c>
      <c r="E89" s="5" t="inlineStr">
        <is>
          <t>other</t>
        </is>
      </c>
      <c r="F89" s="5" t="n">
        <v>1755</v>
      </c>
      <c r="G89" s="5" t="inlineStr">
        <is>
          <t>&lt;100</t>
        </is>
      </c>
      <c r="H89" s="5" t="inlineStr">
        <is>
          <t>&gt;=7</t>
        </is>
      </c>
      <c r="I89" s="5" t="n">
        <v>4</v>
      </c>
      <c r="J89" s="5" t="inlineStr">
        <is>
          <t>female div/dep/mar</t>
        </is>
      </c>
      <c r="K89" s="5" t="inlineStr">
        <is>
          <t>guarantor</t>
        </is>
      </c>
      <c r="L89" s="5" t="n">
        <v>4</v>
      </c>
      <c r="M89" s="5" t="inlineStr">
        <is>
          <t>real estate</t>
        </is>
      </c>
      <c r="N89" s="5" t="n">
        <v>58</v>
      </c>
      <c r="O89" s="5" t="inlineStr">
        <is>
          <t>none</t>
        </is>
      </c>
      <c r="P89" s="5" t="inlineStr">
        <is>
          <t>own</t>
        </is>
      </c>
      <c r="Q89" s="5" t="n">
        <v>1</v>
      </c>
      <c r="R89" s="5" t="inlineStr">
        <is>
          <t>unskilled resident</t>
        </is>
      </c>
      <c r="S89" s="5" t="n">
        <v>1</v>
      </c>
      <c r="T89" s="5" t="inlineStr">
        <is>
          <t>yes</t>
        </is>
      </c>
      <c r="U89" s="5" t="inlineStr">
        <is>
          <t>yes</t>
        </is>
      </c>
      <c r="V89" s="5" t="inlineStr">
        <is>
          <t>good</t>
        </is>
      </c>
    </row>
    <row r="90">
      <c r="A90" s="5" t="n">
        <v>85</v>
      </c>
      <c r="B90" s="5" t="inlineStr">
        <is>
          <t>&lt;0</t>
        </is>
      </c>
      <c r="C90" s="5" t="n">
        <v>10</v>
      </c>
      <c r="D90" s="5" t="inlineStr">
        <is>
          <t>existing paid</t>
        </is>
      </c>
      <c r="E90" s="5" t="inlineStr">
        <is>
          <t>radio/tv</t>
        </is>
      </c>
      <c r="F90" s="5" t="n">
        <v>2315</v>
      </c>
      <c r="G90" s="5" t="inlineStr">
        <is>
          <t>&lt;100</t>
        </is>
      </c>
      <c r="H90" s="5" t="inlineStr">
        <is>
          <t>&gt;=7</t>
        </is>
      </c>
      <c r="I90" s="5" t="n">
        <v>3</v>
      </c>
      <c r="J90" s="5" t="inlineStr">
        <is>
          <t>male single</t>
        </is>
      </c>
      <c r="K90" s="5" t="inlineStr">
        <is>
          <t>none</t>
        </is>
      </c>
      <c r="L90" s="5" t="n">
        <v>4</v>
      </c>
      <c r="M90" s="5" t="inlineStr">
        <is>
          <t>real estate</t>
        </is>
      </c>
      <c r="N90" s="5" t="n">
        <v>52</v>
      </c>
      <c r="O90" s="5" t="inlineStr">
        <is>
          <t>none</t>
        </is>
      </c>
      <c r="P90" s="5" t="inlineStr">
        <is>
          <t>own</t>
        </is>
      </c>
      <c r="Q90" s="5" t="n">
        <v>1</v>
      </c>
      <c r="R90" s="5" t="inlineStr">
        <is>
          <t>unskilled resident</t>
        </is>
      </c>
      <c r="S90" s="5" t="n">
        <v>1</v>
      </c>
      <c r="T90" s="5" t="inlineStr">
        <is>
          <t>none</t>
        </is>
      </c>
      <c r="U90" s="5" t="inlineStr">
        <is>
          <t>yes</t>
        </is>
      </c>
      <c r="V90" s="5" t="inlineStr">
        <is>
          <t>good</t>
        </is>
      </c>
    </row>
    <row r="91">
      <c r="A91" s="5" t="n">
        <v>86</v>
      </c>
      <c r="B91" s="5" t="inlineStr">
        <is>
          <t>no checking</t>
        </is>
      </c>
      <c r="C91" s="5" t="n">
        <v>12</v>
      </c>
      <c r="D91" s="5" t="inlineStr">
        <is>
          <t>critical/other existing credit</t>
        </is>
      </c>
      <c r="E91" s="5" t="inlineStr">
        <is>
          <t>business</t>
        </is>
      </c>
      <c r="F91" s="5" t="n">
        <v>1412</v>
      </c>
      <c r="G91" s="5" t="inlineStr">
        <is>
          <t>&lt;100</t>
        </is>
      </c>
      <c r="H91" s="5" t="inlineStr">
        <is>
          <t>1&lt;=X&lt;4</t>
        </is>
      </c>
      <c r="I91" s="5" t="n">
        <v>4</v>
      </c>
      <c r="J91" s="5" t="inlineStr">
        <is>
          <t>female div/dep/mar</t>
        </is>
      </c>
      <c r="K91" s="5" t="inlineStr">
        <is>
          <t>guarantor</t>
        </is>
      </c>
      <c r="L91" s="5" t="n">
        <v>2</v>
      </c>
      <c r="M91" s="5" t="inlineStr">
        <is>
          <t>real estate</t>
        </is>
      </c>
      <c r="N91" s="5" t="n">
        <v>29</v>
      </c>
      <c r="O91" s="5" t="inlineStr">
        <is>
          <t>none</t>
        </is>
      </c>
      <c r="P91" s="5" t="inlineStr">
        <is>
          <t>own</t>
        </is>
      </c>
      <c r="Q91" s="5" t="n">
        <v>2</v>
      </c>
      <c r="R91" s="5" t="inlineStr">
        <is>
          <t>high qualif/self emp/mgmt</t>
        </is>
      </c>
      <c r="S91" s="5" t="n">
        <v>1</v>
      </c>
      <c r="T91" s="5" t="inlineStr">
        <is>
          <t>yes</t>
        </is>
      </c>
      <c r="U91" s="5" t="inlineStr">
        <is>
          <t>yes</t>
        </is>
      </c>
      <c r="V91" s="5" t="inlineStr">
        <is>
          <t>good</t>
        </is>
      </c>
    </row>
    <row r="92">
      <c r="A92" s="5" t="n">
        <v>87</v>
      </c>
      <c r="B92" s="5" t="inlineStr">
        <is>
          <t>0&lt;=X&lt;200</t>
        </is>
      </c>
      <c r="C92" s="5" t="n">
        <v>18</v>
      </c>
      <c r="D92" s="5" t="inlineStr">
        <is>
          <t>critical/other existing credit</t>
        </is>
      </c>
      <c r="E92" s="5" t="inlineStr">
        <is>
          <t>furniture/equipment</t>
        </is>
      </c>
      <c r="F92" s="5" t="n">
        <v>1295</v>
      </c>
      <c r="G92" s="5" t="inlineStr">
        <is>
          <t>&lt;100</t>
        </is>
      </c>
      <c r="H92" s="5" t="inlineStr">
        <is>
          <t>&lt;1</t>
        </is>
      </c>
      <c r="I92" s="5" t="n">
        <v>4</v>
      </c>
      <c r="J92" s="5" t="inlineStr">
        <is>
          <t>female div/dep/mar</t>
        </is>
      </c>
      <c r="K92" s="5" t="inlineStr">
        <is>
          <t>none</t>
        </is>
      </c>
      <c r="L92" s="5" t="n">
        <v>1</v>
      </c>
      <c r="M92" s="5" t="inlineStr">
        <is>
          <t>life insurance</t>
        </is>
      </c>
      <c r="N92" s="5" t="n">
        <v>27</v>
      </c>
      <c r="O92" s="5" t="inlineStr">
        <is>
          <t>none</t>
        </is>
      </c>
      <c r="P92" s="5" t="inlineStr">
        <is>
          <t>own</t>
        </is>
      </c>
      <c r="Q92" s="5" t="n">
        <v>2</v>
      </c>
      <c r="R92" s="5" t="inlineStr">
        <is>
          <t>skilled</t>
        </is>
      </c>
      <c r="S92" s="5" t="n">
        <v>1</v>
      </c>
      <c r="T92" s="5" t="inlineStr">
        <is>
          <t>none</t>
        </is>
      </c>
      <c r="U92" s="5" t="inlineStr">
        <is>
          <t>yes</t>
        </is>
      </c>
      <c r="V92" s="5" t="inlineStr">
        <is>
          <t>good</t>
        </is>
      </c>
    </row>
    <row r="93">
      <c r="A93" s="5" t="n">
        <v>88</v>
      </c>
      <c r="B93" s="5" t="inlineStr">
        <is>
          <t>0&lt;=X&lt;200</t>
        </is>
      </c>
      <c r="C93" s="5" t="n">
        <v>36</v>
      </c>
      <c r="D93" s="5" t="inlineStr">
        <is>
          <t>existing paid</t>
        </is>
      </c>
      <c r="E93" s="5" t="inlineStr">
        <is>
          <t>education</t>
        </is>
      </c>
      <c r="F93" s="5" t="n">
        <v>12612</v>
      </c>
      <c r="G93" s="5" t="inlineStr">
        <is>
          <t>100&lt;=X&lt;500</t>
        </is>
      </c>
      <c r="H93" s="5" t="inlineStr">
        <is>
          <t>1&lt;=X&lt;4</t>
        </is>
      </c>
      <c r="I93" s="5" t="n">
        <v>1</v>
      </c>
      <c r="J93" s="5" t="inlineStr">
        <is>
          <t>male single</t>
        </is>
      </c>
      <c r="K93" s="5" t="inlineStr">
        <is>
          <t>none</t>
        </is>
      </c>
      <c r="L93" s="5" t="n">
        <v>4</v>
      </c>
      <c r="M93" s="5" t="inlineStr">
        <is>
          <t>no known property</t>
        </is>
      </c>
      <c r="N93" s="5" t="n">
        <v>47</v>
      </c>
      <c r="O93" s="5" t="inlineStr">
        <is>
          <t>none</t>
        </is>
      </c>
      <c r="P93" s="5" t="inlineStr">
        <is>
          <t>for free</t>
        </is>
      </c>
      <c r="Q93" s="5" t="n">
        <v>1</v>
      </c>
      <c r="R93" s="5" t="inlineStr">
        <is>
          <t>skilled</t>
        </is>
      </c>
      <c r="S93" s="5" t="n">
        <v>2</v>
      </c>
      <c r="T93" s="5" t="inlineStr">
        <is>
          <t>yes</t>
        </is>
      </c>
      <c r="U93" s="5" t="inlineStr">
        <is>
          <t>yes</t>
        </is>
      </c>
      <c r="V93" s="5" t="inlineStr">
        <is>
          <t>bad</t>
        </is>
      </c>
    </row>
    <row r="94">
      <c r="A94" s="5" t="n">
        <v>89</v>
      </c>
      <c r="B94" s="5" t="inlineStr">
        <is>
          <t>&lt;0</t>
        </is>
      </c>
      <c r="C94" s="5" t="n">
        <v>18</v>
      </c>
      <c r="D94" s="5" t="inlineStr">
        <is>
          <t>existing paid</t>
        </is>
      </c>
      <c r="E94" s="5" t="inlineStr">
        <is>
          <t>new car</t>
        </is>
      </c>
      <c r="F94" s="5" t="n">
        <v>2249</v>
      </c>
      <c r="G94" s="5" t="inlineStr">
        <is>
          <t>100&lt;=X&lt;500</t>
        </is>
      </c>
      <c r="H94" s="5" t="inlineStr">
        <is>
          <t>4&lt;=X&lt;7</t>
        </is>
      </c>
      <c r="I94" s="5" t="n">
        <v>4</v>
      </c>
      <c r="J94" s="5" t="inlineStr">
        <is>
          <t>male single</t>
        </is>
      </c>
      <c r="K94" s="5" t="inlineStr">
        <is>
          <t>none</t>
        </is>
      </c>
      <c r="L94" s="5" t="n">
        <v>3</v>
      </c>
      <c r="M94" s="5" t="inlineStr">
        <is>
          <t>car</t>
        </is>
      </c>
      <c r="N94" s="5" t="n">
        <v>30</v>
      </c>
      <c r="O94" s="5" t="inlineStr">
        <is>
          <t>none</t>
        </is>
      </c>
      <c r="P94" s="5" t="inlineStr">
        <is>
          <t>own</t>
        </is>
      </c>
      <c r="Q94" s="5" t="n">
        <v>1</v>
      </c>
      <c r="R94" s="5" t="inlineStr">
        <is>
          <t>high qualif/self emp/mgmt</t>
        </is>
      </c>
      <c r="S94" s="5" t="n">
        <v>2</v>
      </c>
      <c r="T94" s="5" t="inlineStr">
        <is>
          <t>yes</t>
        </is>
      </c>
      <c r="U94" s="5" t="inlineStr">
        <is>
          <t>yes</t>
        </is>
      </c>
      <c r="V94" s="5" t="inlineStr">
        <is>
          <t>good</t>
        </is>
      </c>
    </row>
    <row r="95">
      <c r="A95" s="5" t="n">
        <v>90</v>
      </c>
      <c r="B95" s="5" t="inlineStr">
        <is>
          <t>&lt;0</t>
        </is>
      </c>
      <c r="C95" s="5" t="n">
        <v>12</v>
      </c>
      <c r="D95" s="5" t="inlineStr">
        <is>
          <t>no credits/all paid</t>
        </is>
      </c>
      <c r="E95" s="5" t="inlineStr">
        <is>
          <t>repairs</t>
        </is>
      </c>
      <c r="F95" s="5" t="n">
        <v>1108</v>
      </c>
      <c r="G95" s="5" t="inlineStr">
        <is>
          <t>&lt;100</t>
        </is>
      </c>
      <c r="H95" s="5" t="inlineStr">
        <is>
          <t>4&lt;=X&lt;7</t>
        </is>
      </c>
      <c r="I95" s="5" t="n">
        <v>4</v>
      </c>
      <c r="J95" s="5" t="inlineStr">
        <is>
          <t>male single</t>
        </is>
      </c>
      <c r="K95" s="5" t="inlineStr">
        <is>
          <t>none</t>
        </is>
      </c>
      <c r="L95" s="5" t="n">
        <v>3</v>
      </c>
      <c r="M95" s="5" t="inlineStr">
        <is>
          <t>real estate</t>
        </is>
      </c>
      <c r="N95" s="5" t="n">
        <v>28</v>
      </c>
      <c r="O95" s="5" t="inlineStr">
        <is>
          <t>none</t>
        </is>
      </c>
      <c r="P95" s="5" t="inlineStr">
        <is>
          <t>own</t>
        </is>
      </c>
      <c r="Q95" s="5" t="n">
        <v>2</v>
      </c>
      <c r="R95" s="5" t="inlineStr">
        <is>
          <t>skilled</t>
        </is>
      </c>
      <c r="S95" s="5" t="n">
        <v>1</v>
      </c>
      <c r="T95" s="5" t="inlineStr">
        <is>
          <t>none</t>
        </is>
      </c>
      <c r="U95" s="5" t="inlineStr">
        <is>
          <t>yes</t>
        </is>
      </c>
      <c r="V95" s="5" t="inlineStr">
        <is>
          <t>bad</t>
        </is>
      </c>
    </row>
    <row r="96">
      <c r="A96" s="5" t="n">
        <v>91</v>
      </c>
      <c r="B96" s="5" t="inlineStr">
        <is>
          <t>no checking</t>
        </is>
      </c>
      <c r="C96" s="5" t="n">
        <v>12</v>
      </c>
      <c r="D96" s="5" t="inlineStr">
        <is>
          <t>critical/other existing credit</t>
        </is>
      </c>
      <c r="E96" s="5" t="inlineStr">
        <is>
          <t>radio/tv</t>
        </is>
      </c>
      <c r="F96" s="5" t="n">
        <v>618</v>
      </c>
      <c r="G96" s="5" t="inlineStr">
        <is>
          <t>&lt;100</t>
        </is>
      </c>
      <c r="H96" s="5" t="inlineStr">
        <is>
          <t>&gt;=7</t>
        </is>
      </c>
      <c r="I96" s="5" t="n">
        <v>4</v>
      </c>
      <c r="J96" s="5" t="inlineStr">
        <is>
          <t>male single</t>
        </is>
      </c>
      <c r="K96" s="5" t="inlineStr">
        <is>
          <t>none</t>
        </is>
      </c>
      <c r="L96" s="5" t="n">
        <v>4</v>
      </c>
      <c r="M96" s="5" t="inlineStr">
        <is>
          <t>real estate</t>
        </is>
      </c>
      <c r="N96" s="5" t="n">
        <v>56</v>
      </c>
      <c r="O96" s="5" t="inlineStr">
        <is>
          <t>none</t>
        </is>
      </c>
      <c r="P96" s="5" t="inlineStr">
        <is>
          <t>own</t>
        </is>
      </c>
      <c r="Q96" s="5" t="n">
        <v>1</v>
      </c>
      <c r="R96" s="5" t="inlineStr">
        <is>
          <t>skilled</t>
        </is>
      </c>
      <c r="S96" s="5" t="n">
        <v>1</v>
      </c>
      <c r="T96" s="5" t="inlineStr">
        <is>
          <t>none</t>
        </is>
      </c>
      <c r="U96" s="5" t="inlineStr">
        <is>
          <t>yes</t>
        </is>
      </c>
      <c r="V96" s="5" t="inlineStr">
        <is>
          <t>good</t>
        </is>
      </c>
    </row>
    <row r="97">
      <c r="A97" s="5" t="n">
        <v>92</v>
      </c>
      <c r="B97" s="5" t="inlineStr">
        <is>
          <t>&lt;0</t>
        </is>
      </c>
      <c r="C97" s="5" t="n">
        <v>12</v>
      </c>
      <c r="D97" s="5" t="inlineStr">
        <is>
          <t>critical/other existing credit</t>
        </is>
      </c>
      <c r="E97" s="5" t="inlineStr">
        <is>
          <t>used car</t>
        </is>
      </c>
      <c r="F97" s="5" t="n">
        <v>1409</v>
      </c>
      <c r="G97" s="5" t="inlineStr">
        <is>
          <t>&lt;100</t>
        </is>
      </c>
      <c r="H97" s="5" t="inlineStr">
        <is>
          <t>&gt;=7</t>
        </is>
      </c>
      <c r="I97" s="5" t="n">
        <v>4</v>
      </c>
      <c r="J97" s="5" t="inlineStr">
        <is>
          <t>male single</t>
        </is>
      </c>
      <c r="K97" s="5" t="inlineStr">
        <is>
          <t>none</t>
        </is>
      </c>
      <c r="L97" s="5" t="n">
        <v>3</v>
      </c>
      <c r="M97" s="5" t="inlineStr">
        <is>
          <t>real estate</t>
        </is>
      </c>
      <c r="N97" s="5" t="n">
        <v>54</v>
      </c>
      <c r="O97" s="5" t="inlineStr">
        <is>
          <t>none</t>
        </is>
      </c>
      <c r="P97" s="5" t="inlineStr">
        <is>
          <t>own</t>
        </is>
      </c>
      <c r="Q97" s="5" t="n">
        <v>1</v>
      </c>
      <c r="R97" s="5" t="inlineStr">
        <is>
          <t>skilled</t>
        </is>
      </c>
      <c r="S97" s="5" t="n">
        <v>1</v>
      </c>
      <c r="T97" s="5" t="inlineStr">
        <is>
          <t>none</t>
        </is>
      </c>
      <c r="U97" s="5" t="inlineStr">
        <is>
          <t>yes</t>
        </is>
      </c>
      <c r="V97" s="5" t="inlineStr">
        <is>
          <t>good</t>
        </is>
      </c>
    </row>
    <row r="98">
      <c r="A98" s="5" t="n">
        <v>93</v>
      </c>
      <c r="B98" s="5" t="inlineStr">
        <is>
          <t>no checking</t>
        </is>
      </c>
      <c r="C98" s="5" t="n">
        <v>12</v>
      </c>
      <c r="D98" s="5" t="inlineStr">
        <is>
          <t>critical/other existing credit</t>
        </is>
      </c>
      <c r="E98" s="5" t="inlineStr">
        <is>
          <t>radio/tv</t>
        </is>
      </c>
      <c r="F98" s="5" t="n">
        <v>797</v>
      </c>
      <c r="G98" s="5" t="inlineStr">
        <is>
          <t>no known savings</t>
        </is>
      </c>
      <c r="H98" s="5" t="inlineStr">
        <is>
          <t>&gt;=7</t>
        </is>
      </c>
      <c r="I98" s="5" t="n">
        <v>4</v>
      </c>
      <c r="J98" s="5" t="inlineStr">
        <is>
          <t>female div/dep/mar</t>
        </is>
      </c>
      <c r="K98" s="5" t="inlineStr">
        <is>
          <t>none</t>
        </is>
      </c>
      <c r="L98" s="5" t="n">
        <v>3</v>
      </c>
      <c r="M98" s="5" t="inlineStr">
        <is>
          <t>life insurance</t>
        </is>
      </c>
      <c r="N98" s="5" t="n">
        <v>33</v>
      </c>
      <c r="O98" s="5" t="inlineStr">
        <is>
          <t>bank</t>
        </is>
      </c>
      <c r="P98" s="5" t="inlineStr">
        <is>
          <t>own</t>
        </is>
      </c>
      <c r="Q98" s="5" t="n">
        <v>1</v>
      </c>
      <c r="R98" s="5" t="inlineStr">
        <is>
          <t>unskilled resident</t>
        </is>
      </c>
      <c r="S98" s="5" t="n">
        <v>2</v>
      </c>
      <c r="T98" s="5" t="inlineStr">
        <is>
          <t>none</t>
        </is>
      </c>
      <c r="U98" s="5" t="inlineStr">
        <is>
          <t>yes</t>
        </is>
      </c>
      <c r="V98" s="5" t="inlineStr">
        <is>
          <t>bad</t>
        </is>
      </c>
    </row>
    <row r="99">
      <c r="A99" s="5" t="n">
        <v>94</v>
      </c>
      <c r="B99" s="5" t="inlineStr">
        <is>
          <t>&gt;=200</t>
        </is>
      </c>
      <c r="C99" s="5" t="n">
        <v>24</v>
      </c>
      <c r="D99" s="5" t="inlineStr">
        <is>
          <t>critical/other existing credit</t>
        </is>
      </c>
      <c r="E99" s="5" t="inlineStr">
        <is>
          <t>furniture/equipment</t>
        </is>
      </c>
      <c r="F99" s="5" t="n">
        <v>3617</v>
      </c>
      <c r="G99" s="5" t="inlineStr">
        <is>
          <t>no known savings</t>
        </is>
      </c>
      <c r="H99" s="5" t="inlineStr">
        <is>
          <t>&gt;=7</t>
        </is>
      </c>
      <c r="I99" s="5" t="n">
        <v>4</v>
      </c>
      <c r="J99" s="5" t="inlineStr">
        <is>
          <t>male single</t>
        </is>
      </c>
      <c r="K99" s="5" t="inlineStr">
        <is>
          <t>co applicant</t>
        </is>
      </c>
      <c r="L99" s="5" t="n">
        <v>4</v>
      </c>
      <c r="M99" s="5" t="inlineStr">
        <is>
          <t>no known property</t>
        </is>
      </c>
      <c r="N99" s="5" t="n">
        <v>20</v>
      </c>
      <c r="O99" s="5" t="inlineStr">
        <is>
          <t>none</t>
        </is>
      </c>
      <c r="P99" s="5" t="inlineStr">
        <is>
          <t>rent</t>
        </is>
      </c>
      <c r="Q99" s="5" t="n">
        <v>2</v>
      </c>
      <c r="R99" s="5" t="inlineStr">
        <is>
          <t>skilled</t>
        </is>
      </c>
      <c r="S99" s="5" t="n">
        <v>1</v>
      </c>
      <c r="T99" s="5" t="inlineStr">
        <is>
          <t>none</t>
        </is>
      </c>
      <c r="U99" s="5" t="inlineStr">
        <is>
          <t>yes</t>
        </is>
      </c>
      <c r="V99" s="5" t="inlineStr">
        <is>
          <t>good</t>
        </is>
      </c>
    </row>
    <row r="100">
      <c r="A100" s="5" t="n">
        <v>95</v>
      </c>
      <c r="B100" s="5" t="inlineStr">
        <is>
          <t>0&lt;=X&lt;200</t>
        </is>
      </c>
      <c r="C100" s="5" t="n">
        <v>12</v>
      </c>
      <c r="D100" s="5" t="inlineStr">
        <is>
          <t>existing paid</t>
        </is>
      </c>
      <c r="E100" s="5" t="inlineStr">
        <is>
          <t>new car</t>
        </is>
      </c>
      <c r="F100" s="5" t="n">
        <v>1318</v>
      </c>
      <c r="G100" s="5" t="inlineStr">
        <is>
          <t>&gt;=1000</t>
        </is>
      </c>
      <c r="H100" s="5" t="inlineStr">
        <is>
          <t>&gt;=7</t>
        </is>
      </c>
      <c r="I100" s="5" t="n">
        <v>4</v>
      </c>
      <c r="J100" s="5" t="inlineStr">
        <is>
          <t>male single</t>
        </is>
      </c>
      <c r="K100" s="5" t="inlineStr">
        <is>
          <t>none</t>
        </is>
      </c>
      <c r="L100" s="5" t="n">
        <v>4</v>
      </c>
      <c r="M100" s="5" t="inlineStr">
        <is>
          <t>real estate</t>
        </is>
      </c>
      <c r="N100" s="5" t="n">
        <v>54</v>
      </c>
      <c r="O100" s="5" t="inlineStr">
        <is>
          <t>none</t>
        </is>
      </c>
      <c r="P100" s="5" t="inlineStr">
        <is>
          <t>own</t>
        </is>
      </c>
      <c r="Q100" s="5" t="n">
        <v>1</v>
      </c>
      <c r="R100" s="5" t="inlineStr">
        <is>
          <t>skilled</t>
        </is>
      </c>
      <c r="S100" s="5" t="n">
        <v>1</v>
      </c>
      <c r="T100" s="5" t="inlineStr">
        <is>
          <t>yes</t>
        </is>
      </c>
      <c r="U100" s="5" t="inlineStr">
        <is>
          <t>yes</t>
        </is>
      </c>
      <c r="V100" s="5" t="inlineStr">
        <is>
          <t>good</t>
        </is>
      </c>
    </row>
    <row r="101">
      <c r="A101" s="5" t="n">
        <v>96</v>
      </c>
      <c r="B101" s="5" t="inlineStr">
        <is>
          <t>0&lt;=X&lt;200</t>
        </is>
      </c>
      <c r="C101" s="5" t="n">
        <v>54</v>
      </c>
      <c r="D101" s="5" t="inlineStr">
        <is>
          <t>no credits/all paid</t>
        </is>
      </c>
      <c r="E101" s="5" t="inlineStr">
        <is>
          <t>business</t>
        </is>
      </c>
      <c r="F101" s="5" t="n">
        <v>15945</v>
      </c>
      <c r="G101" s="5" t="inlineStr">
        <is>
          <t>&lt;100</t>
        </is>
      </c>
      <c r="H101" s="5" t="inlineStr">
        <is>
          <t>&lt;1</t>
        </is>
      </c>
      <c r="I101" s="5" t="n">
        <v>3</v>
      </c>
      <c r="J101" s="5" t="inlineStr">
        <is>
          <t>male single</t>
        </is>
      </c>
      <c r="K101" s="5" t="inlineStr">
        <is>
          <t>none</t>
        </is>
      </c>
      <c r="L101" s="5" t="n">
        <v>4</v>
      </c>
      <c r="M101" s="5" t="inlineStr">
        <is>
          <t>no known property</t>
        </is>
      </c>
      <c r="N101" s="5" t="n">
        <v>58</v>
      </c>
      <c r="O101" s="5" t="inlineStr">
        <is>
          <t>none</t>
        </is>
      </c>
      <c r="P101" s="5" t="inlineStr">
        <is>
          <t>rent</t>
        </is>
      </c>
      <c r="Q101" s="5" t="n">
        <v>1</v>
      </c>
      <c r="R101" s="5" t="inlineStr">
        <is>
          <t>skilled</t>
        </is>
      </c>
      <c r="S101" s="5" t="n">
        <v>1</v>
      </c>
      <c r="T101" s="5" t="inlineStr">
        <is>
          <t>yes</t>
        </is>
      </c>
      <c r="U101" s="5" t="inlineStr">
        <is>
          <t>yes</t>
        </is>
      </c>
      <c r="V101" s="5" t="inlineStr">
        <is>
          <t>bad</t>
        </is>
      </c>
    </row>
    <row r="102">
      <c r="A102" s="5" t="n">
        <v>97</v>
      </c>
      <c r="B102" s="5" t="inlineStr">
        <is>
          <t>no checking</t>
        </is>
      </c>
      <c r="C102" s="5" t="n">
        <v>12</v>
      </c>
      <c r="D102" s="5" t="inlineStr">
        <is>
          <t>critical/other existing credit</t>
        </is>
      </c>
      <c r="E102" s="5" t="inlineStr">
        <is>
          <t>education</t>
        </is>
      </c>
      <c r="F102" s="5" t="n">
        <v>2012</v>
      </c>
      <c r="G102" s="5" t="inlineStr">
        <is>
          <t>no known savings</t>
        </is>
      </c>
      <c r="H102" s="5" t="inlineStr">
        <is>
          <t>4&lt;=X&lt;7</t>
        </is>
      </c>
      <c r="I102" s="5" t="n">
        <v>4</v>
      </c>
      <c r="J102" s="5" t="inlineStr">
        <is>
          <t>female div/dep/mar</t>
        </is>
      </c>
      <c r="K102" s="5" t="inlineStr">
        <is>
          <t>none</t>
        </is>
      </c>
      <c r="L102" s="5" t="n">
        <v>2</v>
      </c>
      <c r="M102" s="5" t="inlineStr">
        <is>
          <t>car</t>
        </is>
      </c>
      <c r="N102" s="5" t="n">
        <v>61</v>
      </c>
      <c r="O102" s="5" t="inlineStr">
        <is>
          <t>none</t>
        </is>
      </c>
      <c r="P102" s="5" t="inlineStr">
        <is>
          <t>own</t>
        </is>
      </c>
      <c r="Q102" s="5" t="n">
        <v>1</v>
      </c>
      <c r="R102" s="5" t="inlineStr">
        <is>
          <t>skilled</t>
        </is>
      </c>
      <c r="S102" s="5" t="n">
        <v>1</v>
      </c>
      <c r="T102" s="5" t="inlineStr">
        <is>
          <t>none</t>
        </is>
      </c>
      <c r="U102" s="5" t="inlineStr">
        <is>
          <t>yes</t>
        </is>
      </c>
      <c r="V102" s="5" t="inlineStr">
        <is>
          <t>good</t>
        </is>
      </c>
    </row>
    <row r="103">
      <c r="A103" s="5" t="n">
        <v>98</v>
      </c>
      <c r="B103" s="5" t="inlineStr">
        <is>
          <t>0&lt;=X&lt;200</t>
        </is>
      </c>
      <c r="C103" s="5" t="n">
        <v>18</v>
      </c>
      <c r="D103" s="5" t="inlineStr">
        <is>
          <t>existing paid</t>
        </is>
      </c>
      <c r="E103" s="5" t="inlineStr">
        <is>
          <t>business</t>
        </is>
      </c>
      <c r="F103" s="5" t="n">
        <v>2622</v>
      </c>
      <c r="G103" s="5" t="inlineStr">
        <is>
          <t>100&lt;=X&lt;500</t>
        </is>
      </c>
      <c r="H103" s="5" t="inlineStr">
        <is>
          <t>1&lt;=X&lt;4</t>
        </is>
      </c>
      <c r="I103" s="5" t="n">
        <v>4</v>
      </c>
      <c r="J103" s="5" t="inlineStr">
        <is>
          <t>male single</t>
        </is>
      </c>
      <c r="K103" s="5" t="inlineStr">
        <is>
          <t>none</t>
        </is>
      </c>
      <c r="L103" s="5" t="n">
        <v>4</v>
      </c>
      <c r="M103" s="5" t="inlineStr">
        <is>
          <t>car</t>
        </is>
      </c>
      <c r="N103" s="5" t="n">
        <v>34</v>
      </c>
      <c r="O103" s="5" t="inlineStr">
        <is>
          <t>none</t>
        </is>
      </c>
      <c r="P103" s="5" t="inlineStr">
        <is>
          <t>own</t>
        </is>
      </c>
      <c r="Q103" s="5" t="n">
        <v>1</v>
      </c>
      <c r="R103" s="5" t="inlineStr">
        <is>
          <t>skilled</t>
        </is>
      </c>
      <c r="S103" s="5" t="n">
        <v>1</v>
      </c>
      <c r="T103" s="5" t="inlineStr">
        <is>
          <t>none</t>
        </is>
      </c>
      <c r="U103" s="5" t="inlineStr">
        <is>
          <t>yes</t>
        </is>
      </c>
      <c r="V103" s="5" t="inlineStr">
        <is>
          <t>good</t>
        </is>
      </c>
    </row>
    <row r="104">
      <c r="A104" s="5" t="n">
        <v>99</v>
      </c>
      <c r="B104" s="5" t="inlineStr">
        <is>
          <t>0&lt;=X&lt;200</t>
        </is>
      </c>
      <c r="C104" s="5" t="n">
        <v>36</v>
      </c>
      <c r="D104" s="5" t="inlineStr">
        <is>
          <t>critical/other existing credit</t>
        </is>
      </c>
      <c r="E104" s="5" t="inlineStr">
        <is>
          <t>radio/tv</t>
        </is>
      </c>
      <c r="F104" s="5" t="n">
        <v>2337</v>
      </c>
      <c r="G104" s="5" t="inlineStr">
        <is>
          <t>&lt;100</t>
        </is>
      </c>
      <c r="H104" s="5" t="inlineStr">
        <is>
          <t>&gt;=7</t>
        </is>
      </c>
      <c r="I104" s="5" t="n">
        <v>4</v>
      </c>
      <c r="J104" s="5" t="inlineStr">
        <is>
          <t>male single</t>
        </is>
      </c>
      <c r="K104" s="5" t="inlineStr">
        <is>
          <t>none</t>
        </is>
      </c>
      <c r="L104" s="5" t="n">
        <v>4</v>
      </c>
      <c r="M104" s="5" t="inlineStr">
        <is>
          <t>real estate</t>
        </is>
      </c>
      <c r="N104" s="5" t="n">
        <v>36</v>
      </c>
      <c r="O104" s="5" t="inlineStr">
        <is>
          <t>none</t>
        </is>
      </c>
      <c r="P104" s="5" t="inlineStr">
        <is>
          <t>own</t>
        </is>
      </c>
      <c r="Q104" s="5" t="n">
        <v>1</v>
      </c>
      <c r="R104" s="5" t="inlineStr">
        <is>
          <t>skilled</t>
        </is>
      </c>
      <c r="S104" s="5" t="n">
        <v>1</v>
      </c>
      <c r="T104" s="5" t="inlineStr">
        <is>
          <t>none</t>
        </is>
      </c>
      <c r="U104" s="5" t="inlineStr">
        <is>
          <t>yes</t>
        </is>
      </c>
      <c r="V104" s="5" t="inlineStr">
        <is>
          <t>good</t>
        </is>
      </c>
    </row>
    <row r="105">
      <c r="A105" s="5" t="n">
        <v>100</v>
      </c>
      <c r="B105" s="5" t="inlineStr">
        <is>
          <t>0&lt;=X&lt;200</t>
        </is>
      </c>
      <c r="C105" s="5" t="n">
        <v>20</v>
      </c>
      <c r="D105" s="5" t="inlineStr">
        <is>
          <t>delayed previously</t>
        </is>
      </c>
      <c r="E105" s="5" t="inlineStr">
        <is>
          <t>used car</t>
        </is>
      </c>
      <c r="F105" s="5" t="n">
        <v>7057</v>
      </c>
      <c r="G105" s="5" t="inlineStr">
        <is>
          <t>no known savings</t>
        </is>
      </c>
      <c r="H105" s="5" t="inlineStr">
        <is>
          <t>4&lt;=X&lt;7</t>
        </is>
      </c>
      <c r="I105" s="5" t="n">
        <v>3</v>
      </c>
      <c r="J105" s="5" t="inlineStr">
        <is>
          <t>male single</t>
        </is>
      </c>
      <c r="K105" s="5" t="inlineStr">
        <is>
          <t>none</t>
        </is>
      </c>
      <c r="L105" s="5" t="n">
        <v>4</v>
      </c>
      <c r="M105" s="5" t="inlineStr">
        <is>
          <t>life insurance</t>
        </is>
      </c>
      <c r="N105" s="5" t="n">
        <v>36</v>
      </c>
      <c r="O105" s="5" t="inlineStr">
        <is>
          <t>bank</t>
        </is>
      </c>
      <c r="P105" s="5" t="inlineStr">
        <is>
          <t>rent</t>
        </is>
      </c>
      <c r="Q105" s="5" t="n">
        <v>2</v>
      </c>
      <c r="R105" s="5" t="inlineStr">
        <is>
          <t>high qualif/self emp/mgmt</t>
        </is>
      </c>
      <c r="S105" s="5" t="n">
        <v>2</v>
      </c>
      <c r="T105" s="5" t="inlineStr">
        <is>
          <t>yes</t>
        </is>
      </c>
      <c r="U105" s="5" t="inlineStr">
        <is>
          <t>yes</t>
        </is>
      </c>
      <c r="V105" s="5" t="inlineStr">
        <is>
          <t>good</t>
        </is>
      </c>
    </row>
    <row r="106">
      <c r="A106" s="5" t="n">
        <v>101</v>
      </c>
      <c r="B106" s="5" t="inlineStr">
        <is>
          <t>no checking</t>
        </is>
      </c>
      <c r="C106" s="5" t="n">
        <v>24</v>
      </c>
      <c r="D106" s="5" t="inlineStr">
        <is>
          <t>existing paid</t>
        </is>
      </c>
      <c r="E106" s="5" t="inlineStr">
        <is>
          <t>new car</t>
        </is>
      </c>
      <c r="F106" s="5" t="n">
        <v>1469</v>
      </c>
      <c r="G106" s="5" t="inlineStr">
        <is>
          <t>100&lt;=X&lt;500</t>
        </is>
      </c>
      <c r="H106" s="5" t="inlineStr">
        <is>
          <t>&gt;=7</t>
        </is>
      </c>
      <c r="I106" s="5" t="n">
        <v>4</v>
      </c>
      <c r="J106" s="5" t="inlineStr">
        <is>
          <t>male mar/wid</t>
        </is>
      </c>
      <c r="K106" s="5" t="inlineStr">
        <is>
          <t>none</t>
        </is>
      </c>
      <c r="L106" s="5" t="n">
        <v>4</v>
      </c>
      <c r="M106" s="5" t="inlineStr">
        <is>
          <t>real estate</t>
        </is>
      </c>
      <c r="N106" s="5" t="n">
        <v>41</v>
      </c>
      <c r="O106" s="5" t="inlineStr">
        <is>
          <t>none</t>
        </is>
      </c>
      <c r="P106" s="5" t="inlineStr">
        <is>
          <t>rent</t>
        </is>
      </c>
      <c r="Q106" s="5" t="n">
        <v>1</v>
      </c>
      <c r="R106" s="5" t="inlineStr">
        <is>
          <t>unskilled resident</t>
        </is>
      </c>
      <c r="S106" s="5" t="n">
        <v>1</v>
      </c>
      <c r="T106" s="5" t="inlineStr">
        <is>
          <t>none</t>
        </is>
      </c>
      <c r="U106" s="5" t="inlineStr">
        <is>
          <t>yes</t>
        </is>
      </c>
      <c r="V106" s="5" t="inlineStr">
        <is>
          <t>good</t>
        </is>
      </c>
    </row>
    <row r="107">
      <c r="A107" s="5" t="n">
        <v>102</v>
      </c>
      <c r="B107" s="5" t="inlineStr">
        <is>
          <t>0&lt;=X&lt;200</t>
        </is>
      </c>
      <c r="C107" s="5" t="n">
        <v>36</v>
      </c>
      <c r="D107" s="5" t="inlineStr">
        <is>
          <t>existing paid</t>
        </is>
      </c>
      <c r="E107" s="5" t="inlineStr">
        <is>
          <t>radio/tv</t>
        </is>
      </c>
      <c r="F107" s="5" t="n">
        <v>2323</v>
      </c>
      <c r="G107" s="5" t="inlineStr">
        <is>
          <t>&lt;100</t>
        </is>
      </c>
      <c r="H107" s="5" t="inlineStr">
        <is>
          <t>4&lt;=X&lt;7</t>
        </is>
      </c>
      <c r="I107" s="5" t="n">
        <v>4</v>
      </c>
      <c r="J107" s="5" t="inlineStr">
        <is>
          <t>male single</t>
        </is>
      </c>
      <c r="K107" s="5" t="inlineStr">
        <is>
          <t>none</t>
        </is>
      </c>
      <c r="L107" s="5" t="n">
        <v>4</v>
      </c>
      <c r="M107" s="5" t="inlineStr">
        <is>
          <t>car</t>
        </is>
      </c>
      <c r="N107" s="5" t="n">
        <v>24</v>
      </c>
      <c r="O107" s="5" t="inlineStr">
        <is>
          <t>none</t>
        </is>
      </c>
      <c r="P107" s="5" t="inlineStr">
        <is>
          <t>rent</t>
        </is>
      </c>
      <c r="Q107" s="5" t="n">
        <v>1</v>
      </c>
      <c r="R107" s="5" t="inlineStr">
        <is>
          <t>skilled</t>
        </is>
      </c>
      <c r="S107" s="5" t="n">
        <v>1</v>
      </c>
      <c r="T107" s="5" t="inlineStr">
        <is>
          <t>none</t>
        </is>
      </c>
      <c r="U107" s="5" t="inlineStr">
        <is>
          <t>yes</t>
        </is>
      </c>
      <c r="V107" s="5" t="inlineStr">
        <is>
          <t>good</t>
        </is>
      </c>
    </row>
    <row r="108">
      <c r="A108" s="5" t="n">
        <v>103</v>
      </c>
      <c r="B108" s="5" t="inlineStr">
        <is>
          <t>no checking</t>
        </is>
      </c>
      <c r="C108" s="5" t="n">
        <v>6</v>
      </c>
      <c r="D108" s="5" t="inlineStr">
        <is>
          <t>delayed previously</t>
        </is>
      </c>
      <c r="E108" s="5" t="inlineStr">
        <is>
          <t>radio/tv</t>
        </is>
      </c>
      <c r="F108" s="5" t="n">
        <v>932</v>
      </c>
      <c r="G108" s="5" t="inlineStr">
        <is>
          <t>&lt;100</t>
        </is>
      </c>
      <c r="H108" s="5" t="inlineStr">
        <is>
          <t>1&lt;=X&lt;4</t>
        </is>
      </c>
      <c r="I108" s="5" t="n">
        <v>3</v>
      </c>
      <c r="J108" s="5" t="inlineStr">
        <is>
          <t>female div/dep/mar</t>
        </is>
      </c>
      <c r="K108" s="5" t="inlineStr">
        <is>
          <t>none</t>
        </is>
      </c>
      <c r="L108" s="5" t="n">
        <v>2</v>
      </c>
      <c r="M108" s="5" t="inlineStr">
        <is>
          <t>real estate</t>
        </is>
      </c>
      <c r="N108" s="5" t="n">
        <v>24</v>
      </c>
      <c r="O108" s="5" t="inlineStr">
        <is>
          <t>none</t>
        </is>
      </c>
      <c r="P108" s="5" t="inlineStr">
        <is>
          <t>own</t>
        </is>
      </c>
      <c r="Q108" s="5" t="n">
        <v>1</v>
      </c>
      <c r="R108" s="5" t="inlineStr">
        <is>
          <t>skilled</t>
        </is>
      </c>
      <c r="S108" s="5" t="n">
        <v>1</v>
      </c>
      <c r="T108" s="5" t="inlineStr">
        <is>
          <t>none</t>
        </is>
      </c>
      <c r="U108" s="5" t="inlineStr">
        <is>
          <t>yes</t>
        </is>
      </c>
      <c r="V108" s="5" t="inlineStr">
        <is>
          <t>good</t>
        </is>
      </c>
    </row>
    <row r="109">
      <c r="A109" s="5" t="n">
        <v>104</v>
      </c>
      <c r="B109" s="5" t="inlineStr">
        <is>
          <t>0&lt;=X&lt;200</t>
        </is>
      </c>
      <c r="C109" s="5" t="n">
        <v>9</v>
      </c>
      <c r="D109" s="5" t="inlineStr">
        <is>
          <t>critical/other existing credit</t>
        </is>
      </c>
      <c r="E109" s="5" t="inlineStr">
        <is>
          <t>furniture/equipment</t>
        </is>
      </c>
      <c r="F109" s="5" t="n">
        <v>1919</v>
      </c>
      <c r="G109" s="5" t="inlineStr">
        <is>
          <t>&lt;100</t>
        </is>
      </c>
      <c r="H109" s="5" t="inlineStr">
        <is>
          <t>4&lt;=X&lt;7</t>
        </is>
      </c>
      <c r="I109" s="5" t="n">
        <v>4</v>
      </c>
      <c r="J109" s="5" t="inlineStr">
        <is>
          <t>male single</t>
        </is>
      </c>
      <c r="K109" s="5" t="inlineStr">
        <is>
          <t>none</t>
        </is>
      </c>
      <c r="L109" s="5" t="n">
        <v>3</v>
      </c>
      <c r="M109" s="5" t="inlineStr">
        <is>
          <t>car</t>
        </is>
      </c>
      <c r="N109" s="5" t="n">
        <v>35</v>
      </c>
      <c r="O109" s="5" t="inlineStr">
        <is>
          <t>none</t>
        </is>
      </c>
      <c r="P109" s="5" t="inlineStr">
        <is>
          <t>rent</t>
        </is>
      </c>
      <c r="Q109" s="5" t="n">
        <v>1</v>
      </c>
      <c r="R109" s="5" t="inlineStr">
        <is>
          <t>skilled</t>
        </is>
      </c>
      <c r="S109" s="5" t="n">
        <v>1</v>
      </c>
      <c r="T109" s="5" t="inlineStr">
        <is>
          <t>yes</t>
        </is>
      </c>
      <c r="U109" s="5" t="inlineStr">
        <is>
          <t>yes</t>
        </is>
      </c>
      <c r="V109" s="5" t="inlineStr">
        <is>
          <t>good</t>
        </is>
      </c>
    </row>
    <row r="110">
      <c r="A110" s="5" t="n">
        <v>105</v>
      </c>
      <c r="B110" s="5" t="inlineStr">
        <is>
          <t>no checking</t>
        </is>
      </c>
      <c r="C110" s="5" t="n">
        <v>12</v>
      </c>
      <c r="D110" s="5" t="inlineStr">
        <is>
          <t>existing paid</t>
        </is>
      </c>
      <c r="E110" s="5" t="inlineStr">
        <is>
          <t>used car</t>
        </is>
      </c>
      <c r="F110" s="5" t="n">
        <v>2445</v>
      </c>
      <c r="G110" s="5" t="inlineStr">
        <is>
          <t>no known savings</t>
        </is>
      </c>
      <c r="H110" s="5" t="inlineStr">
        <is>
          <t>&lt;1</t>
        </is>
      </c>
      <c r="I110" s="5" t="n">
        <v>2</v>
      </c>
      <c r="J110" s="5" t="inlineStr">
        <is>
          <t>male mar/wid</t>
        </is>
      </c>
      <c r="K110" s="5" t="inlineStr">
        <is>
          <t>none</t>
        </is>
      </c>
      <c r="L110" s="5" t="n">
        <v>4</v>
      </c>
      <c r="M110" s="5" t="inlineStr">
        <is>
          <t>car</t>
        </is>
      </c>
      <c r="N110" s="5" t="n">
        <v>26</v>
      </c>
      <c r="O110" s="5" t="inlineStr">
        <is>
          <t>none</t>
        </is>
      </c>
      <c r="P110" s="5" t="inlineStr">
        <is>
          <t>rent</t>
        </is>
      </c>
      <c r="Q110" s="5" t="n">
        <v>1</v>
      </c>
      <c r="R110" s="5" t="inlineStr">
        <is>
          <t>skilled</t>
        </is>
      </c>
      <c r="S110" s="5" t="n">
        <v>1</v>
      </c>
      <c r="T110" s="5" t="inlineStr">
        <is>
          <t>yes</t>
        </is>
      </c>
      <c r="U110" s="5" t="inlineStr">
        <is>
          <t>yes</t>
        </is>
      </c>
      <c r="V110" s="5" t="inlineStr">
        <is>
          <t>good</t>
        </is>
      </c>
    </row>
    <row r="111">
      <c r="A111" s="5" t="n">
        <v>106</v>
      </c>
      <c r="B111" s="5" t="inlineStr">
        <is>
          <t>0&lt;=X&lt;200</t>
        </is>
      </c>
      <c r="C111" s="5" t="n">
        <v>24</v>
      </c>
      <c r="D111" s="5" t="inlineStr">
        <is>
          <t>critical/other existing credit</t>
        </is>
      </c>
      <c r="E111" s="5" t="inlineStr">
        <is>
          <t>other</t>
        </is>
      </c>
      <c r="F111" s="5" t="n">
        <v>11938</v>
      </c>
      <c r="G111" s="5" t="inlineStr">
        <is>
          <t>&lt;100</t>
        </is>
      </c>
      <c r="H111" s="5" t="inlineStr">
        <is>
          <t>1&lt;=X&lt;4</t>
        </is>
      </c>
      <c r="I111" s="5" t="n">
        <v>2</v>
      </c>
      <c r="J111" s="5" t="inlineStr">
        <is>
          <t>male single</t>
        </is>
      </c>
      <c r="K111" s="5" t="inlineStr">
        <is>
          <t>co applicant</t>
        </is>
      </c>
      <c r="L111" s="5" t="n">
        <v>3</v>
      </c>
      <c r="M111" s="5" t="inlineStr">
        <is>
          <t>car</t>
        </is>
      </c>
      <c r="N111" s="5" t="n">
        <v>39</v>
      </c>
      <c r="O111" s="5" t="inlineStr">
        <is>
          <t>none</t>
        </is>
      </c>
      <c r="P111" s="5" t="inlineStr">
        <is>
          <t>own</t>
        </is>
      </c>
      <c r="Q111" s="5" t="n">
        <v>2</v>
      </c>
      <c r="R111" s="5" t="inlineStr">
        <is>
          <t>high qualif/self emp/mgmt</t>
        </is>
      </c>
      <c r="S111" s="5" t="n">
        <v>2</v>
      </c>
      <c r="T111" s="5" t="inlineStr">
        <is>
          <t>yes</t>
        </is>
      </c>
      <c r="U111" s="5" t="inlineStr">
        <is>
          <t>yes</t>
        </is>
      </c>
      <c r="V111" s="5" t="inlineStr">
        <is>
          <t>bad</t>
        </is>
      </c>
    </row>
    <row r="112">
      <c r="A112" s="5" t="n">
        <v>107</v>
      </c>
      <c r="B112" s="5" t="inlineStr">
        <is>
          <t>no checking</t>
        </is>
      </c>
      <c r="C112" s="5" t="n">
        <v>18</v>
      </c>
      <c r="D112" s="5" t="inlineStr">
        <is>
          <t>all paid</t>
        </is>
      </c>
      <c r="E112" s="5" t="inlineStr">
        <is>
          <t>new car</t>
        </is>
      </c>
      <c r="F112" s="5" t="n">
        <v>6458</v>
      </c>
      <c r="G112" s="5" t="inlineStr">
        <is>
          <t>&lt;100</t>
        </is>
      </c>
      <c r="H112" s="5" t="inlineStr">
        <is>
          <t>&gt;=7</t>
        </is>
      </c>
      <c r="I112" s="5" t="n">
        <v>2</v>
      </c>
      <c r="J112" s="5" t="inlineStr">
        <is>
          <t>male single</t>
        </is>
      </c>
      <c r="K112" s="5" t="inlineStr">
        <is>
          <t>none</t>
        </is>
      </c>
      <c r="L112" s="5" t="n">
        <v>4</v>
      </c>
      <c r="M112" s="5" t="inlineStr">
        <is>
          <t>no known property</t>
        </is>
      </c>
      <c r="N112" s="5" t="n">
        <v>39</v>
      </c>
      <c r="O112" s="5" t="inlineStr">
        <is>
          <t>bank</t>
        </is>
      </c>
      <c r="P112" s="5" t="inlineStr">
        <is>
          <t>own</t>
        </is>
      </c>
      <c r="Q112" s="5" t="n">
        <v>2</v>
      </c>
      <c r="R112" s="5" t="inlineStr">
        <is>
          <t>high qualif/self emp/mgmt</t>
        </is>
      </c>
      <c r="S112" s="5" t="n">
        <v>2</v>
      </c>
      <c r="T112" s="5" t="inlineStr">
        <is>
          <t>yes</t>
        </is>
      </c>
      <c r="U112" s="5" t="inlineStr">
        <is>
          <t>yes</t>
        </is>
      </c>
      <c r="V112" s="5" t="inlineStr">
        <is>
          <t>bad</t>
        </is>
      </c>
    </row>
    <row r="113">
      <c r="A113" s="5" t="n">
        <v>108</v>
      </c>
      <c r="B113" s="5" t="inlineStr">
        <is>
          <t>0&lt;=X&lt;200</t>
        </is>
      </c>
      <c r="C113" s="5" t="n">
        <v>12</v>
      </c>
      <c r="D113" s="5" t="inlineStr">
        <is>
          <t>existing paid</t>
        </is>
      </c>
      <c r="E113" s="5" t="inlineStr">
        <is>
          <t>new car</t>
        </is>
      </c>
      <c r="F113" s="5" t="n">
        <v>6078</v>
      </c>
      <c r="G113" s="5" t="inlineStr">
        <is>
          <t>&lt;100</t>
        </is>
      </c>
      <c r="H113" s="5" t="inlineStr">
        <is>
          <t>4&lt;=X&lt;7</t>
        </is>
      </c>
      <c r="I113" s="5" t="n">
        <v>2</v>
      </c>
      <c r="J113" s="5" t="inlineStr">
        <is>
          <t>male single</t>
        </is>
      </c>
      <c r="K113" s="5" t="inlineStr">
        <is>
          <t>none</t>
        </is>
      </c>
      <c r="L113" s="5" t="n">
        <v>2</v>
      </c>
      <c r="M113" s="5" t="inlineStr">
        <is>
          <t>car</t>
        </is>
      </c>
      <c r="N113" s="5" t="n">
        <v>32</v>
      </c>
      <c r="O113" s="5" t="inlineStr">
        <is>
          <t>none</t>
        </is>
      </c>
      <c r="P113" s="5" t="inlineStr">
        <is>
          <t>own</t>
        </is>
      </c>
      <c r="Q113" s="5" t="n">
        <v>1</v>
      </c>
      <c r="R113" s="5" t="inlineStr">
        <is>
          <t>skilled</t>
        </is>
      </c>
      <c r="S113" s="5" t="n">
        <v>1</v>
      </c>
      <c r="T113" s="5" t="inlineStr">
        <is>
          <t>none</t>
        </is>
      </c>
      <c r="U113" s="5" t="inlineStr">
        <is>
          <t>yes</t>
        </is>
      </c>
      <c r="V113" s="5" t="inlineStr">
        <is>
          <t>good</t>
        </is>
      </c>
    </row>
    <row r="114">
      <c r="A114" s="5" t="n">
        <v>109</v>
      </c>
      <c r="B114" s="5" t="inlineStr">
        <is>
          <t>&lt;0</t>
        </is>
      </c>
      <c r="C114" s="5" t="n">
        <v>24</v>
      </c>
      <c r="D114" s="5" t="inlineStr">
        <is>
          <t>existing paid</t>
        </is>
      </c>
      <c r="E114" s="5" t="inlineStr">
        <is>
          <t>furniture/equipment</t>
        </is>
      </c>
      <c r="F114" s="5" t="n">
        <v>7721</v>
      </c>
      <c r="G114" s="5" t="inlineStr">
        <is>
          <t>no known savings</t>
        </is>
      </c>
      <c r="H114" s="5" t="inlineStr">
        <is>
          <t>&lt;1</t>
        </is>
      </c>
      <c r="I114" s="5" t="n">
        <v>1</v>
      </c>
      <c r="J114" s="5" t="inlineStr">
        <is>
          <t>female div/dep/mar</t>
        </is>
      </c>
      <c r="K114" s="5" t="inlineStr">
        <is>
          <t>none</t>
        </is>
      </c>
      <c r="L114" s="5" t="n">
        <v>2</v>
      </c>
      <c r="M114" s="5" t="inlineStr">
        <is>
          <t>life insurance</t>
        </is>
      </c>
      <c r="N114" s="5" t="n">
        <v>30</v>
      </c>
      <c r="O114" s="5" t="inlineStr">
        <is>
          <t>none</t>
        </is>
      </c>
      <c r="P114" s="5" t="inlineStr">
        <is>
          <t>own</t>
        </is>
      </c>
      <c r="Q114" s="5" t="n">
        <v>1</v>
      </c>
      <c r="R114" s="5" t="inlineStr">
        <is>
          <t>skilled</t>
        </is>
      </c>
      <c r="S114" s="5" t="n">
        <v>1</v>
      </c>
      <c r="T114" s="5" t="inlineStr">
        <is>
          <t>yes</t>
        </is>
      </c>
      <c r="U114" s="5" t="inlineStr">
        <is>
          <t>no</t>
        </is>
      </c>
      <c r="V114" s="5" t="inlineStr">
        <is>
          <t>good</t>
        </is>
      </c>
    </row>
    <row r="115">
      <c r="A115" s="5" t="n">
        <v>110</v>
      </c>
      <c r="B115" s="5" t="inlineStr">
        <is>
          <t>0&lt;=X&lt;200</t>
        </is>
      </c>
      <c r="C115" s="5" t="n">
        <v>14</v>
      </c>
      <c r="D115" s="5" t="inlineStr">
        <is>
          <t>existing paid</t>
        </is>
      </c>
      <c r="E115" s="5" t="inlineStr">
        <is>
          <t>business</t>
        </is>
      </c>
      <c r="F115" s="5" t="n">
        <v>1410</v>
      </c>
      <c r="G115" s="5" t="inlineStr">
        <is>
          <t>500&lt;=X&lt;1000</t>
        </is>
      </c>
      <c r="H115" s="5" t="inlineStr">
        <is>
          <t>&gt;=7</t>
        </is>
      </c>
      <c r="I115" s="5" t="n">
        <v>1</v>
      </c>
      <c r="J115" s="5" t="inlineStr">
        <is>
          <t>male mar/wid</t>
        </is>
      </c>
      <c r="K115" s="5" t="inlineStr">
        <is>
          <t>none</t>
        </is>
      </c>
      <c r="L115" s="5" t="n">
        <v>2</v>
      </c>
      <c r="M115" s="5" t="inlineStr">
        <is>
          <t>real estate</t>
        </is>
      </c>
      <c r="N115" s="5" t="n">
        <v>35</v>
      </c>
      <c r="O115" s="5" t="inlineStr">
        <is>
          <t>none</t>
        </is>
      </c>
      <c r="P115" s="5" t="inlineStr">
        <is>
          <t>own</t>
        </is>
      </c>
      <c r="Q115" s="5" t="n">
        <v>1</v>
      </c>
      <c r="R115" s="5" t="inlineStr">
        <is>
          <t>skilled</t>
        </is>
      </c>
      <c r="S115" s="5" t="n">
        <v>1</v>
      </c>
      <c r="T115" s="5" t="inlineStr">
        <is>
          <t>yes</t>
        </is>
      </c>
      <c r="U115" s="5" t="inlineStr">
        <is>
          <t>yes</t>
        </is>
      </c>
      <c r="V115" s="5" t="inlineStr">
        <is>
          <t>good</t>
        </is>
      </c>
    </row>
    <row r="116">
      <c r="A116" s="5" t="n">
        <v>111</v>
      </c>
      <c r="B116" s="5" t="inlineStr">
        <is>
          <t>0&lt;=X&lt;200</t>
        </is>
      </c>
      <c r="C116" s="5" t="n">
        <v>6</v>
      </c>
      <c r="D116" s="5" t="inlineStr">
        <is>
          <t>delayed previously</t>
        </is>
      </c>
      <c r="E116" s="5" t="inlineStr">
        <is>
          <t>business</t>
        </is>
      </c>
      <c r="F116" s="5" t="n">
        <v>1449</v>
      </c>
      <c r="G116" s="5" t="inlineStr">
        <is>
          <t>100&lt;=X&lt;500</t>
        </is>
      </c>
      <c r="H116" s="5" t="inlineStr">
        <is>
          <t>&gt;=7</t>
        </is>
      </c>
      <c r="I116" s="5" t="n">
        <v>1</v>
      </c>
      <c r="J116" s="5" t="inlineStr">
        <is>
          <t>male div/sep</t>
        </is>
      </c>
      <c r="K116" s="5" t="inlineStr">
        <is>
          <t>none</t>
        </is>
      </c>
      <c r="L116" s="5" t="n">
        <v>2</v>
      </c>
      <c r="M116" s="5" t="inlineStr">
        <is>
          <t>car</t>
        </is>
      </c>
      <c r="N116" s="5" t="n">
        <v>31</v>
      </c>
      <c r="O116" s="5" t="inlineStr">
        <is>
          <t>bank</t>
        </is>
      </c>
      <c r="P116" s="5" t="inlineStr">
        <is>
          <t>own</t>
        </is>
      </c>
      <c r="Q116" s="5" t="n">
        <v>2</v>
      </c>
      <c r="R116" s="5" t="inlineStr">
        <is>
          <t>skilled</t>
        </is>
      </c>
      <c r="S116" s="5" t="n">
        <v>2</v>
      </c>
      <c r="T116" s="5" t="inlineStr">
        <is>
          <t>none</t>
        </is>
      </c>
      <c r="U116" s="5" t="inlineStr">
        <is>
          <t>yes</t>
        </is>
      </c>
      <c r="V116" s="5" t="inlineStr">
        <is>
          <t>good</t>
        </is>
      </c>
    </row>
    <row r="117">
      <c r="A117" s="5" t="n">
        <v>112</v>
      </c>
      <c r="B117" s="5" t="inlineStr">
        <is>
          <t>&gt;=200</t>
        </is>
      </c>
      <c r="C117" s="5" t="n">
        <v>15</v>
      </c>
      <c r="D117" s="5" t="inlineStr">
        <is>
          <t>existing paid</t>
        </is>
      </c>
      <c r="E117" s="5" t="inlineStr">
        <is>
          <t>education</t>
        </is>
      </c>
      <c r="F117" s="5" t="n">
        <v>392</v>
      </c>
      <c r="G117" s="5" t="inlineStr">
        <is>
          <t>&lt;100</t>
        </is>
      </c>
      <c r="H117" s="5" t="inlineStr">
        <is>
          <t>&lt;1</t>
        </is>
      </c>
      <c r="I117" s="5" t="n">
        <v>4</v>
      </c>
      <c r="J117" s="5" t="inlineStr">
        <is>
          <t>female div/dep/mar</t>
        </is>
      </c>
      <c r="K117" s="5" t="inlineStr">
        <is>
          <t>none</t>
        </is>
      </c>
      <c r="L117" s="5" t="n">
        <v>4</v>
      </c>
      <c r="M117" s="5" t="inlineStr">
        <is>
          <t>life insurance</t>
        </is>
      </c>
      <c r="N117" s="5" t="n">
        <v>23</v>
      </c>
      <c r="O117" s="5" t="inlineStr">
        <is>
          <t>none</t>
        </is>
      </c>
      <c r="P117" s="5" t="inlineStr">
        <is>
          <t>rent</t>
        </is>
      </c>
      <c r="Q117" s="5" t="n">
        <v>1</v>
      </c>
      <c r="R117" s="5" t="inlineStr">
        <is>
          <t>skilled</t>
        </is>
      </c>
      <c r="S117" s="5" t="n">
        <v>1</v>
      </c>
      <c r="T117" s="5" t="inlineStr">
        <is>
          <t>yes</t>
        </is>
      </c>
      <c r="U117" s="5" t="inlineStr">
        <is>
          <t>yes</t>
        </is>
      </c>
      <c r="V117" s="5" t="inlineStr">
        <is>
          <t>good</t>
        </is>
      </c>
    </row>
    <row r="118">
      <c r="A118" s="5" t="n">
        <v>113</v>
      </c>
      <c r="B118" s="5" t="inlineStr">
        <is>
          <t>0&lt;=X&lt;200</t>
        </is>
      </c>
      <c r="C118" s="5" t="n">
        <v>18</v>
      </c>
      <c r="D118" s="5" t="inlineStr">
        <is>
          <t>existing paid</t>
        </is>
      </c>
      <c r="E118" s="5" t="inlineStr">
        <is>
          <t>new car</t>
        </is>
      </c>
      <c r="F118" s="5" t="n">
        <v>6260</v>
      </c>
      <c r="G118" s="5" t="inlineStr">
        <is>
          <t>&lt;100</t>
        </is>
      </c>
      <c r="H118" s="5" t="inlineStr">
        <is>
          <t>4&lt;=X&lt;7</t>
        </is>
      </c>
      <c r="I118" s="5" t="n">
        <v>3</v>
      </c>
      <c r="J118" s="5" t="inlineStr">
        <is>
          <t>male single</t>
        </is>
      </c>
      <c r="K118" s="5" t="inlineStr">
        <is>
          <t>none</t>
        </is>
      </c>
      <c r="L118" s="5" t="n">
        <v>3</v>
      </c>
      <c r="M118" s="5" t="inlineStr">
        <is>
          <t>real estate</t>
        </is>
      </c>
      <c r="N118" s="5" t="n">
        <v>28</v>
      </c>
      <c r="O118" s="5" t="inlineStr">
        <is>
          <t>none</t>
        </is>
      </c>
      <c r="P118" s="5" t="inlineStr">
        <is>
          <t>rent</t>
        </is>
      </c>
      <c r="Q118" s="5" t="n">
        <v>1</v>
      </c>
      <c r="R118" s="5" t="inlineStr">
        <is>
          <t>unskilled resident</t>
        </is>
      </c>
      <c r="S118" s="5" t="n">
        <v>1</v>
      </c>
      <c r="T118" s="5" t="inlineStr">
        <is>
          <t>none</t>
        </is>
      </c>
      <c r="U118" s="5" t="inlineStr">
        <is>
          <t>yes</t>
        </is>
      </c>
      <c r="V118" s="5" t="inlineStr">
        <is>
          <t>good</t>
        </is>
      </c>
    </row>
    <row r="119">
      <c r="A119" s="5" t="n">
        <v>114</v>
      </c>
      <c r="B119" s="5" t="inlineStr">
        <is>
          <t>no checking</t>
        </is>
      </c>
      <c r="C119" s="5" t="n">
        <v>36</v>
      </c>
      <c r="D119" s="5" t="inlineStr">
        <is>
          <t>critical/other existing credit</t>
        </is>
      </c>
      <c r="E119" s="5" t="inlineStr">
        <is>
          <t>new car</t>
        </is>
      </c>
      <c r="F119" s="5" t="n">
        <v>7855</v>
      </c>
      <c r="G119" s="5" t="inlineStr">
        <is>
          <t>&lt;100</t>
        </is>
      </c>
      <c r="H119" s="5" t="inlineStr">
        <is>
          <t>1&lt;=X&lt;4</t>
        </is>
      </c>
      <c r="I119" s="5" t="n">
        <v>4</v>
      </c>
      <c r="J119" s="5" t="inlineStr">
        <is>
          <t>female div/dep/mar</t>
        </is>
      </c>
      <c r="K119" s="5" t="inlineStr">
        <is>
          <t>none</t>
        </is>
      </c>
      <c r="L119" s="5" t="n">
        <v>2</v>
      </c>
      <c r="M119" s="5" t="inlineStr">
        <is>
          <t>real estate</t>
        </is>
      </c>
      <c r="N119" s="5" t="n">
        <v>25</v>
      </c>
      <c r="O119" s="5" t="inlineStr">
        <is>
          <t>stores</t>
        </is>
      </c>
      <c r="P119" s="5" t="inlineStr">
        <is>
          <t>own</t>
        </is>
      </c>
      <c r="Q119" s="5" t="n">
        <v>2</v>
      </c>
      <c r="R119" s="5" t="inlineStr">
        <is>
          <t>skilled</t>
        </is>
      </c>
      <c r="S119" s="5" t="n">
        <v>1</v>
      </c>
      <c r="T119" s="5" t="inlineStr">
        <is>
          <t>yes</t>
        </is>
      </c>
      <c r="U119" s="5" t="inlineStr">
        <is>
          <t>yes</t>
        </is>
      </c>
      <c r="V119" s="5" t="inlineStr">
        <is>
          <t>bad</t>
        </is>
      </c>
    </row>
    <row r="120">
      <c r="A120" s="5" t="n">
        <v>115</v>
      </c>
      <c r="B120" s="5" t="inlineStr">
        <is>
          <t>&lt;0</t>
        </is>
      </c>
      <c r="C120" s="5" t="n">
        <v>12</v>
      </c>
      <c r="D120" s="5" t="inlineStr">
        <is>
          <t>existing paid</t>
        </is>
      </c>
      <c r="E120" s="5" t="inlineStr">
        <is>
          <t>radio/tv</t>
        </is>
      </c>
      <c r="F120" s="5" t="n">
        <v>1680</v>
      </c>
      <c r="G120" s="5" t="inlineStr">
        <is>
          <t>500&lt;=X&lt;1000</t>
        </is>
      </c>
      <c r="H120" s="5" t="inlineStr">
        <is>
          <t>&gt;=7</t>
        </is>
      </c>
      <c r="I120" s="5" t="n">
        <v>3</v>
      </c>
      <c r="J120" s="5" t="inlineStr">
        <is>
          <t>male mar/wid</t>
        </is>
      </c>
      <c r="K120" s="5" t="inlineStr">
        <is>
          <t>none</t>
        </is>
      </c>
      <c r="L120" s="5" t="n">
        <v>1</v>
      </c>
      <c r="M120" s="5" t="inlineStr">
        <is>
          <t>real estate</t>
        </is>
      </c>
      <c r="N120" s="5" t="n">
        <v>35</v>
      </c>
      <c r="O120" s="5" t="inlineStr">
        <is>
          <t>none</t>
        </is>
      </c>
      <c r="P120" s="5" t="inlineStr">
        <is>
          <t>own</t>
        </is>
      </c>
      <c r="Q120" s="5" t="n">
        <v>1</v>
      </c>
      <c r="R120" s="5" t="inlineStr">
        <is>
          <t>skilled</t>
        </is>
      </c>
      <c r="S120" s="5" t="n">
        <v>1</v>
      </c>
      <c r="T120" s="5" t="inlineStr">
        <is>
          <t>none</t>
        </is>
      </c>
      <c r="U120" s="5" t="inlineStr">
        <is>
          <t>yes</t>
        </is>
      </c>
      <c r="V120" s="5" t="inlineStr">
        <is>
          <t>good</t>
        </is>
      </c>
    </row>
    <row r="121">
      <c r="A121" s="5" t="n">
        <v>116</v>
      </c>
      <c r="B121" s="5" t="inlineStr">
        <is>
          <t>no checking</t>
        </is>
      </c>
      <c r="C121" s="5" t="n">
        <v>48</v>
      </c>
      <c r="D121" s="5" t="inlineStr">
        <is>
          <t>critical/other existing credit</t>
        </is>
      </c>
      <c r="E121" s="5" t="inlineStr">
        <is>
          <t>radio/tv</t>
        </is>
      </c>
      <c r="F121" s="5" t="n">
        <v>3578</v>
      </c>
      <c r="G121" s="5" t="inlineStr">
        <is>
          <t>no known savings</t>
        </is>
      </c>
      <c r="H121" s="5" t="inlineStr">
        <is>
          <t>&gt;=7</t>
        </is>
      </c>
      <c r="I121" s="5" t="n">
        <v>4</v>
      </c>
      <c r="J121" s="5" t="inlineStr">
        <is>
          <t>male single</t>
        </is>
      </c>
      <c r="K121" s="5" t="inlineStr">
        <is>
          <t>none</t>
        </is>
      </c>
      <c r="L121" s="5" t="n">
        <v>1</v>
      </c>
      <c r="M121" s="5" t="inlineStr">
        <is>
          <t>real estate</t>
        </is>
      </c>
      <c r="N121" s="5" t="n">
        <v>47</v>
      </c>
      <c r="O121" s="5" t="inlineStr">
        <is>
          <t>none</t>
        </is>
      </c>
      <c r="P121" s="5" t="inlineStr">
        <is>
          <t>own</t>
        </is>
      </c>
      <c r="Q121" s="5" t="n">
        <v>1</v>
      </c>
      <c r="R121" s="5" t="inlineStr">
        <is>
          <t>skilled</t>
        </is>
      </c>
      <c r="S121" s="5" t="n">
        <v>1</v>
      </c>
      <c r="T121" s="5" t="inlineStr">
        <is>
          <t>yes</t>
        </is>
      </c>
      <c r="U121" s="5" t="inlineStr">
        <is>
          <t>yes</t>
        </is>
      </c>
      <c r="V121" s="5" t="inlineStr">
        <is>
          <t>good</t>
        </is>
      </c>
    </row>
    <row r="122">
      <c r="A122" s="5" t="n">
        <v>117</v>
      </c>
      <c r="B122" s="5" t="inlineStr">
        <is>
          <t>&lt;0</t>
        </is>
      </c>
      <c r="C122" s="5" t="n">
        <v>42</v>
      </c>
      <c r="D122" s="5" t="inlineStr">
        <is>
          <t>existing paid</t>
        </is>
      </c>
      <c r="E122" s="5" t="inlineStr">
        <is>
          <t>radio/tv</t>
        </is>
      </c>
      <c r="F122" s="5" t="n">
        <v>7174</v>
      </c>
      <c r="G122" s="5" t="inlineStr">
        <is>
          <t>no known savings</t>
        </is>
      </c>
      <c r="H122" s="5" t="inlineStr">
        <is>
          <t>4&lt;=X&lt;7</t>
        </is>
      </c>
      <c r="I122" s="5" t="n">
        <v>4</v>
      </c>
      <c r="J122" s="5" t="inlineStr">
        <is>
          <t>female div/dep/mar</t>
        </is>
      </c>
      <c r="K122" s="5" t="inlineStr">
        <is>
          <t>none</t>
        </is>
      </c>
      <c r="L122" s="5" t="n">
        <v>3</v>
      </c>
      <c r="M122" s="5" t="inlineStr">
        <is>
          <t>car</t>
        </is>
      </c>
      <c r="N122" s="5" t="n">
        <v>30</v>
      </c>
      <c r="O122" s="5" t="inlineStr">
        <is>
          <t>none</t>
        </is>
      </c>
      <c r="P122" s="5" t="inlineStr">
        <is>
          <t>own</t>
        </is>
      </c>
      <c r="Q122" s="5" t="n">
        <v>1</v>
      </c>
      <c r="R122" s="5" t="inlineStr">
        <is>
          <t>high qualif/self emp/mgmt</t>
        </is>
      </c>
      <c r="S122" s="5" t="n">
        <v>1</v>
      </c>
      <c r="T122" s="5" t="inlineStr">
        <is>
          <t>yes</t>
        </is>
      </c>
      <c r="U122" s="5" t="inlineStr">
        <is>
          <t>yes</t>
        </is>
      </c>
      <c r="V122" s="5" t="inlineStr">
        <is>
          <t>bad</t>
        </is>
      </c>
    </row>
    <row r="123">
      <c r="A123" s="5" t="n">
        <v>118</v>
      </c>
      <c r="B123" s="5" t="inlineStr">
        <is>
          <t>&lt;0</t>
        </is>
      </c>
      <c r="C123" s="5" t="n">
        <v>10</v>
      </c>
      <c r="D123" s="5" t="inlineStr">
        <is>
          <t>critical/other existing credit</t>
        </is>
      </c>
      <c r="E123" s="5" t="inlineStr">
        <is>
          <t>furniture/equipment</t>
        </is>
      </c>
      <c r="F123" s="5" t="n">
        <v>2132</v>
      </c>
      <c r="G123" s="5" t="inlineStr">
        <is>
          <t>no known savings</t>
        </is>
      </c>
      <c r="H123" s="5" t="inlineStr">
        <is>
          <t>&lt;1</t>
        </is>
      </c>
      <c r="I123" s="5" t="n">
        <v>2</v>
      </c>
      <c r="J123" s="5" t="inlineStr">
        <is>
          <t>female div/dep/mar</t>
        </is>
      </c>
      <c r="K123" s="5" t="inlineStr">
        <is>
          <t>co applicant</t>
        </is>
      </c>
      <c r="L123" s="5" t="n">
        <v>3</v>
      </c>
      <c r="M123" s="5" t="inlineStr">
        <is>
          <t>real estate</t>
        </is>
      </c>
      <c r="N123" s="5" t="n">
        <v>27</v>
      </c>
      <c r="O123" s="5" t="inlineStr">
        <is>
          <t>none</t>
        </is>
      </c>
      <c r="P123" s="5" t="inlineStr">
        <is>
          <t>rent</t>
        </is>
      </c>
      <c r="Q123" s="5" t="n">
        <v>2</v>
      </c>
      <c r="R123" s="5" t="inlineStr">
        <is>
          <t>skilled</t>
        </is>
      </c>
      <c r="S123" s="5" t="n">
        <v>1</v>
      </c>
      <c r="T123" s="5" t="inlineStr">
        <is>
          <t>none</t>
        </is>
      </c>
      <c r="U123" s="5" t="inlineStr">
        <is>
          <t>no</t>
        </is>
      </c>
      <c r="V123" s="5" t="inlineStr">
        <is>
          <t>good</t>
        </is>
      </c>
    </row>
    <row r="124">
      <c r="A124" s="5" t="n">
        <v>119</v>
      </c>
      <c r="B124" s="5" t="inlineStr">
        <is>
          <t>&lt;0</t>
        </is>
      </c>
      <c r="C124" s="5" t="n">
        <v>33</v>
      </c>
      <c r="D124" s="5" t="inlineStr">
        <is>
          <t>critical/other existing credit</t>
        </is>
      </c>
      <c r="E124" s="5" t="inlineStr">
        <is>
          <t>furniture/equipment</t>
        </is>
      </c>
      <c r="F124" s="5" t="n">
        <v>4281</v>
      </c>
      <c r="G124" s="5" t="inlineStr">
        <is>
          <t>500&lt;=X&lt;1000</t>
        </is>
      </c>
      <c r="H124" s="5" t="inlineStr">
        <is>
          <t>1&lt;=X&lt;4</t>
        </is>
      </c>
      <c r="I124" s="5" t="n">
        <v>1</v>
      </c>
      <c r="J124" s="5" t="inlineStr">
        <is>
          <t>female div/dep/mar</t>
        </is>
      </c>
      <c r="K124" s="5" t="inlineStr">
        <is>
          <t>none</t>
        </is>
      </c>
      <c r="L124" s="5" t="n">
        <v>4</v>
      </c>
      <c r="M124" s="5" t="inlineStr">
        <is>
          <t>car</t>
        </is>
      </c>
      <c r="N124" s="5" t="n">
        <v>23</v>
      </c>
      <c r="O124" s="5" t="inlineStr">
        <is>
          <t>none</t>
        </is>
      </c>
      <c r="P124" s="5" t="inlineStr">
        <is>
          <t>own</t>
        </is>
      </c>
      <c r="Q124" s="5" t="n">
        <v>2</v>
      </c>
      <c r="R124" s="5" t="inlineStr">
        <is>
          <t>skilled</t>
        </is>
      </c>
      <c r="S124" s="5" t="n">
        <v>1</v>
      </c>
      <c r="T124" s="5" t="inlineStr">
        <is>
          <t>none</t>
        </is>
      </c>
      <c r="U124" s="5" t="inlineStr">
        <is>
          <t>yes</t>
        </is>
      </c>
      <c r="V124" s="5" t="inlineStr">
        <is>
          <t>bad</t>
        </is>
      </c>
    </row>
    <row r="125">
      <c r="A125" s="5" t="n">
        <v>120</v>
      </c>
      <c r="B125" s="5" t="inlineStr">
        <is>
          <t>0&lt;=X&lt;200</t>
        </is>
      </c>
      <c r="C125" s="5" t="n">
        <v>12</v>
      </c>
      <c r="D125" s="5" t="inlineStr">
        <is>
          <t>critical/other existing credit</t>
        </is>
      </c>
      <c r="E125" s="5" t="inlineStr">
        <is>
          <t>new car</t>
        </is>
      </c>
      <c r="F125" s="5" t="n">
        <v>2366</v>
      </c>
      <c r="G125" s="5" t="inlineStr">
        <is>
          <t>500&lt;=X&lt;1000</t>
        </is>
      </c>
      <c r="H125" s="5" t="inlineStr">
        <is>
          <t>4&lt;=X&lt;7</t>
        </is>
      </c>
      <c r="I125" s="5" t="n">
        <v>3</v>
      </c>
      <c r="J125" s="5" t="inlineStr">
        <is>
          <t>male div/sep</t>
        </is>
      </c>
      <c r="K125" s="5" t="inlineStr">
        <is>
          <t>none</t>
        </is>
      </c>
      <c r="L125" s="5" t="n">
        <v>3</v>
      </c>
      <c r="M125" s="5" t="inlineStr">
        <is>
          <t>car</t>
        </is>
      </c>
      <c r="N125" s="5" t="n">
        <v>36</v>
      </c>
      <c r="O125" s="5" t="inlineStr">
        <is>
          <t>none</t>
        </is>
      </c>
      <c r="P125" s="5" t="inlineStr">
        <is>
          <t>own</t>
        </is>
      </c>
      <c r="Q125" s="5" t="n">
        <v>1</v>
      </c>
      <c r="R125" s="5" t="inlineStr">
        <is>
          <t>high qualif/self emp/mgmt</t>
        </is>
      </c>
      <c r="S125" s="5" t="n">
        <v>1</v>
      </c>
      <c r="T125" s="5" t="inlineStr">
        <is>
          <t>yes</t>
        </is>
      </c>
      <c r="U125" s="5" t="inlineStr">
        <is>
          <t>yes</t>
        </is>
      </c>
      <c r="V125" s="5" t="inlineStr">
        <is>
          <t>good</t>
        </is>
      </c>
    </row>
    <row r="126">
      <c r="A126" s="5" t="n">
        <v>121</v>
      </c>
      <c r="B126" s="5" t="inlineStr">
        <is>
          <t>&lt;0</t>
        </is>
      </c>
      <c r="C126" s="5" t="n">
        <v>21</v>
      </c>
      <c r="D126" s="5" t="inlineStr">
        <is>
          <t>existing paid</t>
        </is>
      </c>
      <c r="E126" s="5" t="inlineStr">
        <is>
          <t>radio/tv</t>
        </is>
      </c>
      <c r="F126" s="5" t="n">
        <v>1835</v>
      </c>
      <c r="G126" s="5" t="inlineStr">
        <is>
          <t>&lt;100</t>
        </is>
      </c>
      <c r="H126" s="5" t="inlineStr">
        <is>
          <t>1&lt;=X&lt;4</t>
        </is>
      </c>
      <c r="I126" s="5" t="n">
        <v>3</v>
      </c>
      <c r="J126" s="5" t="inlineStr">
        <is>
          <t>female div/dep/mar</t>
        </is>
      </c>
      <c r="K126" s="5" t="inlineStr">
        <is>
          <t>none</t>
        </is>
      </c>
      <c r="L126" s="5" t="n">
        <v>2</v>
      </c>
      <c r="M126" s="5" t="inlineStr">
        <is>
          <t>real estate</t>
        </is>
      </c>
      <c r="N126" s="5" t="n">
        <v>25</v>
      </c>
      <c r="O126" s="5" t="inlineStr">
        <is>
          <t>none</t>
        </is>
      </c>
      <c r="P126" s="5" t="inlineStr">
        <is>
          <t>own</t>
        </is>
      </c>
      <c r="Q126" s="5" t="n">
        <v>2</v>
      </c>
      <c r="R126" s="5" t="inlineStr">
        <is>
          <t>skilled</t>
        </is>
      </c>
      <c r="S126" s="5" t="n">
        <v>1</v>
      </c>
      <c r="T126" s="5" t="inlineStr">
        <is>
          <t>yes</t>
        </is>
      </c>
      <c r="U126" s="5" t="inlineStr">
        <is>
          <t>yes</t>
        </is>
      </c>
      <c r="V126" s="5" t="inlineStr">
        <is>
          <t>bad</t>
        </is>
      </c>
    </row>
    <row r="127">
      <c r="A127" s="5" t="n">
        <v>122</v>
      </c>
      <c r="B127" s="5" t="inlineStr">
        <is>
          <t>no checking</t>
        </is>
      </c>
      <c r="C127" s="5" t="n">
        <v>24</v>
      </c>
      <c r="D127" s="5" t="inlineStr">
        <is>
          <t>critical/other existing credit</t>
        </is>
      </c>
      <c r="E127" s="5" t="inlineStr">
        <is>
          <t>used car</t>
        </is>
      </c>
      <c r="F127" s="5" t="n">
        <v>3868</v>
      </c>
      <c r="G127" s="5" t="inlineStr">
        <is>
          <t>&lt;100</t>
        </is>
      </c>
      <c r="H127" s="5" t="inlineStr">
        <is>
          <t>&gt;=7</t>
        </is>
      </c>
      <c r="I127" s="5" t="n">
        <v>4</v>
      </c>
      <c r="J127" s="5" t="inlineStr">
        <is>
          <t>female div/dep/mar</t>
        </is>
      </c>
      <c r="K127" s="5" t="inlineStr">
        <is>
          <t>none</t>
        </is>
      </c>
      <c r="L127" s="5" t="n">
        <v>2</v>
      </c>
      <c r="M127" s="5" t="inlineStr">
        <is>
          <t>car</t>
        </is>
      </c>
      <c r="N127" s="5" t="n">
        <v>41</v>
      </c>
      <c r="O127" s="5" t="inlineStr">
        <is>
          <t>none</t>
        </is>
      </c>
      <c r="P127" s="5" t="inlineStr">
        <is>
          <t>rent</t>
        </is>
      </c>
      <c r="Q127" s="5" t="n">
        <v>2</v>
      </c>
      <c r="R127" s="5" t="inlineStr">
        <is>
          <t>high qualif/self emp/mgmt</t>
        </is>
      </c>
      <c r="S127" s="5" t="n">
        <v>1</v>
      </c>
      <c r="T127" s="5" t="inlineStr">
        <is>
          <t>yes</t>
        </is>
      </c>
      <c r="U127" s="5" t="inlineStr">
        <is>
          <t>yes</t>
        </is>
      </c>
      <c r="V127" s="5" t="inlineStr">
        <is>
          <t>good</t>
        </is>
      </c>
    </row>
    <row r="128">
      <c r="A128" s="5" t="n">
        <v>123</v>
      </c>
      <c r="B128" s="5" t="inlineStr">
        <is>
          <t>no checking</t>
        </is>
      </c>
      <c r="C128" s="5" t="n">
        <v>12</v>
      </c>
      <c r="D128" s="5" t="inlineStr">
        <is>
          <t>existing paid</t>
        </is>
      </c>
      <c r="E128" s="5" t="inlineStr">
        <is>
          <t>furniture/equipment</t>
        </is>
      </c>
      <c r="F128" s="5" t="n">
        <v>1768</v>
      </c>
      <c r="G128" s="5" t="inlineStr">
        <is>
          <t>&lt;100</t>
        </is>
      </c>
      <c r="H128" s="5" t="inlineStr">
        <is>
          <t>1&lt;=X&lt;4</t>
        </is>
      </c>
      <c r="I128" s="5" t="n">
        <v>3</v>
      </c>
      <c r="J128" s="5" t="inlineStr">
        <is>
          <t>male single</t>
        </is>
      </c>
      <c r="K128" s="5" t="inlineStr">
        <is>
          <t>none</t>
        </is>
      </c>
      <c r="L128" s="5" t="n">
        <v>2</v>
      </c>
      <c r="M128" s="5" t="inlineStr">
        <is>
          <t>real estate</t>
        </is>
      </c>
      <c r="N128" s="5" t="n">
        <v>24</v>
      </c>
      <c r="O128" s="5" t="inlineStr">
        <is>
          <t>none</t>
        </is>
      </c>
      <c r="P128" s="5" t="inlineStr">
        <is>
          <t>rent</t>
        </is>
      </c>
      <c r="Q128" s="5" t="n">
        <v>1</v>
      </c>
      <c r="R128" s="5" t="inlineStr">
        <is>
          <t>unskilled resident</t>
        </is>
      </c>
      <c r="S128" s="5" t="n">
        <v>1</v>
      </c>
      <c r="T128" s="5" t="inlineStr">
        <is>
          <t>none</t>
        </is>
      </c>
      <c r="U128" s="5" t="inlineStr">
        <is>
          <t>yes</t>
        </is>
      </c>
      <c r="V128" s="5" t="inlineStr">
        <is>
          <t>good</t>
        </is>
      </c>
    </row>
    <row r="129">
      <c r="A129" s="5" t="n">
        <v>124</v>
      </c>
      <c r="B129" s="5" t="inlineStr">
        <is>
          <t>&gt;=200</t>
        </is>
      </c>
      <c r="C129" s="5" t="n">
        <v>10</v>
      </c>
      <c r="D129" s="5" t="inlineStr">
        <is>
          <t>critical/other existing credit</t>
        </is>
      </c>
      <c r="E129" s="5" t="inlineStr">
        <is>
          <t>new car</t>
        </is>
      </c>
      <c r="F129" s="5" t="n">
        <v>781</v>
      </c>
      <c r="G129" s="5" t="inlineStr">
        <is>
          <t>&lt;100</t>
        </is>
      </c>
      <c r="H129" s="5" t="inlineStr">
        <is>
          <t>&gt;=7</t>
        </is>
      </c>
      <c r="I129" s="5" t="n">
        <v>4</v>
      </c>
      <c r="J129" s="5" t="inlineStr">
        <is>
          <t>male single</t>
        </is>
      </c>
      <c r="K129" s="5" t="inlineStr">
        <is>
          <t>none</t>
        </is>
      </c>
      <c r="L129" s="5" t="n">
        <v>4</v>
      </c>
      <c r="M129" s="5" t="inlineStr">
        <is>
          <t>no known property</t>
        </is>
      </c>
      <c r="N129" s="5" t="n">
        <v>63</v>
      </c>
      <c r="O129" s="5" t="inlineStr">
        <is>
          <t>none</t>
        </is>
      </c>
      <c r="P129" s="5" t="inlineStr">
        <is>
          <t>for free</t>
        </is>
      </c>
      <c r="Q129" s="5" t="n">
        <v>2</v>
      </c>
      <c r="R129" s="5" t="inlineStr">
        <is>
          <t>skilled</t>
        </is>
      </c>
      <c r="S129" s="5" t="n">
        <v>1</v>
      </c>
      <c r="T129" s="5" t="inlineStr">
        <is>
          <t>yes</t>
        </is>
      </c>
      <c r="U129" s="5" t="inlineStr">
        <is>
          <t>yes</t>
        </is>
      </c>
      <c r="V129" s="5" t="inlineStr">
        <is>
          <t>good</t>
        </is>
      </c>
    </row>
    <row r="130">
      <c r="A130" s="5" t="n">
        <v>125</v>
      </c>
      <c r="B130" s="5" t="inlineStr">
        <is>
          <t>0&lt;=X&lt;200</t>
        </is>
      </c>
      <c r="C130" s="5" t="n">
        <v>18</v>
      </c>
      <c r="D130" s="5" t="inlineStr">
        <is>
          <t>existing paid</t>
        </is>
      </c>
      <c r="E130" s="5" t="inlineStr">
        <is>
          <t>furniture/equipment</t>
        </is>
      </c>
      <c r="F130" s="5" t="n">
        <v>1924</v>
      </c>
      <c r="G130" s="5" t="inlineStr">
        <is>
          <t>no known savings</t>
        </is>
      </c>
      <c r="H130" s="5" t="inlineStr">
        <is>
          <t>&lt;1</t>
        </is>
      </c>
      <c r="I130" s="5" t="n">
        <v>4</v>
      </c>
      <c r="J130" s="5" t="inlineStr">
        <is>
          <t>female div/dep/mar</t>
        </is>
      </c>
      <c r="K130" s="5" t="inlineStr">
        <is>
          <t>none</t>
        </is>
      </c>
      <c r="L130" s="5" t="n">
        <v>3</v>
      </c>
      <c r="M130" s="5" t="inlineStr">
        <is>
          <t>real estate</t>
        </is>
      </c>
      <c r="N130" s="5" t="n">
        <v>27</v>
      </c>
      <c r="O130" s="5" t="inlineStr">
        <is>
          <t>none</t>
        </is>
      </c>
      <c r="P130" s="5" t="inlineStr">
        <is>
          <t>rent</t>
        </is>
      </c>
      <c r="Q130" s="5" t="n">
        <v>1</v>
      </c>
      <c r="R130" s="5" t="inlineStr">
        <is>
          <t>skilled</t>
        </is>
      </c>
      <c r="S130" s="5" t="n">
        <v>1</v>
      </c>
      <c r="T130" s="5" t="inlineStr">
        <is>
          <t>none</t>
        </is>
      </c>
      <c r="U130" s="5" t="inlineStr">
        <is>
          <t>yes</t>
        </is>
      </c>
      <c r="V130" s="5" t="inlineStr">
        <is>
          <t>bad</t>
        </is>
      </c>
    </row>
    <row r="131">
      <c r="A131" s="5" t="n">
        <v>126</v>
      </c>
      <c r="B131" s="5" t="inlineStr">
        <is>
          <t>&lt;0</t>
        </is>
      </c>
      <c r="C131" s="5" t="n">
        <v>12</v>
      </c>
      <c r="D131" s="5" t="inlineStr">
        <is>
          <t>critical/other existing credit</t>
        </is>
      </c>
      <c r="E131" s="5" t="inlineStr">
        <is>
          <t>new car</t>
        </is>
      </c>
      <c r="F131" s="5" t="n">
        <v>2121</v>
      </c>
      <c r="G131" s="5" t="inlineStr">
        <is>
          <t>&lt;100</t>
        </is>
      </c>
      <c r="H131" s="5" t="inlineStr">
        <is>
          <t>1&lt;=X&lt;4</t>
        </is>
      </c>
      <c r="I131" s="5" t="n">
        <v>4</v>
      </c>
      <c r="J131" s="5" t="inlineStr">
        <is>
          <t>male single</t>
        </is>
      </c>
      <c r="K131" s="5" t="inlineStr">
        <is>
          <t>none</t>
        </is>
      </c>
      <c r="L131" s="5" t="n">
        <v>2</v>
      </c>
      <c r="M131" s="5" t="inlineStr">
        <is>
          <t>life insurance</t>
        </is>
      </c>
      <c r="N131" s="5" t="n">
        <v>30</v>
      </c>
      <c r="O131" s="5" t="inlineStr">
        <is>
          <t>none</t>
        </is>
      </c>
      <c r="P131" s="5" t="inlineStr">
        <is>
          <t>own</t>
        </is>
      </c>
      <c r="Q131" s="5" t="n">
        <v>2</v>
      </c>
      <c r="R131" s="5" t="inlineStr">
        <is>
          <t>skilled</t>
        </is>
      </c>
      <c r="S131" s="5" t="n">
        <v>1</v>
      </c>
      <c r="T131" s="5" t="inlineStr">
        <is>
          <t>none</t>
        </is>
      </c>
      <c r="U131" s="5" t="inlineStr">
        <is>
          <t>yes</t>
        </is>
      </c>
      <c r="V131" s="5" t="inlineStr">
        <is>
          <t>good</t>
        </is>
      </c>
    </row>
    <row r="132">
      <c r="A132" s="5" t="n">
        <v>127</v>
      </c>
      <c r="B132" s="5" t="inlineStr">
        <is>
          <t>&lt;0</t>
        </is>
      </c>
      <c r="C132" s="5" t="n">
        <v>12</v>
      </c>
      <c r="D132" s="5" t="inlineStr">
        <is>
          <t>existing paid</t>
        </is>
      </c>
      <c r="E132" s="5" t="inlineStr">
        <is>
          <t>radio/tv</t>
        </is>
      </c>
      <c r="F132" s="5" t="n">
        <v>701</v>
      </c>
      <c r="G132" s="5" t="inlineStr">
        <is>
          <t>&lt;100</t>
        </is>
      </c>
      <c r="H132" s="5" t="inlineStr">
        <is>
          <t>1&lt;=X&lt;4</t>
        </is>
      </c>
      <c r="I132" s="5" t="n">
        <v>4</v>
      </c>
      <c r="J132" s="5" t="inlineStr">
        <is>
          <t>male mar/wid</t>
        </is>
      </c>
      <c r="K132" s="5" t="inlineStr">
        <is>
          <t>none</t>
        </is>
      </c>
      <c r="L132" s="5" t="n">
        <v>2</v>
      </c>
      <c r="M132" s="5" t="inlineStr">
        <is>
          <t>real estate</t>
        </is>
      </c>
      <c r="N132" s="5" t="n">
        <v>40</v>
      </c>
      <c r="O132" s="5" t="inlineStr">
        <is>
          <t>none</t>
        </is>
      </c>
      <c r="P132" s="5" t="inlineStr">
        <is>
          <t>own</t>
        </is>
      </c>
      <c r="Q132" s="5" t="n">
        <v>1</v>
      </c>
      <c r="R132" s="5" t="inlineStr">
        <is>
          <t>unskilled resident</t>
        </is>
      </c>
      <c r="S132" s="5" t="n">
        <v>1</v>
      </c>
      <c r="T132" s="5" t="inlineStr">
        <is>
          <t>none</t>
        </is>
      </c>
      <c r="U132" s="5" t="inlineStr">
        <is>
          <t>yes</t>
        </is>
      </c>
      <c r="V132" s="5" t="inlineStr">
        <is>
          <t>good</t>
        </is>
      </c>
    </row>
    <row r="133">
      <c r="A133" s="5" t="n">
        <v>128</v>
      </c>
      <c r="B133" s="5" t="inlineStr">
        <is>
          <t>0&lt;=X&lt;200</t>
        </is>
      </c>
      <c r="C133" s="5" t="n">
        <v>12</v>
      </c>
      <c r="D133" s="5" t="inlineStr">
        <is>
          <t>existing paid</t>
        </is>
      </c>
      <c r="E133" s="5" t="inlineStr">
        <is>
          <t>repairs</t>
        </is>
      </c>
      <c r="F133" s="5" t="n">
        <v>639</v>
      </c>
      <c r="G133" s="5" t="inlineStr">
        <is>
          <t>&lt;100</t>
        </is>
      </c>
      <c r="H133" s="5" t="inlineStr">
        <is>
          <t>1&lt;=X&lt;4</t>
        </is>
      </c>
      <c r="I133" s="5" t="n">
        <v>4</v>
      </c>
      <c r="J133" s="5" t="inlineStr">
        <is>
          <t>male single</t>
        </is>
      </c>
      <c r="K133" s="5" t="inlineStr">
        <is>
          <t>none</t>
        </is>
      </c>
      <c r="L133" s="5" t="n">
        <v>2</v>
      </c>
      <c r="M133" s="5" t="inlineStr">
        <is>
          <t>car</t>
        </is>
      </c>
      <c r="N133" s="5" t="n">
        <v>30</v>
      </c>
      <c r="O133" s="5" t="inlineStr">
        <is>
          <t>none</t>
        </is>
      </c>
      <c r="P133" s="5" t="inlineStr">
        <is>
          <t>own</t>
        </is>
      </c>
      <c r="Q133" s="5" t="n">
        <v>1</v>
      </c>
      <c r="R133" s="5" t="inlineStr">
        <is>
          <t>skilled</t>
        </is>
      </c>
      <c r="S133" s="5" t="n">
        <v>1</v>
      </c>
      <c r="T133" s="5" t="inlineStr">
        <is>
          <t>none</t>
        </is>
      </c>
      <c r="U133" s="5" t="inlineStr">
        <is>
          <t>yes</t>
        </is>
      </c>
      <c r="V133" s="5" t="inlineStr">
        <is>
          <t>bad</t>
        </is>
      </c>
    </row>
    <row r="134">
      <c r="A134" s="5" t="n">
        <v>129</v>
      </c>
      <c r="B134" s="5" t="inlineStr">
        <is>
          <t>0&lt;=X&lt;200</t>
        </is>
      </c>
      <c r="C134" s="5" t="n">
        <v>12</v>
      </c>
      <c r="D134" s="5" t="inlineStr">
        <is>
          <t>critical/other existing credit</t>
        </is>
      </c>
      <c r="E134" s="5" t="inlineStr">
        <is>
          <t>used car</t>
        </is>
      </c>
      <c r="F134" s="5" t="n">
        <v>1860</v>
      </c>
      <c r="G134" s="5" t="inlineStr">
        <is>
          <t>&lt;100</t>
        </is>
      </c>
      <c r="H134" s="5" t="inlineStr">
        <is>
          <t>unemployed</t>
        </is>
      </c>
      <c r="I134" s="5" t="n">
        <v>4</v>
      </c>
      <c r="J134" s="5" t="inlineStr">
        <is>
          <t>male single</t>
        </is>
      </c>
      <c r="K134" s="5" t="inlineStr">
        <is>
          <t>none</t>
        </is>
      </c>
      <c r="L134" s="5" t="n">
        <v>2</v>
      </c>
      <c r="M134" s="5" t="inlineStr">
        <is>
          <t>car</t>
        </is>
      </c>
      <c r="N134" s="5" t="n">
        <v>34</v>
      </c>
      <c r="O134" s="5" t="inlineStr">
        <is>
          <t>none</t>
        </is>
      </c>
      <c r="P134" s="5" t="inlineStr">
        <is>
          <t>own</t>
        </is>
      </c>
      <c r="Q134" s="5" t="n">
        <v>2</v>
      </c>
      <c r="R134" s="5" t="inlineStr">
        <is>
          <t>high qualif/self emp/mgmt</t>
        </is>
      </c>
      <c r="S134" s="5" t="n">
        <v>1</v>
      </c>
      <c r="T134" s="5" t="inlineStr">
        <is>
          <t>yes</t>
        </is>
      </c>
      <c r="U134" s="5" t="inlineStr">
        <is>
          <t>yes</t>
        </is>
      </c>
      <c r="V134" s="5" t="inlineStr">
        <is>
          <t>good</t>
        </is>
      </c>
    </row>
    <row r="135">
      <c r="A135" s="5" t="n">
        <v>130</v>
      </c>
      <c r="B135" s="5" t="inlineStr">
        <is>
          <t>&lt;0</t>
        </is>
      </c>
      <c r="C135" s="5" t="n">
        <v>12</v>
      </c>
      <c r="D135" s="5" t="inlineStr">
        <is>
          <t>critical/other existing credit</t>
        </is>
      </c>
      <c r="E135" s="5" t="inlineStr">
        <is>
          <t>new car</t>
        </is>
      </c>
      <c r="F135" s="5" t="n">
        <v>3499</v>
      </c>
      <c r="G135" s="5" t="inlineStr">
        <is>
          <t>&lt;100</t>
        </is>
      </c>
      <c r="H135" s="5" t="inlineStr">
        <is>
          <t>1&lt;=X&lt;4</t>
        </is>
      </c>
      <c r="I135" s="5" t="n">
        <v>3</v>
      </c>
      <c r="J135" s="5" t="inlineStr">
        <is>
          <t>female div/dep/mar</t>
        </is>
      </c>
      <c r="K135" s="5" t="inlineStr">
        <is>
          <t>co applicant</t>
        </is>
      </c>
      <c r="L135" s="5" t="n">
        <v>2</v>
      </c>
      <c r="M135" s="5" t="inlineStr">
        <is>
          <t>real estate</t>
        </is>
      </c>
      <c r="N135" s="5" t="n">
        <v>29</v>
      </c>
      <c r="O135" s="5" t="inlineStr">
        <is>
          <t>none</t>
        </is>
      </c>
      <c r="P135" s="5" t="inlineStr">
        <is>
          <t>own</t>
        </is>
      </c>
      <c r="Q135" s="5" t="n">
        <v>2</v>
      </c>
      <c r="R135" s="5" t="inlineStr">
        <is>
          <t>skilled</t>
        </is>
      </c>
      <c r="S135" s="5" t="n">
        <v>1</v>
      </c>
      <c r="T135" s="5" t="inlineStr">
        <is>
          <t>none</t>
        </is>
      </c>
      <c r="U135" s="5" t="inlineStr">
        <is>
          <t>yes</t>
        </is>
      </c>
      <c r="V135" s="5" t="inlineStr">
        <is>
          <t>bad</t>
        </is>
      </c>
    </row>
    <row r="136">
      <c r="A136" s="5" t="n">
        <v>131</v>
      </c>
      <c r="B136" s="5" t="inlineStr">
        <is>
          <t>0&lt;=X&lt;200</t>
        </is>
      </c>
      <c r="C136" s="5" t="n">
        <v>48</v>
      </c>
      <c r="D136" s="5" t="inlineStr">
        <is>
          <t>existing paid</t>
        </is>
      </c>
      <c r="E136" s="5" t="inlineStr">
        <is>
          <t>new car</t>
        </is>
      </c>
      <c r="F136" s="5" t="n">
        <v>8487</v>
      </c>
      <c r="G136" s="5" t="inlineStr">
        <is>
          <t>no known savings</t>
        </is>
      </c>
      <c r="H136" s="5" t="inlineStr">
        <is>
          <t>4&lt;=X&lt;7</t>
        </is>
      </c>
      <c r="I136" s="5" t="n">
        <v>1</v>
      </c>
      <c r="J136" s="5" t="inlineStr">
        <is>
          <t>female div/dep/mar</t>
        </is>
      </c>
      <c r="K136" s="5" t="inlineStr">
        <is>
          <t>none</t>
        </is>
      </c>
      <c r="L136" s="5" t="n">
        <v>2</v>
      </c>
      <c r="M136" s="5" t="inlineStr">
        <is>
          <t>car</t>
        </is>
      </c>
      <c r="N136" s="5" t="n">
        <v>24</v>
      </c>
      <c r="O136" s="5" t="inlineStr">
        <is>
          <t>none</t>
        </is>
      </c>
      <c r="P136" s="5" t="inlineStr">
        <is>
          <t>own</t>
        </is>
      </c>
      <c r="Q136" s="5" t="n">
        <v>1</v>
      </c>
      <c r="R136" s="5" t="inlineStr">
        <is>
          <t>skilled</t>
        </is>
      </c>
      <c r="S136" s="5" t="n">
        <v>1</v>
      </c>
      <c r="T136" s="5" t="inlineStr">
        <is>
          <t>none</t>
        </is>
      </c>
      <c r="U136" s="5" t="inlineStr">
        <is>
          <t>yes</t>
        </is>
      </c>
      <c r="V136" s="5" t="inlineStr">
        <is>
          <t>good</t>
        </is>
      </c>
    </row>
    <row r="137">
      <c r="A137" s="5" t="n">
        <v>132</v>
      </c>
      <c r="B137" s="5" t="inlineStr">
        <is>
          <t>&lt;0</t>
        </is>
      </c>
      <c r="C137" s="5" t="n">
        <v>36</v>
      </c>
      <c r="D137" s="5" t="inlineStr">
        <is>
          <t>delayed previously</t>
        </is>
      </c>
      <c r="E137" s="5" t="inlineStr">
        <is>
          <t>education</t>
        </is>
      </c>
      <c r="F137" s="5" t="n">
        <v>6887</v>
      </c>
      <c r="G137" s="5" t="inlineStr">
        <is>
          <t>&lt;100</t>
        </is>
      </c>
      <c r="H137" s="5" t="inlineStr">
        <is>
          <t>1&lt;=X&lt;4</t>
        </is>
      </c>
      <c r="I137" s="5" t="n">
        <v>4</v>
      </c>
      <c r="J137" s="5" t="inlineStr">
        <is>
          <t>male single</t>
        </is>
      </c>
      <c r="K137" s="5" t="inlineStr">
        <is>
          <t>none</t>
        </is>
      </c>
      <c r="L137" s="5" t="n">
        <v>3</v>
      </c>
      <c r="M137" s="5" t="inlineStr">
        <is>
          <t>life insurance</t>
        </is>
      </c>
      <c r="N137" s="5" t="n">
        <v>29</v>
      </c>
      <c r="O137" s="5" t="inlineStr">
        <is>
          <t>stores</t>
        </is>
      </c>
      <c r="P137" s="5" t="inlineStr">
        <is>
          <t>own</t>
        </is>
      </c>
      <c r="Q137" s="5" t="n">
        <v>1</v>
      </c>
      <c r="R137" s="5" t="inlineStr">
        <is>
          <t>skilled</t>
        </is>
      </c>
      <c r="S137" s="5" t="n">
        <v>1</v>
      </c>
      <c r="T137" s="5" t="inlineStr">
        <is>
          <t>yes</t>
        </is>
      </c>
      <c r="U137" s="5" t="inlineStr">
        <is>
          <t>yes</t>
        </is>
      </c>
      <c r="V137" s="5" t="inlineStr">
        <is>
          <t>bad</t>
        </is>
      </c>
    </row>
    <row r="138">
      <c r="A138" s="5" t="n">
        <v>133</v>
      </c>
      <c r="B138" s="5" t="inlineStr">
        <is>
          <t>no checking</t>
        </is>
      </c>
      <c r="C138" s="5" t="n">
        <v>15</v>
      </c>
      <c r="D138" s="5" t="inlineStr">
        <is>
          <t>existing paid</t>
        </is>
      </c>
      <c r="E138" s="5" t="inlineStr">
        <is>
          <t>furniture/equipment</t>
        </is>
      </c>
      <c r="F138" s="5" t="n">
        <v>2708</v>
      </c>
      <c r="G138" s="5" t="inlineStr">
        <is>
          <t>&lt;100</t>
        </is>
      </c>
      <c r="H138" s="5" t="inlineStr">
        <is>
          <t>&lt;1</t>
        </is>
      </c>
      <c r="I138" s="5" t="n">
        <v>2</v>
      </c>
      <c r="J138" s="5" t="inlineStr">
        <is>
          <t>male single</t>
        </is>
      </c>
      <c r="K138" s="5" t="inlineStr">
        <is>
          <t>none</t>
        </is>
      </c>
      <c r="L138" s="5" t="n">
        <v>3</v>
      </c>
      <c r="M138" s="5" t="inlineStr">
        <is>
          <t>life insurance</t>
        </is>
      </c>
      <c r="N138" s="5" t="n">
        <v>27</v>
      </c>
      <c r="O138" s="5" t="inlineStr">
        <is>
          <t>bank</t>
        </is>
      </c>
      <c r="P138" s="5" t="inlineStr">
        <is>
          <t>own</t>
        </is>
      </c>
      <c r="Q138" s="5" t="n">
        <v>2</v>
      </c>
      <c r="R138" s="5" t="inlineStr">
        <is>
          <t>unskilled resident</t>
        </is>
      </c>
      <c r="S138" s="5" t="n">
        <v>1</v>
      </c>
      <c r="T138" s="5" t="inlineStr">
        <is>
          <t>none</t>
        </is>
      </c>
      <c r="U138" s="5" t="inlineStr">
        <is>
          <t>yes</t>
        </is>
      </c>
      <c r="V138" s="5" t="inlineStr">
        <is>
          <t>good</t>
        </is>
      </c>
    </row>
    <row r="139">
      <c r="A139" s="5" t="n">
        <v>134</v>
      </c>
      <c r="B139" s="5" t="inlineStr">
        <is>
          <t>no checking</t>
        </is>
      </c>
      <c r="C139" s="5" t="n">
        <v>18</v>
      </c>
      <c r="D139" s="5" t="inlineStr">
        <is>
          <t>existing paid</t>
        </is>
      </c>
      <c r="E139" s="5" t="inlineStr">
        <is>
          <t>furniture/equipment</t>
        </is>
      </c>
      <c r="F139" s="5" t="n">
        <v>1984</v>
      </c>
      <c r="G139" s="5" t="inlineStr">
        <is>
          <t>&lt;100</t>
        </is>
      </c>
      <c r="H139" s="5" t="inlineStr">
        <is>
          <t>1&lt;=X&lt;4</t>
        </is>
      </c>
      <c r="I139" s="5" t="n">
        <v>4</v>
      </c>
      <c r="J139" s="5" t="inlineStr">
        <is>
          <t>male single</t>
        </is>
      </c>
      <c r="K139" s="5" t="inlineStr">
        <is>
          <t>none</t>
        </is>
      </c>
      <c r="L139" s="5" t="n">
        <v>4</v>
      </c>
      <c r="M139" s="5" t="inlineStr">
        <is>
          <t>no known property</t>
        </is>
      </c>
      <c r="N139" s="5" t="n">
        <v>47</v>
      </c>
      <c r="O139" s="5" t="inlineStr">
        <is>
          <t>bank</t>
        </is>
      </c>
      <c r="P139" s="5" t="inlineStr">
        <is>
          <t>for free</t>
        </is>
      </c>
      <c r="Q139" s="5" t="n">
        <v>2</v>
      </c>
      <c r="R139" s="5" t="inlineStr">
        <is>
          <t>skilled</t>
        </is>
      </c>
      <c r="S139" s="5" t="n">
        <v>1</v>
      </c>
      <c r="T139" s="5" t="inlineStr">
        <is>
          <t>none</t>
        </is>
      </c>
      <c r="U139" s="5" t="inlineStr">
        <is>
          <t>yes</t>
        </is>
      </c>
      <c r="V139" s="5" t="inlineStr">
        <is>
          <t>good</t>
        </is>
      </c>
    </row>
    <row r="140">
      <c r="A140" s="5" t="n">
        <v>135</v>
      </c>
      <c r="B140" s="5" t="inlineStr">
        <is>
          <t>no checking</t>
        </is>
      </c>
      <c r="C140" s="5" t="n">
        <v>60</v>
      </c>
      <c r="D140" s="5" t="inlineStr">
        <is>
          <t>existing paid</t>
        </is>
      </c>
      <c r="E140" s="5" t="inlineStr">
        <is>
          <t>radio/tv</t>
        </is>
      </c>
      <c r="F140" s="5" t="n">
        <v>10144</v>
      </c>
      <c r="G140" s="5" t="inlineStr">
        <is>
          <t>100&lt;=X&lt;500</t>
        </is>
      </c>
      <c r="H140" s="5" t="inlineStr">
        <is>
          <t>4&lt;=X&lt;7</t>
        </is>
      </c>
      <c r="I140" s="5" t="n">
        <v>2</v>
      </c>
      <c r="J140" s="5" t="inlineStr">
        <is>
          <t>female div/dep/mar</t>
        </is>
      </c>
      <c r="K140" s="5" t="inlineStr">
        <is>
          <t>none</t>
        </is>
      </c>
      <c r="L140" s="5" t="n">
        <v>4</v>
      </c>
      <c r="M140" s="5" t="inlineStr">
        <is>
          <t>real estate</t>
        </is>
      </c>
      <c r="N140" s="5" t="n">
        <v>21</v>
      </c>
      <c r="O140" s="5" t="inlineStr">
        <is>
          <t>none</t>
        </is>
      </c>
      <c r="P140" s="5" t="inlineStr">
        <is>
          <t>own</t>
        </is>
      </c>
      <c r="Q140" s="5" t="n">
        <v>1</v>
      </c>
      <c r="R140" s="5" t="inlineStr">
        <is>
          <t>skilled</t>
        </is>
      </c>
      <c r="S140" s="5" t="n">
        <v>1</v>
      </c>
      <c r="T140" s="5" t="inlineStr">
        <is>
          <t>yes</t>
        </is>
      </c>
      <c r="U140" s="5" t="inlineStr">
        <is>
          <t>yes</t>
        </is>
      </c>
      <c r="V140" s="5" t="inlineStr">
        <is>
          <t>good</t>
        </is>
      </c>
    </row>
    <row r="141">
      <c r="A141" s="5" t="n">
        <v>136</v>
      </c>
      <c r="B141" s="5" t="inlineStr">
        <is>
          <t>no checking</t>
        </is>
      </c>
      <c r="C141" s="5" t="n">
        <v>12</v>
      </c>
      <c r="D141" s="5" t="inlineStr">
        <is>
          <t>critical/other existing credit</t>
        </is>
      </c>
      <c r="E141" s="5" t="inlineStr">
        <is>
          <t>radio/tv</t>
        </is>
      </c>
      <c r="F141" s="5" t="n">
        <v>1240</v>
      </c>
      <c r="G141" s="5" t="inlineStr">
        <is>
          <t>no known savings</t>
        </is>
      </c>
      <c r="H141" s="5" t="inlineStr">
        <is>
          <t>&gt;=7</t>
        </is>
      </c>
      <c r="I141" s="5" t="n">
        <v>4</v>
      </c>
      <c r="J141" s="5" t="inlineStr">
        <is>
          <t>female div/dep/mar</t>
        </is>
      </c>
      <c r="K141" s="5" t="inlineStr">
        <is>
          <t>none</t>
        </is>
      </c>
      <c r="L141" s="5" t="n">
        <v>2</v>
      </c>
      <c r="M141" s="5" t="inlineStr">
        <is>
          <t>real estate</t>
        </is>
      </c>
      <c r="N141" s="5" t="n">
        <v>38</v>
      </c>
      <c r="O141" s="5" t="inlineStr">
        <is>
          <t>none</t>
        </is>
      </c>
      <c r="P141" s="5" t="inlineStr">
        <is>
          <t>own</t>
        </is>
      </c>
      <c r="Q141" s="5" t="n">
        <v>2</v>
      </c>
      <c r="R141" s="5" t="inlineStr">
        <is>
          <t>skilled</t>
        </is>
      </c>
      <c r="S141" s="5" t="n">
        <v>1</v>
      </c>
      <c r="T141" s="5" t="inlineStr">
        <is>
          <t>yes</t>
        </is>
      </c>
      <c r="U141" s="5" t="inlineStr">
        <is>
          <t>yes</t>
        </is>
      </c>
      <c r="V141" s="5" t="inlineStr">
        <is>
          <t>good</t>
        </is>
      </c>
    </row>
    <row r="142">
      <c r="A142" s="5" t="n">
        <v>137</v>
      </c>
      <c r="B142" s="5" t="inlineStr">
        <is>
          <t>no checking</t>
        </is>
      </c>
      <c r="C142" s="5" t="n">
        <v>27</v>
      </c>
      <c r="D142" s="5" t="inlineStr">
        <is>
          <t>delayed previously</t>
        </is>
      </c>
      <c r="E142" s="5" t="inlineStr">
        <is>
          <t>used car</t>
        </is>
      </c>
      <c r="F142" s="5" t="n">
        <v>8613</v>
      </c>
      <c r="G142" s="5" t="inlineStr">
        <is>
          <t>&gt;=1000</t>
        </is>
      </c>
      <c r="H142" s="5" t="inlineStr">
        <is>
          <t>1&lt;=X&lt;4</t>
        </is>
      </c>
      <c r="I142" s="5" t="n">
        <v>2</v>
      </c>
      <c r="J142" s="5" t="inlineStr">
        <is>
          <t>male single</t>
        </is>
      </c>
      <c r="K142" s="5" t="inlineStr">
        <is>
          <t>none</t>
        </is>
      </c>
      <c r="L142" s="5" t="n">
        <v>2</v>
      </c>
      <c r="M142" s="5" t="inlineStr">
        <is>
          <t>car</t>
        </is>
      </c>
      <c r="N142" s="5" t="n">
        <v>27</v>
      </c>
      <c r="O142" s="5" t="inlineStr">
        <is>
          <t>none</t>
        </is>
      </c>
      <c r="P142" s="5" t="inlineStr">
        <is>
          <t>own</t>
        </is>
      </c>
      <c r="Q142" s="5" t="n">
        <v>2</v>
      </c>
      <c r="R142" s="5" t="inlineStr">
        <is>
          <t>skilled</t>
        </is>
      </c>
      <c r="S142" s="5" t="n">
        <v>1</v>
      </c>
      <c r="T142" s="5" t="inlineStr">
        <is>
          <t>none</t>
        </is>
      </c>
      <c r="U142" s="5" t="inlineStr">
        <is>
          <t>yes</t>
        </is>
      </c>
      <c r="V142" s="5" t="inlineStr">
        <is>
          <t>good</t>
        </is>
      </c>
    </row>
    <row r="143">
      <c r="A143" s="5" t="n">
        <v>138</v>
      </c>
      <c r="B143" s="5" t="inlineStr">
        <is>
          <t>0&lt;=X&lt;200</t>
        </is>
      </c>
      <c r="C143" s="5" t="n">
        <v>12</v>
      </c>
      <c r="D143" s="5" t="inlineStr">
        <is>
          <t>existing paid</t>
        </is>
      </c>
      <c r="E143" s="5" t="inlineStr">
        <is>
          <t>radio/tv</t>
        </is>
      </c>
      <c r="F143" s="5" t="n">
        <v>766</v>
      </c>
      <c r="G143" s="5" t="inlineStr">
        <is>
          <t>500&lt;=X&lt;1000</t>
        </is>
      </c>
      <c r="H143" s="5" t="inlineStr">
        <is>
          <t>1&lt;=X&lt;4</t>
        </is>
      </c>
      <c r="I143" s="5" t="n">
        <v>4</v>
      </c>
      <c r="J143" s="5" t="inlineStr">
        <is>
          <t>male single</t>
        </is>
      </c>
      <c r="K143" s="5" t="inlineStr">
        <is>
          <t>none</t>
        </is>
      </c>
      <c r="L143" s="5" t="n">
        <v>3</v>
      </c>
      <c r="M143" s="5" t="inlineStr">
        <is>
          <t>real estate</t>
        </is>
      </c>
      <c r="N143" s="5" t="n">
        <v>66</v>
      </c>
      <c r="O143" s="5" t="inlineStr">
        <is>
          <t>none</t>
        </is>
      </c>
      <c r="P143" s="5" t="inlineStr">
        <is>
          <t>own</t>
        </is>
      </c>
      <c r="Q143" s="5" t="n">
        <v>1</v>
      </c>
      <c r="R143" s="5" t="inlineStr">
        <is>
          <t>unskilled resident</t>
        </is>
      </c>
      <c r="S143" s="5" t="n">
        <v>1</v>
      </c>
      <c r="T143" s="5" t="inlineStr">
        <is>
          <t>none</t>
        </is>
      </c>
      <c r="U143" s="5" t="inlineStr">
        <is>
          <t>yes</t>
        </is>
      </c>
      <c r="V143" s="5" t="inlineStr">
        <is>
          <t>bad</t>
        </is>
      </c>
    </row>
    <row r="144">
      <c r="A144" s="5" t="n">
        <v>139</v>
      </c>
      <c r="B144" s="5" t="inlineStr">
        <is>
          <t>0&lt;=X&lt;200</t>
        </is>
      </c>
      <c r="C144" s="5" t="n">
        <v>15</v>
      </c>
      <c r="D144" s="5" t="inlineStr">
        <is>
          <t>critical/other existing credit</t>
        </is>
      </c>
      <c r="E144" s="5" t="inlineStr">
        <is>
          <t>radio/tv</t>
        </is>
      </c>
      <c r="F144" s="5" t="n">
        <v>2728</v>
      </c>
      <c r="G144" s="5" t="inlineStr">
        <is>
          <t>no known savings</t>
        </is>
      </c>
      <c r="H144" s="5" t="inlineStr">
        <is>
          <t>4&lt;=X&lt;7</t>
        </is>
      </c>
      <c r="I144" s="5" t="n">
        <v>4</v>
      </c>
      <c r="J144" s="5" t="inlineStr">
        <is>
          <t>male single</t>
        </is>
      </c>
      <c r="K144" s="5" t="inlineStr">
        <is>
          <t>guarantor</t>
        </is>
      </c>
      <c r="L144" s="5" t="n">
        <v>2</v>
      </c>
      <c r="M144" s="5" t="inlineStr">
        <is>
          <t>real estate</t>
        </is>
      </c>
      <c r="N144" s="5" t="n">
        <v>35</v>
      </c>
      <c r="O144" s="5" t="inlineStr">
        <is>
          <t>bank</t>
        </is>
      </c>
      <c r="P144" s="5" t="inlineStr">
        <is>
          <t>own</t>
        </is>
      </c>
      <c r="Q144" s="5" t="n">
        <v>3</v>
      </c>
      <c r="R144" s="5" t="inlineStr">
        <is>
          <t>skilled</t>
        </is>
      </c>
      <c r="S144" s="5" t="n">
        <v>1</v>
      </c>
      <c r="T144" s="5" t="inlineStr">
        <is>
          <t>yes</t>
        </is>
      </c>
      <c r="U144" s="5" t="inlineStr">
        <is>
          <t>yes</t>
        </is>
      </c>
      <c r="V144" s="5" t="inlineStr">
        <is>
          <t>good</t>
        </is>
      </c>
    </row>
    <row r="145">
      <c r="A145" s="5" t="n">
        <v>140</v>
      </c>
      <c r="B145" s="5" t="inlineStr">
        <is>
          <t>&gt;=200</t>
        </is>
      </c>
      <c r="C145" s="5" t="n">
        <v>12</v>
      </c>
      <c r="D145" s="5" t="inlineStr">
        <is>
          <t>existing paid</t>
        </is>
      </c>
      <c r="E145" s="5" t="inlineStr">
        <is>
          <t>radio/tv</t>
        </is>
      </c>
      <c r="F145" s="5" t="n">
        <v>1881</v>
      </c>
      <c r="G145" s="5" t="inlineStr">
        <is>
          <t>&lt;100</t>
        </is>
      </c>
      <c r="H145" s="5" t="inlineStr">
        <is>
          <t>1&lt;=X&lt;4</t>
        </is>
      </c>
      <c r="I145" s="5" t="n">
        <v>2</v>
      </c>
      <c r="J145" s="5" t="inlineStr">
        <is>
          <t>female div/dep/mar</t>
        </is>
      </c>
      <c r="K145" s="5" t="inlineStr">
        <is>
          <t>none</t>
        </is>
      </c>
      <c r="L145" s="5" t="n">
        <v>2</v>
      </c>
      <c r="M145" s="5" t="inlineStr">
        <is>
          <t>car</t>
        </is>
      </c>
      <c r="N145" s="5" t="n">
        <v>44</v>
      </c>
      <c r="O145" s="5" t="inlineStr">
        <is>
          <t>none</t>
        </is>
      </c>
      <c r="P145" s="5" t="inlineStr">
        <is>
          <t>rent</t>
        </is>
      </c>
      <c r="Q145" s="5" t="n">
        <v>1</v>
      </c>
      <c r="R145" s="5" t="inlineStr">
        <is>
          <t>unskilled resident</t>
        </is>
      </c>
      <c r="S145" s="5" t="n">
        <v>1</v>
      </c>
      <c r="T145" s="5" t="inlineStr">
        <is>
          <t>yes</t>
        </is>
      </c>
      <c r="U145" s="5" t="inlineStr">
        <is>
          <t>yes</t>
        </is>
      </c>
      <c r="V145" s="5" t="inlineStr">
        <is>
          <t>good</t>
        </is>
      </c>
    </row>
    <row r="146">
      <c r="A146" s="5" t="n">
        <v>141</v>
      </c>
      <c r="B146" s="5" t="inlineStr">
        <is>
          <t>&gt;=200</t>
        </is>
      </c>
      <c r="C146" s="5" t="n">
        <v>6</v>
      </c>
      <c r="D146" s="5" t="inlineStr">
        <is>
          <t>existing paid</t>
        </is>
      </c>
      <c r="E146" s="5" t="inlineStr">
        <is>
          <t>new car</t>
        </is>
      </c>
      <c r="F146" s="5" t="n">
        <v>709</v>
      </c>
      <c r="G146" s="5" t="inlineStr">
        <is>
          <t>&gt;=1000</t>
        </is>
      </c>
      <c r="H146" s="5" t="inlineStr">
        <is>
          <t>&lt;1</t>
        </is>
      </c>
      <c r="I146" s="5" t="n">
        <v>2</v>
      </c>
      <c r="J146" s="5" t="inlineStr">
        <is>
          <t>male mar/wid</t>
        </is>
      </c>
      <c r="K146" s="5" t="inlineStr">
        <is>
          <t>none</t>
        </is>
      </c>
      <c r="L146" s="5" t="n">
        <v>2</v>
      </c>
      <c r="M146" s="5" t="inlineStr">
        <is>
          <t>real estate</t>
        </is>
      </c>
      <c r="N146" s="5" t="n">
        <v>27</v>
      </c>
      <c r="O146" s="5" t="inlineStr">
        <is>
          <t>none</t>
        </is>
      </c>
      <c r="P146" s="5" t="inlineStr">
        <is>
          <t>own</t>
        </is>
      </c>
      <c r="Q146" s="5" t="n">
        <v>1</v>
      </c>
      <c r="R146" s="5" t="inlineStr">
        <is>
          <t>unemp/unskilled non res</t>
        </is>
      </c>
      <c r="S146" s="5" t="n">
        <v>1</v>
      </c>
      <c r="T146" s="5" t="inlineStr">
        <is>
          <t>none</t>
        </is>
      </c>
      <c r="U146" s="5" t="inlineStr">
        <is>
          <t>no</t>
        </is>
      </c>
      <c r="V146" s="5" t="inlineStr">
        <is>
          <t>good</t>
        </is>
      </c>
    </row>
    <row r="147">
      <c r="A147" s="5" t="n">
        <v>142</v>
      </c>
      <c r="B147" s="5" t="inlineStr">
        <is>
          <t>0&lt;=X&lt;200</t>
        </is>
      </c>
      <c r="C147" s="5" t="n">
        <v>36</v>
      </c>
      <c r="D147" s="5" t="inlineStr">
        <is>
          <t>existing paid</t>
        </is>
      </c>
      <c r="E147" s="5" t="inlineStr">
        <is>
          <t>radio/tv</t>
        </is>
      </c>
      <c r="F147" s="5" t="n">
        <v>4795</v>
      </c>
      <c r="G147" s="5" t="inlineStr">
        <is>
          <t>&lt;100</t>
        </is>
      </c>
      <c r="H147" s="5" t="inlineStr">
        <is>
          <t>&lt;1</t>
        </is>
      </c>
      <c r="I147" s="5" t="n">
        <v>4</v>
      </c>
      <c r="J147" s="5" t="inlineStr">
        <is>
          <t>female div/dep/mar</t>
        </is>
      </c>
      <c r="K147" s="5" t="inlineStr">
        <is>
          <t>none</t>
        </is>
      </c>
      <c r="L147" s="5" t="n">
        <v>1</v>
      </c>
      <c r="M147" s="5" t="inlineStr">
        <is>
          <t>no known property</t>
        </is>
      </c>
      <c r="N147" s="5" t="n">
        <v>30</v>
      </c>
      <c r="O147" s="5" t="inlineStr">
        <is>
          <t>none</t>
        </is>
      </c>
      <c r="P147" s="5" t="inlineStr">
        <is>
          <t>own</t>
        </is>
      </c>
      <c r="Q147" s="5" t="n">
        <v>1</v>
      </c>
      <c r="R147" s="5" t="inlineStr">
        <is>
          <t>high qualif/self emp/mgmt</t>
        </is>
      </c>
      <c r="S147" s="5" t="n">
        <v>1</v>
      </c>
      <c r="T147" s="5" t="inlineStr">
        <is>
          <t>yes</t>
        </is>
      </c>
      <c r="U147" s="5" t="inlineStr">
        <is>
          <t>yes</t>
        </is>
      </c>
      <c r="V147" s="5" t="inlineStr">
        <is>
          <t>good</t>
        </is>
      </c>
    </row>
    <row r="148">
      <c r="A148" s="5" t="n">
        <v>143</v>
      </c>
      <c r="B148" s="5" t="inlineStr">
        <is>
          <t>&lt;0</t>
        </is>
      </c>
      <c r="C148" s="5" t="n">
        <v>27</v>
      </c>
      <c r="D148" s="5" t="inlineStr">
        <is>
          <t>existing paid</t>
        </is>
      </c>
      <c r="E148" s="5" t="inlineStr">
        <is>
          <t>radio/tv</t>
        </is>
      </c>
      <c r="F148" s="5" t="n">
        <v>3416</v>
      </c>
      <c r="G148" s="5" t="inlineStr">
        <is>
          <t>&lt;100</t>
        </is>
      </c>
      <c r="H148" s="5" t="inlineStr">
        <is>
          <t>1&lt;=X&lt;4</t>
        </is>
      </c>
      <c r="I148" s="5" t="n">
        <v>3</v>
      </c>
      <c r="J148" s="5" t="inlineStr">
        <is>
          <t>male single</t>
        </is>
      </c>
      <c r="K148" s="5" t="inlineStr">
        <is>
          <t>none</t>
        </is>
      </c>
      <c r="L148" s="5" t="n">
        <v>2</v>
      </c>
      <c r="M148" s="5" t="inlineStr">
        <is>
          <t>car</t>
        </is>
      </c>
      <c r="N148" s="5" t="n">
        <v>27</v>
      </c>
      <c r="O148" s="5" t="inlineStr">
        <is>
          <t>none</t>
        </is>
      </c>
      <c r="P148" s="5" t="inlineStr">
        <is>
          <t>own</t>
        </is>
      </c>
      <c r="Q148" s="5" t="n">
        <v>1</v>
      </c>
      <c r="R148" s="5" t="inlineStr">
        <is>
          <t>high qualif/self emp/mgmt</t>
        </is>
      </c>
      <c r="S148" s="5" t="n">
        <v>1</v>
      </c>
      <c r="T148" s="5" t="inlineStr">
        <is>
          <t>none</t>
        </is>
      </c>
      <c r="U148" s="5" t="inlineStr">
        <is>
          <t>yes</t>
        </is>
      </c>
      <c r="V148" s="5" t="inlineStr">
        <is>
          <t>good</t>
        </is>
      </c>
    </row>
    <row r="149">
      <c r="A149" s="5" t="n">
        <v>144</v>
      </c>
      <c r="B149" s="5" t="inlineStr">
        <is>
          <t>&lt;0</t>
        </is>
      </c>
      <c r="C149" s="5" t="n">
        <v>18</v>
      </c>
      <c r="D149" s="5" t="inlineStr">
        <is>
          <t>existing paid</t>
        </is>
      </c>
      <c r="E149" s="5" t="inlineStr">
        <is>
          <t>furniture/equipment</t>
        </is>
      </c>
      <c r="F149" s="5" t="n">
        <v>2462</v>
      </c>
      <c r="G149" s="5" t="inlineStr">
        <is>
          <t>&lt;100</t>
        </is>
      </c>
      <c r="H149" s="5" t="inlineStr">
        <is>
          <t>1&lt;=X&lt;4</t>
        </is>
      </c>
      <c r="I149" s="5" t="n">
        <v>2</v>
      </c>
      <c r="J149" s="5" t="inlineStr">
        <is>
          <t>male single</t>
        </is>
      </c>
      <c r="K149" s="5" t="inlineStr">
        <is>
          <t>none</t>
        </is>
      </c>
      <c r="L149" s="5" t="n">
        <v>2</v>
      </c>
      <c r="M149" s="5" t="inlineStr">
        <is>
          <t>car</t>
        </is>
      </c>
      <c r="N149" s="5" t="n">
        <v>22</v>
      </c>
      <c r="O149" s="5" t="inlineStr">
        <is>
          <t>none</t>
        </is>
      </c>
      <c r="P149" s="5" t="inlineStr">
        <is>
          <t>own</t>
        </is>
      </c>
      <c r="Q149" s="5" t="n">
        <v>1</v>
      </c>
      <c r="R149" s="5" t="inlineStr">
        <is>
          <t>skilled</t>
        </is>
      </c>
      <c r="S149" s="5" t="n">
        <v>1</v>
      </c>
      <c r="T149" s="5" t="inlineStr">
        <is>
          <t>none</t>
        </is>
      </c>
      <c r="U149" s="5" t="inlineStr">
        <is>
          <t>yes</t>
        </is>
      </c>
      <c r="V149" s="5" t="inlineStr">
        <is>
          <t>bad</t>
        </is>
      </c>
    </row>
    <row r="150">
      <c r="A150" s="5" t="n">
        <v>145</v>
      </c>
      <c r="B150" s="5" t="inlineStr">
        <is>
          <t>no checking</t>
        </is>
      </c>
      <c r="C150" s="5" t="n">
        <v>21</v>
      </c>
      <c r="D150" s="5" t="inlineStr">
        <is>
          <t>critical/other existing credit</t>
        </is>
      </c>
      <c r="E150" s="5" t="inlineStr">
        <is>
          <t>furniture/equipment</t>
        </is>
      </c>
      <c r="F150" s="5" t="n">
        <v>2288</v>
      </c>
      <c r="G150" s="5" t="inlineStr">
        <is>
          <t>&lt;100</t>
        </is>
      </c>
      <c r="H150" s="5" t="inlineStr">
        <is>
          <t>&lt;1</t>
        </is>
      </c>
      <c r="I150" s="5" t="n">
        <v>4</v>
      </c>
      <c r="J150" s="5" t="inlineStr">
        <is>
          <t>female div/dep/mar</t>
        </is>
      </c>
      <c r="K150" s="5" t="inlineStr">
        <is>
          <t>none</t>
        </is>
      </c>
      <c r="L150" s="5" t="n">
        <v>4</v>
      </c>
      <c r="M150" s="5" t="inlineStr">
        <is>
          <t>life insurance</t>
        </is>
      </c>
      <c r="N150" s="5" t="n">
        <v>23</v>
      </c>
      <c r="O150" s="5" t="inlineStr">
        <is>
          <t>none</t>
        </is>
      </c>
      <c r="P150" s="5" t="inlineStr">
        <is>
          <t>own</t>
        </is>
      </c>
      <c r="Q150" s="5" t="n">
        <v>1</v>
      </c>
      <c r="R150" s="5" t="inlineStr">
        <is>
          <t>skilled</t>
        </is>
      </c>
      <c r="S150" s="5" t="n">
        <v>1</v>
      </c>
      <c r="T150" s="5" t="inlineStr">
        <is>
          <t>yes</t>
        </is>
      </c>
      <c r="U150" s="5" t="inlineStr">
        <is>
          <t>yes</t>
        </is>
      </c>
      <c r="V150" s="5" t="inlineStr">
        <is>
          <t>good</t>
        </is>
      </c>
    </row>
    <row r="151">
      <c r="A151" s="5" t="n">
        <v>146</v>
      </c>
      <c r="B151" s="5" t="inlineStr">
        <is>
          <t>0&lt;=X&lt;200</t>
        </is>
      </c>
      <c r="C151" s="5" t="n">
        <v>48</v>
      </c>
      <c r="D151" s="5" t="inlineStr">
        <is>
          <t>all paid</t>
        </is>
      </c>
      <c r="E151" s="5" t="inlineStr">
        <is>
          <t>business</t>
        </is>
      </c>
      <c r="F151" s="5" t="n">
        <v>3566</v>
      </c>
      <c r="G151" s="5" t="inlineStr">
        <is>
          <t>100&lt;=X&lt;500</t>
        </is>
      </c>
      <c r="H151" s="5" t="inlineStr">
        <is>
          <t>4&lt;=X&lt;7</t>
        </is>
      </c>
      <c r="I151" s="5" t="n">
        <v>4</v>
      </c>
      <c r="J151" s="5" t="inlineStr">
        <is>
          <t>male single</t>
        </is>
      </c>
      <c r="K151" s="5" t="inlineStr">
        <is>
          <t>none</t>
        </is>
      </c>
      <c r="L151" s="5" t="n">
        <v>2</v>
      </c>
      <c r="M151" s="5" t="inlineStr">
        <is>
          <t>car</t>
        </is>
      </c>
      <c r="N151" s="5" t="n">
        <v>30</v>
      </c>
      <c r="O151" s="5" t="inlineStr">
        <is>
          <t>none</t>
        </is>
      </c>
      <c r="P151" s="5" t="inlineStr">
        <is>
          <t>own</t>
        </is>
      </c>
      <c r="Q151" s="5" t="n">
        <v>1</v>
      </c>
      <c r="R151" s="5" t="inlineStr">
        <is>
          <t>skilled</t>
        </is>
      </c>
      <c r="S151" s="5" t="n">
        <v>1</v>
      </c>
      <c r="T151" s="5" t="inlineStr">
        <is>
          <t>none</t>
        </is>
      </c>
      <c r="U151" s="5" t="inlineStr">
        <is>
          <t>yes</t>
        </is>
      </c>
      <c r="V151" s="5" t="inlineStr">
        <is>
          <t>good</t>
        </is>
      </c>
    </row>
    <row r="152">
      <c r="A152" s="5" t="n">
        <v>147</v>
      </c>
      <c r="B152" s="5" t="inlineStr">
        <is>
          <t>&lt;0</t>
        </is>
      </c>
      <c r="C152" s="5" t="n">
        <v>6</v>
      </c>
      <c r="D152" s="5" t="inlineStr">
        <is>
          <t>critical/other existing credit</t>
        </is>
      </c>
      <c r="E152" s="5" t="inlineStr">
        <is>
          <t>new car</t>
        </is>
      </c>
      <c r="F152" s="5" t="n">
        <v>860</v>
      </c>
      <c r="G152" s="5" t="inlineStr">
        <is>
          <t>&lt;100</t>
        </is>
      </c>
      <c r="H152" s="5" t="inlineStr">
        <is>
          <t>&gt;=7</t>
        </is>
      </c>
      <c r="I152" s="5" t="n">
        <v>1</v>
      </c>
      <c r="J152" s="5" t="inlineStr">
        <is>
          <t>female div/dep/mar</t>
        </is>
      </c>
      <c r="K152" s="5" t="inlineStr">
        <is>
          <t>none</t>
        </is>
      </c>
      <c r="L152" s="5" t="n">
        <v>4</v>
      </c>
      <c r="M152" s="5" t="inlineStr">
        <is>
          <t>no known property</t>
        </is>
      </c>
      <c r="N152" s="5" t="n">
        <v>39</v>
      </c>
      <c r="O152" s="5" t="inlineStr">
        <is>
          <t>none</t>
        </is>
      </c>
      <c r="P152" s="5" t="inlineStr">
        <is>
          <t>own</t>
        </is>
      </c>
      <c r="Q152" s="5" t="n">
        <v>2</v>
      </c>
      <c r="R152" s="5" t="inlineStr">
        <is>
          <t>skilled</t>
        </is>
      </c>
      <c r="S152" s="5" t="n">
        <v>1</v>
      </c>
      <c r="T152" s="5" t="inlineStr">
        <is>
          <t>yes</t>
        </is>
      </c>
      <c r="U152" s="5" t="inlineStr">
        <is>
          <t>yes</t>
        </is>
      </c>
      <c r="V152" s="5" t="inlineStr">
        <is>
          <t>good</t>
        </is>
      </c>
    </row>
    <row r="153">
      <c r="A153" s="5" t="n">
        <v>148</v>
      </c>
      <c r="B153" s="5" t="inlineStr">
        <is>
          <t>no checking</t>
        </is>
      </c>
      <c r="C153" s="5" t="n">
        <v>12</v>
      </c>
      <c r="D153" s="5" t="inlineStr">
        <is>
          <t>critical/other existing credit</t>
        </is>
      </c>
      <c r="E153" s="5" t="inlineStr">
        <is>
          <t>new car</t>
        </is>
      </c>
      <c r="F153" s="5" t="n">
        <v>682</v>
      </c>
      <c r="G153" s="5" t="inlineStr">
        <is>
          <t>100&lt;=X&lt;500</t>
        </is>
      </c>
      <c r="H153" s="5" t="inlineStr">
        <is>
          <t>4&lt;=X&lt;7</t>
        </is>
      </c>
      <c r="I153" s="5" t="n">
        <v>4</v>
      </c>
      <c r="J153" s="5" t="inlineStr">
        <is>
          <t>female div/dep/mar</t>
        </is>
      </c>
      <c r="K153" s="5" t="inlineStr">
        <is>
          <t>none</t>
        </is>
      </c>
      <c r="L153" s="5" t="n">
        <v>3</v>
      </c>
      <c r="M153" s="5" t="inlineStr">
        <is>
          <t>car</t>
        </is>
      </c>
      <c r="N153" s="5" t="n">
        <v>51</v>
      </c>
      <c r="O153" s="5" t="inlineStr">
        <is>
          <t>none</t>
        </is>
      </c>
      <c r="P153" s="5" t="inlineStr">
        <is>
          <t>own</t>
        </is>
      </c>
      <c r="Q153" s="5" t="n">
        <v>2</v>
      </c>
      <c r="R153" s="5" t="inlineStr">
        <is>
          <t>skilled</t>
        </is>
      </c>
      <c r="S153" s="5" t="n">
        <v>1</v>
      </c>
      <c r="T153" s="5" t="inlineStr">
        <is>
          <t>yes</t>
        </is>
      </c>
      <c r="U153" s="5" t="inlineStr">
        <is>
          <t>yes</t>
        </is>
      </c>
      <c r="V153" s="5" t="inlineStr">
        <is>
          <t>good</t>
        </is>
      </c>
    </row>
    <row r="154">
      <c r="A154" s="5" t="n">
        <v>149</v>
      </c>
      <c r="B154" s="5" t="inlineStr">
        <is>
          <t>&lt;0</t>
        </is>
      </c>
      <c r="C154" s="5" t="n">
        <v>36</v>
      </c>
      <c r="D154" s="5" t="inlineStr">
        <is>
          <t>critical/other existing credit</t>
        </is>
      </c>
      <c r="E154" s="5" t="inlineStr">
        <is>
          <t>furniture/equipment</t>
        </is>
      </c>
      <c r="F154" s="5" t="n">
        <v>5371</v>
      </c>
      <c r="G154" s="5" t="inlineStr">
        <is>
          <t>&lt;100</t>
        </is>
      </c>
      <c r="H154" s="5" t="inlineStr">
        <is>
          <t>1&lt;=X&lt;4</t>
        </is>
      </c>
      <c r="I154" s="5" t="n">
        <v>3</v>
      </c>
      <c r="J154" s="5" t="inlineStr">
        <is>
          <t>male single</t>
        </is>
      </c>
      <c r="K154" s="5" t="inlineStr">
        <is>
          <t>guarantor</t>
        </is>
      </c>
      <c r="L154" s="5" t="n">
        <v>2</v>
      </c>
      <c r="M154" s="5" t="inlineStr">
        <is>
          <t>life insurance</t>
        </is>
      </c>
      <c r="N154" s="5" t="n">
        <v>28</v>
      </c>
      <c r="O154" s="5" t="inlineStr">
        <is>
          <t>none</t>
        </is>
      </c>
      <c r="P154" s="5" t="inlineStr">
        <is>
          <t>own</t>
        </is>
      </c>
      <c r="Q154" s="5" t="n">
        <v>2</v>
      </c>
      <c r="R154" s="5" t="inlineStr">
        <is>
          <t>skilled</t>
        </is>
      </c>
      <c r="S154" s="5" t="n">
        <v>1</v>
      </c>
      <c r="T154" s="5" t="inlineStr">
        <is>
          <t>none</t>
        </is>
      </c>
      <c r="U154" s="5" t="inlineStr">
        <is>
          <t>yes</t>
        </is>
      </c>
      <c r="V154" s="5" t="inlineStr">
        <is>
          <t>good</t>
        </is>
      </c>
    </row>
    <row r="155">
      <c r="A155" s="5" t="n">
        <v>150</v>
      </c>
      <c r="B155" s="5" t="inlineStr">
        <is>
          <t>no checking</t>
        </is>
      </c>
      <c r="C155" s="5" t="n">
        <v>18</v>
      </c>
      <c r="D155" s="5" t="inlineStr">
        <is>
          <t>critical/other existing credit</t>
        </is>
      </c>
      <c r="E155" s="5" t="inlineStr">
        <is>
          <t>radio/tv</t>
        </is>
      </c>
      <c r="F155" s="5" t="n">
        <v>1582</v>
      </c>
      <c r="G155" s="5" t="inlineStr">
        <is>
          <t>&gt;=1000</t>
        </is>
      </c>
      <c r="H155" s="5" t="inlineStr">
        <is>
          <t>&gt;=7</t>
        </is>
      </c>
      <c r="I155" s="5" t="n">
        <v>4</v>
      </c>
      <c r="J155" s="5" t="inlineStr">
        <is>
          <t>male single</t>
        </is>
      </c>
      <c r="K155" s="5" t="inlineStr">
        <is>
          <t>none</t>
        </is>
      </c>
      <c r="L155" s="5" t="n">
        <v>4</v>
      </c>
      <c r="M155" s="5" t="inlineStr">
        <is>
          <t>car</t>
        </is>
      </c>
      <c r="N155" s="5" t="n">
        <v>46</v>
      </c>
      <c r="O155" s="5" t="inlineStr">
        <is>
          <t>none</t>
        </is>
      </c>
      <c r="P155" s="5" t="inlineStr">
        <is>
          <t>own</t>
        </is>
      </c>
      <c r="Q155" s="5" t="n">
        <v>2</v>
      </c>
      <c r="R155" s="5" t="inlineStr">
        <is>
          <t>skilled</t>
        </is>
      </c>
      <c r="S155" s="5" t="n">
        <v>1</v>
      </c>
      <c r="T155" s="5" t="inlineStr">
        <is>
          <t>none</t>
        </is>
      </c>
      <c r="U155" s="5" t="inlineStr">
        <is>
          <t>yes</t>
        </is>
      </c>
      <c r="V155" s="5" t="inlineStr">
        <is>
          <t>good</t>
        </is>
      </c>
    </row>
    <row r="156">
      <c r="A156" s="5" t="n">
        <v>151</v>
      </c>
      <c r="B156" s="5" t="inlineStr">
        <is>
          <t>no checking</t>
        </is>
      </c>
      <c r="C156" s="5" t="n">
        <v>6</v>
      </c>
      <c r="D156" s="5" t="inlineStr">
        <is>
          <t>existing paid</t>
        </is>
      </c>
      <c r="E156" s="5" t="inlineStr">
        <is>
          <t>radio/tv</t>
        </is>
      </c>
      <c r="F156" s="5" t="n">
        <v>1346</v>
      </c>
      <c r="G156" s="5" t="inlineStr">
        <is>
          <t>100&lt;=X&lt;500</t>
        </is>
      </c>
      <c r="H156" s="5" t="inlineStr">
        <is>
          <t>&gt;=7</t>
        </is>
      </c>
      <c r="I156" s="5" t="n">
        <v>2</v>
      </c>
      <c r="J156" s="5" t="inlineStr">
        <is>
          <t>male single</t>
        </is>
      </c>
      <c r="K156" s="5" t="inlineStr">
        <is>
          <t>none</t>
        </is>
      </c>
      <c r="L156" s="5" t="n">
        <v>4</v>
      </c>
      <c r="M156" s="5" t="inlineStr">
        <is>
          <t>no known property</t>
        </is>
      </c>
      <c r="N156" s="5" t="n">
        <v>42</v>
      </c>
      <c r="O156" s="5" t="inlineStr">
        <is>
          <t>bank</t>
        </is>
      </c>
      <c r="P156" s="5" t="inlineStr">
        <is>
          <t>for free</t>
        </is>
      </c>
      <c r="Q156" s="5" t="n">
        <v>1</v>
      </c>
      <c r="R156" s="5" t="inlineStr">
        <is>
          <t>skilled</t>
        </is>
      </c>
      <c r="S156" s="5" t="n">
        <v>2</v>
      </c>
      <c r="T156" s="5" t="inlineStr">
        <is>
          <t>yes</t>
        </is>
      </c>
      <c r="U156" s="5" t="inlineStr">
        <is>
          <t>yes</t>
        </is>
      </c>
      <c r="V156" s="5" t="inlineStr">
        <is>
          <t>good</t>
        </is>
      </c>
    </row>
    <row r="157">
      <c r="A157" s="5" t="n">
        <v>152</v>
      </c>
      <c r="B157" s="5" t="inlineStr">
        <is>
          <t>no checking</t>
        </is>
      </c>
      <c r="C157" s="5" t="n">
        <v>10</v>
      </c>
      <c r="D157" s="5" t="inlineStr">
        <is>
          <t>existing paid</t>
        </is>
      </c>
      <c r="E157" s="5" t="inlineStr">
        <is>
          <t>radio/tv</t>
        </is>
      </c>
      <c r="F157" s="5" t="n">
        <v>1924</v>
      </c>
      <c r="G157" s="5" t="inlineStr">
        <is>
          <t>&lt;100</t>
        </is>
      </c>
      <c r="H157" s="5" t="inlineStr">
        <is>
          <t>1&lt;=X&lt;4</t>
        </is>
      </c>
      <c r="I157" s="5" t="n">
        <v>1</v>
      </c>
      <c r="J157" s="5" t="inlineStr">
        <is>
          <t>male single</t>
        </is>
      </c>
      <c r="K157" s="5" t="inlineStr">
        <is>
          <t>none</t>
        </is>
      </c>
      <c r="L157" s="5" t="n">
        <v>4</v>
      </c>
      <c r="M157" s="5" t="inlineStr">
        <is>
          <t>life insurance</t>
        </is>
      </c>
      <c r="N157" s="5" t="n">
        <v>38</v>
      </c>
      <c r="O157" s="5" t="inlineStr">
        <is>
          <t>none</t>
        </is>
      </c>
      <c r="P157" s="5" t="inlineStr">
        <is>
          <t>own</t>
        </is>
      </c>
      <c r="Q157" s="5" t="n">
        <v>1</v>
      </c>
      <c r="R157" s="5" t="inlineStr">
        <is>
          <t>skilled</t>
        </is>
      </c>
      <c r="S157" s="5" t="n">
        <v>1</v>
      </c>
      <c r="T157" s="5" t="inlineStr">
        <is>
          <t>yes</t>
        </is>
      </c>
      <c r="U157" s="5" t="inlineStr">
        <is>
          <t>no</t>
        </is>
      </c>
      <c r="V157" s="5" t="inlineStr">
        <is>
          <t>good</t>
        </is>
      </c>
    </row>
    <row r="158">
      <c r="A158" s="5" t="n">
        <v>153</v>
      </c>
      <c r="B158" s="5" t="inlineStr">
        <is>
          <t>&gt;=200</t>
        </is>
      </c>
      <c r="C158" s="5" t="n">
        <v>36</v>
      </c>
      <c r="D158" s="5" t="inlineStr">
        <is>
          <t>existing paid</t>
        </is>
      </c>
      <c r="E158" s="5" t="inlineStr">
        <is>
          <t>radio/tv</t>
        </is>
      </c>
      <c r="F158" s="5" t="n">
        <v>5848</v>
      </c>
      <c r="G158" s="5" t="inlineStr">
        <is>
          <t>&lt;100</t>
        </is>
      </c>
      <c r="H158" s="5" t="inlineStr">
        <is>
          <t>1&lt;=X&lt;4</t>
        </is>
      </c>
      <c r="I158" s="5" t="n">
        <v>4</v>
      </c>
      <c r="J158" s="5" t="inlineStr">
        <is>
          <t>male single</t>
        </is>
      </c>
      <c r="K158" s="5" t="inlineStr">
        <is>
          <t>none</t>
        </is>
      </c>
      <c r="L158" s="5" t="n">
        <v>1</v>
      </c>
      <c r="M158" s="5" t="inlineStr">
        <is>
          <t>car</t>
        </is>
      </c>
      <c r="N158" s="5" t="n">
        <v>24</v>
      </c>
      <c r="O158" s="5" t="inlineStr">
        <is>
          <t>none</t>
        </is>
      </c>
      <c r="P158" s="5" t="inlineStr">
        <is>
          <t>own</t>
        </is>
      </c>
      <c r="Q158" s="5" t="n">
        <v>1</v>
      </c>
      <c r="R158" s="5" t="inlineStr">
        <is>
          <t>skilled</t>
        </is>
      </c>
      <c r="S158" s="5" t="n">
        <v>1</v>
      </c>
      <c r="T158" s="5" t="inlineStr">
        <is>
          <t>none</t>
        </is>
      </c>
      <c r="U158" s="5" t="inlineStr">
        <is>
          <t>yes</t>
        </is>
      </c>
      <c r="V158" s="5" t="inlineStr">
        <is>
          <t>good</t>
        </is>
      </c>
    </row>
    <row r="159">
      <c r="A159" s="5" t="n">
        <v>154</v>
      </c>
      <c r="B159" s="5" t="inlineStr">
        <is>
          <t>0&lt;=X&lt;200</t>
        </is>
      </c>
      <c r="C159" s="5" t="n">
        <v>24</v>
      </c>
      <c r="D159" s="5" t="inlineStr">
        <is>
          <t>critical/other existing credit</t>
        </is>
      </c>
      <c r="E159" s="5" t="inlineStr">
        <is>
          <t>used car</t>
        </is>
      </c>
      <c r="F159" s="5" t="n">
        <v>7758</v>
      </c>
      <c r="G159" s="5" t="inlineStr">
        <is>
          <t>&gt;=1000</t>
        </is>
      </c>
      <c r="H159" s="5" t="inlineStr">
        <is>
          <t>&gt;=7</t>
        </is>
      </c>
      <c r="I159" s="5" t="n">
        <v>2</v>
      </c>
      <c r="J159" s="5" t="inlineStr">
        <is>
          <t>female div/dep/mar</t>
        </is>
      </c>
      <c r="K159" s="5" t="inlineStr">
        <is>
          <t>none</t>
        </is>
      </c>
      <c r="L159" s="5" t="n">
        <v>4</v>
      </c>
      <c r="M159" s="5" t="inlineStr">
        <is>
          <t>no known property</t>
        </is>
      </c>
      <c r="N159" s="5" t="n">
        <v>29</v>
      </c>
      <c r="O159" s="5" t="inlineStr">
        <is>
          <t>none</t>
        </is>
      </c>
      <c r="P159" s="5" t="inlineStr">
        <is>
          <t>rent</t>
        </is>
      </c>
      <c r="Q159" s="5" t="n">
        <v>1</v>
      </c>
      <c r="R159" s="5" t="inlineStr">
        <is>
          <t>skilled</t>
        </is>
      </c>
      <c r="S159" s="5" t="n">
        <v>1</v>
      </c>
      <c r="T159" s="5" t="inlineStr">
        <is>
          <t>none</t>
        </is>
      </c>
      <c r="U159" s="5" t="inlineStr">
        <is>
          <t>yes</t>
        </is>
      </c>
      <c r="V159" s="5" t="inlineStr">
        <is>
          <t>good</t>
        </is>
      </c>
    </row>
    <row r="160">
      <c r="A160" s="5" t="n">
        <v>155</v>
      </c>
      <c r="B160" s="5" t="inlineStr">
        <is>
          <t>0&lt;=X&lt;200</t>
        </is>
      </c>
      <c r="C160" s="5" t="n">
        <v>24</v>
      </c>
      <c r="D160" s="5" t="inlineStr">
        <is>
          <t>delayed previously</t>
        </is>
      </c>
      <c r="E160" s="5" t="inlineStr">
        <is>
          <t>business</t>
        </is>
      </c>
      <c r="F160" s="5" t="n">
        <v>6967</v>
      </c>
      <c r="G160" s="5" t="inlineStr">
        <is>
          <t>100&lt;=X&lt;500</t>
        </is>
      </c>
      <c r="H160" s="5" t="inlineStr">
        <is>
          <t>4&lt;=X&lt;7</t>
        </is>
      </c>
      <c r="I160" s="5" t="n">
        <v>4</v>
      </c>
      <c r="J160" s="5" t="inlineStr">
        <is>
          <t>male single</t>
        </is>
      </c>
      <c r="K160" s="5" t="inlineStr">
        <is>
          <t>none</t>
        </is>
      </c>
      <c r="L160" s="5" t="n">
        <v>4</v>
      </c>
      <c r="M160" s="5" t="inlineStr">
        <is>
          <t>car</t>
        </is>
      </c>
      <c r="N160" s="5" t="n">
        <v>36</v>
      </c>
      <c r="O160" s="5" t="inlineStr">
        <is>
          <t>none</t>
        </is>
      </c>
      <c r="P160" s="5" t="inlineStr">
        <is>
          <t>rent</t>
        </is>
      </c>
      <c r="Q160" s="5" t="n">
        <v>1</v>
      </c>
      <c r="R160" s="5" t="inlineStr">
        <is>
          <t>high qualif/self emp/mgmt</t>
        </is>
      </c>
      <c r="S160" s="5" t="n">
        <v>1</v>
      </c>
      <c r="T160" s="5" t="inlineStr">
        <is>
          <t>yes</t>
        </is>
      </c>
      <c r="U160" s="5" t="inlineStr">
        <is>
          <t>yes</t>
        </is>
      </c>
      <c r="V160" s="5" t="inlineStr">
        <is>
          <t>good</t>
        </is>
      </c>
    </row>
    <row r="161">
      <c r="A161" s="5" t="n">
        <v>156</v>
      </c>
      <c r="B161" s="5" t="inlineStr">
        <is>
          <t>&lt;0</t>
        </is>
      </c>
      <c r="C161" s="5" t="n">
        <v>12</v>
      </c>
      <c r="D161" s="5" t="inlineStr">
        <is>
          <t>existing paid</t>
        </is>
      </c>
      <c r="E161" s="5" t="inlineStr">
        <is>
          <t>furniture/equipment</t>
        </is>
      </c>
      <c r="F161" s="5" t="n">
        <v>1282</v>
      </c>
      <c r="G161" s="5" t="inlineStr">
        <is>
          <t>&lt;100</t>
        </is>
      </c>
      <c r="H161" s="5" t="inlineStr">
        <is>
          <t>1&lt;=X&lt;4</t>
        </is>
      </c>
      <c r="I161" s="5" t="n">
        <v>2</v>
      </c>
      <c r="J161" s="5" t="inlineStr">
        <is>
          <t>female div/dep/mar</t>
        </is>
      </c>
      <c r="K161" s="5" t="inlineStr">
        <is>
          <t>none</t>
        </is>
      </c>
      <c r="L161" s="5" t="n">
        <v>4</v>
      </c>
      <c r="M161" s="5" t="inlineStr">
        <is>
          <t>car</t>
        </is>
      </c>
      <c r="N161" s="5" t="n">
        <v>20</v>
      </c>
      <c r="O161" s="5" t="inlineStr">
        <is>
          <t>none</t>
        </is>
      </c>
      <c r="P161" s="5" t="inlineStr">
        <is>
          <t>rent</t>
        </is>
      </c>
      <c r="Q161" s="5" t="n">
        <v>1</v>
      </c>
      <c r="R161" s="5" t="inlineStr">
        <is>
          <t>skilled</t>
        </is>
      </c>
      <c r="S161" s="5" t="n">
        <v>1</v>
      </c>
      <c r="T161" s="5" t="inlineStr">
        <is>
          <t>none</t>
        </is>
      </c>
      <c r="U161" s="5" t="inlineStr">
        <is>
          <t>yes</t>
        </is>
      </c>
      <c r="V161" s="5" t="inlineStr">
        <is>
          <t>bad</t>
        </is>
      </c>
    </row>
    <row r="162">
      <c r="A162" s="5" t="n">
        <v>157</v>
      </c>
      <c r="B162" s="5" t="inlineStr">
        <is>
          <t>&lt;0</t>
        </is>
      </c>
      <c r="C162" s="5" t="n">
        <v>9</v>
      </c>
      <c r="D162" s="5" t="inlineStr">
        <is>
          <t>critical/other existing credit</t>
        </is>
      </c>
      <c r="E162" s="5" t="inlineStr">
        <is>
          <t>repairs</t>
        </is>
      </c>
      <c r="F162" s="5" t="n">
        <v>1288</v>
      </c>
      <c r="G162" s="5" t="inlineStr">
        <is>
          <t>100&lt;=X&lt;500</t>
        </is>
      </c>
      <c r="H162" s="5" t="inlineStr">
        <is>
          <t>&gt;=7</t>
        </is>
      </c>
      <c r="I162" s="5" t="n">
        <v>3</v>
      </c>
      <c r="J162" s="5" t="inlineStr">
        <is>
          <t>male single</t>
        </is>
      </c>
      <c r="K162" s="5" t="inlineStr">
        <is>
          <t>guarantor</t>
        </is>
      </c>
      <c r="L162" s="5" t="n">
        <v>4</v>
      </c>
      <c r="M162" s="5" t="inlineStr">
        <is>
          <t>real estate</t>
        </is>
      </c>
      <c r="N162" s="5" t="n">
        <v>48</v>
      </c>
      <c r="O162" s="5" t="inlineStr">
        <is>
          <t>none</t>
        </is>
      </c>
      <c r="P162" s="5" t="inlineStr">
        <is>
          <t>own</t>
        </is>
      </c>
      <c r="Q162" s="5" t="n">
        <v>2</v>
      </c>
      <c r="R162" s="5" t="inlineStr">
        <is>
          <t>skilled</t>
        </is>
      </c>
      <c r="S162" s="5" t="n">
        <v>2</v>
      </c>
      <c r="T162" s="5" t="inlineStr">
        <is>
          <t>none</t>
        </is>
      </c>
      <c r="U162" s="5" t="inlineStr">
        <is>
          <t>no</t>
        </is>
      </c>
      <c r="V162" s="5" t="inlineStr">
        <is>
          <t>good</t>
        </is>
      </c>
    </row>
    <row r="163">
      <c r="A163" s="5" t="n">
        <v>158</v>
      </c>
      <c r="B163" s="5" t="inlineStr">
        <is>
          <t>&lt;0</t>
        </is>
      </c>
      <c r="C163" s="5" t="n">
        <v>12</v>
      </c>
      <c r="D163" s="5" t="inlineStr">
        <is>
          <t>all paid</t>
        </is>
      </c>
      <c r="E163" s="5" t="inlineStr">
        <is>
          <t>retraining</t>
        </is>
      </c>
      <c r="F163" s="5" t="n">
        <v>339</v>
      </c>
      <c r="G163" s="5" t="inlineStr">
        <is>
          <t>&lt;100</t>
        </is>
      </c>
      <c r="H163" s="5" t="inlineStr">
        <is>
          <t>&gt;=7</t>
        </is>
      </c>
      <c r="I163" s="5" t="n">
        <v>4</v>
      </c>
      <c r="J163" s="5" t="inlineStr">
        <is>
          <t>male mar/wid</t>
        </is>
      </c>
      <c r="K163" s="5" t="inlineStr">
        <is>
          <t>none</t>
        </is>
      </c>
      <c r="L163" s="5" t="n">
        <v>1</v>
      </c>
      <c r="M163" s="5" t="inlineStr">
        <is>
          <t>car</t>
        </is>
      </c>
      <c r="N163" s="5" t="n">
        <v>45</v>
      </c>
      <c r="O163" s="5" t="inlineStr">
        <is>
          <t>bank</t>
        </is>
      </c>
      <c r="P163" s="5" t="inlineStr">
        <is>
          <t>own</t>
        </is>
      </c>
      <c r="Q163" s="5" t="n">
        <v>1</v>
      </c>
      <c r="R163" s="5" t="inlineStr">
        <is>
          <t>unskilled resident</t>
        </is>
      </c>
      <c r="S163" s="5" t="n">
        <v>1</v>
      </c>
      <c r="T163" s="5" t="inlineStr">
        <is>
          <t>none</t>
        </is>
      </c>
      <c r="U163" s="5" t="inlineStr">
        <is>
          <t>yes</t>
        </is>
      </c>
      <c r="V163" s="5" t="inlineStr">
        <is>
          <t>good</t>
        </is>
      </c>
    </row>
    <row r="164">
      <c r="A164" s="5" t="n">
        <v>159</v>
      </c>
      <c r="B164" s="5" t="inlineStr">
        <is>
          <t>0&lt;=X&lt;200</t>
        </is>
      </c>
      <c r="C164" s="5" t="n">
        <v>24</v>
      </c>
      <c r="D164" s="5" t="inlineStr">
        <is>
          <t>existing paid</t>
        </is>
      </c>
      <c r="E164" s="5" t="inlineStr">
        <is>
          <t>new car</t>
        </is>
      </c>
      <c r="F164" s="5" t="n">
        <v>3512</v>
      </c>
      <c r="G164" s="5" t="inlineStr">
        <is>
          <t>100&lt;=X&lt;500</t>
        </is>
      </c>
      <c r="H164" s="5" t="inlineStr">
        <is>
          <t>4&lt;=X&lt;7</t>
        </is>
      </c>
      <c r="I164" s="5" t="n">
        <v>2</v>
      </c>
      <c r="J164" s="5" t="inlineStr">
        <is>
          <t>male single</t>
        </is>
      </c>
      <c r="K164" s="5" t="inlineStr">
        <is>
          <t>none</t>
        </is>
      </c>
      <c r="L164" s="5" t="n">
        <v>3</v>
      </c>
      <c r="M164" s="5" t="inlineStr">
        <is>
          <t>car</t>
        </is>
      </c>
      <c r="N164" s="5" t="n">
        <v>38</v>
      </c>
      <c r="O164" s="5" t="inlineStr">
        <is>
          <t>bank</t>
        </is>
      </c>
      <c r="P164" s="5" t="inlineStr">
        <is>
          <t>own</t>
        </is>
      </c>
      <c r="Q164" s="5" t="n">
        <v>2</v>
      </c>
      <c r="R164" s="5" t="inlineStr">
        <is>
          <t>skilled</t>
        </is>
      </c>
      <c r="S164" s="5" t="n">
        <v>1</v>
      </c>
      <c r="T164" s="5" t="inlineStr">
        <is>
          <t>yes</t>
        </is>
      </c>
      <c r="U164" s="5" t="inlineStr">
        <is>
          <t>yes</t>
        </is>
      </c>
      <c r="V164" s="5" t="inlineStr">
        <is>
          <t>good</t>
        </is>
      </c>
    </row>
    <row r="165">
      <c r="A165" s="5" t="n">
        <v>160</v>
      </c>
      <c r="B165" s="5" t="inlineStr">
        <is>
          <t>no checking</t>
        </is>
      </c>
      <c r="C165" s="5" t="n">
        <v>6</v>
      </c>
      <c r="D165" s="5" t="inlineStr">
        <is>
          <t>critical/other existing credit</t>
        </is>
      </c>
      <c r="E165" s="5" t="inlineStr">
        <is>
          <t>radio/tv</t>
        </is>
      </c>
      <c r="F165" s="5" t="n">
        <v>1898</v>
      </c>
      <c r="G165" s="5" t="inlineStr">
        <is>
          <t>no known savings</t>
        </is>
      </c>
      <c r="H165" s="5" t="inlineStr">
        <is>
          <t>1&lt;=X&lt;4</t>
        </is>
      </c>
      <c r="I165" s="5" t="n">
        <v>1</v>
      </c>
      <c r="J165" s="5" t="inlineStr">
        <is>
          <t>male single</t>
        </is>
      </c>
      <c r="K165" s="5" t="inlineStr">
        <is>
          <t>none</t>
        </is>
      </c>
      <c r="L165" s="5" t="n">
        <v>2</v>
      </c>
      <c r="M165" s="5" t="inlineStr">
        <is>
          <t>real estate</t>
        </is>
      </c>
      <c r="N165" s="5" t="n">
        <v>34</v>
      </c>
      <c r="O165" s="5" t="inlineStr">
        <is>
          <t>none</t>
        </is>
      </c>
      <c r="P165" s="5" t="inlineStr">
        <is>
          <t>own</t>
        </is>
      </c>
      <c r="Q165" s="5" t="n">
        <v>2</v>
      </c>
      <c r="R165" s="5" t="inlineStr">
        <is>
          <t>unskilled resident</t>
        </is>
      </c>
      <c r="S165" s="5" t="n">
        <v>2</v>
      </c>
      <c r="T165" s="5" t="inlineStr">
        <is>
          <t>none</t>
        </is>
      </c>
      <c r="U165" s="5" t="inlineStr">
        <is>
          <t>yes</t>
        </is>
      </c>
      <c r="V165" s="5" t="inlineStr">
        <is>
          <t>good</t>
        </is>
      </c>
    </row>
    <row r="166">
      <c r="A166" s="5" t="n">
        <v>161</v>
      </c>
      <c r="B166" s="5" t="inlineStr">
        <is>
          <t>no checking</t>
        </is>
      </c>
      <c r="C166" s="5" t="n">
        <v>24</v>
      </c>
      <c r="D166" s="5" t="inlineStr">
        <is>
          <t>critical/other existing credit</t>
        </is>
      </c>
      <c r="E166" s="5" t="inlineStr">
        <is>
          <t>radio/tv</t>
        </is>
      </c>
      <c r="F166" s="5" t="n">
        <v>2872</v>
      </c>
      <c r="G166" s="5" t="inlineStr">
        <is>
          <t>100&lt;=X&lt;500</t>
        </is>
      </c>
      <c r="H166" s="5" t="inlineStr">
        <is>
          <t>&gt;=7</t>
        </is>
      </c>
      <c r="I166" s="5" t="n">
        <v>3</v>
      </c>
      <c r="J166" s="5" t="inlineStr">
        <is>
          <t>male single</t>
        </is>
      </c>
      <c r="K166" s="5" t="inlineStr">
        <is>
          <t>none</t>
        </is>
      </c>
      <c r="L166" s="5" t="n">
        <v>4</v>
      </c>
      <c r="M166" s="5" t="inlineStr">
        <is>
          <t>real estate</t>
        </is>
      </c>
      <c r="N166" s="5" t="n">
        <v>36</v>
      </c>
      <c r="O166" s="5" t="inlineStr">
        <is>
          <t>none</t>
        </is>
      </c>
      <c r="P166" s="5" t="inlineStr">
        <is>
          <t>own</t>
        </is>
      </c>
      <c r="Q166" s="5" t="n">
        <v>1</v>
      </c>
      <c r="R166" s="5" t="inlineStr">
        <is>
          <t>skilled</t>
        </is>
      </c>
      <c r="S166" s="5" t="n">
        <v>2</v>
      </c>
      <c r="T166" s="5" t="inlineStr">
        <is>
          <t>yes</t>
        </is>
      </c>
      <c r="U166" s="5" t="inlineStr">
        <is>
          <t>yes</t>
        </is>
      </c>
      <c r="V166" s="5" t="inlineStr">
        <is>
          <t>good</t>
        </is>
      </c>
    </row>
    <row r="167">
      <c r="A167" s="5" t="n">
        <v>162</v>
      </c>
      <c r="B167" s="5" t="inlineStr">
        <is>
          <t>no checking</t>
        </is>
      </c>
      <c r="C167" s="5" t="n">
        <v>18</v>
      </c>
      <c r="D167" s="5" t="inlineStr">
        <is>
          <t>critical/other existing credit</t>
        </is>
      </c>
      <c r="E167" s="5" t="inlineStr">
        <is>
          <t>new car</t>
        </is>
      </c>
      <c r="F167" s="5" t="n">
        <v>1055</v>
      </c>
      <c r="G167" s="5" t="inlineStr">
        <is>
          <t>&lt;100</t>
        </is>
      </c>
      <c r="H167" s="5" t="inlineStr">
        <is>
          <t>&lt;1</t>
        </is>
      </c>
      <c r="I167" s="5" t="n">
        <v>4</v>
      </c>
      <c r="J167" s="5" t="inlineStr">
        <is>
          <t>female div/dep/mar</t>
        </is>
      </c>
      <c r="K167" s="5" t="inlineStr">
        <is>
          <t>none</t>
        </is>
      </c>
      <c r="L167" s="5" t="n">
        <v>1</v>
      </c>
      <c r="M167" s="5" t="inlineStr">
        <is>
          <t>life insurance</t>
        </is>
      </c>
      <c r="N167" s="5" t="n">
        <v>30</v>
      </c>
      <c r="O167" s="5" t="inlineStr">
        <is>
          <t>none</t>
        </is>
      </c>
      <c r="P167" s="5" t="inlineStr">
        <is>
          <t>own</t>
        </is>
      </c>
      <c r="Q167" s="5" t="n">
        <v>2</v>
      </c>
      <c r="R167" s="5" t="inlineStr">
        <is>
          <t>skilled</t>
        </is>
      </c>
      <c r="S167" s="5" t="n">
        <v>1</v>
      </c>
      <c r="T167" s="5" t="inlineStr">
        <is>
          <t>none</t>
        </is>
      </c>
      <c r="U167" s="5" t="inlineStr">
        <is>
          <t>yes</t>
        </is>
      </c>
      <c r="V167" s="5" t="inlineStr">
        <is>
          <t>good</t>
        </is>
      </c>
    </row>
    <row r="168">
      <c r="A168" s="5" t="n">
        <v>163</v>
      </c>
      <c r="B168" s="5" t="inlineStr">
        <is>
          <t>no checking</t>
        </is>
      </c>
      <c r="C168" s="5" t="n">
        <v>15</v>
      </c>
      <c r="D168" s="5" t="inlineStr">
        <is>
          <t>existing paid</t>
        </is>
      </c>
      <c r="E168" s="5" t="inlineStr">
        <is>
          <t>domestic appliance</t>
        </is>
      </c>
      <c r="F168" s="5" t="n">
        <v>1262</v>
      </c>
      <c r="G168" s="5" t="inlineStr">
        <is>
          <t>500&lt;=X&lt;1000</t>
        </is>
      </c>
      <c r="H168" s="5" t="inlineStr">
        <is>
          <t>4&lt;=X&lt;7</t>
        </is>
      </c>
      <c r="I168" s="5" t="n">
        <v>4</v>
      </c>
      <c r="J168" s="5" t="inlineStr">
        <is>
          <t>male single</t>
        </is>
      </c>
      <c r="K168" s="5" t="inlineStr">
        <is>
          <t>none</t>
        </is>
      </c>
      <c r="L168" s="5" t="n">
        <v>3</v>
      </c>
      <c r="M168" s="5" t="inlineStr">
        <is>
          <t>life insurance</t>
        </is>
      </c>
      <c r="N168" s="5" t="n">
        <v>36</v>
      </c>
      <c r="O168" s="5" t="inlineStr">
        <is>
          <t>none</t>
        </is>
      </c>
      <c r="P168" s="5" t="inlineStr">
        <is>
          <t>own</t>
        </is>
      </c>
      <c r="Q168" s="5" t="n">
        <v>2</v>
      </c>
      <c r="R168" s="5" t="inlineStr">
        <is>
          <t>skilled</t>
        </is>
      </c>
      <c r="S168" s="5" t="n">
        <v>1</v>
      </c>
      <c r="T168" s="5" t="inlineStr">
        <is>
          <t>yes</t>
        </is>
      </c>
      <c r="U168" s="5" t="inlineStr">
        <is>
          <t>yes</t>
        </is>
      </c>
      <c r="V168" s="5" t="inlineStr">
        <is>
          <t>good</t>
        </is>
      </c>
    </row>
    <row r="169">
      <c r="A169" s="5" t="n">
        <v>164</v>
      </c>
      <c r="B169" s="5" t="inlineStr">
        <is>
          <t>0&lt;=X&lt;200</t>
        </is>
      </c>
      <c r="C169" s="5" t="n">
        <v>10</v>
      </c>
      <c r="D169" s="5" t="inlineStr">
        <is>
          <t>existing paid</t>
        </is>
      </c>
      <c r="E169" s="5" t="inlineStr">
        <is>
          <t>new car</t>
        </is>
      </c>
      <c r="F169" s="5" t="n">
        <v>7308</v>
      </c>
      <c r="G169" s="5" t="inlineStr">
        <is>
          <t>&lt;100</t>
        </is>
      </c>
      <c r="H169" s="5" t="inlineStr">
        <is>
          <t>unemployed</t>
        </is>
      </c>
      <c r="I169" s="5" t="n">
        <v>2</v>
      </c>
      <c r="J169" s="5" t="inlineStr">
        <is>
          <t>male single</t>
        </is>
      </c>
      <c r="K169" s="5" t="inlineStr">
        <is>
          <t>none</t>
        </is>
      </c>
      <c r="L169" s="5" t="n">
        <v>4</v>
      </c>
      <c r="M169" s="5" t="inlineStr">
        <is>
          <t>no known property</t>
        </is>
      </c>
      <c r="N169" s="5" t="n">
        <v>70</v>
      </c>
      <c r="O169" s="5" t="inlineStr">
        <is>
          <t>bank</t>
        </is>
      </c>
      <c r="P169" s="5" t="inlineStr">
        <is>
          <t>for free</t>
        </is>
      </c>
      <c r="Q169" s="5" t="n">
        <v>1</v>
      </c>
      <c r="R169" s="5" t="inlineStr">
        <is>
          <t>high qualif/self emp/mgmt</t>
        </is>
      </c>
      <c r="S169" s="5" t="n">
        <v>1</v>
      </c>
      <c r="T169" s="5" t="inlineStr">
        <is>
          <t>yes</t>
        </is>
      </c>
      <c r="U169" s="5" t="inlineStr">
        <is>
          <t>yes</t>
        </is>
      </c>
      <c r="V169" s="5" t="inlineStr">
        <is>
          <t>good</t>
        </is>
      </c>
    </row>
    <row r="170">
      <c r="A170" s="5" t="n">
        <v>165</v>
      </c>
      <c r="B170" s="5" t="inlineStr">
        <is>
          <t>no checking</t>
        </is>
      </c>
      <c r="C170" s="5" t="n">
        <v>36</v>
      </c>
      <c r="D170" s="5" t="inlineStr">
        <is>
          <t>existing paid</t>
        </is>
      </c>
      <c r="E170" s="5" t="inlineStr">
        <is>
          <t>new car</t>
        </is>
      </c>
      <c r="F170" s="5" t="n">
        <v>909</v>
      </c>
      <c r="G170" s="5" t="inlineStr">
        <is>
          <t>500&lt;=X&lt;1000</t>
        </is>
      </c>
      <c r="H170" s="5" t="inlineStr">
        <is>
          <t>&gt;=7</t>
        </is>
      </c>
      <c r="I170" s="5" t="n">
        <v>4</v>
      </c>
      <c r="J170" s="5" t="inlineStr">
        <is>
          <t>male single</t>
        </is>
      </c>
      <c r="K170" s="5" t="inlineStr">
        <is>
          <t>none</t>
        </is>
      </c>
      <c r="L170" s="5" t="n">
        <v>4</v>
      </c>
      <c r="M170" s="5" t="inlineStr">
        <is>
          <t>life insurance</t>
        </is>
      </c>
      <c r="N170" s="5" t="n">
        <v>36</v>
      </c>
      <c r="O170" s="5" t="inlineStr">
        <is>
          <t>none</t>
        </is>
      </c>
      <c r="P170" s="5" t="inlineStr">
        <is>
          <t>own</t>
        </is>
      </c>
      <c r="Q170" s="5" t="n">
        <v>1</v>
      </c>
      <c r="R170" s="5" t="inlineStr">
        <is>
          <t>skilled</t>
        </is>
      </c>
      <c r="S170" s="5" t="n">
        <v>1</v>
      </c>
      <c r="T170" s="5" t="inlineStr">
        <is>
          <t>none</t>
        </is>
      </c>
      <c r="U170" s="5" t="inlineStr">
        <is>
          <t>yes</t>
        </is>
      </c>
      <c r="V170" s="5" t="inlineStr">
        <is>
          <t>good</t>
        </is>
      </c>
    </row>
    <row r="171">
      <c r="A171" s="5" t="n">
        <v>166</v>
      </c>
      <c r="B171" s="5" t="inlineStr">
        <is>
          <t>no checking</t>
        </is>
      </c>
      <c r="C171" s="5" t="n">
        <v>6</v>
      </c>
      <c r="D171" s="5" t="inlineStr">
        <is>
          <t>existing paid</t>
        </is>
      </c>
      <c r="E171" s="5" t="inlineStr">
        <is>
          <t>furniture/equipment</t>
        </is>
      </c>
      <c r="F171" s="5" t="n">
        <v>2978</v>
      </c>
      <c r="G171" s="5" t="inlineStr">
        <is>
          <t>500&lt;=X&lt;1000</t>
        </is>
      </c>
      <c r="H171" s="5" t="inlineStr">
        <is>
          <t>1&lt;=X&lt;4</t>
        </is>
      </c>
      <c r="I171" s="5" t="n">
        <v>1</v>
      </c>
      <c r="J171" s="5" t="inlineStr">
        <is>
          <t>male single</t>
        </is>
      </c>
      <c r="K171" s="5" t="inlineStr">
        <is>
          <t>none</t>
        </is>
      </c>
      <c r="L171" s="5" t="n">
        <v>2</v>
      </c>
      <c r="M171" s="5" t="inlineStr">
        <is>
          <t>car</t>
        </is>
      </c>
      <c r="N171" s="5" t="n">
        <v>32</v>
      </c>
      <c r="O171" s="5" t="inlineStr">
        <is>
          <t>none</t>
        </is>
      </c>
      <c r="P171" s="5" t="inlineStr">
        <is>
          <t>own</t>
        </is>
      </c>
      <c r="Q171" s="5" t="n">
        <v>1</v>
      </c>
      <c r="R171" s="5" t="inlineStr">
        <is>
          <t>skilled</t>
        </is>
      </c>
      <c r="S171" s="5" t="n">
        <v>1</v>
      </c>
      <c r="T171" s="5" t="inlineStr">
        <is>
          <t>yes</t>
        </is>
      </c>
      <c r="U171" s="5" t="inlineStr">
        <is>
          <t>yes</t>
        </is>
      </c>
      <c r="V171" s="5" t="inlineStr">
        <is>
          <t>good</t>
        </is>
      </c>
    </row>
    <row r="172">
      <c r="A172" s="5" t="n">
        <v>167</v>
      </c>
      <c r="B172" s="5" t="inlineStr">
        <is>
          <t>&lt;0</t>
        </is>
      </c>
      <c r="C172" s="5" t="n">
        <v>18</v>
      </c>
      <c r="D172" s="5" t="inlineStr">
        <is>
          <t>existing paid</t>
        </is>
      </c>
      <c r="E172" s="5" t="inlineStr">
        <is>
          <t>furniture/equipment</t>
        </is>
      </c>
      <c r="F172" s="5" t="n">
        <v>1131</v>
      </c>
      <c r="G172" s="5" t="inlineStr">
        <is>
          <t>&lt;100</t>
        </is>
      </c>
      <c r="H172" s="5" t="inlineStr">
        <is>
          <t>unemployed</t>
        </is>
      </c>
      <c r="I172" s="5" t="n">
        <v>4</v>
      </c>
      <c r="J172" s="5" t="inlineStr">
        <is>
          <t>female div/dep/mar</t>
        </is>
      </c>
      <c r="K172" s="5" t="inlineStr">
        <is>
          <t>none</t>
        </is>
      </c>
      <c r="L172" s="5" t="n">
        <v>2</v>
      </c>
      <c r="M172" s="5" t="inlineStr">
        <is>
          <t>car</t>
        </is>
      </c>
      <c r="N172" s="5" t="n">
        <v>33</v>
      </c>
      <c r="O172" s="5" t="inlineStr">
        <is>
          <t>none</t>
        </is>
      </c>
      <c r="P172" s="5" t="inlineStr">
        <is>
          <t>own</t>
        </is>
      </c>
      <c r="Q172" s="5" t="n">
        <v>1</v>
      </c>
      <c r="R172" s="5" t="inlineStr">
        <is>
          <t>skilled</t>
        </is>
      </c>
      <c r="S172" s="5" t="n">
        <v>1</v>
      </c>
      <c r="T172" s="5" t="inlineStr">
        <is>
          <t>none</t>
        </is>
      </c>
      <c r="U172" s="5" t="inlineStr">
        <is>
          <t>yes</t>
        </is>
      </c>
      <c r="V172" s="5" t="inlineStr">
        <is>
          <t>bad</t>
        </is>
      </c>
    </row>
    <row r="173">
      <c r="A173" s="5" t="n">
        <v>168</v>
      </c>
      <c r="B173" s="5" t="inlineStr">
        <is>
          <t>0&lt;=X&lt;200</t>
        </is>
      </c>
      <c r="C173" s="5" t="n">
        <v>11</v>
      </c>
      <c r="D173" s="5" t="inlineStr">
        <is>
          <t>existing paid</t>
        </is>
      </c>
      <c r="E173" s="5" t="inlineStr">
        <is>
          <t>furniture/equipment</t>
        </is>
      </c>
      <c r="F173" s="5" t="n">
        <v>1577</v>
      </c>
      <c r="G173" s="5" t="inlineStr">
        <is>
          <t>&gt;=1000</t>
        </is>
      </c>
      <c r="H173" s="5" t="inlineStr">
        <is>
          <t>&lt;1</t>
        </is>
      </c>
      <c r="I173" s="5" t="n">
        <v>4</v>
      </c>
      <c r="J173" s="5" t="inlineStr">
        <is>
          <t>female div/dep/mar</t>
        </is>
      </c>
      <c r="K173" s="5" t="inlineStr">
        <is>
          <t>none</t>
        </is>
      </c>
      <c r="L173" s="5" t="n">
        <v>1</v>
      </c>
      <c r="M173" s="5" t="inlineStr">
        <is>
          <t>real estate</t>
        </is>
      </c>
      <c r="N173" s="5" t="n">
        <v>20</v>
      </c>
      <c r="O173" s="5" t="inlineStr">
        <is>
          <t>none</t>
        </is>
      </c>
      <c r="P173" s="5" t="inlineStr">
        <is>
          <t>own</t>
        </is>
      </c>
      <c r="Q173" s="5" t="n">
        <v>1</v>
      </c>
      <c r="R173" s="5" t="inlineStr">
        <is>
          <t>skilled</t>
        </is>
      </c>
      <c r="S173" s="5" t="n">
        <v>1</v>
      </c>
      <c r="T173" s="5" t="inlineStr">
        <is>
          <t>none</t>
        </is>
      </c>
      <c r="U173" s="5" t="inlineStr">
        <is>
          <t>yes</t>
        </is>
      </c>
      <c r="V173" s="5" t="inlineStr">
        <is>
          <t>good</t>
        </is>
      </c>
    </row>
    <row r="174">
      <c r="A174" s="5" t="n">
        <v>169</v>
      </c>
      <c r="B174" s="5" t="inlineStr">
        <is>
          <t>no checking</t>
        </is>
      </c>
      <c r="C174" s="5" t="n">
        <v>24</v>
      </c>
      <c r="D174" s="5" t="inlineStr">
        <is>
          <t>existing paid</t>
        </is>
      </c>
      <c r="E174" s="5" t="inlineStr">
        <is>
          <t>furniture/equipment</t>
        </is>
      </c>
      <c r="F174" s="5" t="n">
        <v>3972</v>
      </c>
      <c r="G174" s="5" t="inlineStr">
        <is>
          <t>&lt;100</t>
        </is>
      </c>
      <c r="H174" s="5" t="inlineStr">
        <is>
          <t>4&lt;=X&lt;7</t>
        </is>
      </c>
      <c r="I174" s="5" t="n">
        <v>2</v>
      </c>
      <c r="J174" s="5" t="inlineStr">
        <is>
          <t>female div/dep/mar</t>
        </is>
      </c>
      <c r="K174" s="5" t="inlineStr">
        <is>
          <t>none</t>
        </is>
      </c>
      <c r="L174" s="5" t="n">
        <v>4</v>
      </c>
      <c r="M174" s="5" t="inlineStr">
        <is>
          <t>life insurance</t>
        </is>
      </c>
      <c r="N174" s="5" t="n">
        <v>25</v>
      </c>
      <c r="O174" s="5" t="inlineStr">
        <is>
          <t>none</t>
        </is>
      </c>
      <c r="P174" s="5" t="inlineStr">
        <is>
          <t>rent</t>
        </is>
      </c>
      <c r="Q174" s="5" t="n">
        <v>1</v>
      </c>
      <c r="R174" s="5" t="inlineStr">
        <is>
          <t>skilled</t>
        </is>
      </c>
      <c r="S174" s="5" t="n">
        <v>1</v>
      </c>
      <c r="T174" s="5" t="inlineStr">
        <is>
          <t>yes</t>
        </is>
      </c>
      <c r="U174" s="5" t="inlineStr">
        <is>
          <t>yes</t>
        </is>
      </c>
      <c r="V174" s="5" t="inlineStr">
        <is>
          <t>good</t>
        </is>
      </c>
    </row>
    <row r="175">
      <c r="A175" s="5" t="n">
        <v>170</v>
      </c>
      <c r="B175" s="5" t="inlineStr">
        <is>
          <t>0&lt;=X&lt;200</t>
        </is>
      </c>
      <c r="C175" s="5" t="n">
        <v>24</v>
      </c>
      <c r="D175" s="5" t="inlineStr">
        <is>
          <t>critical/other existing credit</t>
        </is>
      </c>
      <c r="E175" s="5" t="inlineStr">
        <is>
          <t>business</t>
        </is>
      </c>
      <c r="F175" s="5" t="n">
        <v>1935</v>
      </c>
      <c r="G175" s="5" t="inlineStr">
        <is>
          <t>&lt;100</t>
        </is>
      </c>
      <c r="H175" s="5" t="inlineStr">
        <is>
          <t>&gt;=7</t>
        </is>
      </c>
      <c r="I175" s="5" t="n">
        <v>4</v>
      </c>
      <c r="J175" s="5" t="inlineStr">
        <is>
          <t>male div/sep</t>
        </is>
      </c>
      <c r="K175" s="5" t="inlineStr">
        <is>
          <t>none</t>
        </is>
      </c>
      <c r="L175" s="5" t="n">
        <v>4</v>
      </c>
      <c r="M175" s="5" t="inlineStr">
        <is>
          <t>real estate</t>
        </is>
      </c>
      <c r="N175" s="5" t="n">
        <v>31</v>
      </c>
      <c r="O175" s="5" t="inlineStr">
        <is>
          <t>none</t>
        </is>
      </c>
      <c r="P175" s="5" t="inlineStr">
        <is>
          <t>own</t>
        </is>
      </c>
      <c r="Q175" s="5" t="n">
        <v>2</v>
      </c>
      <c r="R175" s="5" t="inlineStr">
        <is>
          <t>skilled</t>
        </is>
      </c>
      <c r="S175" s="5" t="n">
        <v>1</v>
      </c>
      <c r="T175" s="5" t="inlineStr">
        <is>
          <t>yes</t>
        </is>
      </c>
      <c r="U175" s="5" t="inlineStr">
        <is>
          <t>yes</t>
        </is>
      </c>
      <c r="V175" s="5" t="inlineStr">
        <is>
          <t>bad</t>
        </is>
      </c>
    </row>
    <row r="176">
      <c r="A176" s="5" t="n">
        <v>171</v>
      </c>
      <c r="B176" s="5" t="inlineStr">
        <is>
          <t>&lt;0</t>
        </is>
      </c>
      <c r="C176" s="5" t="n">
        <v>15</v>
      </c>
      <c r="D176" s="5" t="inlineStr">
        <is>
          <t>no credits/all paid</t>
        </is>
      </c>
      <c r="E176" s="5" t="inlineStr">
        <is>
          <t>new car</t>
        </is>
      </c>
      <c r="F176" s="5" t="n">
        <v>950</v>
      </c>
      <c r="G176" s="5" t="inlineStr">
        <is>
          <t>&lt;100</t>
        </is>
      </c>
      <c r="H176" s="5" t="inlineStr">
        <is>
          <t>&gt;=7</t>
        </is>
      </c>
      <c r="I176" s="5" t="n">
        <v>4</v>
      </c>
      <c r="J176" s="5" t="inlineStr">
        <is>
          <t>male single</t>
        </is>
      </c>
      <c r="K176" s="5" t="inlineStr">
        <is>
          <t>none</t>
        </is>
      </c>
      <c r="L176" s="5" t="n">
        <v>3</v>
      </c>
      <c r="M176" s="5" t="inlineStr">
        <is>
          <t>car</t>
        </is>
      </c>
      <c r="N176" s="5" t="n">
        <v>33</v>
      </c>
      <c r="O176" s="5" t="inlineStr">
        <is>
          <t>none</t>
        </is>
      </c>
      <c r="P176" s="5" t="inlineStr">
        <is>
          <t>rent</t>
        </is>
      </c>
      <c r="Q176" s="5" t="n">
        <v>2</v>
      </c>
      <c r="R176" s="5" t="inlineStr">
        <is>
          <t>skilled</t>
        </is>
      </c>
      <c r="S176" s="5" t="n">
        <v>2</v>
      </c>
      <c r="T176" s="5" t="inlineStr">
        <is>
          <t>none</t>
        </is>
      </c>
      <c r="U176" s="5" t="inlineStr">
        <is>
          <t>yes</t>
        </is>
      </c>
      <c r="V176" s="5" t="inlineStr">
        <is>
          <t>bad</t>
        </is>
      </c>
    </row>
    <row r="177">
      <c r="A177" s="5" t="n">
        <v>172</v>
      </c>
      <c r="B177" s="5" t="inlineStr">
        <is>
          <t>no checking</t>
        </is>
      </c>
      <c r="C177" s="5" t="n">
        <v>12</v>
      </c>
      <c r="D177" s="5" t="inlineStr">
        <is>
          <t>existing paid</t>
        </is>
      </c>
      <c r="E177" s="5" t="inlineStr">
        <is>
          <t>furniture/equipment</t>
        </is>
      </c>
      <c r="F177" s="5" t="n">
        <v>763</v>
      </c>
      <c r="G177" s="5" t="inlineStr">
        <is>
          <t>&lt;100</t>
        </is>
      </c>
      <c r="H177" s="5" t="inlineStr">
        <is>
          <t>1&lt;=X&lt;4</t>
        </is>
      </c>
      <c r="I177" s="5" t="n">
        <v>4</v>
      </c>
      <c r="J177" s="5" t="inlineStr">
        <is>
          <t>female div/dep/mar</t>
        </is>
      </c>
      <c r="K177" s="5" t="inlineStr">
        <is>
          <t>none</t>
        </is>
      </c>
      <c r="L177" s="5" t="n">
        <v>1</v>
      </c>
      <c r="M177" s="5" t="inlineStr">
        <is>
          <t>real estate</t>
        </is>
      </c>
      <c r="N177" s="5" t="n">
        <v>26</v>
      </c>
      <c r="O177" s="5" t="inlineStr">
        <is>
          <t>none</t>
        </is>
      </c>
      <c r="P177" s="5" t="inlineStr">
        <is>
          <t>own</t>
        </is>
      </c>
      <c r="Q177" s="5" t="n">
        <v>1</v>
      </c>
      <c r="R177" s="5" t="inlineStr">
        <is>
          <t>skilled</t>
        </is>
      </c>
      <c r="S177" s="5" t="n">
        <v>1</v>
      </c>
      <c r="T177" s="5" t="inlineStr">
        <is>
          <t>yes</t>
        </is>
      </c>
      <c r="U177" s="5" t="inlineStr">
        <is>
          <t>yes</t>
        </is>
      </c>
      <c r="V177" s="5" t="inlineStr">
        <is>
          <t>good</t>
        </is>
      </c>
    </row>
    <row r="178">
      <c r="A178" s="5" t="n">
        <v>173</v>
      </c>
      <c r="B178" s="5" t="inlineStr">
        <is>
          <t>0&lt;=X&lt;200</t>
        </is>
      </c>
      <c r="C178" s="5" t="n">
        <v>24</v>
      </c>
      <c r="D178" s="5" t="inlineStr">
        <is>
          <t>delayed previously</t>
        </is>
      </c>
      <c r="E178" s="5" t="inlineStr">
        <is>
          <t>furniture/equipment</t>
        </is>
      </c>
      <c r="F178" s="5" t="n">
        <v>2064</v>
      </c>
      <c r="G178" s="5" t="inlineStr">
        <is>
          <t>&lt;100</t>
        </is>
      </c>
      <c r="H178" s="5" t="inlineStr">
        <is>
          <t>unemployed</t>
        </is>
      </c>
      <c r="I178" s="5" t="n">
        <v>3</v>
      </c>
      <c r="J178" s="5" t="inlineStr">
        <is>
          <t>female div/dep/mar</t>
        </is>
      </c>
      <c r="K178" s="5" t="inlineStr">
        <is>
          <t>none</t>
        </is>
      </c>
      <c r="L178" s="5" t="n">
        <v>2</v>
      </c>
      <c r="M178" s="5" t="inlineStr">
        <is>
          <t>life insurance</t>
        </is>
      </c>
      <c r="N178" s="5" t="n">
        <v>34</v>
      </c>
      <c r="O178" s="5" t="inlineStr">
        <is>
          <t>none</t>
        </is>
      </c>
      <c r="P178" s="5" t="inlineStr">
        <is>
          <t>own</t>
        </is>
      </c>
      <c r="Q178" s="5" t="n">
        <v>1</v>
      </c>
      <c r="R178" s="5" t="inlineStr">
        <is>
          <t>high qualif/self emp/mgmt</t>
        </is>
      </c>
      <c r="S178" s="5" t="n">
        <v>1</v>
      </c>
      <c r="T178" s="5" t="inlineStr">
        <is>
          <t>yes</t>
        </is>
      </c>
      <c r="U178" s="5" t="inlineStr">
        <is>
          <t>yes</t>
        </is>
      </c>
      <c r="V178" s="5" t="inlineStr">
        <is>
          <t>bad</t>
        </is>
      </c>
    </row>
    <row r="179">
      <c r="A179" s="5" t="n">
        <v>174</v>
      </c>
      <c r="B179" s="5" t="inlineStr">
        <is>
          <t>0&lt;=X&lt;200</t>
        </is>
      </c>
      <c r="C179" s="5" t="n">
        <v>8</v>
      </c>
      <c r="D179" s="5" t="inlineStr">
        <is>
          <t>existing paid</t>
        </is>
      </c>
      <c r="E179" s="5" t="inlineStr">
        <is>
          <t>radio/tv</t>
        </is>
      </c>
      <c r="F179" s="5" t="n">
        <v>1414</v>
      </c>
      <c r="G179" s="5" t="inlineStr">
        <is>
          <t>&lt;100</t>
        </is>
      </c>
      <c r="H179" s="5" t="inlineStr">
        <is>
          <t>1&lt;=X&lt;4</t>
        </is>
      </c>
      <c r="I179" s="5" t="n">
        <v>4</v>
      </c>
      <c r="J179" s="5" t="inlineStr">
        <is>
          <t>male single</t>
        </is>
      </c>
      <c r="K179" s="5" t="inlineStr">
        <is>
          <t>guarantor</t>
        </is>
      </c>
      <c r="L179" s="5" t="n">
        <v>2</v>
      </c>
      <c r="M179" s="5" t="inlineStr">
        <is>
          <t>real estate</t>
        </is>
      </c>
      <c r="N179" s="5" t="n">
        <v>33</v>
      </c>
      <c r="O179" s="5" t="inlineStr">
        <is>
          <t>none</t>
        </is>
      </c>
      <c r="P179" s="5" t="inlineStr">
        <is>
          <t>own</t>
        </is>
      </c>
      <c r="Q179" s="5" t="n">
        <v>1</v>
      </c>
      <c r="R179" s="5" t="inlineStr">
        <is>
          <t>skilled</t>
        </is>
      </c>
      <c r="S179" s="5" t="n">
        <v>1</v>
      </c>
      <c r="T179" s="5" t="inlineStr">
        <is>
          <t>none</t>
        </is>
      </c>
      <c r="U179" s="5" t="inlineStr">
        <is>
          <t>no</t>
        </is>
      </c>
      <c r="V179" s="5" t="inlineStr">
        <is>
          <t>good</t>
        </is>
      </c>
    </row>
    <row r="180">
      <c r="A180" s="5" t="n">
        <v>175</v>
      </c>
      <c r="B180" s="5" t="inlineStr">
        <is>
          <t>&lt;0</t>
        </is>
      </c>
      <c r="C180" s="5" t="n">
        <v>21</v>
      </c>
      <c r="D180" s="5" t="inlineStr">
        <is>
          <t>delayed previously</t>
        </is>
      </c>
      <c r="E180" s="5" t="inlineStr">
        <is>
          <t>education</t>
        </is>
      </c>
      <c r="F180" s="5" t="n">
        <v>3414</v>
      </c>
      <c r="G180" s="5" t="inlineStr">
        <is>
          <t>&lt;100</t>
        </is>
      </c>
      <c r="H180" s="5" t="inlineStr">
        <is>
          <t>&lt;1</t>
        </is>
      </c>
      <c r="I180" s="5" t="n">
        <v>2</v>
      </c>
      <c r="J180" s="5" t="inlineStr">
        <is>
          <t>male single</t>
        </is>
      </c>
      <c r="K180" s="5" t="inlineStr">
        <is>
          <t>none</t>
        </is>
      </c>
      <c r="L180" s="5" t="n">
        <v>1</v>
      </c>
      <c r="M180" s="5" t="inlineStr">
        <is>
          <t>life insurance</t>
        </is>
      </c>
      <c r="N180" s="5" t="n">
        <v>26</v>
      </c>
      <c r="O180" s="5" t="inlineStr">
        <is>
          <t>none</t>
        </is>
      </c>
      <c r="P180" s="5" t="inlineStr">
        <is>
          <t>own</t>
        </is>
      </c>
      <c r="Q180" s="5" t="n">
        <v>2</v>
      </c>
      <c r="R180" s="5" t="inlineStr">
        <is>
          <t>skilled</t>
        </is>
      </c>
      <c r="S180" s="5" t="n">
        <v>1</v>
      </c>
      <c r="T180" s="5" t="inlineStr">
        <is>
          <t>none</t>
        </is>
      </c>
      <c r="U180" s="5" t="inlineStr">
        <is>
          <t>yes</t>
        </is>
      </c>
      <c r="V180" s="5" t="inlineStr">
        <is>
          <t>bad</t>
        </is>
      </c>
    </row>
    <row r="181">
      <c r="A181" s="5" t="n">
        <v>176</v>
      </c>
      <c r="B181" s="5" t="inlineStr">
        <is>
          <t>no checking</t>
        </is>
      </c>
      <c r="C181" s="5" t="n">
        <v>30</v>
      </c>
      <c r="D181" s="5" t="inlineStr">
        <is>
          <t>all paid</t>
        </is>
      </c>
      <c r="E181" s="5" t="inlineStr">
        <is>
          <t>used car</t>
        </is>
      </c>
      <c r="F181" s="5" t="n">
        <v>7485</v>
      </c>
      <c r="G181" s="5" t="inlineStr">
        <is>
          <t>no known savings</t>
        </is>
      </c>
      <c r="H181" s="5" t="inlineStr">
        <is>
          <t>unemployed</t>
        </is>
      </c>
      <c r="I181" s="5" t="n">
        <v>4</v>
      </c>
      <c r="J181" s="5" t="inlineStr">
        <is>
          <t>female div/dep/mar</t>
        </is>
      </c>
      <c r="K181" s="5" t="inlineStr">
        <is>
          <t>none</t>
        </is>
      </c>
      <c r="L181" s="5" t="n">
        <v>1</v>
      </c>
      <c r="M181" s="5" t="inlineStr">
        <is>
          <t>real estate</t>
        </is>
      </c>
      <c r="N181" s="5" t="n">
        <v>53</v>
      </c>
      <c r="O181" s="5" t="inlineStr">
        <is>
          <t>bank</t>
        </is>
      </c>
      <c r="P181" s="5" t="inlineStr">
        <is>
          <t>own</t>
        </is>
      </c>
      <c r="Q181" s="5" t="n">
        <v>1</v>
      </c>
      <c r="R181" s="5" t="inlineStr">
        <is>
          <t>high qualif/self emp/mgmt</t>
        </is>
      </c>
      <c r="S181" s="5" t="n">
        <v>1</v>
      </c>
      <c r="T181" s="5" t="inlineStr">
        <is>
          <t>yes</t>
        </is>
      </c>
      <c r="U181" s="5" t="inlineStr">
        <is>
          <t>yes</t>
        </is>
      </c>
      <c r="V181" s="5" t="inlineStr">
        <is>
          <t>bad</t>
        </is>
      </c>
    </row>
    <row r="182">
      <c r="A182" s="5" t="n">
        <v>177</v>
      </c>
      <c r="B182" s="5" t="inlineStr">
        <is>
          <t>&lt;0</t>
        </is>
      </c>
      <c r="C182" s="5" t="n">
        <v>12</v>
      </c>
      <c r="D182" s="5" t="inlineStr">
        <is>
          <t>existing paid</t>
        </is>
      </c>
      <c r="E182" s="5" t="inlineStr">
        <is>
          <t>furniture/equipment</t>
        </is>
      </c>
      <c r="F182" s="5" t="n">
        <v>2577</v>
      </c>
      <c r="G182" s="5" t="inlineStr">
        <is>
          <t>&lt;100</t>
        </is>
      </c>
      <c r="H182" s="5" t="inlineStr">
        <is>
          <t>1&lt;=X&lt;4</t>
        </is>
      </c>
      <c r="I182" s="5" t="n">
        <v>2</v>
      </c>
      <c r="J182" s="5" t="inlineStr">
        <is>
          <t>male div/sep</t>
        </is>
      </c>
      <c r="K182" s="5" t="inlineStr">
        <is>
          <t>none</t>
        </is>
      </c>
      <c r="L182" s="5" t="n">
        <v>1</v>
      </c>
      <c r="M182" s="5" t="inlineStr">
        <is>
          <t>car</t>
        </is>
      </c>
      <c r="N182" s="5" t="n">
        <v>42</v>
      </c>
      <c r="O182" s="5" t="inlineStr">
        <is>
          <t>none</t>
        </is>
      </c>
      <c r="P182" s="5" t="inlineStr">
        <is>
          <t>own</t>
        </is>
      </c>
      <c r="Q182" s="5" t="n">
        <v>1</v>
      </c>
      <c r="R182" s="5" t="inlineStr">
        <is>
          <t>skilled</t>
        </is>
      </c>
      <c r="S182" s="5" t="n">
        <v>1</v>
      </c>
      <c r="T182" s="5" t="inlineStr">
        <is>
          <t>none</t>
        </is>
      </c>
      <c r="U182" s="5" t="inlineStr">
        <is>
          <t>yes</t>
        </is>
      </c>
      <c r="V182" s="5" t="inlineStr">
        <is>
          <t>good</t>
        </is>
      </c>
    </row>
    <row r="183">
      <c r="A183" s="5" t="n">
        <v>178</v>
      </c>
      <c r="B183" s="5" t="inlineStr">
        <is>
          <t>&lt;0</t>
        </is>
      </c>
      <c r="C183" s="5" t="n">
        <v>6</v>
      </c>
      <c r="D183" s="5" t="inlineStr">
        <is>
          <t>critical/other existing credit</t>
        </is>
      </c>
      <c r="E183" s="5" t="inlineStr">
        <is>
          <t>radio/tv</t>
        </is>
      </c>
      <c r="F183" s="5" t="n">
        <v>338</v>
      </c>
      <c r="G183" s="5" t="inlineStr">
        <is>
          <t>500&lt;=X&lt;1000</t>
        </is>
      </c>
      <c r="H183" s="5" t="inlineStr">
        <is>
          <t>&gt;=7</t>
        </is>
      </c>
      <c r="I183" s="5" t="n">
        <v>4</v>
      </c>
      <c r="J183" s="5" t="inlineStr">
        <is>
          <t>male single</t>
        </is>
      </c>
      <c r="K183" s="5" t="inlineStr">
        <is>
          <t>none</t>
        </is>
      </c>
      <c r="L183" s="5" t="n">
        <v>4</v>
      </c>
      <c r="M183" s="5" t="inlineStr">
        <is>
          <t>car</t>
        </is>
      </c>
      <c r="N183" s="5" t="n">
        <v>52</v>
      </c>
      <c r="O183" s="5" t="inlineStr">
        <is>
          <t>none</t>
        </is>
      </c>
      <c r="P183" s="5" t="inlineStr">
        <is>
          <t>own</t>
        </is>
      </c>
      <c r="Q183" s="5" t="n">
        <v>2</v>
      </c>
      <c r="R183" s="5" t="inlineStr">
        <is>
          <t>skilled</t>
        </is>
      </c>
      <c r="S183" s="5" t="n">
        <v>1</v>
      </c>
      <c r="T183" s="5" t="inlineStr">
        <is>
          <t>none</t>
        </is>
      </c>
      <c r="U183" s="5" t="inlineStr">
        <is>
          <t>yes</t>
        </is>
      </c>
      <c r="V183" s="5" t="inlineStr">
        <is>
          <t>good</t>
        </is>
      </c>
    </row>
    <row r="184">
      <c r="A184" s="5" t="n">
        <v>179</v>
      </c>
      <c r="B184" s="5" t="inlineStr">
        <is>
          <t>no checking</t>
        </is>
      </c>
      <c r="C184" s="5" t="n">
        <v>12</v>
      </c>
      <c r="D184" s="5" t="inlineStr">
        <is>
          <t>existing paid</t>
        </is>
      </c>
      <c r="E184" s="5" t="inlineStr">
        <is>
          <t>radio/tv</t>
        </is>
      </c>
      <c r="F184" s="5" t="n">
        <v>1963</v>
      </c>
      <c r="G184" s="5" t="inlineStr">
        <is>
          <t>&lt;100</t>
        </is>
      </c>
      <c r="H184" s="5" t="inlineStr">
        <is>
          <t>4&lt;=X&lt;7</t>
        </is>
      </c>
      <c r="I184" s="5" t="n">
        <v>4</v>
      </c>
      <c r="J184" s="5" t="inlineStr">
        <is>
          <t>male single</t>
        </is>
      </c>
      <c r="K184" s="5" t="inlineStr">
        <is>
          <t>none</t>
        </is>
      </c>
      <c r="L184" s="5" t="n">
        <v>2</v>
      </c>
      <c r="M184" s="5" t="inlineStr">
        <is>
          <t>car</t>
        </is>
      </c>
      <c r="N184" s="5" t="n">
        <v>31</v>
      </c>
      <c r="O184" s="5" t="inlineStr">
        <is>
          <t>none</t>
        </is>
      </c>
      <c r="P184" s="5" t="inlineStr">
        <is>
          <t>rent</t>
        </is>
      </c>
      <c r="Q184" s="5" t="n">
        <v>2</v>
      </c>
      <c r="R184" s="5" t="inlineStr">
        <is>
          <t>high qualif/self emp/mgmt</t>
        </is>
      </c>
      <c r="S184" s="5" t="n">
        <v>2</v>
      </c>
      <c r="T184" s="5" t="inlineStr">
        <is>
          <t>yes</t>
        </is>
      </c>
      <c r="U184" s="5" t="inlineStr">
        <is>
          <t>yes</t>
        </is>
      </c>
      <c r="V184" s="5" t="inlineStr">
        <is>
          <t>good</t>
        </is>
      </c>
    </row>
    <row r="185">
      <c r="A185" s="5" t="n">
        <v>180</v>
      </c>
      <c r="B185" s="5" t="inlineStr">
        <is>
          <t>&lt;0</t>
        </is>
      </c>
      <c r="C185" s="5" t="n">
        <v>21</v>
      </c>
      <c r="D185" s="5" t="inlineStr">
        <is>
          <t>critical/other existing credit</t>
        </is>
      </c>
      <c r="E185" s="5" t="inlineStr">
        <is>
          <t>new car</t>
        </is>
      </c>
      <c r="F185" s="5" t="n">
        <v>571</v>
      </c>
      <c r="G185" s="5" t="inlineStr">
        <is>
          <t>&lt;100</t>
        </is>
      </c>
      <c r="H185" s="5" t="inlineStr">
        <is>
          <t>&gt;=7</t>
        </is>
      </c>
      <c r="I185" s="5" t="n">
        <v>4</v>
      </c>
      <c r="J185" s="5" t="inlineStr">
        <is>
          <t>male single</t>
        </is>
      </c>
      <c r="K185" s="5" t="inlineStr">
        <is>
          <t>none</t>
        </is>
      </c>
      <c r="L185" s="5" t="n">
        <v>4</v>
      </c>
      <c r="M185" s="5" t="inlineStr">
        <is>
          <t>real estate</t>
        </is>
      </c>
      <c r="N185" s="5" t="n">
        <v>65</v>
      </c>
      <c r="O185" s="5" t="inlineStr">
        <is>
          <t>none</t>
        </is>
      </c>
      <c r="P185" s="5" t="inlineStr">
        <is>
          <t>own</t>
        </is>
      </c>
      <c r="Q185" s="5" t="n">
        <v>2</v>
      </c>
      <c r="R185" s="5" t="inlineStr">
        <is>
          <t>skilled</t>
        </is>
      </c>
      <c r="S185" s="5" t="n">
        <v>1</v>
      </c>
      <c r="T185" s="5" t="inlineStr">
        <is>
          <t>none</t>
        </is>
      </c>
      <c r="U185" s="5" t="inlineStr">
        <is>
          <t>yes</t>
        </is>
      </c>
      <c r="V185" s="5" t="inlineStr">
        <is>
          <t>good</t>
        </is>
      </c>
    </row>
    <row r="186">
      <c r="A186" s="5" t="n">
        <v>181</v>
      </c>
      <c r="B186" s="5" t="inlineStr">
        <is>
          <t>no checking</t>
        </is>
      </c>
      <c r="C186" s="5" t="n">
        <v>36</v>
      </c>
      <c r="D186" s="5" t="inlineStr">
        <is>
          <t>delayed previously</t>
        </is>
      </c>
      <c r="E186" s="5" t="inlineStr">
        <is>
          <t>business</t>
        </is>
      </c>
      <c r="F186" s="5" t="n">
        <v>9572</v>
      </c>
      <c r="G186" s="5" t="inlineStr">
        <is>
          <t>&lt;100</t>
        </is>
      </c>
      <c r="H186" s="5" t="inlineStr">
        <is>
          <t>&lt;1</t>
        </is>
      </c>
      <c r="I186" s="5" t="n">
        <v>1</v>
      </c>
      <c r="J186" s="5" t="inlineStr">
        <is>
          <t>male div/sep</t>
        </is>
      </c>
      <c r="K186" s="5" t="inlineStr">
        <is>
          <t>none</t>
        </is>
      </c>
      <c r="L186" s="5" t="n">
        <v>1</v>
      </c>
      <c r="M186" s="5" t="inlineStr">
        <is>
          <t>car</t>
        </is>
      </c>
      <c r="N186" s="5" t="n">
        <v>28</v>
      </c>
      <c r="O186" s="5" t="inlineStr">
        <is>
          <t>none</t>
        </is>
      </c>
      <c r="P186" s="5" t="inlineStr">
        <is>
          <t>own</t>
        </is>
      </c>
      <c r="Q186" s="5" t="n">
        <v>2</v>
      </c>
      <c r="R186" s="5" t="inlineStr">
        <is>
          <t>skilled</t>
        </is>
      </c>
      <c r="S186" s="5" t="n">
        <v>1</v>
      </c>
      <c r="T186" s="5" t="inlineStr">
        <is>
          <t>none</t>
        </is>
      </c>
      <c r="U186" s="5" t="inlineStr">
        <is>
          <t>yes</t>
        </is>
      </c>
      <c r="V186" s="5" t="inlineStr">
        <is>
          <t>bad</t>
        </is>
      </c>
    </row>
    <row r="187">
      <c r="A187" s="5" t="n">
        <v>182</v>
      </c>
      <c r="B187" s="5" t="inlineStr">
        <is>
          <t>0&lt;=X&lt;200</t>
        </is>
      </c>
      <c r="C187" s="5" t="n">
        <v>36</v>
      </c>
      <c r="D187" s="5" t="inlineStr">
        <is>
          <t>delayed previously</t>
        </is>
      </c>
      <c r="E187" s="5" t="inlineStr">
        <is>
          <t>business</t>
        </is>
      </c>
      <c r="F187" s="5" t="n">
        <v>4455</v>
      </c>
      <c r="G187" s="5" t="inlineStr">
        <is>
          <t>&lt;100</t>
        </is>
      </c>
      <c r="H187" s="5" t="inlineStr">
        <is>
          <t>1&lt;=X&lt;4</t>
        </is>
      </c>
      <c r="I187" s="5" t="n">
        <v>2</v>
      </c>
      <c r="J187" s="5" t="inlineStr">
        <is>
          <t>male div/sep</t>
        </is>
      </c>
      <c r="K187" s="5" t="inlineStr">
        <is>
          <t>none</t>
        </is>
      </c>
      <c r="L187" s="5" t="n">
        <v>2</v>
      </c>
      <c r="M187" s="5" t="inlineStr">
        <is>
          <t>real estate</t>
        </is>
      </c>
      <c r="N187" s="5" t="n">
        <v>30</v>
      </c>
      <c r="O187" s="5" t="inlineStr">
        <is>
          <t>stores</t>
        </is>
      </c>
      <c r="P187" s="5" t="inlineStr">
        <is>
          <t>own</t>
        </is>
      </c>
      <c r="Q187" s="5" t="n">
        <v>2</v>
      </c>
      <c r="R187" s="5" t="inlineStr">
        <is>
          <t>high qualif/self emp/mgmt</t>
        </is>
      </c>
      <c r="S187" s="5" t="n">
        <v>1</v>
      </c>
      <c r="T187" s="5" t="inlineStr">
        <is>
          <t>yes</t>
        </is>
      </c>
      <c r="U187" s="5" t="inlineStr">
        <is>
          <t>yes</t>
        </is>
      </c>
      <c r="V187" s="5" t="inlineStr">
        <is>
          <t>bad</t>
        </is>
      </c>
    </row>
    <row r="188">
      <c r="A188" s="5" t="n">
        <v>183</v>
      </c>
      <c r="B188" s="5" t="inlineStr">
        <is>
          <t>&lt;0</t>
        </is>
      </c>
      <c r="C188" s="5" t="n">
        <v>21</v>
      </c>
      <c r="D188" s="5" t="inlineStr">
        <is>
          <t>all paid</t>
        </is>
      </c>
      <c r="E188" s="5" t="inlineStr">
        <is>
          <t>new car</t>
        </is>
      </c>
      <c r="F188" s="5" t="n">
        <v>1647</v>
      </c>
      <c r="G188" s="5" t="inlineStr">
        <is>
          <t>no known savings</t>
        </is>
      </c>
      <c r="H188" s="5" t="inlineStr">
        <is>
          <t>1&lt;=X&lt;4</t>
        </is>
      </c>
      <c r="I188" s="5" t="n">
        <v>4</v>
      </c>
      <c r="J188" s="5" t="inlineStr">
        <is>
          <t>male single</t>
        </is>
      </c>
      <c r="K188" s="5" t="inlineStr">
        <is>
          <t>none</t>
        </is>
      </c>
      <c r="L188" s="5" t="n">
        <v>2</v>
      </c>
      <c r="M188" s="5" t="inlineStr">
        <is>
          <t>life insurance</t>
        </is>
      </c>
      <c r="N188" s="5" t="n">
        <v>40</v>
      </c>
      <c r="O188" s="5" t="inlineStr">
        <is>
          <t>none</t>
        </is>
      </c>
      <c r="P188" s="5" t="inlineStr">
        <is>
          <t>own</t>
        </is>
      </c>
      <c r="Q188" s="5" t="n">
        <v>2</v>
      </c>
      <c r="R188" s="5" t="inlineStr">
        <is>
          <t>unskilled resident</t>
        </is>
      </c>
      <c r="S188" s="5" t="n">
        <v>2</v>
      </c>
      <c r="T188" s="5" t="inlineStr">
        <is>
          <t>none</t>
        </is>
      </c>
      <c r="U188" s="5" t="inlineStr">
        <is>
          <t>yes</t>
        </is>
      </c>
      <c r="V188" s="5" t="inlineStr">
        <is>
          <t>bad</t>
        </is>
      </c>
    </row>
    <row r="189">
      <c r="A189" s="5" t="n">
        <v>184</v>
      </c>
      <c r="B189" s="5" t="inlineStr">
        <is>
          <t>no checking</t>
        </is>
      </c>
      <c r="C189" s="5" t="n">
        <v>24</v>
      </c>
      <c r="D189" s="5" t="inlineStr">
        <is>
          <t>critical/other existing credit</t>
        </is>
      </c>
      <c r="E189" s="5" t="inlineStr">
        <is>
          <t>furniture/equipment</t>
        </is>
      </c>
      <c r="F189" s="5" t="n">
        <v>3777</v>
      </c>
      <c r="G189" s="5" t="inlineStr">
        <is>
          <t>&gt;=1000</t>
        </is>
      </c>
      <c r="H189" s="5" t="inlineStr">
        <is>
          <t>1&lt;=X&lt;4</t>
        </is>
      </c>
      <c r="I189" s="5" t="n">
        <v>4</v>
      </c>
      <c r="J189" s="5" t="inlineStr">
        <is>
          <t>male single</t>
        </is>
      </c>
      <c r="K189" s="5" t="inlineStr">
        <is>
          <t>none</t>
        </is>
      </c>
      <c r="L189" s="5" t="n">
        <v>4</v>
      </c>
      <c r="M189" s="5" t="inlineStr">
        <is>
          <t>real estate</t>
        </is>
      </c>
      <c r="N189" s="5" t="n">
        <v>50</v>
      </c>
      <c r="O189" s="5" t="inlineStr">
        <is>
          <t>none</t>
        </is>
      </c>
      <c r="P189" s="5" t="inlineStr">
        <is>
          <t>own</t>
        </is>
      </c>
      <c r="Q189" s="5" t="n">
        <v>1</v>
      </c>
      <c r="R189" s="5" t="inlineStr">
        <is>
          <t>skilled</t>
        </is>
      </c>
      <c r="S189" s="5" t="n">
        <v>1</v>
      </c>
      <c r="T189" s="5" t="inlineStr">
        <is>
          <t>yes</t>
        </is>
      </c>
      <c r="U189" s="5" t="inlineStr">
        <is>
          <t>yes</t>
        </is>
      </c>
      <c r="V189" s="5" t="inlineStr">
        <is>
          <t>good</t>
        </is>
      </c>
    </row>
    <row r="190">
      <c r="A190" s="5" t="n">
        <v>185</v>
      </c>
      <c r="B190" s="5" t="inlineStr">
        <is>
          <t>0&lt;=X&lt;200</t>
        </is>
      </c>
      <c r="C190" s="5" t="n">
        <v>18</v>
      </c>
      <c r="D190" s="5" t="inlineStr">
        <is>
          <t>critical/other existing credit</t>
        </is>
      </c>
      <c r="E190" s="5" t="inlineStr">
        <is>
          <t>new car</t>
        </is>
      </c>
      <c r="F190" s="5" t="n">
        <v>884</v>
      </c>
      <c r="G190" s="5" t="inlineStr">
        <is>
          <t>&lt;100</t>
        </is>
      </c>
      <c r="H190" s="5" t="inlineStr">
        <is>
          <t>&gt;=7</t>
        </is>
      </c>
      <c r="I190" s="5" t="n">
        <v>4</v>
      </c>
      <c r="J190" s="5" t="inlineStr">
        <is>
          <t>male single</t>
        </is>
      </c>
      <c r="K190" s="5" t="inlineStr">
        <is>
          <t>none</t>
        </is>
      </c>
      <c r="L190" s="5" t="n">
        <v>4</v>
      </c>
      <c r="M190" s="5" t="inlineStr">
        <is>
          <t>car</t>
        </is>
      </c>
      <c r="N190" s="5" t="n">
        <v>36</v>
      </c>
      <c r="O190" s="5" t="inlineStr">
        <is>
          <t>bank</t>
        </is>
      </c>
      <c r="P190" s="5" t="inlineStr">
        <is>
          <t>own</t>
        </is>
      </c>
      <c r="Q190" s="5" t="n">
        <v>1</v>
      </c>
      <c r="R190" s="5" t="inlineStr">
        <is>
          <t>skilled</t>
        </is>
      </c>
      <c r="S190" s="5" t="n">
        <v>2</v>
      </c>
      <c r="T190" s="5" t="inlineStr">
        <is>
          <t>yes</t>
        </is>
      </c>
      <c r="U190" s="5" t="inlineStr">
        <is>
          <t>yes</t>
        </is>
      </c>
      <c r="V190" s="5" t="inlineStr">
        <is>
          <t>bad</t>
        </is>
      </c>
    </row>
    <row r="191">
      <c r="A191" s="5" t="n">
        <v>186</v>
      </c>
      <c r="B191" s="5" t="inlineStr">
        <is>
          <t>no checking</t>
        </is>
      </c>
      <c r="C191" s="5" t="n">
        <v>15</v>
      </c>
      <c r="D191" s="5" t="inlineStr">
        <is>
          <t>critical/other existing credit</t>
        </is>
      </c>
      <c r="E191" s="5" t="inlineStr">
        <is>
          <t>radio/tv</t>
        </is>
      </c>
      <c r="F191" s="5" t="n">
        <v>1360</v>
      </c>
      <c r="G191" s="5" t="inlineStr">
        <is>
          <t>&lt;100</t>
        </is>
      </c>
      <c r="H191" s="5" t="inlineStr">
        <is>
          <t>1&lt;=X&lt;4</t>
        </is>
      </c>
      <c r="I191" s="5" t="n">
        <v>4</v>
      </c>
      <c r="J191" s="5" t="inlineStr">
        <is>
          <t>male single</t>
        </is>
      </c>
      <c r="K191" s="5" t="inlineStr">
        <is>
          <t>none</t>
        </is>
      </c>
      <c r="L191" s="5" t="n">
        <v>2</v>
      </c>
      <c r="M191" s="5" t="inlineStr">
        <is>
          <t>life insurance</t>
        </is>
      </c>
      <c r="N191" s="5" t="n">
        <v>31</v>
      </c>
      <c r="O191" s="5" t="inlineStr">
        <is>
          <t>none</t>
        </is>
      </c>
      <c r="P191" s="5" t="inlineStr">
        <is>
          <t>own</t>
        </is>
      </c>
      <c r="Q191" s="5" t="n">
        <v>2</v>
      </c>
      <c r="R191" s="5" t="inlineStr">
        <is>
          <t>skilled</t>
        </is>
      </c>
      <c r="S191" s="5" t="n">
        <v>1</v>
      </c>
      <c r="T191" s="5" t="inlineStr">
        <is>
          <t>none</t>
        </is>
      </c>
      <c r="U191" s="5" t="inlineStr">
        <is>
          <t>yes</t>
        </is>
      </c>
      <c r="V191" s="5" t="inlineStr">
        <is>
          <t>good</t>
        </is>
      </c>
    </row>
    <row r="192">
      <c r="A192" s="5" t="n">
        <v>187</v>
      </c>
      <c r="B192" s="5" t="inlineStr">
        <is>
          <t>0&lt;=X&lt;200</t>
        </is>
      </c>
      <c r="C192" s="5" t="n">
        <v>9</v>
      </c>
      <c r="D192" s="5" t="inlineStr">
        <is>
          <t>all paid</t>
        </is>
      </c>
      <c r="E192" s="5" t="inlineStr">
        <is>
          <t>used car</t>
        </is>
      </c>
      <c r="F192" s="5" t="n">
        <v>5129</v>
      </c>
      <c r="G192" s="5" t="inlineStr">
        <is>
          <t>&lt;100</t>
        </is>
      </c>
      <c r="H192" s="5" t="inlineStr">
        <is>
          <t>&gt;=7</t>
        </is>
      </c>
      <c r="I192" s="5" t="n">
        <v>2</v>
      </c>
      <c r="J192" s="5" t="inlineStr">
        <is>
          <t>female div/dep/mar</t>
        </is>
      </c>
      <c r="K192" s="5" t="inlineStr">
        <is>
          <t>none</t>
        </is>
      </c>
      <c r="L192" s="5" t="n">
        <v>4</v>
      </c>
      <c r="M192" s="5" t="inlineStr">
        <is>
          <t>no known property</t>
        </is>
      </c>
      <c r="N192" s="5" t="n">
        <v>74</v>
      </c>
      <c r="O192" s="5" t="inlineStr">
        <is>
          <t>bank</t>
        </is>
      </c>
      <c r="P192" s="5" t="inlineStr">
        <is>
          <t>for free</t>
        </is>
      </c>
      <c r="Q192" s="5" t="n">
        <v>1</v>
      </c>
      <c r="R192" s="5" t="inlineStr">
        <is>
          <t>high qualif/self emp/mgmt</t>
        </is>
      </c>
      <c r="S192" s="5" t="n">
        <v>2</v>
      </c>
      <c r="T192" s="5" t="inlineStr">
        <is>
          <t>yes</t>
        </is>
      </c>
      <c r="U192" s="5" t="inlineStr">
        <is>
          <t>yes</t>
        </is>
      </c>
      <c r="V192" s="5" t="inlineStr">
        <is>
          <t>bad</t>
        </is>
      </c>
    </row>
    <row r="193">
      <c r="A193" s="5" t="n">
        <v>188</v>
      </c>
      <c r="B193" s="5" t="inlineStr">
        <is>
          <t>0&lt;=X&lt;200</t>
        </is>
      </c>
      <c r="C193" s="5" t="n">
        <v>16</v>
      </c>
      <c r="D193" s="5" t="inlineStr">
        <is>
          <t>critical/other existing credit</t>
        </is>
      </c>
      <c r="E193" s="5" t="inlineStr">
        <is>
          <t>new car</t>
        </is>
      </c>
      <c r="F193" s="5" t="n">
        <v>1175</v>
      </c>
      <c r="G193" s="5" t="inlineStr">
        <is>
          <t>&lt;100</t>
        </is>
      </c>
      <c r="H193" s="5" t="inlineStr">
        <is>
          <t>unemployed</t>
        </is>
      </c>
      <c r="I193" s="5" t="n">
        <v>2</v>
      </c>
      <c r="J193" s="5" t="inlineStr">
        <is>
          <t>male single</t>
        </is>
      </c>
      <c r="K193" s="5" t="inlineStr">
        <is>
          <t>none</t>
        </is>
      </c>
      <c r="L193" s="5" t="n">
        <v>3</v>
      </c>
      <c r="M193" s="5" t="inlineStr">
        <is>
          <t>car</t>
        </is>
      </c>
      <c r="N193" s="5" t="n">
        <v>68</v>
      </c>
      <c r="O193" s="5" t="inlineStr">
        <is>
          <t>none</t>
        </is>
      </c>
      <c r="P193" s="5" t="inlineStr">
        <is>
          <t>for free</t>
        </is>
      </c>
      <c r="Q193" s="5" t="n">
        <v>3</v>
      </c>
      <c r="R193" s="5" t="inlineStr">
        <is>
          <t>unemp/unskilled non res</t>
        </is>
      </c>
      <c r="S193" s="5" t="n">
        <v>1</v>
      </c>
      <c r="T193" s="5" t="inlineStr">
        <is>
          <t>yes</t>
        </is>
      </c>
      <c r="U193" s="5" t="inlineStr">
        <is>
          <t>yes</t>
        </is>
      </c>
      <c r="V193" s="5" t="inlineStr">
        <is>
          <t>good</t>
        </is>
      </c>
    </row>
    <row r="194">
      <c r="A194" s="5" t="n">
        <v>189</v>
      </c>
      <c r="B194" s="5" t="inlineStr">
        <is>
          <t>&lt;0</t>
        </is>
      </c>
      <c r="C194" s="5" t="n">
        <v>12</v>
      </c>
      <c r="D194" s="5" t="inlineStr">
        <is>
          <t>existing paid</t>
        </is>
      </c>
      <c r="E194" s="5" t="inlineStr">
        <is>
          <t>radio/tv</t>
        </is>
      </c>
      <c r="F194" s="5" t="n">
        <v>674</v>
      </c>
      <c r="G194" s="5" t="inlineStr">
        <is>
          <t>100&lt;=X&lt;500</t>
        </is>
      </c>
      <c r="H194" s="5" t="inlineStr">
        <is>
          <t>4&lt;=X&lt;7</t>
        </is>
      </c>
      <c r="I194" s="5" t="n">
        <v>4</v>
      </c>
      <c r="J194" s="5" t="inlineStr">
        <is>
          <t>male mar/wid</t>
        </is>
      </c>
      <c r="K194" s="5" t="inlineStr">
        <is>
          <t>none</t>
        </is>
      </c>
      <c r="L194" s="5" t="n">
        <v>1</v>
      </c>
      <c r="M194" s="5" t="inlineStr">
        <is>
          <t>life insurance</t>
        </is>
      </c>
      <c r="N194" s="5" t="n">
        <v>20</v>
      </c>
      <c r="O194" s="5" t="inlineStr">
        <is>
          <t>none</t>
        </is>
      </c>
      <c r="P194" s="5" t="inlineStr">
        <is>
          <t>own</t>
        </is>
      </c>
      <c r="Q194" s="5" t="n">
        <v>1</v>
      </c>
      <c r="R194" s="5" t="inlineStr">
        <is>
          <t>skilled</t>
        </is>
      </c>
      <c r="S194" s="5" t="n">
        <v>1</v>
      </c>
      <c r="T194" s="5" t="inlineStr">
        <is>
          <t>none</t>
        </is>
      </c>
      <c r="U194" s="5" t="inlineStr">
        <is>
          <t>yes</t>
        </is>
      </c>
      <c r="V194" s="5" t="inlineStr">
        <is>
          <t>bad</t>
        </is>
      </c>
    </row>
    <row r="195">
      <c r="A195" s="5" t="n">
        <v>190</v>
      </c>
      <c r="B195" s="5" t="inlineStr">
        <is>
          <t>0&lt;=X&lt;200</t>
        </is>
      </c>
      <c r="C195" s="5" t="n">
        <v>18</v>
      </c>
      <c r="D195" s="5" t="inlineStr">
        <is>
          <t>no credits/all paid</t>
        </is>
      </c>
      <c r="E195" s="5" t="inlineStr">
        <is>
          <t>furniture/equipment</t>
        </is>
      </c>
      <c r="F195" s="5" t="n">
        <v>3244</v>
      </c>
      <c r="G195" s="5" t="inlineStr">
        <is>
          <t>&lt;100</t>
        </is>
      </c>
      <c r="H195" s="5" t="inlineStr">
        <is>
          <t>1&lt;=X&lt;4</t>
        </is>
      </c>
      <c r="I195" s="5" t="n">
        <v>1</v>
      </c>
      <c r="J195" s="5" t="inlineStr">
        <is>
          <t>female div/dep/mar</t>
        </is>
      </c>
      <c r="K195" s="5" t="inlineStr">
        <is>
          <t>none</t>
        </is>
      </c>
      <c r="L195" s="5" t="n">
        <v>4</v>
      </c>
      <c r="M195" s="5" t="inlineStr">
        <is>
          <t>car</t>
        </is>
      </c>
      <c r="N195" s="5" t="n">
        <v>33</v>
      </c>
      <c r="O195" s="5" t="inlineStr">
        <is>
          <t>bank</t>
        </is>
      </c>
      <c r="P195" s="5" t="inlineStr">
        <is>
          <t>own</t>
        </is>
      </c>
      <c r="Q195" s="5" t="n">
        <v>2</v>
      </c>
      <c r="R195" s="5" t="inlineStr">
        <is>
          <t>skilled</t>
        </is>
      </c>
      <c r="S195" s="5" t="n">
        <v>1</v>
      </c>
      <c r="T195" s="5" t="inlineStr">
        <is>
          <t>yes</t>
        </is>
      </c>
      <c r="U195" s="5" t="inlineStr">
        <is>
          <t>yes</t>
        </is>
      </c>
      <c r="V195" s="5" t="inlineStr">
        <is>
          <t>good</t>
        </is>
      </c>
    </row>
    <row r="196">
      <c r="A196" s="5" t="n">
        <v>191</v>
      </c>
      <c r="B196" s="5" t="inlineStr">
        <is>
          <t>no checking</t>
        </is>
      </c>
      <c r="C196" s="5" t="n">
        <v>24</v>
      </c>
      <c r="D196" s="5" t="inlineStr">
        <is>
          <t>existing paid</t>
        </is>
      </c>
      <c r="E196" s="5" t="inlineStr">
        <is>
          <t>business</t>
        </is>
      </c>
      <c r="F196" s="5" t="n">
        <v>4591</v>
      </c>
      <c r="G196" s="5" t="inlineStr">
        <is>
          <t>&gt;=1000</t>
        </is>
      </c>
      <c r="H196" s="5" t="inlineStr">
        <is>
          <t>1&lt;=X&lt;4</t>
        </is>
      </c>
      <c r="I196" s="5" t="n">
        <v>2</v>
      </c>
      <c r="J196" s="5" t="inlineStr">
        <is>
          <t>male single</t>
        </is>
      </c>
      <c r="K196" s="5" t="inlineStr">
        <is>
          <t>none</t>
        </is>
      </c>
      <c r="L196" s="5" t="n">
        <v>3</v>
      </c>
      <c r="M196" s="5" t="inlineStr">
        <is>
          <t>life insurance</t>
        </is>
      </c>
      <c r="N196" s="5" t="n">
        <v>54</v>
      </c>
      <c r="O196" s="5" t="inlineStr">
        <is>
          <t>none</t>
        </is>
      </c>
      <c r="P196" s="5" t="inlineStr">
        <is>
          <t>own</t>
        </is>
      </c>
      <c r="Q196" s="5" t="n">
        <v>3</v>
      </c>
      <c r="R196" s="5" t="inlineStr">
        <is>
          <t>high qualif/self emp/mgmt</t>
        </is>
      </c>
      <c r="S196" s="5" t="n">
        <v>1</v>
      </c>
      <c r="T196" s="5" t="inlineStr">
        <is>
          <t>yes</t>
        </is>
      </c>
      <c r="U196" s="5" t="inlineStr">
        <is>
          <t>yes</t>
        </is>
      </c>
      <c r="V196" s="5" t="inlineStr">
        <is>
          <t>bad</t>
        </is>
      </c>
    </row>
    <row r="197">
      <c r="A197" s="5" t="n">
        <v>192</v>
      </c>
      <c r="B197" s="5" t="inlineStr">
        <is>
          <t>0&lt;=X&lt;200</t>
        </is>
      </c>
      <c r="C197" s="5" t="n">
        <v>48</v>
      </c>
      <c r="D197" s="5" t="inlineStr">
        <is>
          <t>no credits/all paid</t>
        </is>
      </c>
      <c r="E197" s="5" t="inlineStr">
        <is>
          <t>business</t>
        </is>
      </c>
      <c r="F197" s="5" t="n">
        <v>3844</v>
      </c>
      <c r="G197" s="5" t="inlineStr">
        <is>
          <t>100&lt;=X&lt;500</t>
        </is>
      </c>
      <c r="H197" s="5" t="inlineStr">
        <is>
          <t>4&lt;=X&lt;7</t>
        </is>
      </c>
      <c r="I197" s="5" t="n">
        <v>4</v>
      </c>
      <c r="J197" s="5" t="inlineStr">
        <is>
          <t>male single</t>
        </is>
      </c>
      <c r="K197" s="5" t="inlineStr">
        <is>
          <t>none</t>
        </is>
      </c>
      <c r="L197" s="5" t="n">
        <v>4</v>
      </c>
      <c r="M197" s="5" t="inlineStr">
        <is>
          <t>no known property</t>
        </is>
      </c>
      <c r="N197" s="5" t="n">
        <v>34</v>
      </c>
      <c r="O197" s="5" t="inlineStr">
        <is>
          <t>none</t>
        </is>
      </c>
      <c r="P197" s="5" t="inlineStr">
        <is>
          <t>for free</t>
        </is>
      </c>
      <c r="Q197" s="5" t="n">
        <v>1</v>
      </c>
      <c r="R197" s="5" t="inlineStr">
        <is>
          <t>unskilled resident</t>
        </is>
      </c>
      <c r="S197" s="5" t="n">
        <v>2</v>
      </c>
      <c r="T197" s="5" t="inlineStr">
        <is>
          <t>none</t>
        </is>
      </c>
      <c r="U197" s="5" t="inlineStr">
        <is>
          <t>yes</t>
        </is>
      </c>
      <c r="V197" s="5" t="inlineStr">
        <is>
          <t>bad</t>
        </is>
      </c>
    </row>
    <row r="198">
      <c r="A198" s="5" t="n">
        <v>193</v>
      </c>
      <c r="B198" s="5" t="inlineStr">
        <is>
          <t>0&lt;=X&lt;200</t>
        </is>
      </c>
      <c r="C198" s="5" t="n">
        <v>27</v>
      </c>
      <c r="D198" s="5" t="inlineStr">
        <is>
          <t>existing paid</t>
        </is>
      </c>
      <c r="E198" s="5" t="inlineStr">
        <is>
          <t>business</t>
        </is>
      </c>
      <c r="F198" s="5" t="n">
        <v>3915</v>
      </c>
      <c r="G198" s="5" t="inlineStr">
        <is>
          <t>&lt;100</t>
        </is>
      </c>
      <c r="H198" s="5" t="inlineStr">
        <is>
          <t>1&lt;=X&lt;4</t>
        </is>
      </c>
      <c r="I198" s="5" t="n">
        <v>4</v>
      </c>
      <c r="J198" s="5" t="inlineStr">
        <is>
          <t>male single</t>
        </is>
      </c>
      <c r="K198" s="5" t="inlineStr">
        <is>
          <t>none</t>
        </is>
      </c>
      <c r="L198" s="5" t="n">
        <v>2</v>
      </c>
      <c r="M198" s="5" t="inlineStr">
        <is>
          <t>car</t>
        </is>
      </c>
      <c r="N198" s="5" t="n">
        <v>36</v>
      </c>
      <c r="O198" s="5" t="inlineStr">
        <is>
          <t>none</t>
        </is>
      </c>
      <c r="P198" s="5" t="inlineStr">
        <is>
          <t>own</t>
        </is>
      </c>
      <c r="Q198" s="5" t="n">
        <v>1</v>
      </c>
      <c r="R198" s="5" t="inlineStr">
        <is>
          <t>skilled</t>
        </is>
      </c>
      <c r="S198" s="5" t="n">
        <v>2</v>
      </c>
      <c r="T198" s="5" t="inlineStr">
        <is>
          <t>yes</t>
        </is>
      </c>
      <c r="U198" s="5" t="inlineStr">
        <is>
          <t>yes</t>
        </is>
      </c>
      <c r="V198" s="5" t="inlineStr">
        <is>
          <t>bad</t>
        </is>
      </c>
    </row>
    <row r="199">
      <c r="A199" s="5" t="n">
        <v>194</v>
      </c>
      <c r="B199" s="5" t="inlineStr">
        <is>
          <t>no checking</t>
        </is>
      </c>
      <c r="C199" s="5" t="n">
        <v>6</v>
      </c>
      <c r="D199" s="5" t="inlineStr">
        <is>
          <t>existing paid</t>
        </is>
      </c>
      <c r="E199" s="5" t="inlineStr">
        <is>
          <t>radio/tv</t>
        </is>
      </c>
      <c r="F199" s="5" t="n">
        <v>2108</v>
      </c>
      <c r="G199" s="5" t="inlineStr">
        <is>
          <t>&lt;100</t>
        </is>
      </c>
      <c r="H199" s="5" t="inlineStr">
        <is>
          <t>4&lt;=X&lt;7</t>
        </is>
      </c>
      <c r="I199" s="5" t="n">
        <v>2</v>
      </c>
      <c r="J199" s="5" t="inlineStr">
        <is>
          <t>male mar/wid</t>
        </is>
      </c>
      <c r="K199" s="5" t="inlineStr">
        <is>
          <t>none</t>
        </is>
      </c>
      <c r="L199" s="5" t="n">
        <v>2</v>
      </c>
      <c r="M199" s="5" t="inlineStr">
        <is>
          <t>real estate</t>
        </is>
      </c>
      <c r="N199" s="5" t="n">
        <v>29</v>
      </c>
      <c r="O199" s="5" t="inlineStr">
        <is>
          <t>none</t>
        </is>
      </c>
      <c r="P199" s="5" t="inlineStr">
        <is>
          <t>rent</t>
        </is>
      </c>
      <c r="Q199" s="5" t="n">
        <v>1</v>
      </c>
      <c r="R199" s="5" t="inlineStr">
        <is>
          <t>skilled</t>
        </is>
      </c>
      <c r="S199" s="5" t="n">
        <v>1</v>
      </c>
      <c r="T199" s="5" t="inlineStr">
        <is>
          <t>none</t>
        </is>
      </c>
      <c r="U199" s="5" t="inlineStr">
        <is>
          <t>yes</t>
        </is>
      </c>
      <c r="V199" s="5" t="inlineStr">
        <is>
          <t>good</t>
        </is>
      </c>
    </row>
    <row r="200">
      <c r="A200" s="5" t="n">
        <v>195</v>
      </c>
      <c r="B200" s="5" t="inlineStr">
        <is>
          <t>0&lt;=X&lt;200</t>
        </is>
      </c>
      <c r="C200" s="5" t="n">
        <v>45</v>
      </c>
      <c r="D200" s="5" t="inlineStr">
        <is>
          <t>existing paid</t>
        </is>
      </c>
      <c r="E200" s="5" t="inlineStr">
        <is>
          <t>radio/tv</t>
        </is>
      </c>
      <c r="F200" s="5" t="n">
        <v>3031</v>
      </c>
      <c r="G200" s="5" t="inlineStr">
        <is>
          <t>100&lt;=X&lt;500</t>
        </is>
      </c>
      <c r="H200" s="5" t="inlineStr">
        <is>
          <t>1&lt;=X&lt;4</t>
        </is>
      </c>
      <c r="I200" s="5" t="n">
        <v>4</v>
      </c>
      <c r="J200" s="5" t="inlineStr">
        <is>
          <t>male single</t>
        </is>
      </c>
      <c r="K200" s="5" t="inlineStr">
        <is>
          <t>guarantor</t>
        </is>
      </c>
      <c r="L200" s="5" t="n">
        <v>4</v>
      </c>
      <c r="M200" s="5" t="inlineStr">
        <is>
          <t>life insurance</t>
        </is>
      </c>
      <c r="N200" s="5" t="n">
        <v>21</v>
      </c>
      <c r="O200" s="5" t="inlineStr">
        <is>
          <t>none</t>
        </is>
      </c>
      <c r="P200" s="5" t="inlineStr">
        <is>
          <t>rent</t>
        </is>
      </c>
      <c r="Q200" s="5" t="n">
        <v>1</v>
      </c>
      <c r="R200" s="5" t="inlineStr">
        <is>
          <t>skilled</t>
        </is>
      </c>
      <c r="S200" s="5" t="n">
        <v>1</v>
      </c>
      <c r="T200" s="5" t="inlineStr">
        <is>
          <t>none</t>
        </is>
      </c>
      <c r="U200" s="5" t="inlineStr">
        <is>
          <t>yes</t>
        </is>
      </c>
      <c r="V200" s="5" t="inlineStr">
        <is>
          <t>bad</t>
        </is>
      </c>
    </row>
    <row r="201">
      <c r="A201" s="5" t="n">
        <v>196</v>
      </c>
      <c r="B201" s="5" t="inlineStr">
        <is>
          <t>0&lt;=X&lt;200</t>
        </is>
      </c>
      <c r="C201" s="5" t="n">
        <v>9</v>
      </c>
      <c r="D201" s="5" t="inlineStr">
        <is>
          <t>critical/other existing credit</t>
        </is>
      </c>
      <c r="E201" s="5" t="inlineStr">
        <is>
          <t>education</t>
        </is>
      </c>
      <c r="F201" s="5" t="n">
        <v>1501</v>
      </c>
      <c r="G201" s="5" t="inlineStr">
        <is>
          <t>&lt;100</t>
        </is>
      </c>
      <c r="H201" s="5" t="inlineStr">
        <is>
          <t>&gt;=7</t>
        </is>
      </c>
      <c r="I201" s="5" t="n">
        <v>2</v>
      </c>
      <c r="J201" s="5" t="inlineStr">
        <is>
          <t>female div/dep/mar</t>
        </is>
      </c>
      <c r="K201" s="5" t="inlineStr">
        <is>
          <t>none</t>
        </is>
      </c>
      <c r="L201" s="5" t="n">
        <v>3</v>
      </c>
      <c r="M201" s="5" t="inlineStr">
        <is>
          <t>car</t>
        </is>
      </c>
      <c r="N201" s="5" t="n">
        <v>34</v>
      </c>
      <c r="O201" s="5" t="inlineStr">
        <is>
          <t>none</t>
        </is>
      </c>
      <c r="P201" s="5" t="inlineStr">
        <is>
          <t>own</t>
        </is>
      </c>
      <c r="Q201" s="5" t="n">
        <v>2</v>
      </c>
      <c r="R201" s="5" t="inlineStr">
        <is>
          <t>high qualif/self emp/mgmt</t>
        </is>
      </c>
      <c r="S201" s="5" t="n">
        <v>1</v>
      </c>
      <c r="T201" s="5" t="inlineStr">
        <is>
          <t>yes</t>
        </is>
      </c>
      <c r="U201" s="5" t="inlineStr">
        <is>
          <t>yes</t>
        </is>
      </c>
      <c r="V201" s="5" t="inlineStr">
        <is>
          <t>bad</t>
        </is>
      </c>
    </row>
    <row r="202">
      <c r="A202" s="5" t="n">
        <v>197</v>
      </c>
      <c r="B202" s="5" t="inlineStr">
        <is>
          <t>no checking</t>
        </is>
      </c>
      <c r="C202" s="5" t="n">
        <v>6</v>
      </c>
      <c r="D202" s="5" t="inlineStr">
        <is>
          <t>critical/other existing credit</t>
        </is>
      </c>
      <c r="E202" s="5" t="inlineStr">
        <is>
          <t>radio/tv</t>
        </is>
      </c>
      <c r="F202" s="5" t="n">
        <v>1382</v>
      </c>
      <c r="G202" s="5" t="inlineStr">
        <is>
          <t>&lt;100</t>
        </is>
      </c>
      <c r="H202" s="5" t="inlineStr">
        <is>
          <t>1&lt;=X&lt;4</t>
        </is>
      </c>
      <c r="I202" s="5" t="n">
        <v>1</v>
      </c>
      <c r="J202" s="5" t="inlineStr">
        <is>
          <t>female div/dep/mar</t>
        </is>
      </c>
      <c r="K202" s="5" t="inlineStr">
        <is>
          <t>none</t>
        </is>
      </c>
      <c r="L202" s="5" t="n">
        <v>1</v>
      </c>
      <c r="M202" s="5" t="inlineStr">
        <is>
          <t>car</t>
        </is>
      </c>
      <c r="N202" s="5" t="n">
        <v>28</v>
      </c>
      <c r="O202" s="5" t="inlineStr">
        <is>
          <t>none</t>
        </is>
      </c>
      <c r="P202" s="5" t="inlineStr">
        <is>
          <t>own</t>
        </is>
      </c>
      <c r="Q202" s="5" t="n">
        <v>2</v>
      </c>
      <c r="R202" s="5" t="inlineStr">
        <is>
          <t>skilled</t>
        </is>
      </c>
      <c r="S202" s="5" t="n">
        <v>1</v>
      </c>
      <c r="T202" s="5" t="inlineStr">
        <is>
          <t>yes</t>
        </is>
      </c>
      <c r="U202" s="5" t="inlineStr">
        <is>
          <t>yes</t>
        </is>
      </c>
      <c r="V202" s="5" t="inlineStr">
        <is>
          <t>good</t>
        </is>
      </c>
    </row>
    <row r="203">
      <c r="A203" s="5" t="n">
        <v>198</v>
      </c>
      <c r="B203" s="5" t="inlineStr">
        <is>
          <t>0&lt;=X&lt;200</t>
        </is>
      </c>
      <c r="C203" s="5" t="n">
        <v>12</v>
      </c>
      <c r="D203" s="5" t="inlineStr">
        <is>
          <t>existing paid</t>
        </is>
      </c>
      <c r="E203" s="5" t="inlineStr">
        <is>
          <t>furniture/equipment</t>
        </is>
      </c>
      <c r="F203" s="5" t="n">
        <v>951</v>
      </c>
      <c r="G203" s="5" t="inlineStr">
        <is>
          <t>100&lt;=X&lt;500</t>
        </is>
      </c>
      <c r="H203" s="5" t="inlineStr">
        <is>
          <t>&lt;1</t>
        </is>
      </c>
      <c r="I203" s="5" t="n">
        <v>4</v>
      </c>
      <c r="J203" s="5" t="inlineStr">
        <is>
          <t>female div/dep/mar</t>
        </is>
      </c>
      <c r="K203" s="5" t="inlineStr">
        <is>
          <t>none</t>
        </is>
      </c>
      <c r="L203" s="5" t="n">
        <v>4</v>
      </c>
      <c r="M203" s="5" t="inlineStr">
        <is>
          <t>car</t>
        </is>
      </c>
      <c r="N203" s="5" t="n">
        <v>27</v>
      </c>
      <c r="O203" s="5" t="inlineStr">
        <is>
          <t>bank</t>
        </is>
      </c>
      <c r="P203" s="5" t="inlineStr">
        <is>
          <t>rent</t>
        </is>
      </c>
      <c r="Q203" s="5" t="n">
        <v>4</v>
      </c>
      <c r="R203" s="5" t="inlineStr">
        <is>
          <t>skilled</t>
        </is>
      </c>
      <c r="S203" s="5" t="n">
        <v>1</v>
      </c>
      <c r="T203" s="5" t="inlineStr">
        <is>
          <t>none</t>
        </is>
      </c>
      <c r="U203" s="5" t="inlineStr">
        <is>
          <t>yes</t>
        </is>
      </c>
      <c r="V203" s="5" t="inlineStr">
        <is>
          <t>bad</t>
        </is>
      </c>
    </row>
    <row r="204">
      <c r="A204" s="5" t="n">
        <v>199</v>
      </c>
      <c r="B204" s="5" t="inlineStr">
        <is>
          <t>0&lt;=X&lt;200</t>
        </is>
      </c>
      <c r="C204" s="5" t="n">
        <v>24</v>
      </c>
      <c r="D204" s="5" t="inlineStr">
        <is>
          <t>existing paid</t>
        </is>
      </c>
      <c r="E204" s="5" t="inlineStr">
        <is>
          <t>used car</t>
        </is>
      </c>
      <c r="F204" s="5" t="n">
        <v>2760</v>
      </c>
      <c r="G204" s="5" t="inlineStr">
        <is>
          <t>no known savings</t>
        </is>
      </c>
      <c r="H204" s="5" t="inlineStr">
        <is>
          <t>&gt;=7</t>
        </is>
      </c>
      <c r="I204" s="5" t="n">
        <v>4</v>
      </c>
      <c r="J204" s="5" t="inlineStr">
        <is>
          <t>male single</t>
        </is>
      </c>
      <c r="K204" s="5" t="inlineStr">
        <is>
          <t>none</t>
        </is>
      </c>
      <c r="L204" s="5" t="n">
        <v>4</v>
      </c>
      <c r="M204" s="5" t="inlineStr">
        <is>
          <t>no known property</t>
        </is>
      </c>
      <c r="N204" s="5" t="n">
        <v>36</v>
      </c>
      <c r="O204" s="5" t="inlineStr">
        <is>
          <t>bank</t>
        </is>
      </c>
      <c r="P204" s="5" t="inlineStr">
        <is>
          <t>for free</t>
        </is>
      </c>
      <c r="Q204" s="5" t="n">
        <v>1</v>
      </c>
      <c r="R204" s="5" t="inlineStr">
        <is>
          <t>skilled</t>
        </is>
      </c>
      <c r="S204" s="5" t="n">
        <v>1</v>
      </c>
      <c r="T204" s="5" t="inlineStr">
        <is>
          <t>yes</t>
        </is>
      </c>
      <c r="U204" s="5" t="inlineStr">
        <is>
          <t>yes</t>
        </is>
      </c>
      <c r="V204" s="5" t="inlineStr">
        <is>
          <t>good</t>
        </is>
      </c>
    </row>
    <row r="205">
      <c r="A205" s="5" t="n">
        <v>200</v>
      </c>
      <c r="B205" s="5" t="inlineStr">
        <is>
          <t>0&lt;=X&lt;200</t>
        </is>
      </c>
      <c r="C205" s="5" t="n">
        <v>18</v>
      </c>
      <c r="D205" s="5" t="inlineStr">
        <is>
          <t>delayed previously</t>
        </is>
      </c>
      <c r="E205" s="5" t="inlineStr">
        <is>
          <t>furniture/equipment</t>
        </is>
      </c>
      <c r="F205" s="5" t="n">
        <v>4297</v>
      </c>
      <c r="G205" s="5" t="inlineStr">
        <is>
          <t>&lt;100</t>
        </is>
      </c>
      <c r="H205" s="5" t="inlineStr">
        <is>
          <t>&gt;=7</t>
        </is>
      </c>
      <c r="I205" s="5" t="n">
        <v>4</v>
      </c>
      <c r="J205" s="5" t="inlineStr">
        <is>
          <t>male div/sep</t>
        </is>
      </c>
      <c r="K205" s="5" t="inlineStr">
        <is>
          <t>none</t>
        </is>
      </c>
      <c r="L205" s="5" t="n">
        <v>3</v>
      </c>
      <c r="M205" s="5" t="inlineStr">
        <is>
          <t>no known property</t>
        </is>
      </c>
      <c r="N205" s="5" t="n">
        <v>40</v>
      </c>
      <c r="O205" s="5" t="inlineStr">
        <is>
          <t>none</t>
        </is>
      </c>
      <c r="P205" s="5" t="inlineStr">
        <is>
          <t>own</t>
        </is>
      </c>
      <c r="Q205" s="5" t="n">
        <v>1</v>
      </c>
      <c r="R205" s="5" t="inlineStr">
        <is>
          <t>high qualif/self emp/mgmt</t>
        </is>
      </c>
      <c r="S205" s="5" t="n">
        <v>1</v>
      </c>
      <c r="T205" s="5" t="inlineStr">
        <is>
          <t>yes</t>
        </is>
      </c>
      <c r="U205" s="5" t="inlineStr">
        <is>
          <t>yes</t>
        </is>
      </c>
      <c r="V205" s="5" t="inlineStr">
        <is>
          <t>bad</t>
        </is>
      </c>
    </row>
    <row r="206">
      <c r="A206" s="5" t="n">
        <v>201</v>
      </c>
      <c r="B206" s="5" t="inlineStr">
        <is>
          <t>no checking</t>
        </is>
      </c>
      <c r="C206" s="5" t="n">
        <v>9</v>
      </c>
      <c r="D206" s="5" t="inlineStr">
        <is>
          <t>critical/other existing credit</t>
        </is>
      </c>
      <c r="E206" s="5" t="inlineStr">
        <is>
          <t>education</t>
        </is>
      </c>
      <c r="F206" s="5" t="n">
        <v>936</v>
      </c>
      <c r="G206" s="5" t="inlineStr">
        <is>
          <t>500&lt;=X&lt;1000</t>
        </is>
      </c>
      <c r="H206" s="5" t="inlineStr">
        <is>
          <t>&gt;=7</t>
        </is>
      </c>
      <c r="I206" s="5" t="n">
        <v>4</v>
      </c>
      <c r="J206" s="5" t="inlineStr">
        <is>
          <t>male single</t>
        </is>
      </c>
      <c r="K206" s="5" t="inlineStr">
        <is>
          <t>none</t>
        </is>
      </c>
      <c r="L206" s="5" t="n">
        <v>2</v>
      </c>
      <c r="M206" s="5" t="inlineStr">
        <is>
          <t>car</t>
        </is>
      </c>
      <c r="N206" s="5" t="n">
        <v>52</v>
      </c>
      <c r="O206" s="5" t="inlineStr">
        <is>
          <t>none</t>
        </is>
      </c>
      <c r="P206" s="5" t="inlineStr">
        <is>
          <t>own</t>
        </is>
      </c>
      <c r="Q206" s="5" t="n">
        <v>2</v>
      </c>
      <c r="R206" s="5" t="inlineStr">
        <is>
          <t>skilled</t>
        </is>
      </c>
      <c r="S206" s="5" t="n">
        <v>1</v>
      </c>
      <c r="T206" s="5" t="inlineStr">
        <is>
          <t>yes</t>
        </is>
      </c>
      <c r="U206" s="5" t="inlineStr">
        <is>
          <t>yes</t>
        </is>
      </c>
      <c r="V206" s="5" t="inlineStr">
        <is>
          <t>good</t>
        </is>
      </c>
    </row>
    <row r="207">
      <c r="A207" s="5" t="n">
        <v>202</v>
      </c>
      <c r="B207" s="5" t="inlineStr">
        <is>
          <t>&lt;0</t>
        </is>
      </c>
      <c r="C207" s="5" t="n">
        <v>12</v>
      </c>
      <c r="D207" s="5" t="inlineStr">
        <is>
          <t>existing paid</t>
        </is>
      </c>
      <c r="E207" s="5" t="inlineStr">
        <is>
          <t>new car</t>
        </is>
      </c>
      <c r="F207" s="5" t="n">
        <v>1168</v>
      </c>
      <c r="G207" s="5" t="inlineStr">
        <is>
          <t>&lt;100</t>
        </is>
      </c>
      <c r="H207" s="5" t="inlineStr">
        <is>
          <t>1&lt;=X&lt;4</t>
        </is>
      </c>
      <c r="I207" s="5" t="n">
        <v>4</v>
      </c>
      <c r="J207" s="5" t="inlineStr">
        <is>
          <t>male mar/wid</t>
        </is>
      </c>
      <c r="K207" s="5" t="inlineStr">
        <is>
          <t>none</t>
        </is>
      </c>
      <c r="L207" s="5" t="n">
        <v>3</v>
      </c>
      <c r="M207" s="5" t="inlineStr">
        <is>
          <t>real estate</t>
        </is>
      </c>
      <c r="N207" s="5" t="n">
        <v>27</v>
      </c>
      <c r="O207" s="5" t="inlineStr">
        <is>
          <t>none</t>
        </is>
      </c>
      <c r="P207" s="5" t="inlineStr">
        <is>
          <t>own</t>
        </is>
      </c>
      <c r="Q207" s="5" t="n">
        <v>1</v>
      </c>
      <c r="R207" s="5" t="inlineStr">
        <is>
          <t>unskilled resident</t>
        </is>
      </c>
      <c r="S207" s="5" t="n">
        <v>1</v>
      </c>
      <c r="T207" s="5" t="inlineStr">
        <is>
          <t>none</t>
        </is>
      </c>
      <c r="U207" s="5" t="inlineStr">
        <is>
          <t>yes</t>
        </is>
      </c>
      <c r="V207" s="5" t="inlineStr">
        <is>
          <t>good</t>
        </is>
      </c>
    </row>
    <row r="208">
      <c r="A208" s="5" t="n">
        <v>203</v>
      </c>
      <c r="B208" s="5" t="inlineStr">
        <is>
          <t>no checking</t>
        </is>
      </c>
      <c r="C208" s="5" t="n">
        <v>27</v>
      </c>
      <c r="D208" s="5" t="inlineStr">
        <is>
          <t>delayed previously</t>
        </is>
      </c>
      <c r="E208" s="5" t="inlineStr">
        <is>
          <t>business</t>
        </is>
      </c>
      <c r="F208" s="5" t="n">
        <v>5117</v>
      </c>
      <c r="G208" s="5" t="inlineStr">
        <is>
          <t>&lt;100</t>
        </is>
      </c>
      <c r="H208" s="5" t="inlineStr">
        <is>
          <t>4&lt;=X&lt;7</t>
        </is>
      </c>
      <c r="I208" s="5" t="n">
        <v>3</v>
      </c>
      <c r="J208" s="5" t="inlineStr">
        <is>
          <t>male single</t>
        </is>
      </c>
      <c r="K208" s="5" t="inlineStr">
        <is>
          <t>none</t>
        </is>
      </c>
      <c r="L208" s="5" t="n">
        <v>4</v>
      </c>
      <c r="M208" s="5" t="inlineStr">
        <is>
          <t>car</t>
        </is>
      </c>
      <c r="N208" s="5" t="n">
        <v>26</v>
      </c>
      <c r="O208" s="5" t="inlineStr">
        <is>
          <t>none</t>
        </is>
      </c>
      <c r="P208" s="5" t="inlineStr">
        <is>
          <t>own</t>
        </is>
      </c>
      <c r="Q208" s="5" t="n">
        <v>2</v>
      </c>
      <c r="R208" s="5" t="inlineStr">
        <is>
          <t>skilled</t>
        </is>
      </c>
      <c r="S208" s="5" t="n">
        <v>1</v>
      </c>
      <c r="T208" s="5" t="inlineStr">
        <is>
          <t>none</t>
        </is>
      </c>
      <c r="U208" s="5" t="inlineStr">
        <is>
          <t>yes</t>
        </is>
      </c>
      <c r="V208" s="5" t="inlineStr">
        <is>
          <t>good</t>
        </is>
      </c>
    </row>
    <row r="209">
      <c r="A209" s="5" t="n">
        <v>204</v>
      </c>
      <c r="B209" s="5" t="inlineStr">
        <is>
          <t>&lt;0</t>
        </is>
      </c>
      <c r="C209" s="5" t="n">
        <v>12</v>
      </c>
      <c r="D209" s="5" t="inlineStr">
        <is>
          <t>existing paid</t>
        </is>
      </c>
      <c r="E209" s="5" t="inlineStr">
        <is>
          <t>retraining</t>
        </is>
      </c>
      <c r="F209" s="5" t="n">
        <v>902</v>
      </c>
      <c r="G209" s="5" t="inlineStr">
        <is>
          <t>&lt;100</t>
        </is>
      </c>
      <c r="H209" s="5" t="inlineStr">
        <is>
          <t>4&lt;=X&lt;7</t>
        </is>
      </c>
      <c r="I209" s="5" t="n">
        <v>4</v>
      </c>
      <c r="J209" s="5" t="inlineStr">
        <is>
          <t>male mar/wid</t>
        </is>
      </c>
      <c r="K209" s="5" t="inlineStr">
        <is>
          <t>none</t>
        </is>
      </c>
      <c r="L209" s="5" t="n">
        <v>4</v>
      </c>
      <c r="M209" s="5" t="inlineStr">
        <is>
          <t>life insurance</t>
        </is>
      </c>
      <c r="N209" s="5" t="n">
        <v>21</v>
      </c>
      <c r="O209" s="5" t="inlineStr">
        <is>
          <t>none</t>
        </is>
      </c>
      <c r="P209" s="5" t="inlineStr">
        <is>
          <t>rent</t>
        </is>
      </c>
      <c r="Q209" s="5" t="n">
        <v>1</v>
      </c>
      <c r="R209" s="5" t="inlineStr">
        <is>
          <t>skilled</t>
        </is>
      </c>
      <c r="S209" s="5" t="n">
        <v>1</v>
      </c>
      <c r="T209" s="5" t="inlineStr">
        <is>
          <t>none</t>
        </is>
      </c>
      <c r="U209" s="5" t="inlineStr">
        <is>
          <t>yes</t>
        </is>
      </c>
      <c r="V209" s="5" t="inlineStr">
        <is>
          <t>bad</t>
        </is>
      </c>
    </row>
    <row r="210">
      <c r="A210" s="5" t="n">
        <v>205</v>
      </c>
      <c r="B210" s="5" t="inlineStr">
        <is>
          <t>no checking</t>
        </is>
      </c>
      <c r="C210" s="5" t="n">
        <v>12</v>
      </c>
      <c r="D210" s="5" t="inlineStr">
        <is>
          <t>critical/other existing credit</t>
        </is>
      </c>
      <c r="E210" s="5" t="inlineStr">
        <is>
          <t>new car</t>
        </is>
      </c>
      <c r="F210" s="5" t="n">
        <v>1495</v>
      </c>
      <c r="G210" s="5" t="inlineStr">
        <is>
          <t>&lt;100</t>
        </is>
      </c>
      <c r="H210" s="5" t="inlineStr">
        <is>
          <t>&gt;=7</t>
        </is>
      </c>
      <c r="I210" s="5" t="n">
        <v>4</v>
      </c>
      <c r="J210" s="5" t="inlineStr">
        <is>
          <t>male single</t>
        </is>
      </c>
      <c r="K210" s="5" t="inlineStr">
        <is>
          <t>none</t>
        </is>
      </c>
      <c r="L210" s="5" t="n">
        <v>1</v>
      </c>
      <c r="M210" s="5" t="inlineStr">
        <is>
          <t>real estate</t>
        </is>
      </c>
      <c r="N210" s="5" t="n">
        <v>38</v>
      </c>
      <c r="O210" s="5" t="inlineStr">
        <is>
          <t>none</t>
        </is>
      </c>
      <c r="P210" s="5" t="inlineStr">
        <is>
          <t>own</t>
        </is>
      </c>
      <c r="Q210" s="5" t="n">
        <v>2</v>
      </c>
      <c r="R210" s="5" t="inlineStr">
        <is>
          <t>unskilled resident</t>
        </is>
      </c>
      <c r="S210" s="5" t="n">
        <v>2</v>
      </c>
      <c r="T210" s="5" t="inlineStr">
        <is>
          <t>none</t>
        </is>
      </c>
      <c r="U210" s="5" t="inlineStr">
        <is>
          <t>yes</t>
        </is>
      </c>
      <c r="V210" s="5" t="inlineStr">
        <is>
          <t>good</t>
        </is>
      </c>
    </row>
    <row r="211">
      <c r="A211" s="5" t="n">
        <v>206</v>
      </c>
      <c r="B211" s="5" t="inlineStr">
        <is>
          <t>&lt;0</t>
        </is>
      </c>
      <c r="C211" s="5" t="n">
        <v>30</v>
      </c>
      <c r="D211" s="5" t="inlineStr">
        <is>
          <t>critical/other existing credit</t>
        </is>
      </c>
      <c r="E211" s="5" t="inlineStr">
        <is>
          <t>used car</t>
        </is>
      </c>
      <c r="F211" s="5" t="n">
        <v>10623</v>
      </c>
      <c r="G211" s="5" t="inlineStr">
        <is>
          <t>&lt;100</t>
        </is>
      </c>
      <c r="H211" s="5" t="inlineStr">
        <is>
          <t>&gt;=7</t>
        </is>
      </c>
      <c r="I211" s="5" t="n">
        <v>3</v>
      </c>
      <c r="J211" s="5" t="inlineStr">
        <is>
          <t>male single</t>
        </is>
      </c>
      <c r="K211" s="5" t="inlineStr">
        <is>
          <t>none</t>
        </is>
      </c>
      <c r="L211" s="5" t="n">
        <v>4</v>
      </c>
      <c r="M211" s="5" t="inlineStr">
        <is>
          <t>no known property</t>
        </is>
      </c>
      <c r="N211" s="5" t="n">
        <v>38</v>
      </c>
      <c r="O211" s="5" t="inlineStr">
        <is>
          <t>none</t>
        </is>
      </c>
      <c r="P211" s="5" t="inlineStr">
        <is>
          <t>for free</t>
        </is>
      </c>
      <c r="Q211" s="5" t="n">
        <v>3</v>
      </c>
      <c r="R211" s="5" t="inlineStr">
        <is>
          <t>high qualif/self emp/mgmt</t>
        </is>
      </c>
      <c r="S211" s="5" t="n">
        <v>2</v>
      </c>
      <c r="T211" s="5" t="inlineStr">
        <is>
          <t>yes</t>
        </is>
      </c>
      <c r="U211" s="5" t="inlineStr">
        <is>
          <t>yes</t>
        </is>
      </c>
      <c r="V211" s="5" t="inlineStr">
        <is>
          <t>good</t>
        </is>
      </c>
    </row>
    <row r="212">
      <c r="A212" s="5" t="n">
        <v>207</v>
      </c>
      <c r="B212" s="5" t="inlineStr">
        <is>
          <t>no checking</t>
        </is>
      </c>
      <c r="C212" s="5" t="n">
        <v>12</v>
      </c>
      <c r="D212" s="5" t="inlineStr">
        <is>
          <t>critical/other existing credit</t>
        </is>
      </c>
      <c r="E212" s="5" t="inlineStr">
        <is>
          <t>furniture/equipment</t>
        </is>
      </c>
      <c r="F212" s="5" t="n">
        <v>1935</v>
      </c>
      <c r="G212" s="5" t="inlineStr">
        <is>
          <t>&lt;100</t>
        </is>
      </c>
      <c r="H212" s="5" t="inlineStr">
        <is>
          <t>&gt;=7</t>
        </is>
      </c>
      <c r="I212" s="5" t="n">
        <v>4</v>
      </c>
      <c r="J212" s="5" t="inlineStr">
        <is>
          <t>male single</t>
        </is>
      </c>
      <c r="K212" s="5" t="inlineStr">
        <is>
          <t>none</t>
        </is>
      </c>
      <c r="L212" s="5" t="n">
        <v>4</v>
      </c>
      <c r="M212" s="5" t="inlineStr">
        <is>
          <t>real estate</t>
        </is>
      </c>
      <c r="N212" s="5" t="n">
        <v>43</v>
      </c>
      <c r="O212" s="5" t="inlineStr">
        <is>
          <t>none</t>
        </is>
      </c>
      <c r="P212" s="5" t="inlineStr">
        <is>
          <t>own</t>
        </is>
      </c>
      <c r="Q212" s="5" t="n">
        <v>3</v>
      </c>
      <c r="R212" s="5" t="inlineStr">
        <is>
          <t>skilled</t>
        </is>
      </c>
      <c r="S212" s="5" t="n">
        <v>1</v>
      </c>
      <c r="T212" s="5" t="inlineStr">
        <is>
          <t>yes</t>
        </is>
      </c>
      <c r="U212" s="5" t="inlineStr">
        <is>
          <t>yes</t>
        </is>
      </c>
      <c r="V212" s="5" t="inlineStr">
        <is>
          <t>good</t>
        </is>
      </c>
    </row>
    <row r="213">
      <c r="A213" s="5" t="n">
        <v>208</v>
      </c>
      <c r="B213" s="5" t="inlineStr">
        <is>
          <t>0&lt;=X&lt;200</t>
        </is>
      </c>
      <c r="C213" s="5" t="n">
        <v>12</v>
      </c>
      <c r="D213" s="5" t="inlineStr">
        <is>
          <t>critical/other existing credit</t>
        </is>
      </c>
      <c r="E213" s="5" t="inlineStr">
        <is>
          <t>domestic appliance</t>
        </is>
      </c>
      <c r="F213" s="5" t="n">
        <v>1424</v>
      </c>
      <c r="G213" s="5" t="inlineStr">
        <is>
          <t>&lt;100</t>
        </is>
      </c>
      <c r="H213" s="5" t="inlineStr">
        <is>
          <t>4&lt;=X&lt;7</t>
        </is>
      </c>
      <c r="I213" s="5" t="n">
        <v>4</v>
      </c>
      <c r="J213" s="5" t="inlineStr">
        <is>
          <t>male single</t>
        </is>
      </c>
      <c r="K213" s="5" t="inlineStr">
        <is>
          <t>none</t>
        </is>
      </c>
      <c r="L213" s="5" t="n">
        <v>3</v>
      </c>
      <c r="M213" s="5" t="inlineStr">
        <is>
          <t>life insurance</t>
        </is>
      </c>
      <c r="N213" s="5" t="n">
        <v>26</v>
      </c>
      <c r="O213" s="5" t="inlineStr">
        <is>
          <t>none</t>
        </is>
      </c>
      <c r="P213" s="5" t="inlineStr">
        <is>
          <t>own</t>
        </is>
      </c>
      <c r="Q213" s="5" t="n">
        <v>1</v>
      </c>
      <c r="R213" s="5" t="inlineStr">
        <is>
          <t>skilled</t>
        </is>
      </c>
      <c r="S213" s="5" t="n">
        <v>1</v>
      </c>
      <c r="T213" s="5" t="inlineStr">
        <is>
          <t>none</t>
        </is>
      </c>
      <c r="U213" s="5" t="inlineStr">
        <is>
          <t>yes</t>
        </is>
      </c>
      <c r="V213" s="5" t="inlineStr">
        <is>
          <t>good</t>
        </is>
      </c>
    </row>
    <row r="214">
      <c r="A214" s="5" t="n">
        <v>209</v>
      </c>
      <c r="B214" s="5" t="inlineStr">
        <is>
          <t>&lt;0</t>
        </is>
      </c>
      <c r="C214" s="5" t="n">
        <v>24</v>
      </c>
      <c r="D214" s="5" t="inlineStr">
        <is>
          <t>existing paid</t>
        </is>
      </c>
      <c r="E214" s="5" t="inlineStr">
        <is>
          <t>business</t>
        </is>
      </c>
      <c r="F214" s="5" t="n">
        <v>6568</v>
      </c>
      <c r="G214" s="5" t="inlineStr">
        <is>
          <t>&lt;100</t>
        </is>
      </c>
      <c r="H214" s="5" t="inlineStr">
        <is>
          <t>1&lt;=X&lt;4</t>
        </is>
      </c>
      <c r="I214" s="5" t="n">
        <v>2</v>
      </c>
      <c r="J214" s="5" t="inlineStr">
        <is>
          <t>male mar/wid</t>
        </is>
      </c>
      <c r="K214" s="5" t="inlineStr">
        <is>
          <t>none</t>
        </is>
      </c>
      <c r="L214" s="5" t="n">
        <v>2</v>
      </c>
      <c r="M214" s="5" t="inlineStr">
        <is>
          <t>car</t>
        </is>
      </c>
      <c r="N214" s="5" t="n">
        <v>21</v>
      </c>
      <c r="O214" s="5" t="inlineStr">
        <is>
          <t>stores</t>
        </is>
      </c>
      <c r="P214" s="5" t="inlineStr">
        <is>
          <t>own</t>
        </is>
      </c>
      <c r="Q214" s="5" t="n">
        <v>1</v>
      </c>
      <c r="R214" s="5" t="inlineStr">
        <is>
          <t>unskilled resident</t>
        </is>
      </c>
      <c r="S214" s="5" t="n">
        <v>1</v>
      </c>
      <c r="T214" s="5" t="inlineStr">
        <is>
          <t>none</t>
        </is>
      </c>
      <c r="U214" s="5" t="inlineStr">
        <is>
          <t>yes</t>
        </is>
      </c>
      <c r="V214" s="5" t="inlineStr">
        <is>
          <t>good</t>
        </is>
      </c>
    </row>
    <row r="215">
      <c r="A215" s="5" t="n">
        <v>210</v>
      </c>
      <c r="B215" s="5" t="inlineStr">
        <is>
          <t>no checking</t>
        </is>
      </c>
      <c r="C215" s="5" t="n">
        <v>12</v>
      </c>
      <c r="D215" s="5" t="inlineStr">
        <is>
          <t>existing paid</t>
        </is>
      </c>
      <c r="E215" s="5" t="inlineStr">
        <is>
          <t>used car</t>
        </is>
      </c>
      <c r="F215" s="5" t="n">
        <v>1413</v>
      </c>
      <c r="G215" s="5" t="inlineStr">
        <is>
          <t>&gt;=1000</t>
        </is>
      </c>
      <c r="H215" s="5" t="inlineStr">
        <is>
          <t>4&lt;=X&lt;7</t>
        </is>
      </c>
      <c r="I215" s="5" t="n">
        <v>3</v>
      </c>
      <c r="J215" s="5" t="inlineStr">
        <is>
          <t>male single</t>
        </is>
      </c>
      <c r="K215" s="5" t="inlineStr">
        <is>
          <t>none</t>
        </is>
      </c>
      <c r="L215" s="5" t="n">
        <v>2</v>
      </c>
      <c r="M215" s="5" t="inlineStr">
        <is>
          <t>life insurance</t>
        </is>
      </c>
      <c r="N215" s="5" t="n">
        <v>55</v>
      </c>
      <c r="O215" s="5" t="inlineStr">
        <is>
          <t>none</t>
        </is>
      </c>
      <c r="P215" s="5" t="inlineStr">
        <is>
          <t>own</t>
        </is>
      </c>
      <c r="Q215" s="5" t="n">
        <v>1</v>
      </c>
      <c r="R215" s="5" t="inlineStr">
        <is>
          <t>skilled</t>
        </is>
      </c>
      <c r="S215" s="5" t="n">
        <v>1</v>
      </c>
      <c r="T215" s="5" t="inlineStr">
        <is>
          <t>none</t>
        </is>
      </c>
      <c r="U215" s="5" t="inlineStr">
        <is>
          <t>no</t>
        </is>
      </c>
      <c r="V215" s="5" t="inlineStr">
        <is>
          <t>good</t>
        </is>
      </c>
    </row>
    <row r="216">
      <c r="A216" s="5" t="n">
        <v>211</v>
      </c>
      <c r="B216" s="5" t="inlineStr">
        <is>
          <t>no checking</t>
        </is>
      </c>
      <c r="C216" s="5" t="n">
        <v>9</v>
      </c>
      <c r="D216" s="5" t="inlineStr">
        <is>
          <t>critical/other existing credit</t>
        </is>
      </c>
      <c r="E216" s="5" t="inlineStr">
        <is>
          <t>radio/tv</t>
        </is>
      </c>
      <c r="F216" s="5" t="n">
        <v>3074</v>
      </c>
      <c r="G216" s="5" t="inlineStr">
        <is>
          <t>no known savings</t>
        </is>
      </c>
      <c r="H216" s="5" t="inlineStr">
        <is>
          <t>1&lt;=X&lt;4</t>
        </is>
      </c>
      <c r="I216" s="5" t="n">
        <v>1</v>
      </c>
      <c r="J216" s="5" t="inlineStr">
        <is>
          <t>male single</t>
        </is>
      </c>
      <c r="K216" s="5" t="inlineStr">
        <is>
          <t>none</t>
        </is>
      </c>
      <c r="L216" s="5" t="n">
        <v>2</v>
      </c>
      <c r="M216" s="5" t="inlineStr">
        <is>
          <t>real estate</t>
        </is>
      </c>
      <c r="N216" s="5" t="n">
        <v>33</v>
      </c>
      <c r="O216" s="5" t="inlineStr">
        <is>
          <t>none</t>
        </is>
      </c>
      <c r="P216" s="5" t="inlineStr">
        <is>
          <t>own</t>
        </is>
      </c>
      <c r="Q216" s="5" t="n">
        <v>2</v>
      </c>
      <c r="R216" s="5" t="inlineStr">
        <is>
          <t>skilled</t>
        </is>
      </c>
      <c r="S216" s="5" t="n">
        <v>2</v>
      </c>
      <c r="T216" s="5" t="inlineStr">
        <is>
          <t>none</t>
        </is>
      </c>
      <c r="U216" s="5" t="inlineStr">
        <is>
          <t>yes</t>
        </is>
      </c>
      <c r="V216" s="5" t="inlineStr">
        <is>
          <t>good</t>
        </is>
      </c>
    </row>
    <row r="217">
      <c r="A217" s="5" t="n">
        <v>212</v>
      </c>
      <c r="B217" s="5" t="inlineStr">
        <is>
          <t>no checking</t>
        </is>
      </c>
      <c r="C217" s="5" t="n">
        <v>36</v>
      </c>
      <c r="D217" s="5" t="inlineStr">
        <is>
          <t>existing paid</t>
        </is>
      </c>
      <c r="E217" s="5" t="inlineStr">
        <is>
          <t>radio/tv</t>
        </is>
      </c>
      <c r="F217" s="5" t="n">
        <v>3835</v>
      </c>
      <c r="G217" s="5" t="inlineStr">
        <is>
          <t>no known savings</t>
        </is>
      </c>
      <c r="H217" s="5" t="inlineStr">
        <is>
          <t>&gt;=7</t>
        </is>
      </c>
      <c r="I217" s="5" t="n">
        <v>2</v>
      </c>
      <c r="J217" s="5" t="inlineStr">
        <is>
          <t>female div/dep/mar</t>
        </is>
      </c>
      <c r="K217" s="5" t="inlineStr">
        <is>
          <t>none</t>
        </is>
      </c>
      <c r="L217" s="5" t="n">
        <v>4</v>
      </c>
      <c r="M217" s="5" t="inlineStr">
        <is>
          <t>real estate</t>
        </is>
      </c>
      <c r="N217" s="5" t="n">
        <v>45</v>
      </c>
      <c r="O217" s="5" t="inlineStr">
        <is>
          <t>none</t>
        </is>
      </c>
      <c r="P217" s="5" t="inlineStr">
        <is>
          <t>own</t>
        </is>
      </c>
      <c r="Q217" s="5" t="n">
        <v>1</v>
      </c>
      <c r="R217" s="5" t="inlineStr">
        <is>
          <t>unskilled resident</t>
        </is>
      </c>
      <c r="S217" s="5" t="n">
        <v>1</v>
      </c>
      <c r="T217" s="5" t="inlineStr">
        <is>
          <t>yes</t>
        </is>
      </c>
      <c r="U217" s="5" t="inlineStr">
        <is>
          <t>yes</t>
        </is>
      </c>
      <c r="V217" s="5" t="inlineStr">
        <is>
          <t>good</t>
        </is>
      </c>
    </row>
    <row r="218">
      <c r="A218" s="5" t="n">
        <v>213</v>
      </c>
      <c r="B218" s="5" t="inlineStr">
        <is>
          <t>&lt;0</t>
        </is>
      </c>
      <c r="C218" s="5" t="n">
        <v>27</v>
      </c>
      <c r="D218" s="5" t="inlineStr">
        <is>
          <t>no credits/all paid</t>
        </is>
      </c>
      <c r="E218" s="5" t="inlineStr">
        <is>
          <t>business</t>
        </is>
      </c>
      <c r="F218" s="5" t="n">
        <v>5293</v>
      </c>
      <c r="G218" s="5" t="inlineStr">
        <is>
          <t>&lt;100</t>
        </is>
      </c>
      <c r="H218" s="5" t="inlineStr">
        <is>
          <t>unemployed</t>
        </is>
      </c>
      <c r="I218" s="5" t="n">
        <v>2</v>
      </c>
      <c r="J218" s="5" t="inlineStr">
        <is>
          <t>male single</t>
        </is>
      </c>
      <c r="K218" s="5" t="inlineStr">
        <is>
          <t>none</t>
        </is>
      </c>
      <c r="L218" s="5" t="n">
        <v>4</v>
      </c>
      <c r="M218" s="5" t="inlineStr">
        <is>
          <t>life insurance</t>
        </is>
      </c>
      <c r="N218" s="5" t="n">
        <v>50</v>
      </c>
      <c r="O218" s="5" t="inlineStr">
        <is>
          <t>stores</t>
        </is>
      </c>
      <c r="P218" s="5" t="inlineStr">
        <is>
          <t>own</t>
        </is>
      </c>
      <c r="Q218" s="5" t="n">
        <v>2</v>
      </c>
      <c r="R218" s="5" t="inlineStr">
        <is>
          <t>skilled</t>
        </is>
      </c>
      <c r="S218" s="5" t="n">
        <v>1</v>
      </c>
      <c r="T218" s="5" t="inlineStr">
        <is>
          <t>yes</t>
        </is>
      </c>
      <c r="U218" s="5" t="inlineStr">
        <is>
          <t>yes</t>
        </is>
      </c>
      <c r="V218" s="5" t="inlineStr">
        <is>
          <t>bad</t>
        </is>
      </c>
    </row>
    <row r="219">
      <c r="A219" s="5" t="n">
        <v>214</v>
      </c>
      <c r="B219" s="5" t="inlineStr">
        <is>
          <t>&gt;=200</t>
        </is>
      </c>
      <c r="C219" s="5" t="n">
        <v>30</v>
      </c>
      <c r="D219" s="5" t="inlineStr">
        <is>
          <t>delayed previously</t>
        </is>
      </c>
      <c r="E219" s="5" t="inlineStr">
        <is>
          <t>business</t>
        </is>
      </c>
      <c r="F219" s="5" t="n">
        <v>1908</v>
      </c>
      <c r="G219" s="5" t="inlineStr">
        <is>
          <t>&lt;100</t>
        </is>
      </c>
      <c r="H219" s="5" t="inlineStr">
        <is>
          <t>&gt;=7</t>
        </is>
      </c>
      <c r="I219" s="5" t="n">
        <v>4</v>
      </c>
      <c r="J219" s="5" t="inlineStr">
        <is>
          <t>male single</t>
        </is>
      </c>
      <c r="K219" s="5" t="inlineStr">
        <is>
          <t>none</t>
        </is>
      </c>
      <c r="L219" s="5" t="n">
        <v>4</v>
      </c>
      <c r="M219" s="5" t="inlineStr">
        <is>
          <t>real estate</t>
        </is>
      </c>
      <c r="N219" s="5" t="n">
        <v>66</v>
      </c>
      <c r="O219" s="5" t="inlineStr">
        <is>
          <t>none</t>
        </is>
      </c>
      <c r="P219" s="5" t="inlineStr">
        <is>
          <t>own</t>
        </is>
      </c>
      <c r="Q219" s="5" t="n">
        <v>1</v>
      </c>
      <c r="R219" s="5" t="inlineStr">
        <is>
          <t>high qualif/self emp/mgmt</t>
        </is>
      </c>
      <c r="S219" s="5" t="n">
        <v>1</v>
      </c>
      <c r="T219" s="5" t="inlineStr">
        <is>
          <t>yes</t>
        </is>
      </c>
      <c r="U219" s="5" t="inlineStr">
        <is>
          <t>yes</t>
        </is>
      </c>
      <c r="V219" s="5" t="inlineStr">
        <is>
          <t>bad</t>
        </is>
      </c>
    </row>
    <row r="220">
      <c r="A220" s="5" t="n">
        <v>215</v>
      </c>
      <c r="B220" s="5" t="inlineStr">
        <is>
          <t>no checking</t>
        </is>
      </c>
      <c r="C220" s="5" t="n">
        <v>36</v>
      </c>
      <c r="D220" s="5" t="inlineStr">
        <is>
          <t>critical/other existing credit</t>
        </is>
      </c>
      <c r="E220" s="5" t="inlineStr">
        <is>
          <t>radio/tv</t>
        </is>
      </c>
      <c r="F220" s="5" t="n">
        <v>3342</v>
      </c>
      <c r="G220" s="5" t="inlineStr">
        <is>
          <t>no known savings</t>
        </is>
      </c>
      <c r="H220" s="5" t="inlineStr">
        <is>
          <t>&gt;=7</t>
        </is>
      </c>
      <c r="I220" s="5" t="n">
        <v>4</v>
      </c>
      <c r="J220" s="5" t="inlineStr">
        <is>
          <t>male single</t>
        </is>
      </c>
      <c r="K220" s="5" t="inlineStr">
        <is>
          <t>none</t>
        </is>
      </c>
      <c r="L220" s="5" t="n">
        <v>2</v>
      </c>
      <c r="M220" s="5" t="inlineStr">
        <is>
          <t>car</t>
        </is>
      </c>
      <c r="N220" s="5" t="n">
        <v>51</v>
      </c>
      <c r="O220" s="5" t="inlineStr">
        <is>
          <t>none</t>
        </is>
      </c>
      <c r="P220" s="5" t="inlineStr">
        <is>
          <t>own</t>
        </is>
      </c>
      <c r="Q220" s="5" t="n">
        <v>1</v>
      </c>
      <c r="R220" s="5" t="inlineStr">
        <is>
          <t>skilled</t>
        </is>
      </c>
      <c r="S220" s="5" t="n">
        <v>1</v>
      </c>
      <c r="T220" s="5" t="inlineStr">
        <is>
          <t>yes</t>
        </is>
      </c>
      <c r="U220" s="5" t="inlineStr">
        <is>
          <t>yes</t>
        </is>
      </c>
      <c r="V220" s="5" t="inlineStr">
        <is>
          <t>good</t>
        </is>
      </c>
    </row>
    <row r="221">
      <c r="A221" s="5" t="n">
        <v>216</v>
      </c>
      <c r="B221" s="5" t="inlineStr">
        <is>
          <t>0&lt;=X&lt;200</t>
        </is>
      </c>
      <c r="C221" s="5" t="n">
        <v>6</v>
      </c>
      <c r="D221" s="5" t="inlineStr">
        <is>
          <t>critical/other existing credit</t>
        </is>
      </c>
      <c r="E221" s="5" t="inlineStr">
        <is>
          <t>retraining</t>
        </is>
      </c>
      <c r="F221" s="5" t="n">
        <v>932</v>
      </c>
      <c r="G221" s="5" t="inlineStr">
        <is>
          <t>no known savings</t>
        </is>
      </c>
      <c r="H221" s="5" t="inlineStr">
        <is>
          <t>4&lt;=X&lt;7</t>
        </is>
      </c>
      <c r="I221" s="5" t="n">
        <v>1</v>
      </c>
      <c r="J221" s="5" t="inlineStr">
        <is>
          <t>female div/dep/mar</t>
        </is>
      </c>
      <c r="K221" s="5" t="inlineStr">
        <is>
          <t>none</t>
        </is>
      </c>
      <c r="L221" s="5" t="n">
        <v>3</v>
      </c>
      <c r="M221" s="5" t="inlineStr">
        <is>
          <t>life insurance</t>
        </is>
      </c>
      <c r="N221" s="5" t="n">
        <v>39</v>
      </c>
      <c r="O221" s="5" t="inlineStr">
        <is>
          <t>none</t>
        </is>
      </c>
      <c r="P221" s="5" t="inlineStr">
        <is>
          <t>own</t>
        </is>
      </c>
      <c r="Q221" s="5" t="n">
        <v>2</v>
      </c>
      <c r="R221" s="5" t="inlineStr">
        <is>
          <t>unskilled resident</t>
        </is>
      </c>
      <c r="S221" s="5" t="n">
        <v>1</v>
      </c>
      <c r="T221" s="5" t="inlineStr">
        <is>
          <t>none</t>
        </is>
      </c>
      <c r="U221" s="5" t="inlineStr">
        <is>
          <t>yes</t>
        </is>
      </c>
      <c r="V221" s="5" t="inlineStr">
        <is>
          <t>good</t>
        </is>
      </c>
    </row>
    <row r="222">
      <c r="A222" s="5" t="n">
        <v>217</v>
      </c>
      <c r="B222" s="5" t="inlineStr">
        <is>
          <t>&lt;0</t>
        </is>
      </c>
      <c r="C222" s="5" t="n">
        <v>18</v>
      </c>
      <c r="D222" s="5" t="inlineStr">
        <is>
          <t>no credits/all paid</t>
        </is>
      </c>
      <c r="E222" s="5" t="inlineStr">
        <is>
          <t>business</t>
        </is>
      </c>
      <c r="F222" s="5" t="n">
        <v>3104</v>
      </c>
      <c r="G222" s="5" t="inlineStr">
        <is>
          <t>&lt;100</t>
        </is>
      </c>
      <c r="H222" s="5" t="inlineStr">
        <is>
          <t>4&lt;=X&lt;7</t>
        </is>
      </c>
      <c r="I222" s="5" t="n">
        <v>3</v>
      </c>
      <c r="J222" s="5" t="inlineStr">
        <is>
          <t>male single</t>
        </is>
      </c>
      <c r="K222" s="5" t="inlineStr">
        <is>
          <t>none</t>
        </is>
      </c>
      <c r="L222" s="5" t="n">
        <v>1</v>
      </c>
      <c r="M222" s="5" t="inlineStr">
        <is>
          <t>life insurance</t>
        </is>
      </c>
      <c r="N222" s="5" t="n">
        <v>31</v>
      </c>
      <c r="O222" s="5" t="inlineStr">
        <is>
          <t>bank</t>
        </is>
      </c>
      <c r="P222" s="5" t="inlineStr">
        <is>
          <t>own</t>
        </is>
      </c>
      <c r="Q222" s="5" t="n">
        <v>1</v>
      </c>
      <c r="R222" s="5" t="inlineStr">
        <is>
          <t>skilled</t>
        </is>
      </c>
      <c r="S222" s="5" t="n">
        <v>1</v>
      </c>
      <c r="T222" s="5" t="inlineStr">
        <is>
          <t>yes</t>
        </is>
      </c>
      <c r="U222" s="5" t="inlineStr">
        <is>
          <t>yes</t>
        </is>
      </c>
      <c r="V222" s="5" t="inlineStr">
        <is>
          <t>good</t>
        </is>
      </c>
    </row>
    <row r="223">
      <c r="A223" s="5" t="n">
        <v>218</v>
      </c>
      <c r="B223" s="5" t="inlineStr">
        <is>
          <t>&gt;=200</t>
        </is>
      </c>
      <c r="C223" s="5" t="n">
        <v>36</v>
      </c>
      <c r="D223" s="5" t="inlineStr">
        <is>
          <t>existing paid</t>
        </is>
      </c>
      <c r="E223" s="5" t="inlineStr">
        <is>
          <t>radio/tv</t>
        </is>
      </c>
      <c r="F223" s="5" t="n">
        <v>3913</v>
      </c>
      <c r="G223" s="5" t="inlineStr">
        <is>
          <t>&lt;100</t>
        </is>
      </c>
      <c r="H223" s="5" t="inlineStr">
        <is>
          <t>1&lt;=X&lt;4</t>
        </is>
      </c>
      <c r="I223" s="5" t="n">
        <v>2</v>
      </c>
      <c r="J223" s="5" t="inlineStr">
        <is>
          <t>male single</t>
        </is>
      </c>
      <c r="K223" s="5" t="inlineStr">
        <is>
          <t>none</t>
        </is>
      </c>
      <c r="L223" s="5" t="n">
        <v>2</v>
      </c>
      <c r="M223" s="5" t="inlineStr">
        <is>
          <t>real estate</t>
        </is>
      </c>
      <c r="N223" s="5" t="n">
        <v>23</v>
      </c>
      <c r="O223" s="5" t="inlineStr">
        <is>
          <t>none</t>
        </is>
      </c>
      <c r="P223" s="5" t="inlineStr">
        <is>
          <t>own</t>
        </is>
      </c>
      <c r="Q223" s="5" t="n">
        <v>1</v>
      </c>
      <c r="R223" s="5" t="inlineStr">
        <is>
          <t>skilled</t>
        </is>
      </c>
      <c r="S223" s="5" t="n">
        <v>1</v>
      </c>
      <c r="T223" s="5" t="inlineStr">
        <is>
          <t>yes</t>
        </is>
      </c>
      <c r="U223" s="5" t="inlineStr">
        <is>
          <t>yes</t>
        </is>
      </c>
      <c r="V223" s="5" t="inlineStr">
        <is>
          <t>good</t>
        </is>
      </c>
    </row>
    <row r="224">
      <c r="A224" s="5" t="n">
        <v>219</v>
      </c>
      <c r="B224" s="5" t="inlineStr">
        <is>
          <t>&lt;0</t>
        </is>
      </c>
      <c r="C224" s="5" t="n">
        <v>24</v>
      </c>
      <c r="D224" s="5" t="inlineStr">
        <is>
          <t>existing paid</t>
        </is>
      </c>
      <c r="E224" s="5" t="inlineStr">
        <is>
          <t>furniture/equipment</t>
        </is>
      </c>
      <c r="F224" s="5" t="n">
        <v>3021</v>
      </c>
      <c r="G224" s="5" t="inlineStr">
        <is>
          <t>&lt;100</t>
        </is>
      </c>
      <c r="H224" s="5" t="inlineStr">
        <is>
          <t>1&lt;=X&lt;4</t>
        </is>
      </c>
      <c r="I224" s="5" t="n">
        <v>2</v>
      </c>
      <c r="J224" s="5" t="inlineStr">
        <is>
          <t>male div/sep</t>
        </is>
      </c>
      <c r="K224" s="5" t="inlineStr">
        <is>
          <t>none</t>
        </is>
      </c>
      <c r="L224" s="5" t="n">
        <v>2</v>
      </c>
      <c r="M224" s="5" t="inlineStr">
        <is>
          <t>real estate</t>
        </is>
      </c>
      <c r="N224" s="5" t="n">
        <v>24</v>
      </c>
      <c r="O224" s="5" t="inlineStr">
        <is>
          <t>none</t>
        </is>
      </c>
      <c r="P224" s="5" t="inlineStr">
        <is>
          <t>rent</t>
        </is>
      </c>
      <c r="Q224" s="5" t="n">
        <v>1</v>
      </c>
      <c r="R224" s="5" t="inlineStr">
        <is>
          <t>unskilled resident</t>
        </is>
      </c>
      <c r="S224" s="5" t="n">
        <v>1</v>
      </c>
      <c r="T224" s="5" t="inlineStr">
        <is>
          <t>none</t>
        </is>
      </c>
      <c r="U224" s="5" t="inlineStr">
        <is>
          <t>yes</t>
        </is>
      </c>
      <c r="V224" s="5" t="inlineStr">
        <is>
          <t>good</t>
        </is>
      </c>
    </row>
    <row r="225">
      <c r="A225" s="5" t="n">
        <v>220</v>
      </c>
      <c r="B225" s="5" t="inlineStr">
        <is>
          <t>no checking</t>
        </is>
      </c>
      <c r="C225" s="5" t="n">
        <v>10</v>
      </c>
      <c r="D225" s="5" t="inlineStr">
        <is>
          <t>existing paid</t>
        </is>
      </c>
      <c r="E225" s="5" t="inlineStr">
        <is>
          <t>new car</t>
        </is>
      </c>
      <c r="F225" s="5" t="n">
        <v>1364</v>
      </c>
      <c r="G225" s="5" t="inlineStr">
        <is>
          <t>&lt;100</t>
        </is>
      </c>
      <c r="H225" s="5" t="inlineStr">
        <is>
          <t>1&lt;=X&lt;4</t>
        </is>
      </c>
      <c r="I225" s="5" t="n">
        <v>2</v>
      </c>
      <c r="J225" s="5" t="inlineStr">
        <is>
          <t>female div/dep/mar</t>
        </is>
      </c>
      <c r="K225" s="5" t="inlineStr">
        <is>
          <t>none</t>
        </is>
      </c>
      <c r="L225" s="5" t="n">
        <v>4</v>
      </c>
      <c r="M225" s="5" t="inlineStr">
        <is>
          <t>car</t>
        </is>
      </c>
      <c r="N225" s="5" t="n">
        <v>64</v>
      </c>
      <c r="O225" s="5" t="inlineStr">
        <is>
          <t>none</t>
        </is>
      </c>
      <c r="P225" s="5" t="inlineStr">
        <is>
          <t>own</t>
        </is>
      </c>
      <c r="Q225" s="5" t="n">
        <v>1</v>
      </c>
      <c r="R225" s="5" t="inlineStr">
        <is>
          <t>skilled</t>
        </is>
      </c>
      <c r="S225" s="5" t="n">
        <v>1</v>
      </c>
      <c r="T225" s="5" t="inlineStr">
        <is>
          <t>yes</t>
        </is>
      </c>
      <c r="U225" s="5" t="inlineStr">
        <is>
          <t>yes</t>
        </is>
      </c>
      <c r="V225" s="5" t="inlineStr">
        <is>
          <t>good</t>
        </is>
      </c>
    </row>
    <row r="226">
      <c r="A226" s="5" t="n">
        <v>221</v>
      </c>
      <c r="B226" s="5" t="inlineStr">
        <is>
          <t>0&lt;=X&lt;200</t>
        </is>
      </c>
      <c r="C226" s="5" t="n">
        <v>12</v>
      </c>
      <c r="D226" s="5" t="inlineStr">
        <is>
          <t>existing paid</t>
        </is>
      </c>
      <c r="E226" s="5" t="inlineStr">
        <is>
          <t>radio/tv</t>
        </is>
      </c>
      <c r="F226" s="5" t="n">
        <v>625</v>
      </c>
      <c r="G226" s="5" t="inlineStr">
        <is>
          <t>&lt;100</t>
        </is>
      </c>
      <c r="H226" s="5" t="inlineStr">
        <is>
          <t>&lt;1</t>
        </is>
      </c>
      <c r="I226" s="5" t="n">
        <v>4</v>
      </c>
      <c r="J226" s="5" t="inlineStr">
        <is>
          <t>male mar/wid</t>
        </is>
      </c>
      <c r="K226" s="5" t="inlineStr">
        <is>
          <t>guarantor</t>
        </is>
      </c>
      <c r="L226" s="5" t="n">
        <v>1</v>
      </c>
      <c r="M226" s="5" t="inlineStr">
        <is>
          <t>real estate</t>
        </is>
      </c>
      <c r="N226" s="5" t="n">
        <v>26</v>
      </c>
      <c r="O226" s="5" t="inlineStr">
        <is>
          <t>bank</t>
        </is>
      </c>
      <c r="P226" s="5" t="inlineStr">
        <is>
          <t>own</t>
        </is>
      </c>
      <c r="Q226" s="5" t="n">
        <v>1</v>
      </c>
      <c r="R226" s="5" t="inlineStr">
        <is>
          <t>unskilled resident</t>
        </is>
      </c>
      <c r="S226" s="5" t="n">
        <v>1</v>
      </c>
      <c r="T226" s="5" t="inlineStr">
        <is>
          <t>none</t>
        </is>
      </c>
      <c r="U226" s="5" t="inlineStr">
        <is>
          <t>yes</t>
        </is>
      </c>
      <c r="V226" s="5" t="inlineStr">
        <is>
          <t>good</t>
        </is>
      </c>
    </row>
    <row r="227">
      <c r="A227" s="5" t="n">
        <v>222</v>
      </c>
      <c r="B227" s="5" t="inlineStr">
        <is>
          <t>&lt;0</t>
        </is>
      </c>
      <c r="C227" s="5" t="n">
        <v>12</v>
      </c>
      <c r="D227" s="5" t="inlineStr">
        <is>
          <t>existing paid</t>
        </is>
      </c>
      <c r="E227" s="5" t="inlineStr">
        <is>
          <t>education</t>
        </is>
      </c>
      <c r="F227" s="5" t="n">
        <v>1200</v>
      </c>
      <c r="G227" s="5" t="inlineStr">
        <is>
          <t>no known savings</t>
        </is>
      </c>
      <c r="H227" s="5" t="inlineStr">
        <is>
          <t>1&lt;=X&lt;4</t>
        </is>
      </c>
      <c r="I227" s="5" t="n">
        <v>4</v>
      </c>
      <c r="J227" s="5" t="inlineStr">
        <is>
          <t>female div/dep/mar</t>
        </is>
      </c>
      <c r="K227" s="5" t="inlineStr">
        <is>
          <t>none</t>
        </is>
      </c>
      <c r="L227" s="5" t="n">
        <v>4</v>
      </c>
      <c r="M227" s="5" t="inlineStr">
        <is>
          <t>life insurance</t>
        </is>
      </c>
      <c r="N227" s="5" t="n">
        <v>23</v>
      </c>
      <c r="O227" s="5" t="inlineStr">
        <is>
          <t>bank</t>
        </is>
      </c>
      <c r="P227" s="5" t="inlineStr">
        <is>
          <t>rent</t>
        </is>
      </c>
      <c r="Q227" s="5" t="n">
        <v>1</v>
      </c>
      <c r="R227" s="5" t="inlineStr">
        <is>
          <t>skilled</t>
        </is>
      </c>
      <c r="S227" s="5" t="n">
        <v>1</v>
      </c>
      <c r="T227" s="5" t="inlineStr">
        <is>
          <t>yes</t>
        </is>
      </c>
      <c r="U227" s="5" t="inlineStr">
        <is>
          <t>yes</t>
        </is>
      </c>
      <c r="V227" s="5" t="inlineStr">
        <is>
          <t>good</t>
        </is>
      </c>
    </row>
    <row r="228">
      <c r="A228" s="5" t="n">
        <v>223</v>
      </c>
      <c r="B228" s="5" t="inlineStr">
        <is>
          <t>no checking</t>
        </is>
      </c>
      <c r="C228" s="5" t="n">
        <v>12</v>
      </c>
      <c r="D228" s="5" t="inlineStr">
        <is>
          <t>existing paid</t>
        </is>
      </c>
      <c r="E228" s="5" t="inlineStr">
        <is>
          <t>radio/tv</t>
        </is>
      </c>
      <c r="F228" s="5" t="n">
        <v>707</v>
      </c>
      <c r="G228" s="5" t="inlineStr">
        <is>
          <t>&lt;100</t>
        </is>
      </c>
      <c r="H228" s="5" t="inlineStr">
        <is>
          <t>1&lt;=X&lt;4</t>
        </is>
      </c>
      <c r="I228" s="5" t="n">
        <v>4</v>
      </c>
      <c r="J228" s="5" t="inlineStr">
        <is>
          <t>male single</t>
        </is>
      </c>
      <c r="K228" s="5" t="inlineStr">
        <is>
          <t>none</t>
        </is>
      </c>
      <c r="L228" s="5" t="n">
        <v>2</v>
      </c>
      <c r="M228" s="5" t="inlineStr">
        <is>
          <t>real estate</t>
        </is>
      </c>
      <c r="N228" s="5" t="n">
        <v>30</v>
      </c>
      <c r="O228" s="5" t="inlineStr">
        <is>
          <t>bank</t>
        </is>
      </c>
      <c r="P228" s="5" t="inlineStr">
        <is>
          <t>own</t>
        </is>
      </c>
      <c r="Q228" s="5" t="n">
        <v>2</v>
      </c>
      <c r="R228" s="5" t="inlineStr">
        <is>
          <t>skilled</t>
        </is>
      </c>
      <c r="S228" s="5" t="n">
        <v>1</v>
      </c>
      <c r="T228" s="5" t="inlineStr">
        <is>
          <t>none</t>
        </is>
      </c>
      <c r="U228" s="5" t="inlineStr">
        <is>
          <t>yes</t>
        </is>
      </c>
      <c r="V228" s="5" t="inlineStr">
        <is>
          <t>good</t>
        </is>
      </c>
    </row>
    <row r="229">
      <c r="A229" s="5" t="n">
        <v>224</v>
      </c>
      <c r="B229" s="5" t="inlineStr">
        <is>
          <t>no checking</t>
        </is>
      </c>
      <c r="C229" s="5" t="n">
        <v>24</v>
      </c>
      <c r="D229" s="5" t="inlineStr">
        <is>
          <t>delayed previously</t>
        </is>
      </c>
      <c r="E229" s="5" t="inlineStr">
        <is>
          <t>business</t>
        </is>
      </c>
      <c r="F229" s="5" t="n">
        <v>2978</v>
      </c>
      <c r="G229" s="5" t="inlineStr">
        <is>
          <t>no known savings</t>
        </is>
      </c>
      <c r="H229" s="5" t="inlineStr">
        <is>
          <t>1&lt;=X&lt;4</t>
        </is>
      </c>
      <c r="I229" s="5" t="n">
        <v>4</v>
      </c>
      <c r="J229" s="5" t="inlineStr">
        <is>
          <t>male single</t>
        </is>
      </c>
      <c r="K229" s="5" t="inlineStr">
        <is>
          <t>none</t>
        </is>
      </c>
      <c r="L229" s="5" t="n">
        <v>4</v>
      </c>
      <c r="M229" s="5" t="inlineStr">
        <is>
          <t>real estate</t>
        </is>
      </c>
      <c r="N229" s="5" t="n">
        <v>32</v>
      </c>
      <c r="O229" s="5" t="inlineStr">
        <is>
          <t>none</t>
        </is>
      </c>
      <c r="P229" s="5" t="inlineStr">
        <is>
          <t>own</t>
        </is>
      </c>
      <c r="Q229" s="5" t="n">
        <v>2</v>
      </c>
      <c r="R229" s="5" t="inlineStr">
        <is>
          <t>skilled</t>
        </is>
      </c>
      <c r="S229" s="5" t="n">
        <v>2</v>
      </c>
      <c r="T229" s="5" t="inlineStr">
        <is>
          <t>yes</t>
        </is>
      </c>
      <c r="U229" s="5" t="inlineStr">
        <is>
          <t>yes</t>
        </is>
      </c>
      <c r="V229" s="5" t="inlineStr">
        <is>
          <t>good</t>
        </is>
      </c>
    </row>
    <row r="230">
      <c r="A230" s="5" t="n">
        <v>225</v>
      </c>
      <c r="B230" s="5" t="inlineStr">
        <is>
          <t>no checking</t>
        </is>
      </c>
      <c r="C230" s="5" t="n">
        <v>15</v>
      </c>
      <c r="D230" s="5" t="inlineStr">
        <is>
          <t>existing paid</t>
        </is>
      </c>
      <c r="E230" s="5" t="inlineStr">
        <is>
          <t>used car</t>
        </is>
      </c>
      <c r="F230" s="5" t="n">
        <v>4657</v>
      </c>
      <c r="G230" s="5" t="inlineStr">
        <is>
          <t>&lt;100</t>
        </is>
      </c>
      <c r="H230" s="5" t="inlineStr">
        <is>
          <t>1&lt;=X&lt;4</t>
        </is>
      </c>
      <c r="I230" s="5" t="n">
        <v>3</v>
      </c>
      <c r="J230" s="5" t="inlineStr">
        <is>
          <t>male single</t>
        </is>
      </c>
      <c r="K230" s="5" t="inlineStr">
        <is>
          <t>none</t>
        </is>
      </c>
      <c r="L230" s="5" t="n">
        <v>2</v>
      </c>
      <c r="M230" s="5" t="inlineStr">
        <is>
          <t>car</t>
        </is>
      </c>
      <c r="N230" s="5" t="n">
        <v>30</v>
      </c>
      <c r="O230" s="5" t="inlineStr">
        <is>
          <t>none</t>
        </is>
      </c>
      <c r="P230" s="5" t="inlineStr">
        <is>
          <t>own</t>
        </is>
      </c>
      <c r="Q230" s="5" t="n">
        <v>1</v>
      </c>
      <c r="R230" s="5" t="inlineStr">
        <is>
          <t>skilled</t>
        </is>
      </c>
      <c r="S230" s="5" t="n">
        <v>1</v>
      </c>
      <c r="T230" s="5" t="inlineStr">
        <is>
          <t>yes</t>
        </is>
      </c>
      <c r="U230" s="5" t="inlineStr">
        <is>
          <t>yes</t>
        </is>
      </c>
      <c r="V230" s="5" t="inlineStr">
        <is>
          <t>good</t>
        </is>
      </c>
    </row>
    <row r="231">
      <c r="A231" s="5" t="n">
        <v>226</v>
      </c>
      <c r="B231" s="5" t="inlineStr">
        <is>
          <t>no checking</t>
        </is>
      </c>
      <c r="C231" s="5" t="n">
        <v>36</v>
      </c>
      <c r="D231" s="5" t="inlineStr">
        <is>
          <t>no credits/all paid</t>
        </is>
      </c>
      <c r="E231" s="5" t="inlineStr">
        <is>
          <t>repairs</t>
        </is>
      </c>
      <c r="F231" s="5" t="n">
        <v>2613</v>
      </c>
      <c r="G231" s="5" t="inlineStr">
        <is>
          <t>&lt;100</t>
        </is>
      </c>
      <c r="H231" s="5" t="inlineStr">
        <is>
          <t>1&lt;=X&lt;4</t>
        </is>
      </c>
      <c r="I231" s="5" t="n">
        <v>4</v>
      </c>
      <c r="J231" s="5" t="inlineStr">
        <is>
          <t>male single</t>
        </is>
      </c>
      <c r="K231" s="5" t="inlineStr">
        <is>
          <t>none</t>
        </is>
      </c>
      <c r="L231" s="5" t="n">
        <v>2</v>
      </c>
      <c r="M231" s="5" t="inlineStr">
        <is>
          <t>car</t>
        </is>
      </c>
      <c r="N231" s="5" t="n">
        <v>27</v>
      </c>
      <c r="O231" s="5" t="inlineStr">
        <is>
          <t>none</t>
        </is>
      </c>
      <c r="P231" s="5" t="inlineStr">
        <is>
          <t>own</t>
        </is>
      </c>
      <c r="Q231" s="5" t="n">
        <v>2</v>
      </c>
      <c r="R231" s="5" t="inlineStr">
        <is>
          <t>skilled</t>
        </is>
      </c>
      <c r="S231" s="5" t="n">
        <v>1</v>
      </c>
      <c r="T231" s="5" t="inlineStr">
        <is>
          <t>none</t>
        </is>
      </c>
      <c r="U231" s="5" t="inlineStr">
        <is>
          <t>yes</t>
        </is>
      </c>
      <c r="V231" s="5" t="inlineStr">
        <is>
          <t>good</t>
        </is>
      </c>
    </row>
    <row r="232">
      <c r="A232" s="5" t="n">
        <v>227</v>
      </c>
      <c r="B232" s="5" t="inlineStr">
        <is>
          <t>0&lt;=X&lt;200</t>
        </is>
      </c>
      <c r="C232" s="5" t="n">
        <v>48</v>
      </c>
      <c r="D232" s="5" t="inlineStr">
        <is>
          <t>existing paid</t>
        </is>
      </c>
      <c r="E232" s="5" t="inlineStr">
        <is>
          <t>radio/tv</t>
        </is>
      </c>
      <c r="F232" s="5" t="n">
        <v>10961</v>
      </c>
      <c r="G232" s="5" t="inlineStr">
        <is>
          <t>&gt;=1000</t>
        </is>
      </c>
      <c r="H232" s="5" t="inlineStr">
        <is>
          <t>4&lt;=X&lt;7</t>
        </is>
      </c>
      <c r="I232" s="5" t="n">
        <v>1</v>
      </c>
      <c r="J232" s="5" t="inlineStr">
        <is>
          <t>male single</t>
        </is>
      </c>
      <c r="K232" s="5" t="inlineStr">
        <is>
          <t>co applicant</t>
        </is>
      </c>
      <c r="L232" s="5" t="n">
        <v>2</v>
      </c>
      <c r="M232" s="5" t="inlineStr">
        <is>
          <t>no known property</t>
        </is>
      </c>
      <c r="N232" s="5" t="n">
        <v>27</v>
      </c>
      <c r="O232" s="5" t="inlineStr">
        <is>
          <t>bank</t>
        </is>
      </c>
      <c r="P232" s="5" t="inlineStr">
        <is>
          <t>own</t>
        </is>
      </c>
      <c r="Q232" s="5" t="n">
        <v>2</v>
      </c>
      <c r="R232" s="5" t="inlineStr">
        <is>
          <t>skilled</t>
        </is>
      </c>
      <c r="S232" s="5" t="n">
        <v>1</v>
      </c>
      <c r="T232" s="5" t="inlineStr">
        <is>
          <t>yes</t>
        </is>
      </c>
      <c r="U232" s="5" t="inlineStr">
        <is>
          <t>yes</t>
        </is>
      </c>
      <c r="V232" s="5" t="inlineStr">
        <is>
          <t>bad</t>
        </is>
      </c>
    </row>
    <row r="233">
      <c r="A233" s="5" t="n">
        <v>228</v>
      </c>
      <c r="B233" s="5" t="inlineStr">
        <is>
          <t>&lt;0</t>
        </is>
      </c>
      <c r="C233" s="5" t="n">
        <v>12</v>
      </c>
      <c r="D233" s="5" t="inlineStr">
        <is>
          <t>existing paid</t>
        </is>
      </c>
      <c r="E233" s="5" t="inlineStr">
        <is>
          <t>furniture/equipment</t>
        </is>
      </c>
      <c r="F233" s="5" t="n">
        <v>7865</v>
      </c>
      <c r="G233" s="5" t="inlineStr">
        <is>
          <t>&lt;100</t>
        </is>
      </c>
      <c r="H233" s="5" t="inlineStr">
        <is>
          <t>&gt;=7</t>
        </is>
      </c>
      <c r="I233" s="5" t="n">
        <v>4</v>
      </c>
      <c r="J233" s="5" t="inlineStr">
        <is>
          <t>male single</t>
        </is>
      </c>
      <c r="K233" s="5" t="inlineStr">
        <is>
          <t>none</t>
        </is>
      </c>
      <c r="L233" s="5" t="n">
        <v>4</v>
      </c>
      <c r="M233" s="5" t="inlineStr">
        <is>
          <t>no known property</t>
        </is>
      </c>
      <c r="N233" s="5" t="n">
        <v>53</v>
      </c>
      <c r="O233" s="5" t="inlineStr">
        <is>
          <t>none</t>
        </is>
      </c>
      <c r="P233" s="5" t="inlineStr">
        <is>
          <t>for free</t>
        </is>
      </c>
      <c r="Q233" s="5" t="n">
        <v>1</v>
      </c>
      <c r="R233" s="5" t="inlineStr">
        <is>
          <t>high qualif/self emp/mgmt</t>
        </is>
      </c>
      <c r="S233" s="5" t="n">
        <v>1</v>
      </c>
      <c r="T233" s="5" t="inlineStr">
        <is>
          <t>yes</t>
        </is>
      </c>
      <c r="U233" s="5" t="inlineStr">
        <is>
          <t>yes</t>
        </is>
      </c>
      <c r="V233" s="5" t="inlineStr">
        <is>
          <t>bad</t>
        </is>
      </c>
    </row>
    <row r="234">
      <c r="A234" s="5" t="n">
        <v>229</v>
      </c>
      <c r="B234" s="5" t="inlineStr">
        <is>
          <t>no checking</t>
        </is>
      </c>
      <c r="C234" s="5" t="n">
        <v>9</v>
      </c>
      <c r="D234" s="5" t="inlineStr">
        <is>
          <t>existing paid</t>
        </is>
      </c>
      <c r="E234" s="5" t="inlineStr">
        <is>
          <t>radio/tv</t>
        </is>
      </c>
      <c r="F234" s="5" t="n">
        <v>1478</v>
      </c>
      <c r="G234" s="5" t="inlineStr">
        <is>
          <t>&lt;100</t>
        </is>
      </c>
      <c r="H234" s="5" t="inlineStr">
        <is>
          <t>4&lt;=X&lt;7</t>
        </is>
      </c>
      <c r="I234" s="5" t="n">
        <v>4</v>
      </c>
      <c r="J234" s="5" t="inlineStr">
        <is>
          <t>male single</t>
        </is>
      </c>
      <c r="K234" s="5" t="inlineStr">
        <is>
          <t>none</t>
        </is>
      </c>
      <c r="L234" s="5" t="n">
        <v>2</v>
      </c>
      <c r="M234" s="5" t="inlineStr">
        <is>
          <t>car</t>
        </is>
      </c>
      <c r="N234" s="5" t="n">
        <v>22</v>
      </c>
      <c r="O234" s="5" t="inlineStr">
        <is>
          <t>none</t>
        </is>
      </c>
      <c r="P234" s="5" t="inlineStr">
        <is>
          <t>own</t>
        </is>
      </c>
      <c r="Q234" s="5" t="n">
        <v>1</v>
      </c>
      <c r="R234" s="5" t="inlineStr">
        <is>
          <t>skilled</t>
        </is>
      </c>
      <c r="S234" s="5" t="n">
        <v>1</v>
      </c>
      <c r="T234" s="5" t="inlineStr">
        <is>
          <t>none</t>
        </is>
      </c>
      <c r="U234" s="5" t="inlineStr">
        <is>
          <t>yes</t>
        </is>
      </c>
      <c r="V234" s="5" t="inlineStr">
        <is>
          <t>bad</t>
        </is>
      </c>
    </row>
    <row r="235">
      <c r="A235" s="5" t="n">
        <v>230</v>
      </c>
      <c r="B235" s="5" t="inlineStr">
        <is>
          <t>&lt;0</t>
        </is>
      </c>
      <c r="C235" s="5" t="n">
        <v>24</v>
      </c>
      <c r="D235" s="5" t="inlineStr">
        <is>
          <t>existing paid</t>
        </is>
      </c>
      <c r="E235" s="5" t="inlineStr">
        <is>
          <t>furniture/equipment</t>
        </is>
      </c>
      <c r="F235" s="5" t="n">
        <v>3149</v>
      </c>
      <c r="G235" s="5" t="inlineStr">
        <is>
          <t>&lt;100</t>
        </is>
      </c>
      <c r="H235" s="5" t="inlineStr">
        <is>
          <t>&lt;1</t>
        </is>
      </c>
      <c r="I235" s="5" t="n">
        <v>4</v>
      </c>
      <c r="J235" s="5" t="inlineStr">
        <is>
          <t>male single</t>
        </is>
      </c>
      <c r="K235" s="5" t="inlineStr">
        <is>
          <t>none</t>
        </is>
      </c>
      <c r="L235" s="5" t="n">
        <v>1</v>
      </c>
      <c r="M235" s="5" t="inlineStr">
        <is>
          <t>no known property</t>
        </is>
      </c>
      <c r="N235" s="5" t="n">
        <v>22</v>
      </c>
      <c r="O235" s="5" t="inlineStr">
        <is>
          <t>bank</t>
        </is>
      </c>
      <c r="P235" s="5" t="inlineStr">
        <is>
          <t>for free</t>
        </is>
      </c>
      <c r="Q235" s="5" t="n">
        <v>1</v>
      </c>
      <c r="R235" s="5" t="inlineStr">
        <is>
          <t>skilled</t>
        </is>
      </c>
      <c r="S235" s="5" t="n">
        <v>1</v>
      </c>
      <c r="T235" s="5" t="inlineStr">
        <is>
          <t>none</t>
        </is>
      </c>
      <c r="U235" s="5" t="inlineStr">
        <is>
          <t>yes</t>
        </is>
      </c>
      <c r="V235" s="5" t="inlineStr">
        <is>
          <t>good</t>
        </is>
      </c>
    </row>
    <row r="236">
      <c r="A236" s="5" t="n">
        <v>231</v>
      </c>
      <c r="B236" s="5" t="inlineStr">
        <is>
          <t>&gt;=200</t>
        </is>
      </c>
      <c r="C236" s="5" t="n">
        <v>36</v>
      </c>
      <c r="D236" s="5" t="inlineStr">
        <is>
          <t>existing paid</t>
        </is>
      </c>
      <c r="E236" s="5" t="inlineStr">
        <is>
          <t>radio/tv</t>
        </is>
      </c>
      <c r="F236" s="5" t="n">
        <v>4210</v>
      </c>
      <c r="G236" s="5" t="inlineStr">
        <is>
          <t>&lt;100</t>
        </is>
      </c>
      <c r="H236" s="5" t="inlineStr">
        <is>
          <t>1&lt;=X&lt;4</t>
        </is>
      </c>
      <c r="I236" s="5" t="n">
        <v>4</v>
      </c>
      <c r="J236" s="5" t="inlineStr">
        <is>
          <t>male single</t>
        </is>
      </c>
      <c r="K236" s="5" t="inlineStr">
        <is>
          <t>none</t>
        </is>
      </c>
      <c r="L236" s="5" t="n">
        <v>2</v>
      </c>
      <c r="M236" s="5" t="inlineStr">
        <is>
          <t>car</t>
        </is>
      </c>
      <c r="N236" s="5" t="n">
        <v>26</v>
      </c>
      <c r="O236" s="5" t="inlineStr">
        <is>
          <t>none</t>
        </is>
      </c>
      <c r="P236" s="5" t="inlineStr">
        <is>
          <t>own</t>
        </is>
      </c>
      <c r="Q236" s="5" t="n">
        <v>1</v>
      </c>
      <c r="R236" s="5" t="inlineStr">
        <is>
          <t>skilled</t>
        </is>
      </c>
      <c r="S236" s="5" t="n">
        <v>1</v>
      </c>
      <c r="T236" s="5" t="inlineStr">
        <is>
          <t>none</t>
        </is>
      </c>
      <c r="U236" s="5" t="inlineStr">
        <is>
          <t>yes</t>
        </is>
      </c>
      <c r="V236" s="5" t="inlineStr">
        <is>
          <t>bad</t>
        </is>
      </c>
    </row>
    <row r="237">
      <c r="A237" s="5" t="n">
        <v>232</v>
      </c>
      <c r="B237" s="5" t="inlineStr">
        <is>
          <t>no checking</t>
        </is>
      </c>
      <c r="C237" s="5" t="n">
        <v>9</v>
      </c>
      <c r="D237" s="5" t="inlineStr">
        <is>
          <t>existing paid</t>
        </is>
      </c>
      <c r="E237" s="5" t="inlineStr">
        <is>
          <t>new car</t>
        </is>
      </c>
      <c r="F237" s="5" t="n">
        <v>2507</v>
      </c>
      <c r="G237" s="5" t="inlineStr">
        <is>
          <t>500&lt;=X&lt;1000</t>
        </is>
      </c>
      <c r="H237" s="5" t="inlineStr">
        <is>
          <t>&gt;=7</t>
        </is>
      </c>
      <c r="I237" s="5" t="n">
        <v>2</v>
      </c>
      <c r="J237" s="5" t="inlineStr">
        <is>
          <t>male single</t>
        </is>
      </c>
      <c r="K237" s="5" t="inlineStr">
        <is>
          <t>none</t>
        </is>
      </c>
      <c r="L237" s="5" t="n">
        <v>4</v>
      </c>
      <c r="M237" s="5" t="inlineStr">
        <is>
          <t>no known property</t>
        </is>
      </c>
      <c r="N237" s="5" t="n">
        <v>51</v>
      </c>
      <c r="O237" s="5" t="inlineStr">
        <is>
          <t>none</t>
        </is>
      </c>
      <c r="P237" s="5" t="inlineStr">
        <is>
          <t>for free</t>
        </is>
      </c>
      <c r="Q237" s="5" t="n">
        <v>1</v>
      </c>
      <c r="R237" s="5" t="inlineStr">
        <is>
          <t>unskilled resident</t>
        </is>
      </c>
      <c r="S237" s="5" t="n">
        <v>1</v>
      </c>
      <c r="T237" s="5" t="inlineStr">
        <is>
          <t>none</t>
        </is>
      </c>
      <c r="U237" s="5" t="inlineStr">
        <is>
          <t>yes</t>
        </is>
      </c>
      <c r="V237" s="5" t="inlineStr">
        <is>
          <t>good</t>
        </is>
      </c>
    </row>
    <row r="238">
      <c r="A238" s="5" t="n">
        <v>233</v>
      </c>
      <c r="B238" s="5" t="inlineStr">
        <is>
          <t>no checking</t>
        </is>
      </c>
      <c r="C238" s="5" t="n">
        <v>12</v>
      </c>
      <c r="D238" s="5" t="inlineStr">
        <is>
          <t>existing paid</t>
        </is>
      </c>
      <c r="E238" s="5" t="inlineStr">
        <is>
          <t>radio/tv</t>
        </is>
      </c>
      <c r="F238" s="5" t="n">
        <v>2141</v>
      </c>
      <c r="G238" s="5" t="inlineStr">
        <is>
          <t>100&lt;=X&lt;500</t>
        </is>
      </c>
      <c r="H238" s="5" t="inlineStr">
        <is>
          <t>4&lt;=X&lt;7</t>
        </is>
      </c>
      <c r="I238" s="5" t="n">
        <v>3</v>
      </c>
      <c r="J238" s="5" t="inlineStr">
        <is>
          <t>male single</t>
        </is>
      </c>
      <c r="K238" s="5" t="inlineStr">
        <is>
          <t>none</t>
        </is>
      </c>
      <c r="L238" s="5" t="n">
        <v>1</v>
      </c>
      <c r="M238" s="5" t="inlineStr">
        <is>
          <t>no known property</t>
        </is>
      </c>
      <c r="N238" s="5" t="n">
        <v>35</v>
      </c>
      <c r="O238" s="5" t="inlineStr">
        <is>
          <t>none</t>
        </is>
      </c>
      <c r="P238" s="5" t="inlineStr">
        <is>
          <t>own</t>
        </is>
      </c>
      <c r="Q238" s="5" t="n">
        <v>1</v>
      </c>
      <c r="R238" s="5" t="inlineStr">
        <is>
          <t>skilled</t>
        </is>
      </c>
      <c r="S238" s="5" t="n">
        <v>1</v>
      </c>
      <c r="T238" s="5" t="inlineStr">
        <is>
          <t>none</t>
        </is>
      </c>
      <c r="U238" s="5" t="inlineStr">
        <is>
          <t>yes</t>
        </is>
      </c>
      <c r="V238" s="5" t="inlineStr">
        <is>
          <t>good</t>
        </is>
      </c>
    </row>
    <row r="239">
      <c r="A239" s="5" t="n">
        <v>234</v>
      </c>
      <c r="B239" s="5" t="inlineStr">
        <is>
          <t>0&lt;=X&lt;200</t>
        </is>
      </c>
      <c r="C239" s="5" t="n">
        <v>18</v>
      </c>
      <c r="D239" s="5" t="inlineStr">
        <is>
          <t>existing paid</t>
        </is>
      </c>
      <c r="E239" s="5" t="inlineStr">
        <is>
          <t>radio/tv</t>
        </is>
      </c>
      <c r="F239" s="5" t="n">
        <v>866</v>
      </c>
      <c r="G239" s="5" t="inlineStr">
        <is>
          <t>&lt;100</t>
        </is>
      </c>
      <c r="H239" s="5" t="inlineStr">
        <is>
          <t>1&lt;=X&lt;4</t>
        </is>
      </c>
      <c r="I239" s="5" t="n">
        <v>4</v>
      </c>
      <c r="J239" s="5" t="inlineStr">
        <is>
          <t>male mar/wid</t>
        </is>
      </c>
      <c r="K239" s="5" t="inlineStr">
        <is>
          <t>guarantor</t>
        </is>
      </c>
      <c r="L239" s="5" t="n">
        <v>2</v>
      </c>
      <c r="M239" s="5" t="inlineStr">
        <is>
          <t>real estate</t>
        </is>
      </c>
      <c r="N239" s="5" t="n">
        <v>25</v>
      </c>
      <c r="O239" s="5" t="inlineStr">
        <is>
          <t>none</t>
        </is>
      </c>
      <c r="P239" s="5" t="inlineStr">
        <is>
          <t>own</t>
        </is>
      </c>
      <c r="Q239" s="5" t="n">
        <v>1</v>
      </c>
      <c r="R239" s="5" t="inlineStr">
        <is>
          <t>unskilled resident</t>
        </is>
      </c>
      <c r="S239" s="5" t="n">
        <v>1</v>
      </c>
      <c r="T239" s="5" t="inlineStr">
        <is>
          <t>none</t>
        </is>
      </c>
      <c r="U239" s="5" t="inlineStr">
        <is>
          <t>yes</t>
        </is>
      </c>
      <c r="V239" s="5" t="inlineStr">
        <is>
          <t>good</t>
        </is>
      </c>
    </row>
    <row r="240">
      <c r="A240" s="5" t="n">
        <v>235</v>
      </c>
      <c r="B240" s="5" t="inlineStr">
        <is>
          <t>no checking</t>
        </is>
      </c>
      <c r="C240" s="5" t="n">
        <v>4</v>
      </c>
      <c r="D240" s="5" t="inlineStr">
        <is>
          <t>critical/other existing credit</t>
        </is>
      </c>
      <c r="E240" s="5" t="inlineStr">
        <is>
          <t>radio/tv</t>
        </is>
      </c>
      <c r="F240" s="5" t="n">
        <v>1544</v>
      </c>
      <c r="G240" s="5" t="inlineStr">
        <is>
          <t>&lt;100</t>
        </is>
      </c>
      <c r="H240" s="5" t="inlineStr">
        <is>
          <t>4&lt;=X&lt;7</t>
        </is>
      </c>
      <c r="I240" s="5" t="n">
        <v>2</v>
      </c>
      <c r="J240" s="5" t="inlineStr">
        <is>
          <t>male single</t>
        </is>
      </c>
      <c r="K240" s="5" t="inlineStr">
        <is>
          <t>none</t>
        </is>
      </c>
      <c r="L240" s="5" t="n">
        <v>1</v>
      </c>
      <c r="M240" s="5" t="inlineStr">
        <is>
          <t>real estate</t>
        </is>
      </c>
      <c r="N240" s="5" t="n">
        <v>42</v>
      </c>
      <c r="O240" s="5" t="inlineStr">
        <is>
          <t>none</t>
        </is>
      </c>
      <c r="P240" s="5" t="inlineStr">
        <is>
          <t>own</t>
        </is>
      </c>
      <c r="Q240" s="5" t="n">
        <v>3</v>
      </c>
      <c r="R240" s="5" t="inlineStr">
        <is>
          <t>unskilled resident</t>
        </is>
      </c>
      <c r="S240" s="5" t="n">
        <v>2</v>
      </c>
      <c r="T240" s="5" t="inlineStr">
        <is>
          <t>none</t>
        </is>
      </c>
      <c r="U240" s="5" t="inlineStr">
        <is>
          <t>yes</t>
        </is>
      </c>
      <c r="V240" s="5" t="inlineStr">
        <is>
          <t>good</t>
        </is>
      </c>
    </row>
    <row r="241">
      <c r="A241" s="5" t="n">
        <v>236</v>
      </c>
      <c r="B241" s="5" t="inlineStr">
        <is>
          <t>&lt;0</t>
        </is>
      </c>
      <c r="C241" s="5" t="n">
        <v>24</v>
      </c>
      <c r="D241" s="5" t="inlineStr">
        <is>
          <t>existing paid</t>
        </is>
      </c>
      <c r="E241" s="5" t="inlineStr">
        <is>
          <t>radio/tv</t>
        </is>
      </c>
      <c r="F241" s="5" t="n">
        <v>1823</v>
      </c>
      <c r="G241" s="5" t="inlineStr">
        <is>
          <t>&lt;100</t>
        </is>
      </c>
      <c r="H241" s="5" t="inlineStr">
        <is>
          <t>unemployed</t>
        </is>
      </c>
      <c r="I241" s="5" t="n">
        <v>4</v>
      </c>
      <c r="J241" s="5" t="inlineStr">
        <is>
          <t>male single</t>
        </is>
      </c>
      <c r="K241" s="5" t="inlineStr">
        <is>
          <t>none</t>
        </is>
      </c>
      <c r="L241" s="5" t="n">
        <v>2</v>
      </c>
      <c r="M241" s="5" t="inlineStr">
        <is>
          <t>car</t>
        </is>
      </c>
      <c r="N241" s="5" t="n">
        <v>30</v>
      </c>
      <c r="O241" s="5" t="inlineStr">
        <is>
          <t>stores</t>
        </is>
      </c>
      <c r="P241" s="5" t="inlineStr">
        <is>
          <t>own</t>
        </is>
      </c>
      <c r="Q241" s="5" t="n">
        <v>1</v>
      </c>
      <c r="R241" s="5" t="inlineStr">
        <is>
          <t>high qualif/self emp/mgmt</t>
        </is>
      </c>
      <c r="S241" s="5" t="n">
        <v>2</v>
      </c>
      <c r="T241" s="5" t="inlineStr">
        <is>
          <t>none</t>
        </is>
      </c>
      <c r="U241" s="5" t="inlineStr">
        <is>
          <t>yes</t>
        </is>
      </c>
      <c r="V241" s="5" t="inlineStr">
        <is>
          <t>bad</t>
        </is>
      </c>
    </row>
    <row r="242">
      <c r="A242" s="5" t="n">
        <v>237</v>
      </c>
      <c r="B242" s="5" t="inlineStr">
        <is>
          <t>0&lt;=X&lt;200</t>
        </is>
      </c>
      <c r="C242" s="5" t="n">
        <v>6</v>
      </c>
      <c r="D242" s="5" t="inlineStr">
        <is>
          <t>existing paid</t>
        </is>
      </c>
      <c r="E242" s="5" t="inlineStr">
        <is>
          <t>new car</t>
        </is>
      </c>
      <c r="F242" s="5" t="n">
        <v>14555</v>
      </c>
      <c r="G242" s="5" t="inlineStr">
        <is>
          <t>no known savings</t>
        </is>
      </c>
      <c r="H242" s="5" t="inlineStr">
        <is>
          <t>unemployed</t>
        </is>
      </c>
      <c r="I242" s="5" t="n">
        <v>1</v>
      </c>
      <c r="J242" s="5" t="inlineStr">
        <is>
          <t>male single</t>
        </is>
      </c>
      <c r="K242" s="5" t="inlineStr">
        <is>
          <t>none</t>
        </is>
      </c>
      <c r="L242" s="5" t="n">
        <v>2</v>
      </c>
      <c r="M242" s="5" t="inlineStr">
        <is>
          <t>life insurance</t>
        </is>
      </c>
      <c r="N242" s="5" t="n">
        <v>23</v>
      </c>
      <c r="O242" s="5" t="inlineStr">
        <is>
          <t>none</t>
        </is>
      </c>
      <c r="P242" s="5" t="inlineStr">
        <is>
          <t>own</t>
        </is>
      </c>
      <c r="Q242" s="5" t="n">
        <v>1</v>
      </c>
      <c r="R242" s="5" t="inlineStr">
        <is>
          <t>unemp/unskilled non res</t>
        </is>
      </c>
      <c r="S242" s="5" t="n">
        <v>1</v>
      </c>
      <c r="T242" s="5" t="inlineStr">
        <is>
          <t>yes</t>
        </is>
      </c>
      <c r="U242" s="5" t="inlineStr">
        <is>
          <t>yes</t>
        </is>
      </c>
      <c r="V242" s="5" t="inlineStr">
        <is>
          <t>bad</t>
        </is>
      </c>
    </row>
    <row r="243">
      <c r="A243" s="5" t="n">
        <v>238</v>
      </c>
      <c r="B243" s="5" t="inlineStr">
        <is>
          <t>0&lt;=X&lt;200</t>
        </is>
      </c>
      <c r="C243" s="5" t="n">
        <v>21</v>
      </c>
      <c r="D243" s="5" t="inlineStr">
        <is>
          <t>existing paid</t>
        </is>
      </c>
      <c r="E243" s="5" t="inlineStr">
        <is>
          <t>business</t>
        </is>
      </c>
      <c r="F243" s="5" t="n">
        <v>2767</v>
      </c>
      <c r="G243" s="5" t="inlineStr">
        <is>
          <t>100&lt;=X&lt;500</t>
        </is>
      </c>
      <c r="H243" s="5" t="inlineStr">
        <is>
          <t>&gt;=7</t>
        </is>
      </c>
      <c r="I243" s="5" t="n">
        <v>4</v>
      </c>
      <c r="J243" s="5" t="inlineStr">
        <is>
          <t>male div/sep</t>
        </is>
      </c>
      <c r="K243" s="5" t="inlineStr">
        <is>
          <t>none</t>
        </is>
      </c>
      <c r="L243" s="5" t="n">
        <v>2</v>
      </c>
      <c r="M243" s="5" t="inlineStr">
        <is>
          <t>car</t>
        </is>
      </c>
      <c r="N243" s="5" t="n">
        <v>61</v>
      </c>
      <c r="O243" s="5" t="inlineStr">
        <is>
          <t>bank</t>
        </is>
      </c>
      <c r="P243" s="5" t="inlineStr">
        <is>
          <t>rent</t>
        </is>
      </c>
      <c r="Q243" s="5" t="n">
        <v>2</v>
      </c>
      <c r="R243" s="5" t="inlineStr">
        <is>
          <t>unskilled resident</t>
        </is>
      </c>
      <c r="S243" s="5" t="n">
        <v>1</v>
      </c>
      <c r="T243" s="5" t="inlineStr">
        <is>
          <t>none</t>
        </is>
      </c>
      <c r="U243" s="5" t="inlineStr">
        <is>
          <t>yes</t>
        </is>
      </c>
      <c r="V243" s="5" t="inlineStr">
        <is>
          <t>bad</t>
        </is>
      </c>
    </row>
    <row r="244">
      <c r="A244" s="5" t="n">
        <v>239</v>
      </c>
      <c r="B244" s="5" t="inlineStr">
        <is>
          <t>no checking</t>
        </is>
      </c>
      <c r="C244" s="5" t="n">
        <v>12</v>
      </c>
      <c r="D244" s="5" t="inlineStr">
        <is>
          <t>critical/other existing credit</t>
        </is>
      </c>
      <c r="E244" s="5" t="inlineStr">
        <is>
          <t>radio/tv</t>
        </is>
      </c>
      <c r="F244" s="5" t="n">
        <v>1291</v>
      </c>
      <c r="G244" s="5" t="inlineStr">
        <is>
          <t>&lt;100</t>
        </is>
      </c>
      <c r="H244" s="5" t="inlineStr">
        <is>
          <t>1&lt;=X&lt;4</t>
        </is>
      </c>
      <c r="I244" s="5" t="n">
        <v>4</v>
      </c>
      <c r="J244" s="5" t="inlineStr">
        <is>
          <t>female div/dep/mar</t>
        </is>
      </c>
      <c r="K244" s="5" t="inlineStr">
        <is>
          <t>none</t>
        </is>
      </c>
      <c r="L244" s="5" t="n">
        <v>2</v>
      </c>
      <c r="M244" s="5" t="inlineStr">
        <is>
          <t>life insurance</t>
        </is>
      </c>
      <c r="N244" s="5" t="n">
        <v>35</v>
      </c>
      <c r="O244" s="5" t="inlineStr">
        <is>
          <t>none</t>
        </is>
      </c>
      <c r="P244" s="5" t="inlineStr">
        <is>
          <t>own</t>
        </is>
      </c>
      <c r="Q244" s="5" t="n">
        <v>2</v>
      </c>
      <c r="R244" s="5" t="inlineStr">
        <is>
          <t>skilled</t>
        </is>
      </c>
      <c r="S244" s="5" t="n">
        <v>1</v>
      </c>
      <c r="T244" s="5" t="inlineStr">
        <is>
          <t>none</t>
        </is>
      </c>
      <c r="U244" s="5" t="inlineStr">
        <is>
          <t>yes</t>
        </is>
      </c>
      <c r="V244" s="5" t="inlineStr">
        <is>
          <t>good</t>
        </is>
      </c>
    </row>
    <row r="245">
      <c r="A245" s="5" t="n">
        <v>240</v>
      </c>
      <c r="B245" s="5" t="inlineStr">
        <is>
          <t>&lt;0</t>
        </is>
      </c>
      <c r="C245" s="5" t="n">
        <v>30</v>
      </c>
      <c r="D245" s="5" t="inlineStr">
        <is>
          <t>existing paid</t>
        </is>
      </c>
      <c r="E245" s="5" t="inlineStr">
        <is>
          <t>radio/tv</t>
        </is>
      </c>
      <c r="F245" s="5" t="n">
        <v>2522</v>
      </c>
      <c r="G245" s="5" t="inlineStr">
        <is>
          <t>&lt;100</t>
        </is>
      </c>
      <c r="H245" s="5" t="inlineStr">
        <is>
          <t>&gt;=7</t>
        </is>
      </c>
      <c r="I245" s="5" t="n">
        <v>1</v>
      </c>
      <c r="J245" s="5" t="inlineStr">
        <is>
          <t>male single</t>
        </is>
      </c>
      <c r="K245" s="5" t="inlineStr">
        <is>
          <t>guarantor</t>
        </is>
      </c>
      <c r="L245" s="5" t="n">
        <v>3</v>
      </c>
      <c r="M245" s="5" t="inlineStr">
        <is>
          <t>life insurance</t>
        </is>
      </c>
      <c r="N245" s="5" t="n">
        <v>39</v>
      </c>
      <c r="O245" s="5" t="inlineStr">
        <is>
          <t>none</t>
        </is>
      </c>
      <c r="P245" s="5" t="inlineStr">
        <is>
          <t>own</t>
        </is>
      </c>
      <c r="Q245" s="5" t="n">
        <v>1</v>
      </c>
      <c r="R245" s="5" t="inlineStr">
        <is>
          <t>skilled</t>
        </is>
      </c>
      <c r="S245" s="5" t="n">
        <v>2</v>
      </c>
      <c r="T245" s="5" t="inlineStr">
        <is>
          <t>none</t>
        </is>
      </c>
      <c r="U245" s="5" t="inlineStr">
        <is>
          <t>yes</t>
        </is>
      </c>
      <c r="V245" s="5" t="inlineStr">
        <is>
          <t>good</t>
        </is>
      </c>
    </row>
    <row r="246">
      <c r="A246" s="5" t="n">
        <v>241</v>
      </c>
      <c r="B246" s="5" t="inlineStr">
        <is>
          <t>&lt;0</t>
        </is>
      </c>
      <c r="C246" s="5" t="n">
        <v>24</v>
      </c>
      <c r="D246" s="5" t="inlineStr">
        <is>
          <t>existing paid</t>
        </is>
      </c>
      <c r="E246" s="5" t="inlineStr">
        <is>
          <t>new car</t>
        </is>
      </c>
      <c r="F246" s="5" t="n">
        <v>915</v>
      </c>
      <c r="G246" s="5" t="inlineStr">
        <is>
          <t>no known savings</t>
        </is>
      </c>
      <c r="H246" s="5" t="inlineStr">
        <is>
          <t>&gt;=7</t>
        </is>
      </c>
      <c r="I246" s="5" t="n">
        <v>4</v>
      </c>
      <c r="J246" s="5" t="inlineStr">
        <is>
          <t>female div/dep/mar</t>
        </is>
      </c>
      <c r="K246" s="5" t="inlineStr">
        <is>
          <t>none</t>
        </is>
      </c>
      <c r="L246" s="5" t="n">
        <v>2</v>
      </c>
      <c r="M246" s="5" t="inlineStr">
        <is>
          <t>car</t>
        </is>
      </c>
      <c r="N246" s="5" t="n">
        <v>29</v>
      </c>
      <c r="O246" s="5" t="inlineStr">
        <is>
          <t>bank</t>
        </is>
      </c>
      <c r="P246" s="5" t="inlineStr">
        <is>
          <t>own</t>
        </is>
      </c>
      <c r="Q246" s="5" t="n">
        <v>1</v>
      </c>
      <c r="R246" s="5" t="inlineStr">
        <is>
          <t>skilled</t>
        </is>
      </c>
      <c r="S246" s="5" t="n">
        <v>1</v>
      </c>
      <c r="T246" s="5" t="inlineStr">
        <is>
          <t>none</t>
        </is>
      </c>
      <c r="U246" s="5" t="inlineStr">
        <is>
          <t>yes</t>
        </is>
      </c>
      <c r="V246" s="5" t="inlineStr">
        <is>
          <t>bad</t>
        </is>
      </c>
    </row>
    <row r="247">
      <c r="A247" s="5" t="n">
        <v>242</v>
      </c>
      <c r="B247" s="5" t="inlineStr">
        <is>
          <t>no checking</t>
        </is>
      </c>
      <c r="C247" s="5" t="n">
        <v>6</v>
      </c>
      <c r="D247" s="5" t="inlineStr">
        <is>
          <t>existing paid</t>
        </is>
      </c>
      <c r="E247" s="5" t="inlineStr">
        <is>
          <t>radio/tv</t>
        </is>
      </c>
      <c r="F247" s="5" t="n">
        <v>1595</v>
      </c>
      <c r="G247" s="5" t="inlineStr">
        <is>
          <t>&lt;100</t>
        </is>
      </c>
      <c r="H247" s="5" t="inlineStr">
        <is>
          <t>4&lt;=X&lt;7</t>
        </is>
      </c>
      <c r="I247" s="5" t="n">
        <v>3</v>
      </c>
      <c r="J247" s="5" t="inlineStr">
        <is>
          <t>male single</t>
        </is>
      </c>
      <c r="K247" s="5" t="inlineStr">
        <is>
          <t>none</t>
        </is>
      </c>
      <c r="L247" s="5" t="n">
        <v>2</v>
      </c>
      <c r="M247" s="5" t="inlineStr">
        <is>
          <t>life insurance</t>
        </is>
      </c>
      <c r="N247" s="5" t="n">
        <v>51</v>
      </c>
      <c r="O247" s="5" t="inlineStr">
        <is>
          <t>none</t>
        </is>
      </c>
      <c r="P247" s="5" t="inlineStr">
        <is>
          <t>own</t>
        </is>
      </c>
      <c r="Q247" s="5" t="n">
        <v>1</v>
      </c>
      <c r="R247" s="5" t="inlineStr">
        <is>
          <t>skilled</t>
        </is>
      </c>
      <c r="S247" s="5" t="n">
        <v>2</v>
      </c>
      <c r="T247" s="5" t="inlineStr">
        <is>
          <t>none</t>
        </is>
      </c>
      <c r="U247" s="5" t="inlineStr">
        <is>
          <t>yes</t>
        </is>
      </c>
      <c r="V247" s="5" t="inlineStr">
        <is>
          <t>good</t>
        </is>
      </c>
    </row>
    <row r="248">
      <c r="A248" s="5" t="n">
        <v>243</v>
      </c>
      <c r="B248" s="5" t="inlineStr">
        <is>
          <t>&lt;0</t>
        </is>
      </c>
      <c r="C248" s="5" t="n">
        <v>48</v>
      </c>
      <c r="D248" s="5" t="inlineStr">
        <is>
          <t>no credits/all paid</t>
        </is>
      </c>
      <c r="E248" s="5" t="inlineStr">
        <is>
          <t>used car</t>
        </is>
      </c>
      <c r="F248" s="5" t="n">
        <v>4605</v>
      </c>
      <c r="G248" s="5" t="inlineStr">
        <is>
          <t>&lt;100</t>
        </is>
      </c>
      <c r="H248" s="5" t="inlineStr">
        <is>
          <t>&gt;=7</t>
        </is>
      </c>
      <c r="I248" s="5" t="n">
        <v>3</v>
      </c>
      <c r="J248" s="5" t="inlineStr">
        <is>
          <t>male single</t>
        </is>
      </c>
      <c r="K248" s="5" t="inlineStr">
        <is>
          <t>none</t>
        </is>
      </c>
      <c r="L248" s="5" t="n">
        <v>4</v>
      </c>
      <c r="M248" s="5" t="inlineStr">
        <is>
          <t>no known property</t>
        </is>
      </c>
      <c r="N248" s="5" t="n">
        <v>24</v>
      </c>
      <c r="O248" s="5" t="inlineStr">
        <is>
          <t>none</t>
        </is>
      </c>
      <c r="P248" s="5" t="inlineStr">
        <is>
          <t>for free</t>
        </is>
      </c>
      <c r="Q248" s="5" t="n">
        <v>2</v>
      </c>
      <c r="R248" s="5" t="inlineStr">
        <is>
          <t>skilled</t>
        </is>
      </c>
      <c r="S248" s="5" t="n">
        <v>2</v>
      </c>
      <c r="T248" s="5" t="inlineStr">
        <is>
          <t>none</t>
        </is>
      </c>
      <c r="U248" s="5" t="inlineStr">
        <is>
          <t>yes</t>
        </is>
      </c>
      <c r="V248" s="5" t="inlineStr">
        <is>
          <t>bad</t>
        </is>
      </c>
    </row>
    <row r="249">
      <c r="A249" s="5" t="n">
        <v>244</v>
      </c>
      <c r="B249" s="5" t="inlineStr">
        <is>
          <t>no checking</t>
        </is>
      </c>
      <c r="C249" s="5" t="n">
        <v>12</v>
      </c>
      <c r="D249" s="5" t="inlineStr">
        <is>
          <t>critical/other existing credit</t>
        </is>
      </c>
      <c r="E249" s="5" t="inlineStr">
        <is>
          <t>business</t>
        </is>
      </c>
      <c r="F249" s="5" t="n">
        <v>1185</v>
      </c>
      <c r="G249" s="5" t="inlineStr">
        <is>
          <t>&lt;100</t>
        </is>
      </c>
      <c r="H249" s="5" t="inlineStr">
        <is>
          <t>1&lt;=X&lt;4</t>
        </is>
      </c>
      <c r="I249" s="5" t="n">
        <v>3</v>
      </c>
      <c r="J249" s="5" t="inlineStr">
        <is>
          <t>female div/dep/mar</t>
        </is>
      </c>
      <c r="K249" s="5" t="inlineStr">
        <is>
          <t>none</t>
        </is>
      </c>
      <c r="L249" s="5" t="n">
        <v>2</v>
      </c>
      <c r="M249" s="5" t="inlineStr">
        <is>
          <t>real estate</t>
        </is>
      </c>
      <c r="N249" s="5" t="n">
        <v>27</v>
      </c>
      <c r="O249" s="5" t="inlineStr">
        <is>
          <t>none</t>
        </is>
      </c>
      <c r="P249" s="5" t="inlineStr">
        <is>
          <t>own</t>
        </is>
      </c>
      <c r="Q249" s="5" t="n">
        <v>2</v>
      </c>
      <c r="R249" s="5" t="inlineStr">
        <is>
          <t>skilled</t>
        </is>
      </c>
      <c r="S249" s="5" t="n">
        <v>1</v>
      </c>
      <c r="T249" s="5" t="inlineStr">
        <is>
          <t>none</t>
        </is>
      </c>
      <c r="U249" s="5" t="inlineStr">
        <is>
          <t>yes</t>
        </is>
      </c>
      <c r="V249" s="5" t="inlineStr">
        <is>
          <t>good</t>
        </is>
      </c>
    </row>
    <row r="250">
      <c r="A250" s="5" t="n">
        <v>245</v>
      </c>
      <c r="B250" s="5" t="inlineStr">
        <is>
          <t>no checking</t>
        </is>
      </c>
      <c r="C250" s="5" t="n">
        <v>12</v>
      </c>
      <c r="D250" s="5" t="inlineStr">
        <is>
          <t>all paid</t>
        </is>
      </c>
      <c r="E250" s="5" t="inlineStr">
        <is>
          <t>retraining</t>
        </is>
      </c>
      <c r="F250" s="5" t="n">
        <v>3447</v>
      </c>
      <c r="G250" s="5" t="inlineStr">
        <is>
          <t>500&lt;=X&lt;1000</t>
        </is>
      </c>
      <c r="H250" s="5" t="inlineStr">
        <is>
          <t>1&lt;=X&lt;4</t>
        </is>
      </c>
      <c r="I250" s="5" t="n">
        <v>4</v>
      </c>
      <c r="J250" s="5" t="inlineStr">
        <is>
          <t>female div/dep/mar</t>
        </is>
      </c>
      <c r="K250" s="5" t="inlineStr">
        <is>
          <t>none</t>
        </is>
      </c>
      <c r="L250" s="5" t="n">
        <v>3</v>
      </c>
      <c r="M250" s="5" t="inlineStr">
        <is>
          <t>real estate</t>
        </is>
      </c>
      <c r="N250" s="5" t="n">
        <v>35</v>
      </c>
      <c r="O250" s="5" t="inlineStr">
        <is>
          <t>none</t>
        </is>
      </c>
      <c r="P250" s="5" t="inlineStr">
        <is>
          <t>own</t>
        </is>
      </c>
      <c r="Q250" s="5" t="n">
        <v>1</v>
      </c>
      <c r="R250" s="5" t="inlineStr">
        <is>
          <t>unskilled resident</t>
        </is>
      </c>
      <c r="S250" s="5" t="n">
        <v>2</v>
      </c>
      <c r="T250" s="5" t="inlineStr">
        <is>
          <t>none</t>
        </is>
      </c>
      <c r="U250" s="5" t="inlineStr">
        <is>
          <t>yes</t>
        </is>
      </c>
      <c r="V250" s="5" t="inlineStr">
        <is>
          <t>good</t>
        </is>
      </c>
    </row>
    <row r="251">
      <c r="A251" s="5" t="n">
        <v>246</v>
      </c>
      <c r="B251" s="5" t="inlineStr">
        <is>
          <t>no checking</t>
        </is>
      </c>
      <c r="C251" s="5" t="n">
        <v>24</v>
      </c>
      <c r="D251" s="5" t="inlineStr">
        <is>
          <t>existing paid</t>
        </is>
      </c>
      <c r="E251" s="5" t="inlineStr">
        <is>
          <t>business</t>
        </is>
      </c>
      <c r="F251" s="5" t="n">
        <v>1258</v>
      </c>
      <c r="G251" s="5" t="inlineStr">
        <is>
          <t>&lt;100</t>
        </is>
      </c>
      <c r="H251" s="5" t="inlineStr">
        <is>
          <t>4&lt;=X&lt;7</t>
        </is>
      </c>
      <c r="I251" s="5" t="n">
        <v>4</v>
      </c>
      <c r="J251" s="5" t="inlineStr">
        <is>
          <t>male single</t>
        </is>
      </c>
      <c r="K251" s="5" t="inlineStr">
        <is>
          <t>none</t>
        </is>
      </c>
      <c r="L251" s="5" t="n">
        <v>1</v>
      </c>
      <c r="M251" s="5" t="inlineStr">
        <is>
          <t>real estate</t>
        </is>
      </c>
      <c r="N251" s="5" t="n">
        <v>25</v>
      </c>
      <c r="O251" s="5" t="inlineStr">
        <is>
          <t>none</t>
        </is>
      </c>
      <c r="P251" s="5" t="inlineStr">
        <is>
          <t>own</t>
        </is>
      </c>
      <c r="Q251" s="5" t="n">
        <v>1</v>
      </c>
      <c r="R251" s="5" t="inlineStr">
        <is>
          <t>skilled</t>
        </is>
      </c>
      <c r="S251" s="5" t="n">
        <v>1</v>
      </c>
      <c r="T251" s="5" t="inlineStr">
        <is>
          <t>yes</t>
        </is>
      </c>
      <c r="U251" s="5" t="inlineStr">
        <is>
          <t>yes</t>
        </is>
      </c>
      <c r="V251" s="5" t="inlineStr">
        <is>
          <t>good</t>
        </is>
      </c>
    </row>
    <row r="252">
      <c r="A252" s="5" t="n">
        <v>247</v>
      </c>
      <c r="B252" s="5" t="inlineStr">
        <is>
          <t>no checking</t>
        </is>
      </c>
      <c r="C252" s="5" t="n">
        <v>12</v>
      </c>
      <c r="D252" s="5" t="inlineStr">
        <is>
          <t>critical/other existing credit</t>
        </is>
      </c>
      <c r="E252" s="5" t="inlineStr">
        <is>
          <t>radio/tv</t>
        </is>
      </c>
      <c r="F252" s="5" t="n">
        <v>717</v>
      </c>
      <c r="G252" s="5" t="inlineStr">
        <is>
          <t>&lt;100</t>
        </is>
      </c>
      <c r="H252" s="5" t="inlineStr">
        <is>
          <t>&gt;=7</t>
        </is>
      </c>
      <c r="I252" s="5" t="n">
        <v>4</v>
      </c>
      <c r="J252" s="5" t="inlineStr">
        <is>
          <t>male single</t>
        </is>
      </c>
      <c r="K252" s="5" t="inlineStr">
        <is>
          <t>none</t>
        </is>
      </c>
      <c r="L252" s="5" t="n">
        <v>4</v>
      </c>
      <c r="M252" s="5" t="inlineStr">
        <is>
          <t>real estate</t>
        </is>
      </c>
      <c r="N252" s="5" t="n">
        <v>52</v>
      </c>
      <c r="O252" s="5" t="inlineStr">
        <is>
          <t>none</t>
        </is>
      </c>
      <c r="P252" s="5" t="inlineStr">
        <is>
          <t>own</t>
        </is>
      </c>
      <c r="Q252" s="5" t="n">
        <v>3</v>
      </c>
      <c r="R252" s="5" t="inlineStr">
        <is>
          <t>skilled</t>
        </is>
      </c>
      <c r="S252" s="5" t="n">
        <v>1</v>
      </c>
      <c r="T252" s="5" t="inlineStr">
        <is>
          <t>none</t>
        </is>
      </c>
      <c r="U252" s="5" t="inlineStr">
        <is>
          <t>yes</t>
        </is>
      </c>
      <c r="V252" s="5" t="inlineStr">
        <is>
          <t>good</t>
        </is>
      </c>
    </row>
    <row r="253">
      <c r="A253" s="5" t="n">
        <v>248</v>
      </c>
      <c r="B253" s="5" t="inlineStr">
        <is>
          <t>no checking</t>
        </is>
      </c>
      <c r="C253" s="5" t="n">
        <v>6</v>
      </c>
      <c r="D253" s="5" t="inlineStr">
        <is>
          <t>no credits/all paid</t>
        </is>
      </c>
      <c r="E253" s="5" t="inlineStr">
        <is>
          <t>new car</t>
        </is>
      </c>
      <c r="F253" s="5" t="n">
        <v>1204</v>
      </c>
      <c r="G253" s="5" t="inlineStr">
        <is>
          <t>100&lt;=X&lt;500</t>
        </is>
      </c>
      <c r="H253" s="5" t="inlineStr">
        <is>
          <t>1&lt;=X&lt;4</t>
        </is>
      </c>
      <c r="I253" s="5" t="n">
        <v>4</v>
      </c>
      <c r="J253" s="5" t="inlineStr">
        <is>
          <t>male single</t>
        </is>
      </c>
      <c r="K253" s="5" t="inlineStr">
        <is>
          <t>none</t>
        </is>
      </c>
      <c r="L253" s="5" t="n">
        <v>1</v>
      </c>
      <c r="M253" s="5" t="inlineStr">
        <is>
          <t>no known property</t>
        </is>
      </c>
      <c r="N253" s="5" t="n">
        <v>35</v>
      </c>
      <c r="O253" s="5" t="inlineStr">
        <is>
          <t>bank</t>
        </is>
      </c>
      <c r="P253" s="5" t="inlineStr">
        <is>
          <t>rent</t>
        </is>
      </c>
      <c r="Q253" s="5" t="n">
        <v>1</v>
      </c>
      <c r="R253" s="5" t="inlineStr">
        <is>
          <t>skilled</t>
        </is>
      </c>
      <c r="S253" s="5" t="n">
        <v>1</v>
      </c>
      <c r="T253" s="5" t="inlineStr">
        <is>
          <t>none</t>
        </is>
      </c>
      <c r="U253" s="5" t="inlineStr">
        <is>
          <t>no</t>
        </is>
      </c>
      <c r="V253" s="5" t="inlineStr">
        <is>
          <t>good</t>
        </is>
      </c>
    </row>
    <row r="254">
      <c r="A254" s="5" t="n">
        <v>249</v>
      </c>
      <c r="B254" s="5" t="inlineStr">
        <is>
          <t>&gt;=200</t>
        </is>
      </c>
      <c r="C254" s="5" t="n">
        <v>24</v>
      </c>
      <c r="D254" s="5" t="inlineStr">
        <is>
          <t>existing paid</t>
        </is>
      </c>
      <c r="E254" s="5" t="inlineStr">
        <is>
          <t>furniture/equipment</t>
        </is>
      </c>
      <c r="F254" s="5" t="n">
        <v>1925</v>
      </c>
      <c r="G254" s="5" t="inlineStr">
        <is>
          <t>&lt;100</t>
        </is>
      </c>
      <c r="H254" s="5" t="inlineStr">
        <is>
          <t>1&lt;=X&lt;4</t>
        </is>
      </c>
      <c r="I254" s="5" t="n">
        <v>2</v>
      </c>
      <c r="J254" s="5" t="inlineStr">
        <is>
          <t>male single</t>
        </is>
      </c>
      <c r="K254" s="5" t="inlineStr">
        <is>
          <t>none</t>
        </is>
      </c>
      <c r="L254" s="5" t="n">
        <v>2</v>
      </c>
      <c r="M254" s="5" t="inlineStr">
        <is>
          <t>real estate</t>
        </is>
      </c>
      <c r="N254" s="5" t="n">
        <v>26</v>
      </c>
      <c r="O254" s="5" t="inlineStr">
        <is>
          <t>none</t>
        </is>
      </c>
      <c r="P254" s="5" t="inlineStr">
        <is>
          <t>own</t>
        </is>
      </c>
      <c r="Q254" s="5" t="n">
        <v>1</v>
      </c>
      <c r="R254" s="5" t="inlineStr">
        <is>
          <t>skilled</t>
        </is>
      </c>
      <c r="S254" s="5" t="n">
        <v>1</v>
      </c>
      <c r="T254" s="5" t="inlineStr">
        <is>
          <t>none</t>
        </is>
      </c>
      <c r="U254" s="5" t="inlineStr">
        <is>
          <t>yes</t>
        </is>
      </c>
      <c r="V254" s="5" t="inlineStr">
        <is>
          <t>good</t>
        </is>
      </c>
    </row>
    <row r="255">
      <c r="A255" s="5" t="n">
        <v>250</v>
      </c>
      <c r="B255" s="5" t="inlineStr">
        <is>
          <t>no checking</t>
        </is>
      </c>
      <c r="C255" s="5" t="n">
        <v>18</v>
      </c>
      <c r="D255" s="5" t="inlineStr">
        <is>
          <t>existing paid</t>
        </is>
      </c>
      <c r="E255" s="5" t="inlineStr">
        <is>
          <t>radio/tv</t>
        </is>
      </c>
      <c r="F255" s="5" t="n">
        <v>433</v>
      </c>
      <c r="G255" s="5" t="inlineStr">
        <is>
          <t>&lt;100</t>
        </is>
      </c>
      <c r="H255" s="5" t="inlineStr">
        <is>
          <t>unemployed</t>
        </is>
      </c>
      <c r="I255" s="5" t="n">
        <v>3</v>
      </c>
      <c r="J255" s="5" t="inlineStr">
        <is>
          <t>female div/dep/mar</t>
        </is>
      </c>
      <c r="K255" s="5" t="inlineStr">
        <is>
          <t>co applicant</t>
        </is>
      </c>
      <c r="L255" s="5" t="n">
        <v>4</v>
      </c>
      <c r="M255" s="5" t="inlineStr">
        <is>
          <t>real estate</t>
        </is>
      </c>
      <c r="N255" s="5" t="n">
        <v>22</v>
      </c>
      <c r="O255" s="5" t="inlineStr">
        <is>
          <t>none</t>
        </is>
      </c>
      <c r="P255" s="5" t="inlineStr">
        <is>
          <t>rent</t>
        </is>
      </c>
      <c r="Q255" s="5" t="n">
        <v>1</v>
      </c>
      <c r="R255" s="5" t="inlineStr">
        <is>
          <t>skilled</t>
        </is>
      </c>
      <c r="S255" s="5" t="n">
        <v>1</v>
      </c>
      <c r="T255" s="5" t="inlineStr">
        <is>
          <t>none</t>
        </is>
      </c>
      <c r="U255" s="5" t="inlineStr">
        <is>
          <t>yes</t>
        </is>
      </c>
      <c r="V255" s="5" t="inlineStr">
        <is>
          <t>bad</t>
        </is>
      </c>
    </row>
    <row r="256">
      <c r="A256" s="5" t="n">
        <v>251</v>
      </c>
      <c r="B256" s="5" t="inlineStr">
        <is>
          <t>&lt;0</t>
        </is>
      </c>
      <c r="C256" s="5" t="n">
        <v>6</v>
      </c>
      <c r="D256" s="5" t="inlineStr">
        <is>
          <t>critical/other existing credit</t>
        </is>
      </c>
      <c r="E256" s="5" t="inlineStr">
        <is>
          <t>new car</t>
        </is>
      </c>
      <c r="F256" s="5" t="n">
        <v>666</v>
      </c>
      <c r="G256" s="5" t="inlineStr">
        <is>
          <t>&gt;=1000</t>
        </is>
      </c>
      <c r="H256" s="5" t="inlineStr">
        <is>
          <t>4&lt;=X&lt;7</t>
        </is>
      </c>
      <c r="I256" s="5" t="n">
        <v>3</v>
      </c>
      <c r="J256" s="5" t="inlineStr">
        <is>
          <t>female div/dep/mar</t>
        </is>
      </c>
      <c r="K256" s="5" t="inlineStr">
        <is>
          <t>none</t>
        </is>
      </c>
      <c r="L256" s="5" t="n">
        <v>4</v>
      </c>
      <c r="M256" s="5" t="inlineStr">
        <is>
          <t>real estate</t>
        </is>
      </c>
      <c r="N256" s="5" t="n">
        <v>39</v>
      </c>
      <c r="O256" s="5" t="inlineStr">
        <is>
          <t>none</t>
        </is>
      </c>
      <c r="P256" s="5" t="inlineStr">
        <is>
          <t>own</t>
        </is>
      </c>
      <c r="Q256" s="5" t="n">
        <v>2</v>
      </c>
      <c r="R256" s="5" t="inlineStr">
        <is>
          <t>unskilled resident</t>
        </is>
      </c>
      <c r="S256" s="5" t="n">
        <v>1</v>
      </c>
      <c r="T256" s="5" t="inlineStr">
        <is>
          <t>yes</t>
        </is>
      </c>
      <c r="U256" s="5" t="inlineStr">
        <is>
          <t>yes</t>
        </is>
      </c>
      <c r="V256" s="5" t="inlineStr">
        <is>
          <t>good</t>
        </is>
      </c>
    </row>
    <row r="257">
      <c r="A257" s="5" t="n">
        <v>252</v>
      </c>
      <c r="B257" s="5" t="inlineStr">
        <is>
          <t>&gt;=200</t>
        </is>
      </c>
      <c r="C257" s="5" t="n">
        <v>12</v>
      </c>
      <c r="D257" s="5" t="inlineStr">
        <is>
          <t>existing paid</t>
        </is>
      </c>
      <c r="E257" s="5" t="inlineStr">
        <is>
          <t>furniture/equipment</t>
        </is>
      </c>
      <c r="F257" s="5" t="n">
        <v>2251</v>
      </c>
      <c r="G257" s="5" t="inlineStr">
        <is>
          <t>&lt;100</t>
        </is>
      </c>
      <c r="H257" s="5" t="inlineStr">
        <is>
          <t>1&lt;=X&lt;4</t>
        </is>
      </c>
      <c r="I257" s="5" t="n">
        <v>1</v>
      </c>
      <c r="J257" s="5" t="inlineStr">
        <is>
          <t>female div/dep/mar</t>
        </is>
      </c>
      <c r="K257" s="5" t="inlineStr">
        <is>
          <t>none</t>
        </is>
      </c>
      <c r="L257" s="5" t="n">
        <v>2</v>
      </c>
      <c r="M257" s="5" t="inlineStr">
        <is>
          <t>car</t>
        </is>
      </c>
      <c r="N257" s="5" t="n">
        <v>46</v>
      </c>
      <c r="O257" s="5" t="inlineStr">
        <is>
          <t>none</t>
        </is>
      </c>
      <c r="P257" s="5" t="inlineStr">
        <is>
          <t>own</t>
        </is>
      </c>
      <c r="Q257" s="5" t="n">
        <v>1</v>
      </c>
      <c r="R257" s="5" t="inlineStr">
        <is>
          <t>unskilled resident</t>
        </is>
      </c>
      <c r="S257" s="5" t="n">
        <v>1</v>
      </c>
      <c r="T257" s="5" t="inlineStr">
        <is>
          <t>none</t>
        </is>
      </c>
      <c r="U257" s="5" t="inlineStr">
        <is>
          <t>yes</t>
        </is>
      </c>
      <c r="V257" s="5" t="inlineStr">
        <is>
          <t>good</t>
        </is>
      </c>
    </row>
    <row r="258">
      <c r="A258" s="5" t="n">
        <v>253</v>
      </c>
      <c r="B258" s="5" t="inlineStr">
        <is>
          <t>0&lt;=X&lt;200</t>
        </is>
      </c>
      <c r="C258" s="5" t="n">
        <v>30</v>
      </c>
      <c r="D258" s="5" t="inlineStr">
        <is>
          <t>existing paid</t>
        </is>
      </c>
      <c r="E258" s="5" t="inlineStr">
        <is>
          <t>new car</t>
        </is>
      </c>
      <c r="F258" s="5" t="n">
        <v>2150</v>
      </c>
      <c r="G258" s="5" t="inlineStr">
        <is>
          <t>&lt;100</t>
        </is>
      </c>
      <c r="H258" s="5" t="inlineStr">
        <is>
          <t>1&lt;=X&lt;4</t>
        </is>
      </c>
      <c r="I258" s="5" t="n">
        <v>4</v>
      </c>
      <c r="J258" s="5" t="inlineStr">
        <is>
          <t>female div/dep/mar</t>
        </is>
      </c>
      <c r="K258" s="5" t="inlineStr">
        <is>
          <t>guarantor</t>
        </is>
      </c>
      <c r="L258" s="5" t="n">
        <v>2</v>
      </c>
      <c r="M258" s="5" t="inlineStr">
        <is>
          <t>no known property</t>
        </is>
      </c>
      <c r="N258" s="5" t="n">
        <v>24</v>
      </c>
      <c r="O258" s="5" t="inlineStr">
        <is>
          <t>bank</t>
        </is>
      </c>
      <c r="P258" s="5" t="inlineStr">
        <is>
          <t>own</t>
        </is>
      </c>
      <c r="Q258" s="5" t="n">
        <v>1</v>
      </c>
      <c r="R258" s="5" t="inlineStr">
        <is>
          <t>skilled</t>
        </is>
      </c>
      <c r="S258" s="5" t="n">
        <v>1</v>
      </c>
      <c r="T258" s="5" t="inlineStr">
        <is>
          <t>none</t>
        </is>
      </c>
      <c r="U258" s="5" t="inlineStr">
        <is>
          <t>yes</t>
        </is>
      </c>
      <c r="V258" s="5" t="inlineStr">
        <is>
          <t>bad</t>
        </is>
      </c>
    </row>
    <row r="259">
      <c r="A259" s="5" t="n">
        <v>254</v>
      </c>
      <c r="B259" s="5" t="inlineStr">
        <is>
          <t>no checking</t>
        </is>
      </c>
      <c r="C259" s="5" t="n">
        <v>24</v>
      </c>
      <c r="D259" s="5" t="inlineStr">
        <is>
          <t>delayed previously</t>
        </is>
      </c>
      <c r="E259" s="5" t="inlineStr">
        <is>
          <t>furniture/equipment</t>
        </is>
      </c>
      <c r="F259" s="5" t="n">
        <v>4151</v>
      </c>
      <c r="G259" s="5" t="inlineStr">
        <is>
          <t>100&lt;=X&lt;500</t>
        </is>
      </c>
      <c r="H259" s="5" t="inlineStr">
        <is>
          <t>1&lt;=X&lt;4</t>
        </is>
      </c>
      <c r="I259" s="5" t="n">
        <v>2</v>
      </c>
      <c r="J259" s="5" t="inlineStr">
        <is>
          <t>male single</t>
        </is>
      </c>
      <c r="K259" s="5" t="inlineStr">
        <is>
          <t>none</t>
        </is>
      </c>
      <c r="L259" s="5" t="n">
        <v>3</v>
      </c>
      <c r="M259" s="5" t="inlineStr">
        <is>
          <t>life insurance</t>
        </is>
      </c>
      <c r="N259" s="5" t="n">
        <v>35</v>
      </c>
      <c r="O259" s="5" t="inlineStr">
        <is>
          <t>none</t>
        </is>
      </c>
      <c r="P259" s="5" t="inlineStr">
        <is>
          <t>own</t>
        </is>
      </c>
      <c r="Q259" s="5" t="n">
        <v>2</v>
      </c>
      <c r="R259" s="5" t="inlineStr">
        <is>
          <t>skilled</t>
        </is>
      </c>
      <c r="S259" s="5" t="n">
        <v>1</v>
      </c>
      <c r="T259" s="5" t="inlineStr">
        <is>
          <t>none</t>
        </is>
      </c>
      <c r="U259" s="5" t="inlineStr">
        <is>
          <t>yes</t>
        </is>
      </c>
      <c r="V259" s="5" t="inlineStr">
        <is>
          <t>good</t>
        </is>
      </c>
    </row>
    <row r="260">
      <c r="A260" s="5" t="n">
        <v>255</v>
      </c>
      <c r="B260" s="5" t="inlineStr">
        <is>
          <t>0&lt;=X&lt;200</t>
        </is>
      </c>
      <c r="C260" s="5" t="n">
        <v>9</v>
      </c>
      <c r="D260" s="5" t="inlineStr">
        <is>
          <t>existing paid</t>
        </is>
      </c>
      <c r="E260" s="5" t="inlineStr">
        <is>
          <t>furniture/equipment</t>
        </is>
      </c>
      <c r="F260" s="5" t="n">
        <v>2030</v>
      </c>
      <c r="G260" s="5" t="inlineStr">
        <is>
          <t>no known savings</t>
        </is>
      </c>
      <c r="H260" s="5" t="inlineStr">
        <is>
          <t>4&lt;=X&lt;7</t>
        </is>
      </c>
      <c r="I260" s="5" t="n">
        <v>2</v>
      </c>
      <c r="J260" s="5" t="inlineStr">
        <is>
          <t>male single</t>
        </is>
      </c>
      <c r="K260" s="5" t="inlineStr">
        <is>
          <t>none</t>
        </is>
      </c>
      <c r="L260" s="5" t="n">
        <v>1</v>
      </c>
      <c r="M260" s="5" t="inlineStr">
        <is>
          <t>car</t>
        </is>
      </c>
      <c r="N260" s="5" t="n">
        <v>24</v>
      </c>
      <c r="O260" s="5" t="inlineStr">
        <is>
          <t>none</t>
        </is>
      </c>
      <c r="P260" s="5" t="inlineStr">
        <is>
          <t>own</t>
        </is>
      </c>
      <c r="Q260" s="5" t="n">
        <v>1</v>
      </c>
      <c r="R260" s="5" t="inlineStr">
        <is>
          <t>skilled</t>
        </is>
      </c>
      <c r="S260" s="5" t="n">
        <v>1</v>
      </c>
      <c r="T260" s="5" t="inlineStr">
        <is>
          <t>yes</t>
        </is>
      </c>
      <c r="U260" s="5" t="inlineStr">
        <is>
          <t>yes</t>
        </is>
      </c>
      <c r="V260" s="5" t="inlineStr">
        <is>
          <t>good</t>
        </is>
      </c>
    </row>
    <row r="261">
      <c r="A261" s="5" t="n">
        <v>256</v>
      </c>
      <c r="B261" s="5" t="inlineStr">
        <is>
          <t>0&lt;=X&lt;200</t>
        </is>
      </c>
      <c r="C261" s="5" t="n">
        <v>60</v>
      </c>
      <c r="D261" s="5" t="inlineStr">
        <is>
          <t>delayed previously</t>
        </is>
      </c>
      <c r="E261" s="5" t="inlineStr">
        <is>
          <t>radio/tv</t>
        </is>
      </c>
      <c r="F261" s="5" t="n">
        <v>7418</v>
      </c>
      <c r="G261" s="5" t="inlineStr">
        <is>
          <t>no known savings</t>
        </is>
      </c>
      <c r="H261" s="5" t="inlineStr">
        <is>
          <t>1&lt;=X&lt;4</t>
        </is>
      </c>
      <c r="I261" s="5" t="n">
        <v>1</v>
      </c>
      <c r="J261" s="5" t="inlineStr">
        <is>
          <t>male single</t>
        </is>
      </c>
      <c r="K261" s="5" t="inlineStr">
        <is>
          <t>none</t>
        </is>
      </c>
      <c r="L261" s="5" t="n">
        <v>1</v>
      </c>
      <c r="M261" s="5" t="inlineStr">
        <is>
          <t>real estate</t>
        </is>
      </c>
      <c r="N261" s="5" t="n">
        <v>27</v>
      </c>
      <c r="O261" s="5" t="inlineStr">
        <is>
          <t>none</t>
        </is>
      </c>
      <c r="P261" s="5" t="inlineStr">
        <is>
          <t>own</t>
        </is>
      </c>
      <c r="Q261" s="5" t="n">
        <v>1</v>
      </c>
      <c r="R261" s="5" t="inlineStr">
        <is>
          <t>unskilled resident</t>
        </is>
      </c>
      <c r="S261" s="5" t="n">
        <v>1</v>
      </c>
      <c r="T261" s="5" t="inlineStr">
        <is>
          <t>none</t>
        </is>
      </c>
      <c r="U261" s="5" t="inlineStr">
        <is>
          <t>yes</t>
        </is>
      </c>
      <c r="V261" s="5" t="inlineStr">
        <is>
          <t>good</t>
        </is>
      </c>
    </row>
    <row r="262">
      <c r="A262" s="5" t="n">
        <v>257</v>
      </c>
      <c r="B262" s="5" t="inlineStr">
        <is>
          <t>no checking</t>
        </is>
      </c>
      <c r="C262" s="5" t="n">
        <v>24</v>
      </c>
      <c r="D262" s="5" t="inlineStr">
        <is>
          <t>critical/other existing credit</t>
        </is>
      </c>
      <c r="E262" s="5" t="inlineStr">
        <is>
          <t>radio/tv</t>
        </is>
      </c>
      <c r="F262" s="5" t="n">
        <v>2684</v>
      </c>
      <c r="G262" s="5" t="inlineStr">
        <is>
          <t>&lt;100</t>
        </is>
      </c>
      <c r="H262" s="5" t="inlineStr">
        <is>
          <t>1&lt;=X&lt;4</t>
        </is>
      </c>
      <c r="I262" s="5" t="n">
        <v>4</v>
      </c>
      <c r="J262" s="5" t="inlineStr">
        <is>
          <t>male single</t>
        </is>
      </c>
      <c r="K262" s="5" t="inlineStr">
        <is>
          <t>none</t>
        </is>
      </c>
      <c r="L262" s="5" t="n">
        <v>2</v>
      </c>
      <c r="M262" s="5" t="inlineStr">
        <is>
          <t>real estate</t>
        </is>
      </c>
      <c r="N262" s="5" t="n">
        <v>35</v>
      </c>
      <c r="O262" s="5" t="inlineStr">
        <is>
          <t>none</t>
        </is>
      </c>
      <c r="P262" s="5" t="inlineStr">
        <is>
          <t>own</t>
        </is>
      </c>
      <c r="Q262" s="5" t="n">
        <v>2</v>
      </c>
      <c r="R262" s="5" t="inlineStr">
        <is>
          <t>unskilled resident</t>
        </is>
      </c>
      <c r="S262" s="5" t="n">
        <v>1</v>
      </c>
      <c r="T262" s="5" t="inlineStr">
        <is>
          <t>none</t>
        </is>
      </c>
      <c r="U262" s="5" t="inlineStr">
        <is>
          <t>yes</t>
        </is>
      </c>
      <c r="V262" s="5" t="inlineStr">
        <is>
          <t>good</t>
        </is>
      </c>
    </row>
    <row r="263">
      <c r="A263" s="5" t="n">
        <v>258</v>
      </c>
      <c r="B263" s="5" t="inlineStr">
        <is>
          <t>&lt;0</t>
        </is>
      </c>
      <c r="C263" s="5" t="n">
        <v>12</v>
      </c>
      <c r="D263" s="5" t="inlineStr">
        <is>
          <t>all paid</t>
        </is>
      </c>
      <c r="E263" s="5" t="inlineStr">
        <is>
          <t>radio/tv</t>
        </is>
      </c>
      <c r="F263" s="5" t="n">
        <v>2149</v>
      </c>
      <c r="G263" s="5" t="inlineStr">
        <is>
          <t>&lt;100</t>
        </is>
      </c>
      <c r="H263" s="5" t="inlineStr">
        <is>
          <t>1&lt;=X&lt;4</t>
        </is>
      </c>
      <c r="I263" s="5" t="n">
        <v>4</v>
      </c>
      <c r="J263" s="5" t="inlineStr">
        <is>
          <t>male div/sep</t>
        </is>
      </c>
      <c r="K263" s="5" t="inlineStr">
        <is>
          <t>none</t>
        </is>
      </c>
      <c r="L263" s="5" t="n">
        <v>1</v>
      </c>
      <c r="M263" s="5" t="inlineStr">
        <is>
          <t>no known property</t>
        </is>
      </c>
      <c r="N263" s="5" t="n">
        <v>29</v>
      </c>
      <c r="O263" s="5" t="inlineStr">
        <is>
          <t>none</t>
        </is>
      </c>
      <c r="P263" s="5" t="inlineStr">
        <is>
          <t>for free</t>
        </is>
      </c>
      <c r="Q263" s="5" t="n">
        <v>1</v>
      </c>
      <c r="R263" s="5" t="inlineStr">
        <is>
          <t>skilled</t>
        </is>
      </c>
      <c r="S263" s="5" t="n">
        <v>1</v>
      </c>
      <c r="T263" s="5" t="inlineStr">
        <is>
          <t>none</t>
        </is>
      </c>
      <c r="U263" s="5" t="inlineStr">
        <is>
          <t>yes</t>
        </is>
      </c>
      <c r="V263" s="5" t="inlineStr">
        <is>
          <t>bad</t>
        </is>
      </c>
    </row>
    <row r="264">
      <c r="A264" s="5" t="n">
        <v>259</v>
      </c>
      <c r="B264" s="5" t="inlineStr">
        <is>
          <t>no checking</t>
        </is>
      </c>
      <c r="C264" s="5" t="n">
        <v>15</v>
      </c>
      <c r="D264" s="5" t="inlineStr">
        <is>
          <t>existing paid</t>
        </is>
      </c>
      <c r="E264" s="5" t="inlineStr">
        <is>
          <t>used car</t>
        </is>
      </c>
      <c r="F264" s="5" t="n">
        <v>3812</v>
      </c>
      <c r="G264" s="5" t="inlineStr">
        <is>
          <t>100&lt;=X&lt;500</t>
        </is>
      </c>
      <c r="H264" s="5" t="inlineStr">
        <is>
          <t>&lt;1</t>
        </is>
      </c>
      <c r="I264" s="5" t="n">
        <v>1</v>
      </c>
      <c r="J264" s="5" t="inlineStr">
        <is>
          <t>female div/dep/mar</t>
        </is>
      </c>
      <c r="K264" s="5" t="inlineStr">
        <is>
          <t>none</t>
        </is>
      </c>
      <c r="L264" s="5" t="n">
        <v>4</v>
      </c>
      <c r="M264" s="5" t="inlineStr">
        <is>
          <t>car</t>
        </is>
      </c>
      <c r="N264" s="5" t="n">
        <v>23</v>
      </c>
      <c r="O264" s="5" t="inlineStr">
        <is>
          <t>none</t>
        </is>
      </c>
      <c r="P264" s="5" t="inlineStr">
        <is>
          <t>own</t>
        </is>
      </c>
      <c r="Q264" s="5" t="n">
        <v>1</v>
      </c>
      <c r="R264" s="5" t="inlineStr">
        <is>
          <t>skilled</t>
        </is>
      </c>
      <c r="S264" s="5" t="n">
        <v>1</v>
      </c>
      <c r="T264" s="5" t="inlineStr">
        <is>
          <t>yes</t>
        </is>
      </c>
      <c r="U264" s="5" t="inlineStr">
        <is>
          <t>yes</t>
        </is>
      </c>
      <c r="V264" s="5" t="inlineStr">
        <is>
          <t>good</t>
        </is>
      </c>
    </row>
    <row r="265">
      <c r="A265" s="5" t="n">
        <v>260</v>
      </c>
      <c r="B265" s="5" t="inlineStr">
        <is>
          <t>no checking</t>
        </is>
      </c>
      <c r="C265" s="5" t="n">
        <v>11</v>
      </c>
      <c r="D265" s="5" t="inlineStr">
        <is>
          <t>critical/other existing credit</t>
        </is>
      </c>
      <c r="E265" s="5" t="inlineStr">
        <is>
          <t>radio/tv</t>
        </is>
      </c>
      <c r="F265" s="5" t="n">
        <v>1154</v>
      </c>
      <c r="G265" s="5" t="inlineStr">
        <is>
          <t>100&lt;=X&lt;500</t>
        </is>
      </c>
      <c r="H265" s="5" t="inlineStr">
        <is>
          <t>unemployed</t>
        </is>
      </c>
      <c r="I265" s="5" t="n">
        <v>4</v>
      </c>
      <c r="J265" s="5" t="inlineStr">
        <is>
          <t>female div/dep/mar</t>
        </is>
      </c>
      <c r="K265" s="5" t="inlineStr">
        <is>
          <t>none</t>
        </is>
      </c>
      <c r="L265" s="5" t="n">
        <v>4</v>
      </c>
      <c r="M265" s="5" t="inlineStr">
        <is>
          <t>real estate</t>
        </is>
      </c>
      <c r="N265" s="5" t="n">
        <v>57</v>
      </c>
      <c r="O265" s="5" t="inlineStr">
        <is>
          <t>none</t>
        </is>
      </c>
      <c r="P265" s="5" t="inlineStr">
        <is>
          <t>own</t>
        </is>
      </c>
      <c r="Q265" s="5" t="n">
        <v>3</v>
      </c>
      <c r="R265" s="5" t="inlineStr">
        <is>
          <t>unskilled resident</t>
        </is>
      </c>
      <c r="S265" s="5" t="n">
        <v>1</v>
      </c>
      <c r="T265" s="5" t="inlineStr">
        <is>
          <t>none</t>
        </is>
      </c>
      <c r="U265" s="5" t="inlineStr">
        <is>
          <t>yes</t>
        </is>
      </c>
      <c r="V265" s="5" t="inlineStr">
        <is>
          <t>good</t>
        </is>
      </c>
    </row>
    <row r="266">
      <c r="A266" s="5" t="n">
        <v>261</v>
      </c>
      <c r="B266" s="5" t="inlineStr">
        <is>
          <t>&lt;0</t>
        </is>
      </c>
      <c r="C266" s="5" t="n">
        <v>12</v>
      </c>
      <c r="D266" s="5" t="inlineStr">
        <is>
          <t>existing paid</t>
        </is>
      </c>
      <c r="E266" s="5" t="inlineStr">
        <is>
          <t>furniture/equipment</t>
        </is>
      </c>
      <c r="F266" s="5" t="n">
        <v>1657</v>
      </c>
      <c r="G266" s="5" t="inlineStr">
        <is>
          <t>&lt;100</t>
        </is>
      </c>
      <c r="H266" s="5" t="inlineStr">
        <is>
          <t>1&lt;=X&lt;4</t>
        </is>
      </c>
      <c r="I266" s="5" t="n">
        <v>2</v>
      </c>
      <c r="J266" s="5" t="inlineStr">
        <is>
          <t>male single</t>
        </is>
      </c>
      <c r="K266" s="5" t="inlineStr">
        <is>
          <t>none</t>
        </is>
      </c>
      <c r="L266" s="5" t="n">
        <v>2</v>
      </c>
      <c r="M266" s="5" t="inlineStr">
        <is>
          <t>real estate</t>
        </is>
      </c>
      <c r="N266" s="5" t="n">
        <v>27</v>
      </c>
      <c r="O266" s="5" t="inlineStr">
        <is>
          <t>none</t>
        </is>
      </c>
      <c r="P266" s="5" t="inlineStr">
        <is>
          <t>own</t>
        </is>
      </c>
      <c r="Q266" s="5" t="n">
        <v>1</v>
      </c>
      <c r="R266" s="5" t="inlineStr">
        <is>
          <t>skilled</t>
        </is>
      </c>
      <c r="S266" s="5" t="n">
        <v>1</v>
      </c>
      <c r="T266" s="5" t="inlineStr">
        <is>
          <t>none</t>
        </is>
      </c>
      <c r="U266" s="5" t="inlineStr">
        <is>
          <t>yes</t>
        </is>
      </c>
      <c r="V266" s="5" t="inlineStr">
        <is>
          <t>good</t>
        </is>
      </c>
    </row>
    <row r="267">
      <c r="A267" s="5" t="n">
        <v>262</v>
      </c>
      <c r="B267" s="5" t="inlineStr">
        <is>
          <t>&lt;0</t>
        </is>
      </c>
      <c r="C267" s="5" t="n">
        <v>24</v>
      </c>
      <c r="D267" s="5" t="inlineStr">
        <is>
          <t>existing paid</t>
        </is>
      </c>
      <c r="E267" s="5" t="inlineStr">
        <is>
          <t>radio/tv</t>
        </is>
      </c>
      <c r="F267" s="5" t="n">
        <v>1603</v>
      </c>
      <c r="G267" s="5" t="inlineStr">
        <is>
          <t>&lt;100</t>
        </is>
      </c>
      <c r="H267" s="5" t="inlineStr">
        <is>
          <t>&gt;=7</t>
        </is>
      </c>
      <c r="I267" s="5" t="n">
        <v>4</v>
      </c>
      <c r="J267" s="5" t="inlineStr">
        <is>
          <t>female div/dep/mar</t>
        </is>
      </c>
      <c r="K267" s="5" t="inlineStr">
        <is>
          <t>none</t>
        </is>
      </c>
      <c r="L267" s="5" t="n">
        <v>4</v>
      </c>
      <c r="M267" s="5" t="inlineStr">
        <is>
          <t>car</t>
        </is>
      </c>
      <c r="N267" s="5" t="n">
        <v>55</v>
      </c>
      <c r="O267" s="5" t="inlineStr">
        <is>
          <t>none</t>
        </is>
      </c>
      <c r="P267" s="5" t="inlineStr">
        <is>
          <t>own</t>
        </is>
      </c>
      <c r="Q267" s="5" t="n">
        <v>1</v>
      </c>
      <c r="R267" s="5" t="inlineStr">
        <is>
          <t>skilled</t>
        </is>
      </c>
      <c r="S267" s="5" t="n">
        <v>1</v>
      </c>
      <c r="T267" s="5" t="inlineStr">
        <is>
          <t>none</t>
        </is>
      </c>
      <c r="U267" s="5" t="inlineStr">
        <is>
          <t>yes</t>
        </is>
      </c>
      <c r="V267" s="5" t="inlineStr">
        <is>
          <t>good</t>
        </is>
      </c>
    </row>
    <row r="268">
      <c r="A268" s="5" t="n">
        <v>263</v>
      </c>
      <c r="B268" s="5" t="inlineStr">
        <is>
          <t>&lt;0</t>
        </is>
      </c>
      <c r="C268" s="5" t="n">
        <v>18</v>
      </c>
      <c r="D268" s="5" t="inlineStr">
        <is>
          <t>critical/other existing credit</t>
        </is>
      </c>
      <c r="E268" s="5" t="inlineStr">
        <is>
          <t>new car</t>
        </is>
      </c>
      <c r="F268" s="5" t="n">
        <v>5302</v>
      </c>
      <c r="G268" s="5" t="inlineStr">
        <is>
          <t>&lt;100</t>
        </is>
      </c>
      <c r="H268" s="5" t="inlineStr">
        <is>
          <t>&gt;=7</t>
        </is>
      </c>
      <c r="I268" s="5" t="n">
        <v>2</v>
      </c>
      <c r="J268" s="5" t="inlineStr">
        <is>
          <t>male single</t>
        </is>
      </c>
      <c r="K268" s="5" t="inlineStr">
        <is>
          <t>none</t>
        </is>
      </c>
      <c r="L268" s="5" t="n">
        <v>4</v>
      </c>
      <c r="M268" s="5" t="inlineStr">
        <is>
          <t>no known property</t>
        </is>
      </c>
      <c r="N268" s="5" t="n">
        <v>36</v>
      </c>
      <c r="O268" s="5" t="inlineStr">
        <is>
          <t>none</t>
        </is>
      </c>
      <c r="P268" s="5" t="inlineStr">
        <is>
          <t>for free</t>
        </is>
      </c>
      <c r="Q268" s="5" t="n">
        <v>3</v>
      </c>
      <c r="R268" s="5" t="inlineStr">
        <is>
          <t>high qualif/self emp/mgmt</t>
        </is>
      </c>
      <c r="S268" s="5" t="n">
        <v>1</v>
      </c>
      <c r="T268" s="5" t="inlineStr">
        <is>
          <t>yes</t>
        </is>
      </c>
      <c r="U268" s="5" t="inlineStr">
        <is>
          <t>yes</t>
        </is>
      </c>
      <c r="V268" s="5" t="inlineStr">
        <is>
          <t>good</t>
        </is>
      </c>
    </row>
    <row r="269">
      <c r="A269" s="5" t="n">
        <v>264</v>
      </c>
      <c r="B269" s="5" t="inlineStr">
        <is>
          <t>no checking</t>
        </is>
      </c>
      <c r="C269" s="5" t="n">
        <v>12</v>
      </c>
      <c r="D269" s="5" t="inlineStr">
        <is>
          <t>critical/other existing credit</t>
        </is>
      </c>
      <c r="E269" s="5" t="inlineStr">
        <is>
          <t>education</t>
        </is>
      </c>
      <c r="F269" s="5" t="n">
        <v>2748</v>
      </c>
      <c r="G269" s="5" t="inlineStr">
        <is>
          <t>&lt;100</t>
        </is>
      </c>
      <c r="H269" s="5" t="inlineStr">
        <is>
          <t>&gt;=7</t>
        </is>
      </c>
      <c r="I269" s="5" t="n">
        <v>2</v>
      </c>
      <c r="J269" s="5" t="inlineStr">
        <is>
          <t>female div/dep/mar</t>
        </is>
      </c>
      <c r="K269" s="5" t="inlineStr">
        <is>
          <t>none</t>
        </is>
      </c>
      <c r="L269" s="5" t="n">
        <v>4</v>
      </c>
      <c r="M269" s="5" t="inlineStr">
        <is>
          <t>no known property</t>
        </is>
      </c>
      <c r="N269" s="5" t="n">
        <v>57</v>
      </c>
      <c r="O269" s="5" t="inlineStr">
        <is>
          <t>bank</t>
        </is>
      </c>
      <c r="P269" s="5" t="inlineStr">
        <is>
          <t>for free</t>
        </is>
      </c>
      <c r="Q269" s="5" t="n">
        <v>3</v>
      </c>
      <c r="R269" s="5" t="inlineStr">
        <is>
          <t>unskilled resident</t>
        </is>
      </c>
      <c r="S269" s="5" t="n">
        <v>1</v>
      </c>
      <c r="T269" s="5" t="inlineStr">
        <is>
          <t>none</t>
        </is>
      </c>
      <c r="U269" s="5" t="inlineStr">
        <is>
          <t>yes</t>
        </is>
      </c>
      <c r="V269" s="5" t="inlineStr">
        <is>
          <t>good</t>
        </is>
      </c>
    </row>
    <row r="270">
      <c r="A270" s="5" t="n">
        <v>265</v>
      </c>
      <c r="B270" s="5" t="inlineStr">
        <is>
          <t>no checking</t>
        </is>
      </c>
      <c r="C270" s="5" t="n">
        <v>10</v>
      </c>
      <c r="D270" s="5" t="inlineStr">
        <is>
          <t>critical/other existing credit</t>
        </is>
      </c>
      <c r="E270" s="5" t="inlineStr">
        <is>
          <t>new car</t>
        </is>
      </c>
      <c r="F270" s="5" t="n">
        <v>1231</v>
      </c>
      <c r="G270" s="5" t="inlineStr">
        <is>
          <t>&lt;100</t>
        </is>
      </c>
      <c r="H270" s="5" t="inlineStr">
        <is>
          <t>&gt;=7</t>
        </is>
      </c>
      <c r="I270" s="5" t="n">
        <v>3</v>
      </c>
      <c r="J270" s="5" t="inlineStr">
        <is>
          <t>male single</t>
        </is>
      </c>
      <c r="K270" s="5" t="inlineStr">
        <is>
          <t>none</t>
        </is>
      </c>
      <c r="L270" s="5" t="n">
        <v>4</v>
      </c>
      <c r="M270" s="5" t="inlineStr">
        <is>
          <t>real estate</t>
        </is>
      </c>
      <c r="N270" s="5" t="n">
        <v>32</v>
      </c>
      <c r="O270" s="5" t="inlineStr">
        <is>
          <t>none</t>
        </is>
      </c>
      <c r="P270" s="5" t="inlineStr">
        <is>
          <t>own</t>
        </is>
      </c>
      <c r="Q270" s="5" t="n">
        <v>2</v>
      </c>
      <c r="R270" s="5" t="inlineStr">
        <is>
          <t>unskilled resident</t>
        </is>
      </c>
      <c r="S270" s="5" t="n">
        <v>2</v>
      </c>
      <c r="T270" s="5" t="inlineStr">
        <is>
          <t>none</t>
        </is>
      </c>
      <c r="U270" s="5" t="inlineStr">
        <is>
          <t>no</t>
        </is>
      </c>
      <c r="V270" s="5" t="inlineStr">
        <is>
          <t>good</t>
        </is>
      </c>
    </row>
    <row r="271">
      <c r="A271" s="5" t="n">
        <v>266</v>
      </c>
      <c r="B271" s="5" t="inlineStr">
        <is>
          <t>0&lt;=X&lt;200</t>
        </is>
      </c>
      <c r="C271" s="5" t="n">
        <v>15</v>
      </c>
      <c r="D271" s="5" t="inlineStr">
        <is>
          <t>existing paid</t>
        </is>
      </c>
      <c r="E271" s="5" t="inlineStr">
        <is>
          <t>radio/tv</t>
        </is>
      </c>
      <c r="F271" s="5" t="n">
        <v>802</v>
      </c>
      <c r="G271" s="5" t="inlineStr">
        <is>
          <t>&lt;100</t>
        </is>
      </c>
      <c r="H271" s="5" t="inlineStr">
        <is>
          <t>&gt;=7</t>
        </is>
      </c>
      <c r="I271" s="5" t="n">
        <v>4</v>
      </c>
      <c r="J271" s="5" t="inlineStr">
        <is>
          <t>male single</t>
        </is>
      </c>
      <c r="K271" s="5" t="inlineStr">
        <is>
          <t>none</t>
        </is>
      </c>
      <c r="L271" s="5" t="n">
        <v>3</v>
      </c>
      <c r="M271" s="5" t="inlineStr">
        <is>
          <t>car</t>
        </is>
      </c>
      <c r="N271" s="5" t="n">
        <v>37</v>
      </c>
      <c r="O271" s="5" t="inlineStr">
        <is>
          <t>none</t>
        </is>
      </c>
      <c r="P271" s="5" t="inlineStr">
        <is>
          <t>own</t>
        </is>
      </c>
      <c r="Q271" s="5" t="n">
        <v>1</v>
      </c>
      <c r="R271" s="5" t="inlineStr">
        <is>
          <t>skilled</t>
        </is>
      </c>
      <c r="S271" s="5" t="n">
        <v>2</v>
      </c>
      <c r="T271" s="5" t="inlineStr">
        <is>
          <t>none</t>
        </is>
      </c>
      <c r="U271" s="5" t="inlineStr">
        <is>
          <t>yes</t>
        </is>
      </c>
      <c r="V271" s="5" t="inlineStr">
        <is>
          <t>bad</t>
        </is>
      </c>
    </row>
    <row r="272">
      <c r="A272" s="5" t="n">
        <v>267</v>
      </c>
      <c r="B272" s="5" t="inlineStr">
        <is>
          <t>no checking</t>
        </is>
      </c>
      <c r="C272" s="5" t="n">
        <v>36</v>
      </c>
      <c r="D272" s="5" t="inlineStr">
        <is>
          <t>critical/other existing credit</t>
        </is>
      </c>
      <c r="E272" s="5" t="inlineStr">
        <is>
          <t>business</t>
        </is>
      </c>
      <c r="F272" s="5" t="n">
        <v>6304</v>
      </c>
      <c r="G272" s="5" t="inlineStr">
        <is>
          <t>no known savings</t>
        </is>
      </c>
      <c r="H272" s="5" t="inlineStr">
        <is>
          <t>&gt;=7</t>
        </is>
      </c>
      <c r="I272" s="5" t="n">
        <v>4</v>
      </c>
      <c r="J272" s="5" t="inlineStr">
        <is>
          <t>male single</t>
        </is>
      </c>
      <c r="K272" s="5" t="inlineStr">
        <is>
          <t>none</t>
        </is>
      </c>
      <c r="L272" s="5" t="n">
        <v>4</v>
      </c>
      <c r="M272" s="5" t="inlineStr">
        <is>
          <t>real estate</t>
        </is>
      </c>
      <c r="N272" s="5" t="n">
        <v>36</v>
      </c>
      <c r="O272" s="5" t="inlineStr">
        <is>
          <t>none</t>
        </is>
      </c>
      <c r="P272" s="5" t="inlineStr">
        <is>
          <t>own</t>
        </is>
      </c>
      <c r="Q272" s="5" t="n">
        <v>2</v>
      </c>
      <c r="R272" s="5" t="inlineStr">
        <is>
          <t>skilled</t>
        </is>
      </c>
      <c r="S272" s="5" t="n">
        <v>1</v>
      </c>
      <c r="T272" s="5" t="inlineStr">
        <is>
          <t>none</t>
        </is>
      </c>
      <c r="U272" s="5" t="inlineStr">
        <is>
          <t>yes</t>
        </is>
      </c>
      <c r="V272" s="5" t="inlineStr">
        <is>
          <t>good</t>
        </is>
      </c>
    </row>
    <row r="273">
      <c r="A273" s="5" t="n">
        <v>268</v>
      </c>
      <c r="B273" s="5" t="inlineStr">
        <is>
          <t>no checking</t>
        </is>
      </c>
      <c r="C273" s="5" t="n">
        <v>24</v>
      </c>
      <c r="D273" s="5" t="inlineStr">
        <is>
          <t>existing paid</t>
        </is>
      </c>
      <c r="E273" s="5" t="inlineStr">
        <is>
          <t>radio/tv</t>
        </is>
      </c>
      <c r="F273" s="5" t="n">
        <v>1533</v>
      </c>
      <c r="G273" s="5" t="inlineStr">
        <is>
          <t>&lt;100</t>
        </is>
      </c>
      <c r="H273" s="5" t="inlineStr">
        <is>
          <t>&lt;1</t>
        </is>
      </c>
      <c r="I273" s="5" t="n">
        <v>4</v>
      </c>
      <c r="J273" s="5" t="inlineStr">
        <is>
          <t>female div/dep/mar</t>
        </is>
      </c>
      <c r="K273" s="5" t="inlineStr">
        <is>
          <t>none</t>
        </is>
      </c>
      <c r="L273" s="5" t="n">
        <v>3</v>
      </c>
      <c r="M273" s="5" t="inlineStr">
        <is>
          <t>car</t>
        </is>
      </c>
      <c r="N273" s="5" t="n">
        <v>38</v>
      </c>
      <c r="O273" s="5" t="inlineStr">
        <is>
          <t>stores</t>
        </is>
      </c>
      <c r="P273" s="5" t="inlineStr">
        <is>
          <t>own</t>
        </is>
      </c>
      <c r="Q273" s="5" t="n">
        <v>1</v>
      </c>
      <c r="R273" s="5" t="inlineStr">
        <is>
          <t>skilled</t>
        </is>
      </c>
      <c r="S273" s="5" t="n">
        <v>1</v>
      </c>
      <c r="T273" s="5" t="inlineStr">
        <is>
          <t>yes</t>
        </is>
      </c>
      <c r="U273" s="5" t="inlineStr">
        <is>
          <t>yes</t>
        </is>
      </c>
      <c r="V273" s="5" t="inlineStr">
        <is>
          <t>good</t>
        </is>
      </c>
    </row>
    <row r="274">
      <c r="A274" s="5" t="n">
        <v>269</v>
      </c>
      <c r="B274" s="5" t="inlineStr">
        <is>
          <t>&lt;0</t>
        </is>
      </c>
      <c r="C274" s="5" t="n">
        <v>14</v>
      </c>
      <c r="D274" s="5" t="inlineStr">
        <is>
          <t>existing paid</t>
        </is>
      </c>
      <c r="E274" s="5" t="inlineStr">
        <is>
          <t>new car</t>
        </is>
      </c>
      <c r="F274" s="5" t="n">
        <v>8978</v>
      </c>
      <c r="G274" s="5" t="inlineStr">
        <is>
          <t>&lt;100</t>
        </is>
      </c>
      <c r="H274" s="5" t="inlineStr">
        <is>
          <t>&gt;=7</t>
        </is>
      </c>
      <c r="I274" s="5" t="n">
        <v>1</v>
      </c>
      <c r="J274" s="5" t="inlineStr">
        <is>
          <t>male div/sep</t>
        </is>
      </c>
      <c r="K274" s="5" t="inlineStr">
        <is>
          <t>none</t>
        </is>
      </c>
      <c r="L274" s="5" t="n">
        <v>4</v>
      </c>
      <c r="M274" s="5" t="inlineStr">
        <is>
          <t>life insurance</t>
        </is>
      </c>
      <c r="N274" s="5" t="n">
        <v>45</v>
      </c>
      <c r="O274" s="5" t="inlineStr">
        <is>
          <t>none</t>
        </is>
      </c>
      <c r="P274" s="5" t="inlineStr">
        <is>
          <t>own</t>
        </is>
      </c>
      <c r="Q274" s="5" t="n">
        <v>1</v>
      </c>
      <c r="R274" s="5" t="inlineStr">
        <is>
          <t>high qualif/self emp/mgmt</t>
        </is>
      </c>
      <c r="S274" s="5" t="n">
        <v>1</v>
      </c>
      <c r="T274" s="5" t="inlineStr">
        <is>
          <t>yes</t>
        </is>
      </c>
      <c r="U274" s="5" t="inlineStr">
        <is>
          <t>no</t>
        </is>
      </c>
      <c r="V274" s="5" t="inlineStr">
        <is>
          <t>bad</t>
        </is>
      </c>
    </row>
    <row r="275">
      <c r="A275" s="5" t="n">
        <v>270</v>
      </c>
      <c r="B275" s="5" t="inlineStr">
        <is>
          <t>no checking</t>
        </is>
      </c>
      <c r="C275" s="5" t="n">
        <v>24</v>
      </c>
      <c r="D275" s="5" t="inlineStr">
        <is>
          <t>existing paid</t>
        </is>
      </c>
      <c r="E275" s="5" t="inlineStr">
        <is>
          <t>radio/tv</t>
        </is>
      </c>
      <c r="F275" s="5" t="n">
        <v>999</v>
      </c>
      <c r="G275" s="5" t="inlineStr">
        <is>
          <t>no known savings</t>
        </is>
      </c>
      <c r="H275" s="5" t="inlineStr">
        <is>
          <t>&gt;=7</t>
        </is>
      </c>
      <c r="I275" s="5" t="n">
        <v>4</v>
      </c>
      <c r="J275" s="5" t="inlineStr">
        <is>
          <t>male single</t>
        </is>
      </c>
      <c r="K275" s="5" t="inlineStr">
        <is>
          <t>none</t>
        </is>
      </c>
      <c r="L275" s="5" t="n">
        <v>2</v>
      </c>
      <c r="M275" s="5" t="inlineStr">
        <is>
          <t>car</t>
        </is>
      </c>
      <c r="N275" s="5" t="n">
        <v>25</v>
      </c>
      <c r="O275" s="5" t="inlineStr">
        <is>
          <t>none</t>
        </is>
      </c>
      <c r="P275" s="5" t="inlineStr">
        <is>
          <t>own</t>
        </is>
      </c>
      <c r="Q275" s="5" t="n">
        <v>2</v>
      </c>
      <c r="R275" s="5" t="inlineStr">
        <is>
          <t>skilled</t>
        </is>
      </c>
      <c r="S275" s="5" t="n">
        <v>1</v>
      </c>
      <c r="T275" s="5" t="inlineStr">
        <is>
          <t>none</t>
        </is>
      </c>
      <c r="U275" s="5" t="inlineStr">
        <is>
          <t>yes</t>
        </is>
      </c>
      <c r="V275" s="5" t="inlineStr">
        <is>
          <t>good</t>
        </is>
      </c>
    </row>
    <row r="276">
      <c r="A276" s="5" t="n">
        <v>271</v>
      </c>
      <c r="B276" s="5" t="inlineStr">
        <is>
          <t>no checking</t>
        </is>
      </c>
      <c r="C276" s="5" t="n">
        <v>18</v>
      </c>
      <c r="D276" s="5" t="inlineStr">
        <is>
          <t>existing paid</t>
        </is>
      </c>
      <c r="E276" s="5" t="inlineStr">
        <is>
          <t>new car</t>
        </is>
      </c>
      <c r="F276" s="5" t="n">
        <v>2662</v>
      </c>
      <c r="G276" s="5" t="inlineStr">
        <is>
          <t>no known savings</t>
        </is>
      </c>
      <c r="H276" s="5" t="inlineStr">
        <is>
          <t>4&lt;=X&lt;7</t>
        </is>
      </c>
      <c r="I276" s="5" t="n">
        <v>4</v>
      </c>
      <c r="J276" s="5" t="inlineStr">
        <is>
          <t>male single</t>
        </is>
      </c>
      <c r="K276" s="5" t="inlineStr">
        <is>
          <t>none</t>
        </is>
      </c>
      <c r="L276" s="5" t="n">
        <v>3</v>
      </c>
      <c r="M276" s="5" t="inlineStr">
        <is>
          <t>life insurance</t>
        </is>
      </c>
      <c r="N276" s="5" t="n">
        <v>32</v>
      </c>
      <c r="O276" s="5" t="inlineStr">
        <is>
          <t>none</t>
        </is>
      </c>
      <c r="P276" s="5" t="inlineStr">
        <is>
          <t>own</t>
        </is>
      </c>
      <c r="Q276" s="5" t="n">
        <v>1</v>
      </c>
      <c r="R276" s="5" t="inlineStr">
        <is>
          <t>skilled</t>
        </is>
      </c>
      <c r="S276" s="5" t="n">
        <v>1</v>
      </c>
      <c r="T276" s="5" t="inlineStr">
        <is>
          <t>none</t>
        </is>
      </c>
      <c r="U276" s="5" t="inlineStr">
        <is>
          <t>no</t>
        </is>
      </c>
      <c r="V276" s="5" t="inlineStr">
        <is>
          <t>good</t>
        </is>
      </c>
    </row>
    <row r="277">
      <c r="A277" s="5" t="n">
        <v>272</v>
      </c>
      <c r="B277" s="5" t="inlineStr">
        <is>
          <t>no checking</t>
        </is>
      </c>
      <c r="C277" s="5" t="n">
        <v>12</v>
      </c>
      <c r="D277" s="5" t="inlineStr">
        <is>
          <t>critical/other existing credit</t>
        </is>
      </c>
      <c r="E277" s="5" t="inlineStr">
        <is>
          <t>furniture/equipment</t>
        </is>
      </c>
      <c r="F277" s="5" t="n">
        <v>1402</v>
      </c>
      <c r="G277" s="5" t="inlineStr">
        <is>
          <t>500&lt;=X&lt;1000</t>
        </is>
      </c>
      <c r="H277" s="5" t="inlineStr">
        <is>
          <t>4&lt;=X&lt;7</t>
        </is>
      </c>
      <c r="I277" s="5" t="n">
        <v>3</v>
      </c>
      <c r="J277" s="5" t="inlineStr">
        <is>
          <t>female div/dep/mar</t>
        </is>
      </c>
      <c r="K277" s="5" t="inlineStr">
        <is>
          <t>none</t>
        </is>
      </c>
      <c r="L277" s="5" t="n">
        <v>4</v>
      </c>
      <c r="M277" s="5" t="inlineStr">
        <is>
          <t>car</t>
        </is>
      </c>
      <c r="N277" s="5" t="n">
        <v>37</v>
      </c>
      <c r="O277" s="5" t="inlineStr">
        <is>
          <t>none</t>
        </is>
      </c>
      <c r="P277" s="5" t="inlineStr">
        <is>
          <t>rent</t>
        </is>
      </c>
      <c r="Q277" s="5" t="n">
        <v>1</v>
      </c>
      <c r="R277" s="5" t="inlineStr">
        <is>
          <t>skilled</t>
        </is>
      </c>
      <c r="S277" s="5" t="n">
        <v>1</v>
      </c>
      <c r="T277" s="5" t="inlineStr">
        <is>
          <t>yes</t>
        </is>
      </c>
      <c r="U277" s="5" t="inlineStr">
        <is>
          <t>yes</t>
        </is>
      </c>
      <c r="V277" s="5" t="inlineStr">
        <is>
          <t>good</t>
        </is>
      </c>
    </row>
    <row r="278">
      <c r="A278" s="5" t="n">
        <v>273</v>
      </c>
      <c r="B278" s="5" t="inlineStr">
        <is>
          <t>0&lt;=X&lt;200</t>
        </is>
      </c>
      <c r="C278" s="5" t="n">
        <v>48</v>
      </c>
      <c r="D278" s="5" t="inlineStr">
        <is>
          <t>all paid</t>
        </is>
      </c>
      <c r="E278" s="5" t="inlineStr">
        <is>
          <t>new car</t>
        </is>
      </c>
      <c r="F278" s="5" t="n">
        <v>12169</v>
      </c>
      <c r="G278" s="5" t="inlineStr">
        <is>
          <t>no known savings</t>
        </is>
      </c>
      <c r="H278" s="5" t="inlineStr">
        <is>
          <t>unemployed</t>
        </is>
      </c>
      <c r="I278" s="5" t="n">
        <v>4</v>
      </c>
      <c r="J278" s="5" t="inlineStr">
        <is>
          <t>male single</t>
        </is>
      </c>
      <c r="K278" s="5" t="inlineStr">
        <is>
          <t>co applicant</t>
        </is>
      </c>
      <c r="L278" s="5" t="n">
        <v>4</v>
      </c>
      <c r="M278" s="5" t="inlineStr">
        <is>
          <t>no known property</t>
        </is>
      </c>
      <c r="N278" s="5" t="n">
        <v>36</v>
      </c>
      <c r="O278" s="5" t="inlineStr">
        <is>
          <t>none</t>
        </is>
      </c>
      <c r="P278" s="5" t="inlineStr">
        <is>
          <t>for free</t>
        </is>
      </c>
      <c r="Q278" s="5" t="n">
        <v>1</v>
      </c>
      <c r="R278" s="5" t="inlineStr">
        <is>
          <t>high qualif/self emp/mgmt</t>
        </is>
      </c>
      <c r="S278" s="5" t="n">
        <v>1</v>
      </c>
      <c r="T278" s="5" t="inlineStr">
        <is>
          <t>yes</t>
        </is>
      </c>
      <c r="U278" s="5" t="inlineStr">
        <is>
          <t>yes</t>
        </is>
      </c>
      <c r="V278" s="5" t="inlineStr">
        <is>
          <t>good</t>
        </is>
      </c>
    </row>
    <row r="279">
      <c r="A279" s="5" t="n">
        <v>274</v>
      </c>
      <c r="B279" s="5" t="inlineStr">
        <is>
          <t>0&lt;=X&lt;200</t>
        </is>
      </c>
      <c r="C279" s="5" t="n">
        <v>48</v>
      </c>
      <c r="D279" s="5" t="inlineStr">
        <is>
          <t>existing paid</t>
        </is>
      </c>
      <c r="E279" s="5" t="inlineStr">
        <is>
          <t>radio/tv</t>
        </is>
      </c>
      <c r="F279" s="5" t="n">
        <v>3060</v>
      </c>
      <c r="G279" s="5" t="inlineStr">
        <is>
          <t>&lt;100</t>
        </is>
      </c>
      <c r="H279" s="5" t="inlineStr">
        <is>
          <t>4&lt;=X&lt;7</t>
        </is>
      </c>
      <c r="I279" s="5" t="n">
        <v>4</v>
      </c>
      <c r="J279" s="5" t="inlineStr">
        <is>
          <t>male single</t>
        </is>
      </c>
      <c r="K279" s="5" t="inlineStr">
        <is>
          <t>none</t>
        </is>
      </c>
      <c r="L279" s="5" t="n">
        <v>4</v>
      </c>
      <c r="M279" s="5" t="inlineStr">
        <is>
          <t>real estate</t>
        </is>
      </c>
      <c r="N279" s="5" t="n">
        <v>28</v>
      </c>
      <c r="O279" s="5" t="inlineStr">
        <is>
          <t>none</t>
        </is>
      </c>
      <c r="P279" s="5" t="inlineStr">
        <is>
          <t>own</t>
        </is>
      </c>
      <c r="Q279" s="5" t="n">
        <v>2</v>
      </c>
      <c r="R279" s="5" t="inlineStr">
        <is>
          <t>skilled</t>
        </is>
      </c>
      <c r="S279" s="5" t="n">
        <v>1</v>
      </c>
      <c r="T279" s="5" t="inlineStr">
        <is>
          <t>none</t>
        </is>
      </c>
      <c r="U279" s="5" t="inlineStr">
        <is>
          <t>yes</t>
        </is>
      </c>
      <c r="V279" s="5" t="inlineStr">
        <is>
          <t>bad</t>
        </is>
      </c>
    </row>
    <row r="280">
      <c r="A280" s="5" t="n">
        <v>275</v>
      </c>
      <c r="B280" s="5" t="inlineStr">
        <is>
          <t>&lt;0</t>
        </is>
      </c>
      <c r="C280" s="5" t="n">
        <v>30</v>
      </c>
      <c r="D280" s="5" t="inlineStr">
        <is>
          <t>existing paid</t>
        </is>
      </c>
      <c r="E280" s="5" t="inlineStr">
        <is>
          <t>repairs</t>
        </is>
      </c>
      <c r="F280" s="5" t="n">
        <v>11998</v>
      </c>
      <c r="G280" s="5" t="inlineStr">
        <is>
          <t>&lt;100</t>
        </is>
      </c>
      <c r="H280" s="5" t="inlineStr">
        <is>
          <t>&lt;1</t>
        </is>
      </c>
      <c r="I280" s="5" t="n">
        <v>1</v>
      </c>
      <c r="J280" s="5" t="inlineStr">
        <is>
          <t>male div/sep</t>
        </is>
      </c>
      <c r="K280" s="5" t="inlineStr">
        <is>
          <t>none</t>
        </is>
      </c>
      <c r="L280" s="5" t="n">
        <v>1</v>
      </c>
      <c r="M280" s="5" t="inlineStr">
        <is>
          <t>no known property</t>
        </is>
      </c>
      <c r="N280" s="5" t="n">
        <v>34</v>
      </c>
      <c r="O280" s="5" t="inlineStr">
        <is>
          <t>none</t>
        </is>
      </c>
      <c r="P280" s="5" t="inlineStr">
        <is>
          <t>own</t>
        </is>
      </c>
      <c r="Q280" s="5" t="n">
        <v>1</v>
      </c>
      <c r="R280" s="5" t="inlineStr">
        <is>
          <t>unskilled resident</t>
        </is>
      </c>
      <c r="S280" s="5" t="n">
        <v>1</v>
      </c>
      <c r="T280" s="5" t="inlineStr">
        <is>
          <t>yes</t>
        </is>
      </c>
      <c r="U280" s="5" t="inlineStr">
        <is>
          <t>yes</t>
        </is>
      </c>
      <c r="V280" s="5" t="inlineStr">
        <is>
          <t>bad</t>
        </is>
      </c>
    </row>
    <row r="281">
      <c r="A281" s="5" t="n">
        <v>276</v>
      </c>
      <c r="B281" s="5" t="inlineStr">
        <is>
          <t>no checking</t>
        </is>
      </c>
      <c r="C281" s="5" t="n">
        <v>9</v>
      </c>
      <c r="D281" s="5" t="inlineStr">
        <is>
          <t>existing paid</t>
        </is>
      </c>
      <c r="E281" s="5" t="inlineStr">
        <is>
          <t>radio/tv</t>
        </is>
      </c>
      <c r="F281" s="5" t="n">
        <v>2697</v>
      </c>
      <c r="G281" s="5" t="inlineStr">
        <is>
          <t>&lt;100</t>
        </is>
      </c>
      <c r="H281" s="5" t="inlineStr">
        <is>
          <t>1&lt;=X&lt;4</t>
        </is>
      </c>
      <c r="I281" s="5" t="n">
        <v>1</v>
      </c>
      <c r="J281" s="5" t="inlineStr">
        <is>
          <t>male single</t>
        </is>
      </c>
      <c r="K281" s="5" t="inlineStr">
        <is>
          <t>none</t>
        </is>
      </c>
      <c r="L281" s="5" t="n">
        <v>2</v>
      </c>
      <c r="M281" s="5" t="inlineStr">
        <is>
          <t>real estate</t>
        </is>
      </c>
      <c r="N281" s="5" t="n">
        <v>32</v>
      </c>
      <c r="O281" s="5" t="inlineStr">
        <is>
          <t>none</t>
        </is>
      </c>
      <c r="P281" s="5" t="inlineStr">
        <is>
          <t>own</t>
        </is>
      </c>
      <c r="Q281" s="5" t="n">
        <v>1</v>
      </c>
      <c r="R281" s="5" t="inlineStr">
        <is>
          <t>skilled</t>
        </is>
      </c>
      <c r="S281" s="5" t="n">
        <v>2</v>
      </c>
      <c r="T281" s="5" t="inlineStr">
        <is>
          <t>none</t>
        </is>
      </c>
      <c r="U281" s="5" t="inlineStr">
        <is>
          <t>yes</t>
        </is>
      </c>
      <c r="V281" s="5" t="inlineStr">
        <is>
          <t>good</t>
        </is>
      </c>
    </row>
    <row r="282">
      <c r="A282" s="5" t="n">
        <v>277</v>
      </c>
      <c r="B282" s="5" t="inlineStr">
        <is>
          <t>no checking</t>
        </is>
      </c>
      <c r="C282" s="5" t="n">
        <v>18</v>
      </c>
      <c r="D282" s="5" t="inlineStr">
        <is>
          <t>critical/other existing credit</t>
        </is>
      </c>
      <c r="E282" s="5" t="inlineStr">
        <is>
          <t>radio/tv</t>
        </is>
      </c>
      <c r="F282" s="5" t="n">
        <v>2404</v>
      </c>
      <c r="G282" s="5" t="inlineStr">
        <is>
          <t>&lt;100</t>
        </is>
      </c>
      <c r="H282" s="5" t="inlineStr">
        <is>
          <t>1&lt;=X&lt;4</t>
        </is>
      </c>
      <c r="I282" s="5" t="n">
        <v>2</v>
      </c>
      <c r="J282" s="5" t="inlineStr">
        <is>
          <t>female div/dep/mar</t>
        </is>
      </c>
      <c r="K282" s="5" t="inlineStr">
        <is>
          <t>none</t>
        </is>
      </c>
      <c r="L282" s="5" t="n">
        <v>2</v>
      </c>
      <c r="M282" s="5" t="inlineStr">
        <is>
          <t>car</t>
        </is>
      </c>
      <c r="N282" s="5" t="n">
        <v>26</v>
      </c>
      <c r="O282" s="5" t="inlineStr">
        <is>
          <t>none</t>
        </is>
      </c>
      <c r="P282" s="5" t="inlineStr">
        <is>
          <t>own</t>
        </is>
      </c>
      <c r="Q282" s="5" t="n">
        <v>2</v>
      </c>
      <c r="R282" s="5" t="inlineStr">
        <is>
          <t>skilled</t>
        </is>
      </c>
      <c r="S282" s="5" t="n">
        <v>1</v>
      </c>
      <c r="T282" s="5" t="inlineStr">
        <is>
          <t>none</t>
        </is>
      </c>
      <c r="U282" s="5" t="inlineStr">
        <is>
          <t>yes</t>
        </is>
      </c>
      <c r="V282" s="5" t="inlineStr">
        <is>
          <t>good</t>
        </is>
      </c>
    </row>
    <row r="283">
      <c r="A283" s="5" t="n">
        <v>278</v>
      </c>
      <c r="B283" s="5" t="inlineStr">
        <is>
          <t>&lt;0</t>
        </is>
      </c>
      <c r="C283" s="5" t="n">
        <v>12</v>
      </c>
      <c r="D283" s="5" t="inlineStr">
        <is>
          <t>existing paid</t>
        </is>
      </c>
      <c r="E283" s="5" t="inlineStr">
        <is>
          <t>furniture/equipment</t>
        </is>
      </c>
      <c r="F283" s="5" t="n">
        <v>1262</v>
      </c>
      <c r="G283" s="5" t="inlineStr">
        <is>
          <t>no known savings</t>
        </is>
      </c>
      <c r="H283" s="5" t="inlineStr">
        <is>
          <t>&gt;=7</t>
        </is>
      </c>
      <c r="I283" s="5" t="n">
        <v>2</v>
      </c>
      <c r="J283" s="5" t="inlineStr">
        <is>
          <t>male div/sep</t>
        </is>
      </c>
      <c r="K283" s="5" t="inlineStr">
        <is>
          <t>none</t>
        </is>
      </c>
      <c r="L283" s="5" t="n">
        <v>4</v>
      </c>
      <c r="M283" s="5" t="inlineStr">
        <is>
          <t>life insurance</t>
        </is>
      </c>
      <c r="N283" s="5" t="n">
        <v>49</v>
      </c>
      <c r="O283" s="5" t="inlineStr">
        <is>
          <t>none</t>
        </is>
      </c>
      <c r="P283" s="5" t="inlineStr">
        <is>
          <t>own</t>
        </is>
      </c>
      <c r="Q283" s="5" t="n">
        <v>1</v>
      </c>
      <c r="R283" s="5" t="inlineStr">
        <is>
          <t>unskilled resident</t>
        </is>
      </c>
      <c r="S283" s="5" t="n">
        <v>1</v>
      </c>
      <c r="T283" s="5" t="inlineStr">
        <is>
          <t>yes</t>
        </is>
      </c>
      <c r="U283" s="5" t="inlineStr">
        <is>
          <t>yes</t>
        </is>
      </c>
      <c r="V283" s="5" t="inlineStr">
        <is>
          <t>good</t>
        </is>
      </c>
    </row>
    <row r="284">
      <c r="A284" s="5" t="n">
        <v>279</v>
      </c>
      <c r="B284" s="5" t="inlineStr">
        <is>
          <t>no checking</t>
        </is>
      </c>
      <c r="C284" s="5" t="n">
        <v>6</v>
      </c>
      <c r="D284" s="5" t="inlineStr">
        <is>
          <t>existing paid</t>
        </is>
      </c>
      <c r="E284" s="5" t="inlineStr">
        <is>
          <t>furniture/equipment</t>
        </is>
      </c>
      <c r="F284" s="5" t="n">
        <v>4611</v>
      </c>
      <c r="G284" s="5" t="inlineStr">
        <is>
          <t>&lt;100</t>
        </is>
      </c>
      <c r="H284" s="5" t="inlineStr">
        <is>
          <t>&lt;1</t>
        </is>
      </c>
      <c r="I284" s="5" t="n">
        <v>1</v>
      </c>
      <c r="J284" s="5" t="inlineStr">
        <is>
          <t>female div/dep/mar</t>
        </is>
      </c>
      <c r="K284" s="5" t="inlineStr">
        <is>
          <t>none</t>
        </is>
      </c>
      <c r="L284" s="5" t="n">
        <v>4</v>
      </c>
      <c r="M284" s="5" t="inlineStr">
        <is>
          <t>life insurance</t>
        </is>
      </c>
      <c r="N284" s="5" t="n">
        <v>32</v>
      </c>
      <c r="O284" s="5" t="inlineStr">
        <is>
          <t>none</t>
        </is>
      </c>
      <c r="P284" s="5" t="inlineStr">
        <is>
          <t>own</t>
        </is>
      </c>
      <c r="Q284" s="5" t="n">
        <v>1</v>
      </c>
      <c r="R284" s="5" t="inlineStr">
        <is>
          <t>skilled</t>
        </is>
      </c>
      <c r="S284" s="5" t="n">
        <v>1</v>
      </c>
      <c r="T284" s="5" t="inlineStr">
        <is>
          <t>none</t>
        </is>
      </c>
      <c r="U284" s="5" t="inlineStr">
        <is>
          <t>yes</t>
        </is>
      </c>
      <c r="V284" s="5" t="inlineStr">
        <is>
          <t>bad</t>
        </is>
      </c>
    </row>
    <row r="285">
      <c r="A285" s="5" t="n">
        <v>280</v>
      </c>
      <c r="B285" s="5" t="inlineStr">
        <is>
          <t>no checking</t>
        </is>
      </c>
      <c r="C285" s="5" t="n">
        <v>24</v>
      </c>
      <c r="D285" s="5" t="inlineStr">
        <is>
          <t>existing paid</t>
        </is>
      </c>
      <c r="E285" s="5" t="inlineStr">
        <is>
          <t>radio/tv</t>
        </is>
      </c>
      <c r="F285" s="5" t="n">
        <v>1901</v>
      </c>
      <c r="G285" s="5" t="inlineStr">
        <is>
          <t>100&lt;=X&lt;500</t>
        </is>
      </c>
      <c r="H285" s="5" t="inlineStr">
        <is>
          <t>1&lt;=X&lt;4</t>
        </is>
      </c>
      <c r="I285" s="5" t="n">
        <v>4</v>
      </c>
      <c r="J285" s="5" t="inlineStr">
        <is>
          <t>male single</t>
        </is>
      </c>
      <c r="K285" s="5" t="inlineStr">
        <is>
          <t>none</t>
        </is>
      </c>
      <c r="L285" s="5" t="n">
        <v>4</v>
      </c>
      <c r="M285" s="5" t="inlineStr">
        <is>
          <t>car</t>
        </is>
      </c>
      <c r="N285" s="5" t="n">
        <v>29</v>
      </c>
      <c r="O285" s="5" t="inlineStr">
        <is>
          <t>none</t>
        </is>
      </c>
      <c r="P285" s="5" t="inlineStr">
        <is>
          <t>rent</t>
        </is>
      </c>
      <c r="Q285" s="5" t="n">
        <v>1</v>
      </c>
      <c r="R285" s="5" t="inlineStr">
        <is>
          <t>high qualif/self emp/mgmt</t>
        </is>
      </c>
      <c r="S285" s="5" t="n">
        <v>1</v>
      </c>
      <c r="T285" s="5" t="inlineStr">
        <is>
          <t>yes</t>
        </is>
      </c>
      <c r="U285" s="5" t="inlineStr">
        <is>
          <t>yes</t>
        </is>
      </c>
      <c r="V285" s="5" t="inlineStr">
        <is>
          <t>good</t>
        </is>
      </c>
    </row>
    <row r="286">
      <c r="A286" s="5" t="n">
        <v>281</v>
      </c>
      <c r="B286" s="5" t="inlineStr">
        <is>
          <t>no checking</t>
        </is>
      </c>
      <c r="C286" s="5" t="n">
        <v>15</v>
      </c>
      <c r="D286" s="5" t="inlineStr">
        <is>
          <t>critical/other existing credit</t>
        </is>
      </c>
      <c r="E286" s="5" t="inlineStr">
        <is>
          <t>used car</t>
        </is>
      </c>
      <c r="F286" s="5" t="n">
        <v>3368</v>
      </c>
      <c r="G286" s="5" t="inlineStr">
        <is>
          <t>&gt;=1000</t>
        </is>
      </c>
      <c r="H286" s="5" t="inlineStr">
        <is>
          <t>&gt;=7</t>
        </is>
      </c>
      <c r="I286" s="5" t="n">
        <v>3</v>
      </c>
      <c r="J286" s="5" t="inlineStr">
        <is>
          <t>male single</t>
        </is>
      </c>
      <c r="K286" s="5" t="inlineStr">
        <is>
          <t>none</t>
        </is>
      </c>
      <c r="L286" s="5" t="n">
        <v>4</v>
      </c>
      <c r="M286" s="5" t="inlineStr">
        <is>
          <t>no known property</t>
        </is>
      </c>
      <c r="N286" s="5" t="n">
        <v>23</v>
      </c>
      <c r="O286" s="5" t="inlineStr">
        <is>
          <t>none</t>
        </is>
      </c>
      <c r="P286" s="5" t="inlineStr">
        <is>
          <t>rent</t>
        </is>
      </c>
      <c r="Q286" s="5" t="n">
        <v>2</v>
      </c>
      <c r="R286" s="5" t="inlineStr">
        <is>
          <t>skilled</t>
        </is>
      </c>
      <c r="S286" s="5" t="n">
        <v>1</v>
      </c>
      <c r="T286" s="5" t="inlineStr">
        <is>
          <t>yes</t>
        </is>
      </c>
      <c r="U286" s="5" t="inlineStr">
        <is>
          <t>yes</t>
        </is>
      </c>
      <c r="V286" s="5" t="inlineStr">
        <is>
          <t>good</t>
        </is>
      </c>
    </row>
    <row r="287">
      <c r="A287" s="5" t="n">
        <v>282</v>
      </c>
      <c r="B287" s="5" t="inlineStr">
        <is>
          <t>no checking</t>
        </is>
      </c>
      <c r="C287" s="5" t="n">
        <v>12</v>
      </c>
      <c r="D287" s="5" t="inlineStr">
        <is>
          <t>existing paid</t>
        </is>
      </c>
      <c r="E287" s="5" t="inlineStr">
        <is>
          <t>furniture/equipment</t>
        </is>
      </c>
      <c r="F287" s="5" t="n">
        <v>1574</v>
      </c>
      <c r="G287" s="5" t="inlineStr">
        <is>
          <t>&lt;100</t>
        </is>
      </c>
      <c r="H287" s="5" t="inlineStr">
        <is>
          <t>1&lt;=X&lt;4</t>
        </is>
      </c>
      <c r="I287" s="5" t="n">
        <v>4</v>
      </c>
      <c r="J287" s="5" t="inlineStr">
        <is>
          <t>male single</t>
        </is>
      </c>
      <c r="K287" s="5" t="inlineStr">
        <is>
          <t>none</t>
        </is>
      </c>
      <c r="L287" s="5" t="n">
        <v>2</v>
      </c>
      <c r="M287" s="5" t="inlineStr">
        <is>
          <t>real estate</t>
        </is>
      </c>
      <c r="N287" s="5" t="n">
        <v>50</v>
      </c>
      <c r="O287" s="5" t="inlineStr">
        <is>
          <t>none</t>
        </is>
      </c>
      <c r="P287" s="5" t="inlineStr">
        <is>
          <t>own</t>
        </is>
      </c>
      <c r="Q287" s="5" t="n">
        <v>1</v>
      </c>
      <c r="R287" s="5" t="inlineStr">
        <is>
          <t>skilled</t>
        </is>
      </c>
      <c r="S287" s="5" t="n">
        <v>1</v>
      </c>
      <c r="T287" s="5" t="inlineStr">
        <is>
          <t>none</t>
        </is>
      </c>
      <c r="U287" s="5" t="inlineStr">
        <is>
          <t>yes</t>
        </is>
      </c>
      <c r="V287" s="5" t="inlineStr">
        <is>
          <t>good</t>
        </is>
      </c>
    </row>
    <row r="288">
      <c r="A288" s="5" t="n">
        <v>283</v>
      </c>
      <c r="B288" s="5" t="inlineStr">
        <is>
          <t>&gt;=200</t>
        </is>
      </c>
      <c r="C288" s="5" t="n">
        <v>18</v>
      </c>
      <c r="D288" s="5" t="inlineStr">
        <is>
          <t>all paid</t>
        </is>
      </c>
      <c r="E288" s="5" t="inlineStr">
        <is>
          <t>radio/tv</t>
        </is>
      </c>
      <c r="F288" s="5" t="n">
        <v>1445</v>
      </c>
      <c r="G288" s="5" t="inlineStr">
        <is>
          <t>no known savings</t>
        </is>
      </c>
      <c r="H288" s="5" t="inlineStr">
        <is>
          <t>4&lt;=X&lt;7</t>
        </is>
      </c>
      <c r="I288" s="5" t="n">
        <v>4</v>
      </c>
      <c r="J288" s="5" t="inlineStr">
        <is>
          <t>male single</t>
        </is>
      </c>
      <c r="K288" s="5" t="inlineStr">
        <is>
          <t>none</t>
        </is>
      </c>
      <c r="L288" s="5" t="n">
        <v>4</v>
      </c>
      <c r="M288" s="5" t="inlineStr">
        <is>
          <t>car</t>
        </is>
      </c>
      <c r="N288" s="5" t="n">
        <v>49</v>
      </c>
      <c r="O288" s="5" t="inlineStr">
        <is>
          <t>bank</t>
        </is>
      </c>
      <c r="P288" s="5" t="inlineStr">
        <is>
          <t>own</t>
        </is>
      </c>
      <c r="Q288" s="5" t="n">
        <v>1</v>
      </c>
      <c r="R288" s="5" t="inlineStr">
        <is>
          <t>unskilled resident</t>
        </is>
      </c>
      <c r="S288" s="5" t="n">
        <v>1</v>
      </c>
      <c r="T288" s="5" t="inlineStr">
        <is>
          <t>none</t>
        </is>
      </c>
      <c r="U288" s="5" t="inlineStr">
        <is>
          <t>yes</t>
        </is>
      </c>
      <c r="V288" s="5" t="inlineStr">
        <is>
          <t>good</t>
        </is>
      </c>
    </row>
    <row r="289">
      <c r="A289" s="5" t="n">
        <v>284</v>
      </c>
      <c r="B289" s="5" t="inlineStr">
        <is>
          <t>no checking</t>
        </is>
      </c>
      <c r="C289" s="5" t="n">
        <v>15</v>
      </c>
      <c r="D289" s="5" t="inlineStr">
        <is>
          <t>critical/other existing credit</t>
        </is>
      </c>
      <c r="E289" s="5" t="inlineStr">
        <is>
          <t>furniture/equipment</t>
        </is>
      </c>
      <c r="F289" s="5" t="n">
        <v>1520</v>
      </c>
      <c r="G289" s="5" t="inlineStr">
        <is>
          <t>no known savings</t>
        </is>
      </c>
      <c r="H289" s="5" t="inlineStr">
        <is>
          <t>&gt;=7</t>
        </is>
      </c>
      <c r="I289" s="5" t="n">
        <v>4</v>
      </c>
      <c r="J289" s="5" t="inlineStr">
        <is>
          <t>male single</t>
        </is>
      </c>
      <c r="K289" s="5" t="inlineStr">
        <is>
          <t>none</t>
        </is>
      </c>
      <c r="L289" s="5" t="n">
        <v>4</v>
      </c>
      <c r="M289" s="5" t="inlineStr">
        <is>
          <t>life insurance</t>
        </is>
      </c>
      <c r="N289" s="5" t="n">
        <v>63</v>
      </c>
      <c r="O289" s="5" t="inlineStr">
        <is>
          <t>none</t>
        </is>
      </c>
      <c r="P289" s="5" t="inlineStr">
        <is>
          <t>own</t>
        </is>
      </c>
      <c r="Q289" s="5" t="n">
        <v>1</v>
      </c>
      <c r="R289" s="5" t="inlineStr">
        <is>
          <t>skilled</t>
        </is>
      </c>
      <c r="S289" s="5" t="n">
        <v>1</v>
      </c>
      <c r="T289" s="5" t="inlineStr">
        <is>
          <t>none</t>
        </is>
      </c>
      <c r="U289" s="5" t="inlineStr">
        <is>
          <t>yes</t>
        </is>
      </c>
      <c r="V289" s="5" t="inlineStr">
        <is>
          <t>good</t>
        </is>
      </c>
    </row>
    <row r="290">
      <c r="A290" s="5" t="n">
        <v>285</v>
      </c>
      <c r="B290" s="5" t="inlineStr">
        <is>
          <t>0&lt;=X&lt;200</t>
        </is>
      </c>
      <c r="C290" s="5" t="n">
        <v>24</v>
      </c>
      <c r="D290" s="5" t="inlineStr">
        <is>
          <t>critical/other existing credit</t>
        </is>
      </c>
      <c r="E290" s="5" t="inlineStr">
        <is>
          <t>new car</t>
        </is>
      </c>
      <c r="F290" s="5" t="n">
        <v>3878</v>
      </c>
      <c r="G290" s="5" t="inlineStr">
        <is>
          <t>100&lt;=X&lt;500</t>
        </is>
      </c>
      <c r="H290" s="5" t="inlineStr">
        <is>
          <t>&lt;1</t>
        </is>
      </c>
      <c r="I290" s="5" t="n">
        <v>4</v>
      </c>
      <c r="J290" s="5" t="inlineStr">
        <is>
          <t>male div/sep</t>
        </is>
      </c>
      <c r="K290" s="5" t="inlineStr">
        <is>
          <t>none</t>
        </is>
      </c>
      <c r="L290" s="5" t="n">
        <v>2</v>
      </c>
      <c r="M290" s="5" t="inlineStr">
        <is>
          <t>car</t>
        </is>
      </c>
      <c r="N290" s="5" t="n">
        <v>37</v>
      </c>
      <c r="O290" s="5" t="inlineStr">
        <is>
          <t>none</t>
        </is>
      </c>
      <c r="P290" s="5" t="inlineStr">
        <is>
          <t>own</t>
        </is>
      </c>
      <c r="Q290" s="5" t="n">
        <v>1</v>
      </c>
      <c r="R290" s="5" t="inlineStr">
        <is>
          <t>skilled</t>
        </is>
      </c>
      <c r="S290" s="5" t="n">
        <v>1</v>
      </c>
      <c r="T290" s="5" t="inlineStr">
        <is>
          <t>yes</t>
        </is>
      </c>
      <c r="U290" s="5" t="inlineStr">
        <is>
          <t>yes</t>
        </is>
      </c>
      <c r="V290" s="5" t="inlineStr">
        <is>
          <t>good</t>
        </is>
      </c>
    </row>
    <row r="291">
      <c r="A291" s="5" t="n">
        <v>286</v>
      </c>
      <c r="B291" s="5" t="inlineStr">
        <is>
          <t>&lt;0</t>
        </is>
      </c>
      <c r="C291" s="5" t="n">
        <v>47</v>
      </c>
      <c r="D291" s="5" t="inlineStr">
        <is>
          <t>existing paid</t>
        </is>
      </c>
      <c r="E291" s="5" t="inlineStr">
        <is>
          <t>new car</t>
        </is>
      </c>
      <c r="F291" s="5" t="n">
        <v>10722</v>
      </c>
      <c r="G291" s="5" t="inlineStr">
        <is>
          <t>&lt;100</t>
        </is>
      </c>
      <c r="H291" s="5" t="inlineStr">
        <is>
          <t>&lt;1</t>
        </is>
      </c>
      <c r="I291" s="5" t="n">
        <v>1</v>
      </c>
      <c r="J291" s="5" t="inlineStr">
        <is>
          <t>female div/dep/mar</t>
        </is>
      </c>
      <c r="K291" s="5" t="inlineStr">
        <is>
          <t>none</t>
        </is>
      </c>
      <c r="L291" s="5" t="n">
        <v>1</v>
      </c>
      <c r="M291" s="5" t="inlineStr">
        <is>
          <t>real estate</t>
        </is>
      </c>
      <c r="N291" s="5" t="n">
        <v>35</v>
      </c>
      <c r="O291" s="5" t="inlineStr">
        <is>
          <t>none</t>
        </is>
      </c>
      <c r="P291" s="5" t="inlineStr">
        <is>
          <t>own</t>
        </is>
      </c>
      <c r="Q291" s="5" t="n">
        <v>1</v>
      </c>
      <c r="R291" s="5" t="inlineStr">
        <is>
          <t>unskilled resident</t>
        </is>
      </c>
      <c r="S291" s="5" t="n">
        <v>1</v>
      </c>
      <c r="T291" s="5" t="inlineStr">
        <is>
          <t>yes</t>
        </is>
      </c>
      <c r="U291" s="5" t="inlineStr">
        <is>
          <t>yes</t>
        </is>
      </c>
      <c r="V291" s="5" t="inlineStr">
        <is>
          <t>good</t>
        </is>
      </c>
    </row>
    <row r="292">
      <c r="A292" s="5" t="n">
        <v>287</v>
      </c>
      <c r="B292" s="5" t="inlineStr">
        <is>
          <t>&lt;0</t>
        </is>
      </c>
      <c r="C292" s="5" t="n">
        <v>48</v>
      </c>
      <c r="D292" s="5" t="inlineStr">
        <is>
          <t>existing paid</t>
        </is>
      </c>
      <c r="E292" s="5" t="inlineStr">
        <is>
          <t>used car</t>
        </is>
      </c>
      <c r="F292" s="5" t="n">
        <v>4788</v>
      </c>
      <c r="G292" s="5" t="inlineStr">
        <is>
          <t>&lt;100</t>
        </is>
      </c>
      <c r="H292" s="5" t="inlineStr">
        <is>
          <t>4&lt;=X&lt;7</t>
        </is>
      </c>
      <c r="I292" s="5" t="n">
        <v>4</v>
      </c>
      <c r="J292" s="5" t="inlineStr">
        <is>
          <t>male single</t>
        </is>
      </c>
      <c r="K292" s="5" t="inlineStr">
        <is>
          <t>none</t>
        </is>
      </c>
      <c r="L292" s="5" t="n">
        <v>3</v>
      </c>
      <c r="M292" s="5" t="inlineStr">
        <is>
          <t>life insurance</t>
        </is>
      </c>
      <c r="N292" s="5" t="n">
        <v>26</v>
      </c>
      <c r="O292" s="5" t="inlineStr">
        <is>
          <t>none</t>
        </is>
      </c>
      <c r="P292" s="5" t="inlineStr">
        <is>
          <t>own</t>
        </is>
      </c>
      <c r="Q292" s="5" t="n">
        <v>1</v>
      </c>
      <c r="R292" s="5" t="inlineStr">
        <is>
          <t>skilled</t>
        </is>
      </c>
      <c r="S292" s="5" t="n">
        <v>2</v>
      </c>
      <c r="T292" s="5" t="inlineStr">
        <is>
          <t>none</t>
        </is>
      </c>
      <c r="U292" s="5" t="inlineStr">
        <is>
          <t>yes</t>
        </is>
      </c>
      <c r="V292" s="5" t="inlineStr">
        <is>
          <t>good</t>
        </is>
      </c>
    </row>
    <row r="293">
      <c r="A293" s="5" t="n">
        <v>288</v>
      </c>
      <c r="B293" s="5" t="inlineStr">
        <is>
          <t>0&lt;=X&lt;200</t>
        </is>
      </c>
      <c r="C293" s="5" t="n">
        <v>48</v>
      </c>
      <c r="D293" s="5" t="inlineStr">
        <is>
          <t>delayed previously</t>
        </is>
      </c>
      <c r="E293" s="5" t="inlineStr">
        <is>
          <t>other</t>
        </is>
      </c>
      <c r="F293" s="5" t="n">
        <v>7582</v>
      </c>
      <c r="G293" s="5" t="inlineStr">
        <is>
          <t>100&lt;=X&lt;500</t>
        </is>
      </c>
      <c r="H293" s="5" t="inlineStr">
        <is>
          <t>unemployed</t>
        </is>
      </c>
      <c r="I293" s="5" t="n">
        <v>2</v>
      </c>
      <c r="J293" s="5" t="inlineStr">
        <is>
          <t>male single</t>
        </is>
      </c>
      <c r="K293" s="5" t="inlineStr">
        <is>
          <t>none</t>
        </is>
      </c>
      <c r="L293" s="5" t="n">
        <v>4</v>
      </c>
      <c r="M293" s="5" t="inlineStr">
        <is>
          <t>no known property</t>
        </is>
      </c>
      <c r="N293" s="5" t="n">
        <v>31</v>
      </c>
      <c r="O293" s="5" t="inlineStr">
        <is>
          <t>none</t>
        </is>
      </c>
      <c r="P293" s="5" t="inlineStr">
        <is>
          <t>for free</t>
        </is>
      </c>
      <c r="Q293" s="5" t="n">
        <v>1</v>
      </c>
      <c r="R293" s="5" t="inlineStr">
        <is>
          <t>high qualif/self emp/mgmt</t>
        </is>
      </c>
      <c r="S293" s="5" t="n">
        <v>1</v>
      </c>
      <c r="T293" s="5" t="inlineStr">
        <is>
          <t>yes</t>
        </is>
      </c>
      <c r="U293" s="5" t="inlineStr">
        <is>
          <t>yes</t>
        </is>
      </c>
      <c r="V293" s="5" t="inlineStr">
        <is>
          <t>good</t>
        </is>
      </c>
    </row>
    <row r="294">
      <c r="A294" s="5" t="n">
        <v>289</v>
      </c>
      <c r="B294" s="5" t="inlineStr">
        <is>
          <t>0&lt;=X&lt;200</t>
        </is>
      </c>
      <c r="C294" s="5" t="n">
        <v>12</v>
      </c>
      <c r="D294" s="5" t="inlineStr">
        <is>
          <t>existing paid</t>
        </is>
      </c>
      <c r="E294" s="5" t="inlineStr">
        <is>
          <t>radio/tv</t>
        </is>
      </c>
      <c r="F294" s="5" t="n">
        <v>1092</v>
      </c>
      <c r="G294" s="5" t="inlineStr">
        <is>
          <t>&lt;100</t>
        </is>
      </c>
      <c r="H294" s="5" t="inlineStr">
        <is>
          <t>1&lt;=X&lt;4</t>
        </is>
      </c>
      <c r="I294" s="5" t="n">
        <v>4</v>
      </c>
      <c r="J294" s="5" t="inlineStr">
        <is>
          <t>female div/dep/mar</t>
        </is>
      </c>
      <c r="K294" s="5" t="inlineStr">
        <is>
          <t>guarantor</t>
        </is>
      </c>
      <c r="L294" s="5" t="n">
        <v>4</v>
      </c>
      <c r="M294" s="5" t="inlineStr">
        <is>
          <t>real estate</t>
        </is>
      </c>
      <c r="N294" s="5" t="n">
        <v>49</v>
      </c>
      <c r="O294" s="5" t="inlineStr">
        <is>
          <t>none</t>
        </is>
      </c>
      <c r="P294" s="5" t="inlineStr">
        <is>
          <t>own</t>
        </is>
      </c>
      <c r="Q294" s="5" t="n">
        <v>2</v>
      </c>
      <c r="R294" s="5" t="inlineStr">
        <is>
          <t>skilled</t>
        </is>
      </c>
      <c r="S294" s="5" t="n">
        <v>1</v>
      </c>
      <c r="T294" s="5" t="inlineStr">
        <is>
          <t>yes</t>
        </is>
      </c>
      <c r="U294" s="5" t="inlineStr">
        <is>
          <t>yes</t>
        </is>
      </c>
      <c r="V294" s="5" t="inlineStr">
        <is>
          <t>good</t>
        </is>
      </c>
    </row>
    <row r="295">
      <c r="A295" s="5" t="n">
        <v>290</v>
      </c>
      <c r="B295" s="5" t="inlineStr">
        <is>
          <t>&lt;0</t>
        </is>
      </c>
      <c r="C295" s="5" t="n">
        <v>24</v>
      </c>
      <c r="D295" s="5" t="inlineStr">
        <is>
          <t>delayed previously</t>
        </is>
      </c>
      <c r="E295" s="5" t="inlineStr">
        <is>
          <t>radio/tv</t>
        </is>
      </c>
      <c r="F295" s="5" t="n">
        <v>1024</v>
      </c>
      <c r="G295" s="5" t="inlineStr">
        <is>
          <t>&lt;100</t>
        </is>
      </c>
      <c r="H295" s="5" t="inlineStr">
        <is>
          <t>&lt;1</t>
        </is>
      </c>
      <c r="I295" s="5" t="n">
        <v>4</v>
      </c>
      <c r="J295" s="5" t="inlineStr">
        <is>
          <t>male mar/wid</t>
        </is>
      </c>
      <c r="K295" s="5" t="inlineStr">
        <is>
          <t>none</t>
        </is>
      </c>
      <c r="L295" s="5" t="n">
        <v>4</v>
      </c>
      <c r="M295" s="5" t="inlineStr">
        <is>
          <t>real estate</t>
        </is>
      </c>
      <c r="N295" s="5" t="n">
        <v>48</v>
      </c>
      <c r="O295" s="5" t="inlineStr">
        <is>
          <t>stores</t>
        </is>
      </c>
      <c r="P295" s="5" t="inlineStr">
        <is>
          <t>own</t>
        </is>
      </c>
      <c r="Q295" s="5" t="n">
        <v>1</v>
      </c>
      <c r="R295" s="5" t="inlineStr">
        <is>
          <t>skilled</t>
        </is>
      </c>
      <c r="S295" s="5" t="n">
        <v>1</v>
      </c>
      <c r="T295" s="5" t="inlineStr">
        <is>
          <t>none</t>
        </is>
      </c>
      <c r="U295" s="5" t="inlineStr">
        <is>
          <t>yes</t>
        </is>
      </c>
      <c r="V295" s="5" t="inlineStr">
        <is>
          <t>bad</t>
        </is>
      </c>
    </row>
    <row r="296">
      <c r="A296" s="5" t="n">
        <v>291</v>
      </c>
      <c r="B296" s="5" t="inlineStr">
        <is>
          <t>no checking</t>
        </is>
      </c>
      <c r="C296" s="5" t="n">
        <v>12</v>
      </c>
      <c r="D296" s="5" t="inlineStr">
        <is>
          <t>existing paid</t>
        </is>
      </c>
      <c r="E296" s="5" t="inlineStr">
        <is>
          <t>business</t>
        </is>
      </c>
      <c r="F296" s="5" t="n">
        <v>1076</v>
      </c>
      <c r="G296" s="5" t="inlineStr">
        <is>
          <t>&lt;100</t>
        </is>
      </c>
      <c r="H296" s="5" t="inlineStr">
        <is>
          <t>1&lt;=X&lt;4</t>
        </is>
      </c>
      <c r="I296" s="5" t="n">
        <v>2</v>
      </c>
      <c r="J296" s="5" t="inlineStr">
        <is>
          <t>male mar/wid</t>
        </is>
      </c>
      <c r="K296" s="5" t="inlineStr">
        <is>
          <t>none</t>
        </is>
      </c>
      <c r="L296" s="5" t="n">
        <v>2</v>
      </c>
      <c r="M296" s="5" t="inlineStr">
        <is>
          <t>real estate</t>
        </is>
      </c>
      <c r="N296" s="5" t="n">
        <v>26</v>
      </c>
      <c r="O296" s="5" t="inlineStr">
        <is>
          <t>none</t>
        </is>
      </c>
      <c r="P296" s="5" t="inlineStr">
        <is>
          <t>own</t>
        </is>
      </c>
      <c r="Q296" s="5" t="n">
        <v>1</v>
      </c>
      <c r="R296" s="5" t="inlineStr">
        <is>
          <t>skilled</t>
        </is>
      </c>
      <c r="S296" s="5" t="n">
        <v>1</v>
      </c>
      <c r="T296" s="5" t="inlineStr">
        <is>
          <t>yes</t>
        </is>
      </c>
      <c r="U296" s="5" t="inlineStr">
        <is>
          <t>no</t>
        </is>
      </c>
      <c r="V296" s="5" t="inlineStr">
        <is>
          <t>good</t>
        </is>
      </c>
    </row>
    <row r="297">
      <c r="A297" s="5" t="n">
        <v>292</v>
      </c>
      <c r="B297" s="5" t="inlineStr">
        <is>
          <t>0&lt;=X&lt;200</t>
        </is>
      </c>
      <c r="C297" s="5" t="n">
        <v>36</v>
      </c>
      <c r="D297" s="5" t="inlineStr">
        <is>
          <t>existing paid</t>
        </is>
      </c>
      <c r="E297" s="5" t="inlineStr">
        <is>
          <t>used car</t>
        </is>
      </c>
      <c r="F297" s="5" t="n">
        <v>9398</v>
      </c>
      <c r="G297" s="5" t="inlineStr">
        <is>
          <t>&lt;100</t>
        </is>
      </c>
      <c r="H297" s="5" t="inlineStr">
        <is>
          <t>&lt;1</t>
        </is>
      </c>
      <c r="I297" s="5" t="n">
        <v>1</v>
      </c>
      <c r="J297" s="5" t="inlineStr">
        <is>
          <t>male mar/wid</t>
        </is>
      </c>
      <c r="K297" s="5" t="inlineStr">
        <is>
          <t>none</t>
        </is>
      </c>
      <c r="L297" s="5" t="n">
        <v>4</v>
      </c>
      <c r="M297" s="5" t="inlineStr">
        <is>
          <t>car</t>
        </is>
      </c>
      <c r="N297" s="5" t="n">
        <v>28</v>
      </c>
      <c r="O297" s="5" t="inlineStr">
        <is>
          <t>none</t>
        </is>
      </c>
      <c r="P297" s="5" t="inlineStr">
        <is>
          <t>rent</t>
        </is>
      </c>
      <c r="Q297" s="5" t="n">
        <v>1</v>
      </c>
      <c r="R297" s="5" t="inlineStr">
        <is>
          <t>high qualif/self emp/mgmt</t>
        </is>
      </c>
      <c r="S297" s="5" t="n">
        <v>1</v>
      </c>
      <c r="T297" s="5" t="inlineStr">
        <is>
          <t>yes</t>
        </is>
      </c>
      <c r="U297" s="5" t="inlineStr">
        <is>
          <t>yes</t>
        </is>
      </c>
      <c r="V297" s="5" t="inlineStr">
        <is>
          <t>bad</t>
        </is>
      </c>
    </row>
    <row r="298">
      <c r="A298" s="5" t="n">
        <v>293</v>
      </c>
      <c r="B298" s="5" t="inlineStr">
        <is>
          <t>&lt;0</t>
        </is>
      </c>
      <c r="C298" s="5" t="n">
        <v>24</v>
      </c>
      <c r="D298" s="5" t="inlineStr">
        <is>
          <t>critical/other existing credit</t>
        </is>
      </c>
      <c r="E298" s="5" t="inlineStr">
        <is>
          <t>used car</t>
        </is>
      </c>
      <c r="F298" s="5" t="n">
        <v>6419</v>
      </c>
      <c r="G298" s="5" t="inlineStr">
        <is>
          <t>&lt;100</t>
        </is>
      </c>
      <c r="H298" s="5" t="inlineStr">
        <is>
          <t>&gt;=7</t>
        </is>
      </c>
      <c r="I298" s="5" t="n">
        <v>2</v>
      </c>
      <c r="J298" s="5" t="inlineStr">
        <is>
          <t>female div/dep/mar</t>
        </is>
      </c>
      <c r="K298" s="5" t="inlineStr">
        <is>
          <t>none</t>
        </is>
      </c>
      <c r="L298" s="5" t="n">
        <v>4</v>
      </c>
      <c r="M298" s="5" t="inlineStr">
        <is>
          <t>no known property</t>
        </is>
      </c>
      <c r="N298" s="5" t="n">
        <v>44</v>
      </c>
      <c r="O298" s="5" t="inlineStr">
        <is>
          <t>none</t>
        </is>
      </c>
      <c r="P298" s="5" t="inlineStr">
        <is>
          <t>for free</t>
        </is>
      </c>
      <c r="Q298" s="5" t="n">
        <v>2</v>
      </c>
      <c r="R298" s="5" t="inlineStr">
        <is>
          <t>high qualif/self emp/mgmt</t>
        </is>
      </c>
      <c r="S298" s="5" t="n">
        <v>2</v>
      </c>
      <c r="T298" s="5" t="inlineStr">
        <is>
          <t>yes</t>
        </is>
      </c>
      <c r="U298" s="5" t="inlineStr">
        <is>
          <t>yes</t>
        </is>
      </c>
      <c r="V298" s="5" t="inlineStr">
        <is>
          <t>good</t>
        </is>
      </c>
    </row>
    <row r="299">
      <c r="A299" s="5" t="n">
        <v>294</v>
      </c>
      <c r="B299" s="5" t="inlineStr">
        <is>
          <t>&gt;=200</t>
        </is>
      </c>
      <c r="C299" s="5" t="n">
        <v>42</v>
      </c>
      <c r="D299" s="5" t="inlineStr">
        <is>
          <t>critical/other existing credit</t>
        </is>
      </c>
      <c r="E299" s="5" t="inlineStr">
        <is>
          <t>used car</t>
        </is>
      </c>
      <c r="F299" s="5" t="n">
        <v>4796</v>
      </c>
      <c r="G299" s="5" t="inlineStr">
        <is>
          <t>&lt;100</t>
        </is>
      </c>
      <c r="H299" s="5" t="inlineStr">
        <is>
          <t>&gt;=7</t>
        </is>
      </c>
      <c r="I299" s="5" t="n">
        <v>4</v>
      </c>
      <c r="J299" s="5" t="inlineStr">
        <is>
          <t>male single</t>
        </is>
      </c>
      <c r="K299" s="5" t="inlineStr">
        <is>
          <t>none</t>
        </is>
      </c>
      <c r="L299" s="5" t="n">
        <v>4</v>
      </c>
      <c r="M299" s="5" t="inlineStr">
        <is>
          <t>no known property</t>
        </is>
      </c>
      <c r="N299" s="5" t="n">
        <v>56</v>
      </c>
      <c r="O299" s="5" t="inlineStr">
        <is>
          <t>none</t>
        </is>
      </c>
      <c r="P299" s="5" t="inlineStr">
        <is>
          <t>for free</t>
        </is>
      </c>
      <c r="Q299" s="5" t="n">
        <v>1</v>
      </c>
      <c r="R299" s="5" t="inlineStr">
        <is>
          <t>skilled</t>
        </is>
      </c>
      <c r="S299" s="5" t="n">
        <v>1</v>
      </c>
      <c r="T299" s="5" t="inlineStr">
        <is>
          <t>none</t>
        </is>
      </c>
      <c r="U299" s="5" t="inlineStr">
        <is>
          <t>yes</t>
        </is>
      </c>
      <c r="V299" s="5" t="inlineStr">
        <is>
          <t>good</t>
        </is>
      </c>
    </row>
    <row r="300">
      <c r="A300" s="5" t="n">
        <v>295</v>
      </c>
      <c r="B300" s="5" t="inlineStr">
        <is>
          <t>no checking</t>
        </is>
      </c>
      <c r="C300" s="5" t="n">
        <v>48</v>
      </c>
      <c r="D300" s="5" t="inlineStr">
        <is>
          <t>critical/other existing credit</t>
        </is>
      </c>
      <c r="E300" s="5" t="inlineStr">
        <is>
          <t>business</t>
        </is>
      </c>
      <c r="F300" s="5" t="n">
        <v>7629</v>
      </c>
      <c r="G300" s="5" t="inlineStr">
        <is>
          <t>no known savings</t>
        </is>
      </c>
      <c r="H300" s="5" t="inlineStr">
        <is>
          <t>&gt;=7</t>
        </is>
      </c>
      <c r="I300" s="5" t="n">
        <v>4</v>
      </c>
      <c r="J300" s="5" t="inlineStr">
        <is>
          <t>male div/sep</t>
        </is>
      </c>
      <c r="K300" s="5" t="inlineStr">
        <is>
          <t>none</t>
        </is>
      </c>
      <c r="L300" s="5" t="n">
        <v>2</v>
      </c>
      <c r="M300" s="5" t="inlineStr">
        <is>
          <t>car</t>
        </is>
      </c>
      <c r="N300" s="5" t="n">
        <v>46</v>
      </c>
      <c r="O300" s="5" t="inlineStr">
        <is>
          <t>bank</t>
        </is>
      </c>
      <c r="P300" s="5" t="inlineStr">
        <is>
          <t>own</t>
        </is>
      </c>
      <c r="Q300" s="5" t="n">
        <v>2</v>
      </c>
      <c r="R300" s="5" t="inlineStr">
        <is>
          <t>high qualif/self emp/mgmt</t>
        </is>
      </c>
      <c r="S300" s="5" t="n">
        <v>2</v>
      </c>
      <c r="T300" s="5" t="inlineStr">
        <is>
          <t>none</t>
        </is>
      </c>
      <c r="U300" s="5" t="inlineStr">
        <is>
          <t>yes</t>
        </is>
      </c>
      <c r="V300" s="5" t="inlineStr">
        <is>
          <t>good</t>
        </is>
      </c>
    </row>
    <row r="301">
      <c r="A301" s="5" t="n">
        <v>296</v>
      </c>
      <c r="B301" s="5" t="inlineStr">
        <is>
          <t>0&lt;=X&lt;200</t>
        </is>
      </c>
      <c r="C301" s="5" t="n">
        <v>48</v>
      </c>
      <c r="D301" s="5" t="inlineStr">
        <is>
          <t>existing paid</t>
        </is>
      </c>
      <c r="E301" s="5" t="inlineStr">
        <is>
          <t>furniture/equipment</t>
        </is>
      </c>
      <c r="F301" s="5" t="n">
        <v>9960</v>
      </c>
      <c r="G301" s="5" t="inlineStr">
        <is>
          <t>&lt;100</t>
        </is>
      </c>
      <c r="H301" s="5" t="inlineStr">
        <is>
          <t>&lt;1</t>
        </is>
      </c>
      <c r="I301" s="5" t="n">
        <v>1</v>
      </c>
      <c r="J301" s="5" t="inlineStr">
        <is>
          <t>female div/dep/mar</t>
        </is>
      </c>
      <c r="K301" s="5" t="inlineStr">
        <is>
          <t>none</t>
        </is>
      </c>
      <c r="L301" s="5" t="n">
        <v>2</v>
      </c>
      <c r="M301" s="5" t="inlineStr">
        <is>
          <t>car</t>
        </is>
      </c>
      <c r="N301" s="5" t="n">
        <v>26</v>
      </c>
      <c r="O301" s="5" t="inlineStr">
        <is>
          <t>none</t>
        </is>
      </c>
      <c r="P301" s="5" t="inlineStr">
        <is>
          <t>own</t>
        </is>
      </c>
      <c r="Q301" s="5" t="n">
        <v>1</v>
      </c>
      <c r="R301" s="5" t="inlineStr">
        <is>
          <t>skilled</t>
        </is>
      </c>
      <c r="S301" s="5" t="n">
        <v>1</v>
      </c>
      <c r="T301" s="5" t="inlineStr">
        <is>
          <t>yes</t>
        </is>
      </c>
      <c r="U301" s="5" t="inlineStr">
        <is>
          <t>yes</t>
        </is>
      </c>
      <c r="V301" s="5" t="inlineStr">
        <is>
          <t>bad</t>
        </is>
      </c>
    </row>
    <row r="302">
      <c r="A302" s="5" t="n">
        <v>297</v>
      </c>
      <c r="B302" s="5" t="inlineStr">
        <is>
          <t>no checking</t>
        </is>
      </c>
      <c r="C302" s="5" t="n">
        <v>12</v>
      </c>
      <c r="D302" s="5" t="inlineStr">
        <is>
          <t>existing paid</t>
        </is>
      </c>
      <c r="E302" s="5" t="inlineStr">
        <is>
          <t>used car</t>
        </is>
      </c>
      <c r="F302" s="5" t="n">
        <v>4675</v>
      </c>
      <c r="G302" s="5" t="inlineStr">
        <is>
          <t>no known savings</t>
        </is>
      </c>
      <c r="H302" s="5" t="inlineStr">
        <is>
          <t>&lt;1</t>
        </is>
      </c>
      <c r="I302" s="5" t="n">
        <v>1</v>
      </c>
      <c r="J302" s="5" t="inlineStr">
        <is>
          <t>female div/dep/mar</t>
        </is>
      </c>
      <c r="K302" s="5" t="inlineStr">
        <is>
          <t>none</t>
        </is>
      </c>
      <c r="L302" s="5" t="n">
        <v>4</v>
      </c>
      <c r="M302" s="5" t="inlineStr">
        <is>
          <t>car</t>
        </is>
      </c>
      <c r="N302" s="5" t="n">
        <v>20</v>
      </c>
      <c r="O302" s="5" t="inlineStr">
        <is>
          <t>none</t>
        </is>
      </c>
      <c r="P302" s="5" t="inlineStr">
        <is>
          <t>rent</t>
        </is>
      </c>
      <c r="Q302" s="5" t="n">
        <v>1</v>
      </c>
      <c r="R302" s="5" t="inlineStr">
        <is>
          <t>skilled</t>
        </is>
      </c>
      <c r="S302" s="5" t="n">
        <v>1</v>
      </c>
      <c r="T302" s="5" t="inlineStr">
        <is>
          <t>none</t>
        </is>
      </c>
      <c r="U302" s="5" t="inlineStr">
        <is>
          <t>yes</t>
        </is>
      </c>
      <c r="V302" s="5" t="inlineStr">
        <is>
          <t>good</t>
        </is>
      </c>
    </row>
    <row r="303">
      <c r="A303" s="5" t="n">
        <v>298</v>
      </c>
      <c r="B303" s="5" t="inlineStr">
        <is>
          <t>no checking</t>
        </is>
      </c>
      <c r="C303" s="5" t="n">
        <v>10</v>
      </c>
      <c r="D303" s="5" t="inlineStr">
        <is>
          <t>existing paid</t>
        </is>
      </c>
      <c r="E303" s="5" t="inlineStr">
        <is>
          <t>new car</t>
        </is>
      </c>
      <c r="F303" s="5" t="n">
        <v>1287</v>
      </c>
      <c r="G303" s="5" t="inlineStr">
        <is>
          <t>no known savings</t>
        </is>
      </c>
      <c r="H303" s="5" t="inlineStr">
        <is>
          <t>&gt;=7</t>
        </is>
      </c>
      <c r="I303" s="5" t="n">
        <v>4</v>
      </c>
      <c r="J303" s="5" t="inlineStr">
        <is>
          <t>male single</t>
        </is>
      </c>
      <c r="K303" s="5" t="inlineStr">
        <is>
          <t>co applicant</t>
        </is>
      </c>
      <c r="L303" s="5" t="n">
        <v>2</v>
      </c>
      <c r="M303" s="5" t="inlineStr">
        <is>
          <t>life insurance</t>
        </is>
      </c>
      <c r="N303" s="5" t="n">
        <v>45</v>
      </c>
      <c r="O303" s="5" t="inlineStr">
        <is>
          <t>none</t>
        </is>
      </c>
      <c r="P303" s="5" t="inlineStr">
        <is>
          <t>own</t>
        </is>
      </c>
      <c r="Q303" s="5" t="n">
        <v>1</v>
      </c>
      <c r="R303" s="5" t="inlineStr">
        <is>
          <t>unskilled resident</t>
        </is>
      </c>
      <c r="S303" s="5" t="n">
        <v>1</v>
      </c>
      <c r="T303" s="5" t="inlineStr">
        <is>
          <t>none</t>
        </is>
      </c>
      <c r="U303" s="5" t="inlineStr">
        <is>
          <t>no</t>
        </is>
      </c>
      <c r="V303" s="5" t="inlineStr">
        <is>
          <t>good</t>
        </is>
      </c>
    </row>
    <row r="304">
      <c r="A304" s="5" t="n">
        <v>299</v>
      </c>
      <c r="B304" s="5" t="inlineStr">
        <is>
          <t>no checking</t>
        </is>
      </c>
      <c r="C304" s="5" t="n">
        <v>18</v>
      </c>
      <c r="D304" s="5" t="inlineStr">
        <is>
          <t>existing paid</t>
        </is>
      </c>
      <c r="E304" s="5" t="inlineStr">
        <is>
          <t>furniture/equipment</t>
        </is>
      </c>
      <c r="F304" s="5" t="n">
        <v>2515</v>
      </c>
      <c r="G304" s="5" t="inlineStr">
        <is>
          <t>&lt;100</t>
        </is>
      </c>
      <c r="H304" s="5" t="inlineStr">
        <is>
          <t>1&lt;=X&lt;4</t>
        </is>
      </c>
      <c r="I304" s="5" t="n">
        <v>3</v>
      </c>
      <c r="J304" s="5" t="inlineStr">
        <is>
          <t>male single</t>
        </is>
      </c>
      <c r="K304" s="5" t="inlineStr">
        <is>
          <t>none</t>
        </is>
      </c>
      <c r="L304" s="5" t="n">
        <v>4</v>
      </c>
      <c r="M304" s="5" t="inlineStr">
        <is>
          <t>real estate</t>
        </is>
      </c>
      <c r="N304" s="5" t="n">
        <v>43</v>
      </c>
      <c r="O304" s="5" t="inlineStr">
        <is>
          <t>none</t>
        </is>
      </c>
      <c r="P304" s="5" t="inlineStr">
        <is>
          <t>own</t>
        </is>
      </c>
      <c r="Q304" s="5" t="n">
        <v>1</v>
      </c>
      <c r="R304" s="5" t="inlineStr">
        <is>
          <t>skilled</t>
        </is>
      </c>
      <c r="S304" s="5" t="n">
        <v>1</v>
      </c>
      <c r="T304" s="5" t="inlineStr">
        <is>
          <t>yes</t>
        </is>
      </c>
      <c r="U304" s="5" t="inlineStr">
        <is>
          <t>yes</t>
        </is>
      </c>
      <c r="V304" s="5" t="inlineStr">
        <is>
          <t>good</t>
        </is>
      </c>
    </row>
    <row r="305">
      <c r="A305" s="5" t="n">
        <v>300</v>
      </c>
      <c r="B305" s="5" t="inlineStr">
        <is>
          <t>0&lt;=X&lt;200</t>
        </is>
      </c>
      <c r="C305" s="5" t="n">
        <v>21</v>
      </c>
      <c r="D305" s="5" t="inlineStr">
        <is>
          <t>critical/other existing credit</t>
        </is>
      </c>
      <c r="E305" s="5" t="inlineStr">
        <is>
          <t>furniture/equipment</t>
        </is>
      </c>
      <c r="F305" s="5" t="n">
        <v>2745</v>
      </c>
      <c r="G305" s="5" t="inlineStr">
        <is>
          <t>&gt;=1000</t>
        </is>
      </c>
      <c r="H305" s="5" t="inlineStr">
        <is>
          <t>4&lt;=X&lt;7</t>
        </is>
      </c>
      <c r="I305" s="5" t="n">
        <v>3</v>
      </c>
      <c r="J305" s="5" t="inlineStr">
        <is>
          <t>male single</t>
        </is>
      </c>
      <c r="K305" s="5" t="inlineStr">
        <is>
          <t>none</t>
        </is>
      </c>
      <c r="L305" s="5" t="n">
        <v>2</v>
      </c>
      <c r="M305" s="5" t="inlineStr">
        <is>
          <t>car</t>
        </is>
      </c>
      <c r="N305" s="5" t="n">
        <v>32</v>
      </c>
      <c r="O305" s="5" t="inlineStr">
        <is>
          <t>none</t>
        </is>
      </c>
      <c r="P305" s="5" t="inlineStr">
        <is>
          <t>own</t>
        </is>
      </c>
      <c r="Q305" s="5" t="n">
        <v>2</v>
      </c>
      <c r="R305" s="5" t="inlineStr">
        <is>
          <t>skilled</t>
        </is>
      </c>
      <c r="S305" s="5" t="n">
        <v>1</v>
      </c>
      <c r="T305" s="5" t="inlineStr">
        <is>
          <t>yes</t>
        </is>
      </c>
      <c r="U305" s="5" t="inlineStr">
        <is>
          <t>yes</t>
        </is>
      </c>
      <c r="V305" s="5" t="inlineStr">
        <is>
          <t>good</t>
        </is>
      </c>
    </row>
    <row r="306">
      <c r="A306" s="5" t="n">
        <v>301</v>
      </c>
      <c r="B306" s="5" t="inlineStr">
        <is>
          <t>no checking</t>
        </is>
      </c>
      <c r="C306" s="5" t="n">
        <v>6</v>
      </c>
      <c r="D306" s="5" t="inlineStr">
        <is>
          <t>existing paid</t>
        </is>
      </c>
      <c r="E306" s="5" t="inlineStr">
        <is>
          <t>new car</t>
        </is>
      </c>
      <c r="F306" s="5" t="n">
        <v>672</v>
      </c>
      <c r="G306" s="5" t="inlineStr">
        <is>
          <t>&lt;100</t>
        </is>
      </c>
      <c r="H306" s="5" t="inlineStr">
        <is>
          <t>unemployed</t>
        </is>
      </c>
      <c r="I306" s="5" t="n">
        <v>1</v>
      </c>
      <c r="J306" s="5" t="inlineStr">
        <is>
          <t>female div/dep/mar</t>
        </is>
      </c>
      <c r="K306" s="5" t="inlineStr">
        <is>
          <t>none</t>
        </is>
      </c>
      <c r="L306" s="5" t="n">
        <v>4</v>
      </c>
      <c r="M306" s="5" t="inlineStr">
        <is>
          <t>real estate</t>
        </is>
      </c>
      <c r="N306" s="5" t="n">
        <v>54</v>
      </c>
      <c r="O306" s="5" t="inlineStr">
        <is>
          <t>none</t>
        </is>
      </c>
      <c r="P306" s="5" t="inlineStr">
        <is>
          <t>own</t>
        </is>
      </c>
      <c r="Q306" s="5" t="n">
        <v>1</v>
      </c>
      <c r="R306" s="5" t="inlineStr">
        <is>
          <t>unemp/unskilled non res</t>
        </is>
      </c>
      <c r="S306" s="5" t="n">
        <v>1</v>
      </c>
      <c r="T306" s="5" t="inlineStr">
        <is>
          <t>yes</t>
        </is>
      </c>
      <c r="U306" s="5" t="inlineStr">
        <is>
          <t>yes</t>
        </is>
      </c>
      <c r="V306" s="5" t="inlineStr">
        <is>
          <t>good</t>
        </is>
      </c>
    </row>
    <row r="307">
      <c r="A307" s="5" t="n">
        <v>302</v>
      </c>
      <c r="B307" s="5" t="inlineStr">
        <is>
          <t>0&lt;=X&lt;200</t>
        </is>
      </c>
      <c r="C307" s="5" t="n">
        <v>36</v>
      </c>
      <c r="D307" s="5" t="inlineStr">
        <is>
          <t>no credits/all paid</t>
        </is>
      </c>
      <c r="E307" s="5" t="inlineStr">
        <is>
          <t>radio/tv</t>
        </is>
      </c>
      <c r="F307" s="5" t="n">
        <v>3804</v>
      </c>
      <c r="G307" s="5" t="inlineStr">
        <is>
          <t>&lt;100</t>
        </is>
      </c>
      <c r="H307" s="5" t="inlineStr">
        <is>
          <t>1&lt;=X&lt;4</t>
        </is>
      </c>
      <c r="I307" s="5" t="n">
        <v>4</v>
      </c>
      <c r="J307" s="5" t="inlineStr">
        <is>
          <t>female div/dep/mar</t>
        </is>
      </c>
      <c r="K307" s="5" t="inlineStr">
        <is>
          <t>none</t>
        </is>
      </c>
      <c r="L307" s="5" t="n">
        <v>1</v>
      </c>
      <c r="M307" s="5" t="inlineStr">
        <is>
          <t>car</t>
        </is>
      </c>
      <c r="N307" s="5" t="n">
        <v>42</v>
      </c>
      <c r="O307" s="5" t="inlineStr">
        <is>
          <t>none</t>
        </is>
      </c>
      <c r="P307" s="5" t="inlineStr">
        <is>
          <t>own</t>
        </is>
      </c>
      <c r="Q307" s="5" t="n">
        <v>1</v>
      </c>
      <c r="R307" s="5" t="inlineStr">
        <is>
          <t>skilled</t>
        </is>
      </c>
      <c r="S307" s="5" t="n">
        <v>1</v>
      </c>
      <c r="T307" s="5" t="inlineStr">
        <is>
          <t>yes</t>
        </is>
      </c>
      <c r="U307" s="5" t="inlineStr">
        <is>
          <t>yes</t>
        </is>
      </c>
      <c r="V307" s="5" t="inlineStr">
        <is>
          <t>bad</t>
        </is>
      </c>
    </row>
    <row r="308">
      <c r="A308" s="5" t="n">
        <v>303</v>
      </c>
      <c r="B308" s="5" t="inlineStr">
        <is>
          <t>&gt;=200</t>
        </is>
      </c>
      <c r="C308" s="5" t="n">
        <v>24</v>
      </c>
      <c r="D308" s="5" t="inlineStr">
        <is>
          <t>critical/other existing credit</t>
        </is>
      </c>
      <c r="E308" s="5" t="inlineStr">
        <is>
          <t>new car</t>
        </is>
      </c>
      <c r="F308" s="5" t="n">
        <v>1344</v>
      </c>
      <c r="G308" s="5" t="inlineStr">
        <is>
          <t>no known savings</t>
        </is>
      </c>
      <c r="H308" s="5" t="inlineStr">
        <is>
          <t>4&lt;=X&lt;7</t>
        </is>
      </c>
      <c r="I308" s="5" t="n">
        <v>4</v>
      </c>
      <c r="J308" s="5" t="inlineStr">
        <is>
          <t>male single</t>
        </is>
      </c>
      <c r="K308" s="5" t="inlineStr">
        <is>
          <t>none</t>
        </is>
      </c>
      <c r="L308" s="5" t="n">
        <v>2</v>
      </c>
      <c r="M308" s="5" t="inlineStr">
        <is>
          <t>real estate</t>
        </is>
      </c>
      <c r="N308" s="5" t="n">
        <v>37</v>
      </c>
      <c r="O308" s="5" t="inlineStr">
        <is>
          <t>bank</t>
        </is>
      </c>
      <c r="P308" s="5" t="inlineStr">
        <is>
          <t>own</t>
        </is>
      </c>
      <c r="Q308" s="5" t="n">
        <v>2</v>
      </c>
      <c r="R308" s="5" t="inlineStr">
        <is>
          <t>unskilled resident</t>
        </is>
      </c>
      <c r="S308" s="5" t="n">
        <v>2</v>
      </c>
      <c r="T308" s="5" t="inlineStr">
        <is>
          <t>none</t>
        </is>
      </c>
      <c r="U308" s="5" t="inlineStr">
        <is>
          <t>yes</t>
        </is>
      </c>
      <c r="V308" s="5" t="inlineStr">
        <is>
          <t>bad</t>
        </is>
      </c>
    </row>
    <row r="309">
      <c r="A309" s="5" t="n">
        <v>304</v>
      </c>
      <c r="B309" s="5" t="inlineStr">
        <is>
          <t>&lt;0</t>
        </is>
      </c>
      <c r="C309" s="5" t="n">
        <v>10</v>
      </c>
      <c r="D309" s="5" t="inlineStr">
        <is>
          <t>critical/other existing credit</t>
        </is>
      </c>
      <c r="E309" s="5" t="inlineStr">
        <is>
          <t>new car</t>
        </is>
      </c>
      <c r="F309" s="5" t="n">
        <v>1038</v>
      </c>
      <c r="G309" s="5" t="inlineStr">
        <is>
          <t>&lt;100</t>
        </is>
      </c>
      <c r="H309" s="5" t="inlineStr">
        <is>
          <t>4&lt;=X&lt;7</t>
        </is>
      </c>
      <c r="I309" s="5" t="n">
        <v>4</v>
      </c>
      <c r="J309" s="5" t="inlineStr">
        <is>
          <t>male single</t>
        </is>
      </c>
      <c r="K309" s="5" t="inlineStr">
        <is>
          <t>co applicant</t>
        </is>
      </c>
      <c r="L309" s="5" t="n">
        <v>3</v>
      </c>
      <c r="M309" s="5" t="inlineStr">
        <is>
          <t>life insurance</t>
        </is>
      </c>
      <c r="N309" s="5" t="n">
        <v>49</v>
      </c>
      <c r="O309" s="5" t="inlineStr">
        <is>
          <t>none</t>
        </is>
      </c>
      <c r="P309" s="5" t="inlineStr">
        <is>
          <t>own</t>
        </is>
      </c>
      <c r="Q309" s="5" t="n">
        <v>2</v>
      </c>
      <c r="R309" s="5" t="inlineStr">
        <is>
          <t>skilled</t>
        </is>
      </c>
      <c r="S309" s="5" t="n">
        <v>1</v>
      </c>
      <c r="T309" s="5" t="inlineStr">
        <is>
          <t>yes</t>
        </is>
      </c>
      <c r="U309" s="5" t="inlineStr">
        <is>
          <t>yes</t>
        </is>
      </c>
      <c r="V309" s="5" t="inlineStr">
        <is>
          <t>good</t>
        </is>
      </c>
    </row>
    <row r="310">
      <c r="A310" s="5" t="n">
        <v>305</v>
      </c>
      <c r="B310" s="5" t="inlineStr">
        <is>
          <t>no checking</t>
        </is>
      </c>
      <c r="C310" s="5" t="n">
        <v>48</v>
      </c>
      <c r="D310" s="5" t="inlineStr">
        <is>
          <t>critical/other existing credit</t>
        </is>
      </c>
      <c r="E310" s="5" t="inlineStr">
        <is>
          <t>new car</t>
        </is>
      </c>
      <c r="F310" s="5" t="n">
        <v>10127</v>
      </c>
      <c r="G310" s="5" t="inlineStr">
        <is>
          <t>500&lt;=X&lt;1000</t>
        </is>
      </c>
      <c r="H310" s="5" t="inlineStr">
        <is>
          <t>1&lt;=X&lt;4</t>
        </is>
      </c>
      <c r="I310" s="5" t="n">
        <v>2</v>
      </c>
      <c r="J310" s="5" t="inlineStr">
        <is>
          <t>male single</t>
        </is>
      </c>
      <c r="K310" s="5" t="inlineStr">
        <is>
          <t>none</t>
        </is>
      </c>
      <c r="L310" s="5" t="n">
        <v>2</v>
      </c>
      <c r="M310" s="5" t="inlineStr">
        <is>
          <t>no known property</t>
        </is>
      </c>
      <c r="N310" s="5" t="n">
        <v>44</v>
      </c>
      <c r="O310" s="5" t="inlineStr">
        <is>
          <t>bank</t>
        </is>
      </c>
      <c r="P310" s="5" t="inlineStr">
        <is>
          <t>for free</t>
        </is>
      </c>
      <c r="Q310" s="5" t="n">
        <v>1</v>
      </c>
      <c r="R310" s="5" t="inlineStr">
        <is>
          <t>skilled</t>
        </is>
      </c>
      <c r="S310" s="5" t="n">
        <v>1</v>
      </c>
      <c r="T310" s="5" t="inlineStr">
        <is>
          <t>none</t>
        </is>
      </c>
      <c r="U310" s="5" t="inlineStr">
        <is>
          <t>yes</t>
        </is>
      </c>
      <c r="V310" s="5" t="inlineStr">
        <is>
          <t>bad</t>
        </is>
      </c>
    </row>
    <row r="311">
      <c r="A311" s="5" t="n">
        <v>306</v>
      </c>
      <c r="B311" s="5" t="inlineStr">
        <is>
          <t>no checking</t>
        </is>
      </c>
      <c r="C311" s="5" t="n">
        <v>6</v>
      </c>
      <c r="D311" s="5" t="inlineStr">
        <is>
          <t>existing paid</t>
        </is>
      </c>
      <c r="E311" s="5" t="inlineStr">
        <is>
          <t>furniture/equipment</t>
        </is>
      </c>
      <c r="F311" s="5" t="n">
        <v>1543</v>
      </c>
      <c r="G311" s="5" t="inlineStr">
        <is>
          <t>&gt;=1000</t>
        </is>
      </c>
      <c r="H311" s="5" t="inlineStr">
        <is>
          <t>1&lt;=X&lt;4</t>
        </is>
      </c>
      <c r="I311" s="5" t="n">
        <v>4</v>
      </c>
      <c r="J311" s="5" t="inlineStr">
        <is>
          <t>male div/sep</t>
        </is>
      </c>
      <c r="K311" s="5" t="inlineStr">
        <is>
          <t>none</t>
        </is>
      </c>
      <c r="L311" s="5" t="n">
        <v>2</v>
      </c>
      <c r="M311" s="5" t="inlineStr">
        <is>
          <t>real estate</t>
        </is>
      </c>
      <c r="N311" s="5" t="n">
        <v>33</v>
      </c>
      <c r="O311" s="5" t="inlineStr">
        <is>
          <t>none</t>
        </is>
      </c>
      <c r="P311" s="5" t="inlineStr">
        <is>
          <t>own</t>
        </is>
      </c>
      <c r="Q311" s="5" t="n">
        <v>1</v>
      </c>
      <c r="R311" s="5" t="inlineStr">
        <is>
          <t>skilled</t>
        </is>
      </c>
      <c r="S311" s="5" t="n">
        <v>1</v>
      </c>
      <c r="T311" s="5" t="inlineStr">
        <is>
          <t>none</t>
        </is>
      </c>
      <c r="U311" s="5" t="inlineStr">
        <is>
          <t>yes</t>
        </is>
      </c>
      <c r="V311" s="5" t="inlineStr">
        <is>
          <t>good</t>
        </is>
      </c>
    </row>
    <row r="312">
      <c r="A312" s="5" t="n">
        <v>307</v>
      </c>
      <c r="B312" s="5" t="inlineStr">
        <is>
          <t>no checking</t>
        </is>
      </c>
      <c r="C312" s="5" t="n">
        <v>30</v>
      </c>
      <c r="D312" s="5" t="inlineStr">
        <is>
          <t>existing paid</t>
        </is>
      </c>
      <c r="E312" s="5" t="inlineStr">
        <is>
          <t>used car</t>
        </is>
      </c>
      <c r="F312" s="5" t="n">
        <v>4811</v>
      </c>
      <c r="G312" s="5" t="inlineStr">
        <is>
          <t>no known savings</t>
        </is>
      </c>
      <c r="H312" s="5" t="inlineStr">
        <is>
          <t>4&lt;=X&lt;7</t>
        </is>
      </c>
      <c r="I312" s="5" t="n">
        <v>2</v>
      </c>
      <c r="J312" s="5" t="inlineStr">
        <is>
          <t>female div/dep/mar</t>
        </is>
      </c>
      <c r="K312" s="5" t="inlineStr">
        <is>
          <t>none</t>
        </is>
      </c>
      <c r="L312" s="5" t="n">
        <v>4</v>
      </c>
      <c r="M312" s="5" t="inlineStr">
        <is>
          <t>life insurance</t>
        </is>
      </c>
      <c r="N312" s="5" t="n">
        <v>24</v>
      </c>
      <c r="O312" s="5" t="inlineStr">
        <is>
          <t>stores</t>
        </is>
      </c>
      <c r="P312" s="5" t="inlineStr">
        <is>
          <t>rent</t>
        </is>
      </c>
      <c r="Q312" s="5" t="n">
        <v>1</v>
      </c>
      <c r="R312" s="5" t="inlineStr">
        <is>
          <t>unskilled resident</t>
        </is>
      </c>
      <c r="S312" s="5" t="n">
        <v>1</v>
      </c>
      <c r="T312" s="5" t="inlineStr">
        <is>
          <t>none</t>
        </is>
      </c>
      <c r="U312" s="5" t="inlineStr">
        <is>
          <t>yes</t>
        </is>
      </c>
      <c r="V312" s="5" t="inlineStr">
        <is>
          <t>good</t>
        </is>
      </c>
    </row>
    <row r="313">
      <c r="A313" s="5" t="n">
        <v>308</v>
      </c>
      <c r="B313" s="5" t="inlineStr">
        <is>
          <t>&lt;0</t>
        </is>
      </c>
      <c r="C313" s="5" t="n">
        <v>12</v>
      </c>
      <c r="D313" s="5" t="inlineStr">
        <is>
          <t>existing paid</t>
        </is>
      </c>
      <c r="E313" s="5" t="inlineStr">
        <is>
          <t>radio/tv</t>
        </is>
      </c>
      <c r="F313" s="5" t="n">
        <v>727</v>
      </c>
      <c r="G313" s="5" t="inlineStr">
        <is>
          <t>100&lt;=X&lt;500</t>
        </is>
      </c>
      <c r="H313" s="5" t="inlineStr">
        <is>
          <t>&lt;1</t>
        </is>
      </c>
      <c r="I313" s="5" t="n">
        <v>4</v>
      </c>
      <c r="J313" s="5" t="inlineStr">
        <is>
          <t>male mar/wid</t>
        </is>
      </c>
      <c r="K313" s="5" t="inlineStr">
        <is>
          <t>none</t>
        </is>
      </c>
      <c r="L313" s="5" t="n">
        <v>3</v>
      </c>
      <c r="M313" s="5" t="inlineStr">
        <is>
          <t>no known property</t>
        </is>
      </c>
      <c r="N313" s="5" t="n">
        <v>33</v>
      </c>
      <c r="O313" s="5" t="inlineStr">
        <is>
          <t>none</t>
        </is>
      </c>
      <c r="P313" s="5" t="inlineStr">
        <is>
          <t>own</t>
        </is>
      </c>
      <c r="Q313" s="5" t="n">
        <v>1</v>
      </c>
      <c r="R313" s="5" t="inlineStr">
        <is>
          <t>unskilled resident</t>
        </is>
      </c>
      <c r="S313" s="5" t="n">
        <v>1</v>
      </c>
      <c r="T313" s="5" t="inlineStr">
        <is>
          <t>yes</t>
        </is>
      </c>
      <c r="U313" s="5" t="inlineStr">
        <is>
          <t>yes</t>
        </is>
      </c>
      <c r="V313" s="5" t="inlineStr">
        <is>
          <t>bad</t>
        </is>
      </c>
    </row>
    <row r="314">
      <c r="A314" s="5" t="n">
        <v>309</v>
      </c>
      <c r="B314" s="5" t="inlineStr">
        <is>
          <t>0&lt;=X&lt;200</t>
        </is>
      </c>
      <c r="C314" s="5" t="n">
        <v>8</v>
      </c>
      <c r="D314" s="5" t="inlineStr">
        <is>
          <t>existing paid</t>
        </is>
      </c>
      <c r="E314" s="5" t="inlineStr">
        <is>
          <t>furniture/equipment</t>
        </is>
      </c>
      <c r="F314" s="5" t="n">
        <v>1237</v>
      </c>
      <c r="G314" s="5" t="inlineStr">
        <is>
          <t>&lt;100</t>
        </is>
      </c>
      <c r="H314" s="5" t="inlineStr">
        <is>
          <t>1&lt;=X&lt;4</t>
        </is>
      </c>
      <c r="I314" s="5" t="n">
        <v>3</v>
      </c>
      <c r="J314" s="5" t="inlineStr">
        <is>
          <t>female div/dep/mar</t>
        </is>
      </c>
      <c r="K314" s="5" t="inlineStr">
        <is>
          <t>none</t>
        </is>
      </c>
      <c r="L314" s="5" t="n">
        <v>4</v>
      </c>
      <c r="M314" s="5" t="inlineStr">
        <is>
          <t>real estate</t>
        </is>
      </c>
      <c r="N314" s="5" t="n">
        <v>24</v>
      </c>
      <c r="O314" s="5" t="inlineStr">
        <is>
          <t>none</t>
        </is>
      </c>
      <c r="P314" s="5" t="inlineStr">
        <is>
          <t>own</t>
        </is>
      </c>
      <c r="Q314" s="5" t="n">
        <v>1</v>
      </c>
      <c r="R314" s="5" t="inlineStr">
        <is>
          <t>skilled</t>
        </is>
      </c>
      <c r="S314" s="5" t="n">
        <v>1</v>
      </c>
      <c r="T314" s="5" t="inlineStr">
        <is>
          <t>none</t>
        </is>
      </c>
      <c r="U314" s="5" t="inlineStr">
        <is>
          <t>yes</t>
        </is>
      </c>
      <c r="V314" s="5" t="inlineStr">
        <is>
          <t>bad</t>
        </is>
      </c>
    </row>
    <row r="315">
      <c r="A315" s="5" t="n">
        <v>310</v>
      </c>
      <c r="B315" s="5" t="inlineStr">
        <is>
          <t>0&lt;=X&lt;200</t>
        </is>
      </c>
      <c r="C315" s="5" t="n">
        <v>9</v>
      </c>
      <c r="D315" s="5" t="inlineStr">
        <is>
          <t>existing paid</t>
        </is>
      </c>
      <c r="E315" s="5" t="inlineStr">
        <is>
          <t>new car</t>
        </is>
      </c>
      <c r="F315" s="5" t="n">
        <v>276</v>
      </c>
      <c r="G315" s="5" t="inlineStr">
        <is>
          <t>&lt;100</t>
        </is>
      </c>
      <c r="H315" s="5" t="inlineStr">
        <is>
          <t>1&lt;=X&lt;4</t>
        </is>
      </c>
      <c r="I315" s="5" t="n">
        <v>4</v>
      </c>
      <c r="J315" s="5" t="inlineStr">
        <is>
          <t>male mar/wid</t>
        </is>
      </c>
      <c r="K315" s="5" t="inlineStr">
        <is>
          <t>none</t>
        </is>
      </c>
      <c r="L315" s="5" t="n">
        <v>4</v>
      </c>
      <c r="M315" s="5" t="inlineStr">
        <is>
          <t>real estate</t>
        </is>
      </c>
      <c r="N315" s="5" t="n">
        <v>22</v>
      </c>
      <c r="O315" s="5" t="inlineStr">
        <is>
          <t>none</t>
        </is>
      </c>
      <c r="P315" s="5" t="inlineStr">
        <is>
          <t>rent</t>
        </is>
      </c>
      <c r="Q315" s="5" t="n">
        <v>1</v>
      </c>
      <c r="R315" s="5" t="inlineStr">
        <is>
          <t>unskilled resident</t>
        </is>
      </c>
      <c r="S315" s="5" t="n">
        <v>1</v>
      </c>
      <c r="T315" s="5" t="inlineStr">
        <is>
          <t>none</t>
        </is>
      </c>
      <c r="U315" s="5" t="inlineStr">
        <is>
          <t>yes</t>
        </is>
      </c>
      <c r="V315" s="5" t="inlineStr">
        <is>
          <t>good</t>
        </is>
      </c>
    </row>
    <row r="316">
      <c r="A316" s="5" t="n">
        <v>311</v>
      </c>
      <c r="B316" s="5" t="inlineStr">
        <is>
          <t>0&lt;=X&lt;200</t>
        </is>
      </c>
      <c r="C316" s="5" t="n">
        <v>48</v>
      </c>
      <c r="D316" s="5" t="inlineStr">
        <is>
          <t>existing paid</t>
        </is>
      </c>
      <c r="E316" s="5" t="inlineStr">
        <is>
          <t>other</t>
        </is>
      </c>
      <c r="F316" s="5" t="n">
        <v>5381</v>
      </c>
      <c r="G316" s="5" t="inlineStr">
        <is>
          <t>no known savings</t>
        </is>
      </c>
      <c r="H316" s="5" t="inlineStr">
        <is>
          <t>unemployed</t>
        </is>
      </c>
      <c r="I316" s="5" t="n">
        <v>3</v>
      </c>
      <c r="J316" s="5" t="inlineStr">
        <is>
          <t>male single</t>
        </is>
      </c>
      <c r="K316" s="5" t="inlineStr">
        <is>
          <t>none</t>
        </is>
      </c>
      <c r="L316" s="5" t="n">
        <v>4</v>
      </c>
      <c r="M316" s="5" t="inlineStr">
        <is>
          <t>no known property</t>
        </is>
      </c>
      <c r="N316" s="5" t="n">
        <v>40</v>
      </c>
      <c r="O316" s="5" t="inlineStr">
        <is>
          <t>bank</t>
        </is>
      </c>
      <c r="P316" s="5" t="inlineStr">
        <is>
          <t>for free</t>
        </is>
      </c>
      <c r="Q316" s="5" t="n">
        <v>1</v>
      </c>
      <c r="R316" s="5" t="inlineStr">
        <is>
          <t>unemp/unskilled non res</t>
        </is>
      </c>
      <c r="S316" s="5" t="n">
        <v>1</v>
      </c>
      <c r="T316" s="5" t="inlineStr">
        <is>
          <t>yes</t>
        </is>
      </c>
      <c r="U316" s="5" t="inlineStr">
        <is>
          <t>yes</t>
        </is>
      </c>
      <c r="V316" s="5" t="inlineStr">
        <is>
          <t>good</t>
        </is>
      </c>
    </row>
    <row r="317">
      <c r="A317" s="5" t="n">
        <v>312</v>
      </c>
      <c r="B317" s="5" t="inlineStr">
        <is>
          <t>no checking</t>
        </is>
      </c>
      <c r="C317" s="5" t="n">
        <v>24</v>
      </c>
      <c r="D317" s="5" t="inlineStr">
        <is>
          <t>existing paid</t>
        </is>
      </c>
      <c r="E317" s="5" t="inlineStr">
        <is>
          <t>furniture/equipment</t>
        </is>
      </c>
      <c r="F317" s="5" t="n">
        <v>5511</v>
      </c>
      <c r="G317" s="5" t="inlineStr">
        <is>
          <t>100&lt;=X&lt;500</t>
        </is>
      </c>
      <c r="H317" s="5" t="inlineStr">
        <is>
          <t>1&lt;=X&lt;4</t>
        </is>
      </c>
      <c r="I317" s="5" t="n">
        <v>4</v>
      </c>
      <c r="J317" s="5" t="inlineStr">
        <is>
          <t>male single</t>
        </is>
      </c>
      <c r="K317" s="5" t="inlineStr">
        <is>
          <t>none</t>
        </is>
      </c>
      <c r="L317" s="5" t="n">
        <v>1</v>
      </c>
      <c r="M317" s="5" t="inlineStr">
        <is>
          <t>car</t>
        </is>
      </c>
      <c r="N317" s="5" t="n">
        <v>25</v>
      </c>
      <c r="O317" s="5" t="inlineStr">
        <is>
          <t>stores</t>
        </is>
      </c>
      <c r="P317" s="5" t="inlineStr">
        <is>
          <t>own</t>
        </is>
      </c>
      <c r="Q317" s="5" t="n">
        <v>1</v>
      </c>
      <c r="R317" s="5" t="inlineStr">
        <is>
          <t>skilled</t>
        </is>
      </c>
      <c r="S317" s="5" t="n">
        <v>1</v>
      </c>
      <c r="T317" s="5" t="inlineStr">
        <is>
          <t>none</t>
        </is>
      </c>
      <c r="U317" s="5" t="inlineStr">
        <is>
          <t>yes</t>
        </is>
      </c>
      <c r="V317" s="5" t="inlineStr">
        <is>
          <t>good</t>
        </is>
      </c>
    </row>
    <row r="318">
      <c r="A318" s="5" t="n">
        <v>313</v>
      </c>
      <c r="B318" s="5" t="inlineStr">
        <is>
          <t>&gt;=200</t>
        </is>
      </c>
      <c r="C318" s="5" t="n">
        <v>24</v>
      </c>
      <c r="D318" s="5" t="inlineStr">
        <is>
          <t>existing paid</t>
        </is>
      </c>
      <c r="E318" s="5" t="inlineStr">
        <is>
          <t>furniture/equipment</t>
        </is>
      </c>
      <c r="F318" s="5" t="n">
        <v>3749</v>
      </c>
      <c r="G318" s="5" t="inlineStr">
        <is>
          <t>&lt;100</t>
        </is>
      </c>
      <c r="H318" s="5" t="inlineStr">
        <is>
          <t>&lt;1</t>
        </is>
      </c>
      <c r="I318" s="5" t="n">
        <v>2</v>
      </c>
      <c r="J318" s="5" t="inlineStr">
        <is>
          <t>female div/dep/mar</t>
        </is>
      </c>
      <c r="K318" s="5" t="inlineStr">
        <is>
          <t>none</t>
        </is>
      </c>
      <c r="L318" s="5" t="n">
        <v>4</v>
      </c>
      <c r="M318" s="5" t="inlineStr">
        <is>
          <t>car</t>
        </is>
      </c>
      <c r="N318" s="5" t="n">
        <v>26</v>
      </c>
      <c r="O318" s="5" t="inlineStr">
        <is>
          <t>none</t>
        </is>
      </c>
      <c r="P318" s="5" t="inlineStr">
        <is>
          <t>own</t>
        </is>
      </c>
      <c r="Q318" s="5" t="n">
        <v>1</v>
      </c>
      <c r="R318" s="5" t="inlineStr">
        <is>
          <t>skilled</t>
        </is>
      </c>
      <c r="S318" s="5" t="n">
        <v>1</v>
      </c>
      <c r="T318" s="5" t="inlineStr">
        <is>
          <t>none</t>
        </is>
      </c>
      <c r="U318" s="5" t="inlineStr">
        <is>
          <t>yes</t>
        </is>
      </c>
      <c r="V318" s="5" t="inlineStr">
        <is>
          <t>good</t>
        </is>
      </c>
    </row>
    <row r="319">
      <c r="A319" s="5" t="n">
        <v>314</v>
      </c>
      <c r="B319" s="5" t="inlineStr">
        <is>
          <t>0&lt;=X&lt;200</t>
        </is>
      </c>
      <c r="C319" s="5" t="n">
        <v>12</v>
      </c>
      <c r="D319" s="5" t="inlineStr">
        <is>
          <t>existing paid</t>
        </is>
      </c>
      <c r="E319" s="5" t="inlineStr">
        <is>
          <t>new car</t>
        </is>
      </c>
      <c r="F319" s="5" t="n">
        <v>685</v>
      </c>
      <c r="G319" s="5" t="inlineStr">
        <is>
          <t>&lt;100</t>
        </is>
      </c>
      <c r="H319" s="5" t="inlineStr">
        <is>
          <t>4&lt;=X&lt;7</t>
        </is>
      </c>
      <c r="I319" s="5" t="n">
        <v>2</v>
      </c>
      <c r="J319" s="5" t="inlineStr">
        <is>
          <t>male mar/wid</t>
        </is>
      </c>
      <c r="K319" s="5" t="inlineStr">
        <is>
          <t>none</t>
        </is>
      </c>
      <c r="L319" s="5" t="n">
        <v>3</v>
      </c>
      <c r="M319" s="5" t="inlineStr">
        <is>
          <t>car</t>
        </is>
      </c>
      <c r="N319" s="5" t="n">
        <v>25</v>
      </c>
      <c r="O319" s="5" t="inlineStr">
        <is>
          <t>bank</t>
        </is>
      </c>
      <c r="P319" s="5" t="inlineStr">
        <is>
          <t>own</t>
        </is>
      </c>
      <c r="Q319" s="5" t="n">
        <v>1</v>
      </c>
      <c r="R319" s="5" t="inlineStr">
        <is>
          <t>unskilled resident</t>
        </is>
      </c>
      <c r="S319" s="5" t="n">
        <v>1</v>
      </c>
      <c r="T319" s="5" t="inlineStr">
        <is>
          <t>none</t>
        </is>
      </c>
      <c r="U319" s="5" t="inlineStr">
        <is>
          <t>yes</t>
        </is>
      </c>
      <c r="V319" s="5" t="inlineStr">
        <is>
          <t>bad</t>
        </is>
      </c>
    </row>
    <row r="320">
      <c r="A320" s="5" t="n">
        <v>315</v>
      </c>
      <c r="B320" s="5" t="inlineStr">
        <is>
          <t>&gt;=200</t>
        </is>
      </c>
      <c r="C320" s="5" t="n">
        <v>4</v>
      </c>
      <c r="D320" s="5" t="inlineStr">
        <is>
          <t>existing paid</t>
        </is>
      </c>
      <c r="E320" s="5" t="inlineStr">
        <is>
          <t>new car</t>
        </is>
      </c>
      <c r="F320" s="5" t="n">
        <v>1494</v>
      </c>
      <c r="G320" s="5" t="inlineStr">
        <is>
          <t>no known savings</t>
        </is>
      </c>
      <c r="H320" s="5" t="inlineStr">
        <is>
          <t>&lt;1</t>
        </is>
      </c>
      <c r="I320" s="5" t="n">
        <v>1</v>
      </c>
      <c r="J320" s="5" t="inlineStr">
        <is>
          <t>male single</t>
        </is>
      </c>
      <c r="K320" s="5" t="inlineStr">
        <is>
          <t>none</t>
        </is>
      </c>
      <c r="L320" s="5" t="n">
        <v>2</v>
      </c>
      <c r="M320" s="5" t="inlineStr">
        <is>
          <t>real estate</t>
        </is>
      </c>
      <c r="N320" s="5" t="n">
        <v>29</v>
      </c>
      <c r="O320" s="5" t="inlineStr">
        <is>
          <t>none</t>
        </is>
      </c>
      <c r="P320" s="5" t="inlineStr">
        <is>
          <t>own</t>
        </is>
      </c>
      <c r="Q320" s="5" t="n">
        <v>1</v>
      </c>
      <c r="R320" s="5" t="inlineStr">
        <is>
          <t>unskilled resident</t>
        </is>
      </c>
      <c r="S320" s="5" t="n">
        <v>2</v>
      </c>
      <c r="T320" s="5" t="inlineStr">
        <is>
          <t>none</t>
        </is>
      </c>
      <c r="U320" s="5" t="inlineStr">
        <is>
          <t>no</t>
        </is>
      </c>
      <c r="V320" s="5" t="inlineStr">
        <is>
          <t>good</t>
        </is>
      </c>
    </row>
    <row r="321">
      <c r="A321" s="5" t="n">
        <v>316</v>
      </c>
      <c r="B321" s="5" t="inlineStr">
        <is>
          <t>&lt;0</t>
        </is>
      </c>
      <c r="C321" s="5" t="n">
        <v>36</v>
      </c>
      <c r="D321" s="5" t="inlineStr">
        <is>
          <t>all paid</t>
        </is>
      </c>
      <c r="E321" s="5" t="inlineStr">
        <is>
          <t>furniture/equipment</t>
        </is>
      </c>
      <c r="F321" s="5" t="n">
        <v>2746</v>
      </c>
      <c r="G321" s="5" t="inlineStr">
        <is>
          <t>&lt;100</t>
        </is>
      </c>
      <c r="H321" s="5" t="inlineStr">
        <is>
          <t>&gt;=7</t>
        </is>
      </c>
      <c r="I321" s="5" t="n">
        <v>4</v>
      </c>
      <c r="J321" s="5" t="inlineStr">
        <is>
          <t>male single</t>
        </is>
      </c>
      <c r="K321" s="5" t="inlineStr">
        <is>
          <t>none</t>
        </is>
      </c>
      <c r="L321" s="5" t="n">
        <v>4</v>
      </c>
      <c r="M321" s="5" t="inlineStr">
        <is>
          <t>car</t>
        </is>
      </c>
      <c r="N321" s="5" t="n">
        <v>31</v>
      </c>
      <c r="O321" s="5" t="inlineStr">
        <is>
          <t>bank</t>
        </is>
      </c>
      <c r="P321" s="5" t="inlineStr">
        <is>
          <t>own</t>
        </is>
      </c>
      <c r="Q321" s="5" t="n">
        <v>1</v>
      </c>
      <c r="R321" s="5" t="inlineStr">
        <is>
          <t>skilled</t>
        </is>
      </c>
      <c r="S321" s="5" t="n">
        <v>1</v>
      </c>
      <c r="T321" s="5" t="inlineStr">
        <is>
          <t>none</t>
        </is>
      </c>
      <c r="U321" s="5" t="inlineStr">
        <is>
          <t>yes</t>
        </is>
      </c>
      <c r="V321" s="5" t="inlineStr">
        <is>
          <t>bad</t>
        </is>
      </c>
    </row>
    <row r="322">
      <c r="A322" s="5" t="n">
        <v>317</v>
      </c>
      <c r="B322" s="5" t="inlineStr">
        <is>
          <t>&lt;0</t>
        </is>
      </c>
      <c r="C322" s="5" t="n">
        <v>12</v>
      </c>
      <c r="D322" s="5" t="inlineStr">
        <is>
          <t>existing paid</t>
        </is>
      </c>
      <c r="E322" s="5" t="inlineStr">
        <is>
          <t>furniture/equipment</t>
        </is>
      </c>
      <c r="F322" s="5" t="n">
        <v>708</v>
      </c>
      <c r="G322" s="5" t="inlineStr">
        <is>
          <t>&lt;100</t>
        </is>
      </c>
      <c r="H322" s="5" t="inlineStr">
        <is>
          <t>1&lt;=X&lt;4</t>
        </is>
      </c>
      <c r="I322" s="5" t="n">
        <v>2</v>
      </c>
      <c r="J322" s="5" t="inlineStr">
        <is>
          <t>male single</t>
        </is>
      </c>
      <c r="K322" s="5" t="inlineStr">
        <is>
          <t>guarantor</t>
        </is>
      </c>
      <c r="L322" s="5" t="n">
        <v>3</v>
      </c>
      <c r="M322" s="5" t="inlineStr">
        <is>
          <t>life insurance</t>
        </is>
      </c>
      <c r="N322" s="5" t="n">
        <v>38</v>
      </c>
      <c r="O322" s="5" t="inlineStr">
        <is>
          <t>none</t>
        </is>
      </c>
      <c r="P322" s="5" t="inlineStr">
        <is>
          <t>own</t>
        </is>
      </c>
      <c r="Q322" s="5" t="n">
        <v>1</v>
      </c>
      <c r="R322" s="5" t="inlineStr">
        <is>
          <t>unskilled resident</t>
        </is>
      </c>
      <c r="S322" s="5" t="n">
        <v>2</v>
      </c>
      <c r="T322" s="5" t="inlineStr">
        <is>
          <t>none</t>
        </is>
      </c>
      <c r="U322" s="5" t="inlineStr">
        <is>
          <t>yes</t>
        </is>
      </c>
      <c r="V322" s="5" t="inlineStr">
        <is>
          <t>good</t>
        </is>
      </c>
    </row>
    <row r="323">
      <c r="A323" s="5" t="n">
        <v>318</v>
      </c>
      <c r="B323" s="5" t="inlineStr">
        <is>
          <t>0&lt;=X&lt;200</t>
        </is>
      </c>
      <c r="C323" s="5" t="n">
        <v>24</v>
      </c>
      <c r="D323" s="5" t="inlineStr">
        <is>
          <t>existing paid</t>
        </is>
      </c>
      <c r="E323" s="5" t="inlineStr">
        <is>
          <t>furniture/equipment</t>
        </is>
      </c>
      <c r="F323" s="5" t="n">
        <v>4351</v>
      </c>
      <c r="G323" s="5" t="inlineStr">
        <is>
          <t>no known savings</t>
        </is>
      </c>
      <c r="H323" s="5" t="inlineStr">
        <is>
          <t>1&lt;=X&lt;4</t>
        </is>
      </c>
      <c r="I323" s="5" t="n">
        <v>1</v>
      </c>
      <c r="J323" s="5" t="inlineStr">
        <is>
          <t>female div/dep/mar</t>
        </is>
      </c>
      <c r="K323" s="5" t="inlineStr">
        <is>
          <t>none</t>
        </is>
      </c>
      <c r="L323" s="5" t="n">
        <v>4</v>
      </c>
      <c r="M323" s="5" t="inlineStr">
        <is>
          <t>life insurance</t>
        </is>
      </c>
      <c r="N323" s="5" t="n">
        <v>48</v>
      </c>
      <c r="O323" s="5" t="inlineStr">
        <is>
          <t>none</t>
        </is>
      </c>
      <c r="P323" s="5" t="inlineStr">
        <is>
          <t>own</t>
        </is>
      </c>
      <c r="Q323" s="5" t="n">
        <v>1</v>
      </c>
      <c r="R323" s="5" t="inlineStr">
        <is>
          <t>unskilled resident</t>
        </is>
      </c>
      <c r="S323" s="5" t="n">
        <v>1</v>
      </c>
      <c r="T323" s="5" t="inlineStr">
        <is>
          <t>yes</t>
        </is>
      </c>
      <c r="U323" s="5" t="inlineStr">
        <is>
          <t>yes</t>
        </is>
      </c>
      <c r="V323" s="5" t="inlineStr">
        <is>
          <t>good</t>
        </is>
      </c>
    </row>
    <row r="324">
      <c r="A324" s="5" t="n">
        <v>319</v>
      </c>
      <c r="B324" s="5" t="inlineStr">
        <is>
          <t>no checking</t>
        </is>
      </c>
      <c r="C324" s="5" t="n">
        <v>12</v>
      </c>
      <c r="D324" s="5" t="inlineStr">
        <is>
          <t>critical/other existing credit</t>
        </is>
      </c>
      <c r="E324" s="5" t="inlineStr">
        <is>
          <t>education</t>
        </is>
      </c>
      <c r="F324" s="5" t="n">
        <v>701</v>
      </c>
      <c r="G324" s="5" t="inlineStr">
        <is>
          <t>&lt;100</t>
        </is>
      </c>
      <c r="H324" s="5" t="inlineStr">
        <is>
          <t>1&lt;=X&lt;4</t>
        </is>
      </c>
      <c r="I324" s="5" t="n">
        <v>4</v>
      </c>
      <c r="J324" s="5" t="inlineStr">
        <is>
          <t>male single</t>
        </is>
      </c>
      <c r="K324" s="5" t="inlineStr">
        <is>
          <t>none</t>
        </is>
      </c>
      <c r="L324" s="5" t="n">
        <v>2</v>
      </c>
      <c r="M324" s="5" t="inlineStr">
        <is>
          <t>car</t>
        </is>
      </c>
      <c r="N324" s="5" t="n">
        <v>32</v>
      </c>
      <c r="O324" s="5" t="inlineStr">
        <is>
          <t>none</t>
        </is>
      </c>
      <c r="P324" s="5" t="inlineStr">
        <is>
          <t>own</t>
        </is>
      </c>
      <c r="Q324" s="5" t="n">
        <v>2</v>
      </c>
      <c r="R324" s="5" t="inlineStr">
        <is>
          <t>skilled</t>
        </is>
      </c>
      <c r="S324" s="5" t="n">
        <v>1</v>
      </c>
      <c r="T324" s="5" t="inlineStr">
        <is>
          <t>none</t>
        </is>
      </c>
      <c r="U324" s="5" t="inlineStr">
        <is>
          <t>yes</t>
        </is>
      </c>
      <c r="V324" s="5" t="inlineStr">
        <is>
          <t>good</t>
        </is>
      </c>
    </row>
    <row r="325">
      <c r="A325" s="5" t="n">
        <v>320</v>
      </c>
      <c r="B325" s="5" t="inlineStr">
        <is>
          <t>&lt;0</t>
        </is>
      </c>
      <c r="C325" s="5" t="n">
        <v>15</v>
      </c>
      <c r="D325" s="5" t="inlineStr">
        <is>
          <t>delayed previously</t>
        </is>
      </c>
      <c r="E325" s="5" t="inlineStr">
        <is>
          <t>furniture/equipment</t>
        </is>
      </c>
      <c r="F325" s="5" t="n">
        <v>3643</v>
      </c>
      <c r="G325" s="5" t="inlineStr">
        <is>
          <t>&lt;100</t>
        </is>
      </c>
      <c r="H325" s="5" t="inlineStr">
        <is>
          <t>&gt;=7</t>
        </is>
      </c>
      <c r="I325" s="5" t="n">
        <v>1</v>
      </c>
      <c r="J325" s="5" t="inlineStr">
        <is>
          <t>female div/dep/mar</t>
        </is>
      </c>
      <c r="K325" s="5" t="inlineStr">
        <is>
          <t>none</t>
        </is>
      </c>
      <c r="L325" s="5" t="n">
        <v>4</v>
      </c>
      <c r="M325" s="5" t="inlineStr">
        <is>
          <t>life insurance</t>
        </is>
      </c>
      <c r="N325" s="5" t="n">
        <v>27</v>
      </c>
      <c r="O325" s="5" t="inlineStr">
        <is>
          <t>none</t>
        </is>
      </c>
      <c r="P325" s="5" t="inlineStr">
        <is>
          <t>own</t>
        </is>
      </c>
      <c r="Q325" s="5" t="n">
        <v>2</v>
      </c>
      <c r="R325" s="5" t="inlineStr">
        <is>
          <t>unskilled resident</t>
        </is>
      </c>
      <c r="S325" s="5" t="n">
        <v>1</v>
      </c>
      <c r="T325" s="5" t="inlineStr">
        <is>
          <t>none</t>
        </is>
      </c>
      <c r="U325" s="5" t="inlineStr">
        <is>
          <t>yes</t>
        </is>
      </c>
      <c r="V325" s="5" t="inlineStr">
        <is>
          <t>good</t>
        </is>
      </c>
    </row>
    <row r="326">
      <c r="A326" s="5" t="n">
        <v>321</v>
      </c>
      <c r="B326" s="5" t="inlineStr">
        <is>
          <t>0&lt;=X&lt;200</t>
        </is>
      </c>
      <c r="C326" s="5" t="n">
        <v>30</v>
      </c>
      <c r="D326" s="5" t="inlineStr">
        <is>
          <t>critical/other existing credit</t>
        </is>
      </c>
      <c r="E326" s="5" t="inlineStr">
        <is>
          <t>new car</t>
        </is>
      </c>
      <c r="F326" s="5" t="n">
        <v>4249</v>
      </c>
      <c r="G326" s="5" t="inlineStr">
        <is>
          <t>&lt;100</t>
        </is>
      </c>
      <c r="H326" s="5" t="inlineStr">
        <is>
          <t>unemployed</t>
        </is>
      </c>
      <c r="I326" s="5" t="n">
        <v>4</v>
      </c>
      <c r="J326" s="5" t="inlineStr">
        <is>
          <t>male mar/wid</t>
        </is>
      </c>
      <c r="K326" s="5" t="inlineStr">
        <is>
          <t>none</t>
        </is>
      </c>
      <c r="L326" s="5" t="n">
        <v>2</v>
      </c>
      <c r="M326" s="5" t="inlineStr">
        <is>
          <t>car</t>
        </is>
      </c>
      <c r="N326" s="5" t="n">
        <v>28</v>
      </c>
      <c r="O326" s="5" t="inlineStr">
        <is>
          <t>none</t>
        </is>
      </c>
      <c r="P326" s="5" t="inlineStr">
        <is>
          <t>own</t>
        </is>
      </c>
      <c r="Q326" s="5" t="n">
        <v>2</v>
      </c>
      <c r="R326" s="5" t="inlineStr">
        <is>
          <t>high qualif/self emp/mgmt</t>
        </is>
      </c>
      <c r="S326" s="5" t="n">
        <v>1</v>
      </c>
      <c r="T326" s="5" t="inlineStr">
        <is>
          <t>none</t>
        </is>
      </c>
      <c r="U326" s="5" t="inlineStr">
        <is>
          <t>yes</t>
        </is>
      </c>
      <c r="V326" s="5" t="inlineStr">
        <is>
          <t>bad</t>
        </is>
      </c>
    </row>
    <row r="327">
      <c r="A327" s="5" t="n">
        <v>322</v>
      </c>
      <c r="B327" s="5" t="inlineStr">
        <is>
          <t>&lt;0</t>
        </is>
      </c>
      <c r="C327" s="5" t="n">
        <v>24</v>
      </c>
      <c r="D327" s="5" t="inlineStr">
        <is>
          <t>existing paid</t>
        </is>
      </c>
      <c r="E327" s="5" t="inlineStr">
        <is>
          <t>radio/tv</t>
        </is>
      </c>
      <c r="F327" s="5" t="n">
        <v>1938</v>
      </c>
      <c r="G327" s="5" t="inlineStr">
        <is>
          <t>&lt;100</t>
        </is>
      </c>
      <c r="H327" s="5" t="inlineStr">
        <is>
          <t>&lt;1</t>
        </is>
      </c>
      <c r="I327" s="5" t="n">
        <v>4</v>
      </c>
      <c r="J327" s="5" t="inlineStr">
        <is>
          <t>male div/sep</t>
        </is>
      </c>
      <c r="K327" s="5" t="inlineStr">
        <is>
          <t>none</t>
        </is>
      </c>
      <c r="L327" s="5" t="n">
        <v>3</v>
      </c>
      <c r="M327" s="5" t="inlineStr">
        <is>
          <t>life insurance</t>
        </is>
      </c>
      <c r="N327" s="5" t="n">
        <v>32</v>
      </c>
      <c r="O327" s="5" t="inlineStr">
        <is>
          <t>none</t>
        </is>
      </c>
      <c r="P327" s="5" t="inlineStr">
        <is>
          <t>own</t>
        </is>
      </c>
      <c r="Q327" s="5" t="n">
        <v>1</v>
      </c>
      <c r="R327" s="5" t="inlineStr">
        <is>
          <t>skilled</t>
        </is>
      </c>
      <c r="S327" s="5" t="n">
        <v>1</v>
      </c>
      <c r="T327" s="5" t="inlineStr">
        <is>
          <t>none</t>
        </is>
      </c>
      <c r="U327" s="5" t="inlineStr">
        <is>
          <t>yes</t>
        </is>
      </c>
      <c r="V327" s="5" t="inlineStr">
        <is>
          <t>bad</t>
        </is>
      </c>
    </row>
    <row r="328">
      <c r="A328" s="5" t="n">
        <v>323</v>
      </c>
      <c r="B328" s="5" t="inlineStr">
        <is>
          <t>&lt;0</t>
        </is>
      </c>
      <c r="C328" s="5" t="n">
        <v>24</v>
      </c>
      <c r="D328" s="5" t="inlineStr">
        <is>
          <t>existing paid</t>
        </is>
      </c>
      <c r="E328" s="5" t="inlineStr">
        <is>
          <t>used car</t>
        </is>
      </c>
      <c r="F328" s="5" t="n">
        <v>2910</v>
      </c>
      <c r="G328" s="5" t="inlineStr">
        <is>
          <t>&lt;100</t>
        </is>
      </c>
      <c r="H328" s="5" t="inlineStr">
        <is>
          <t>4&lt;=X&lt;7</t>
        </is>
      </c>
      <c r="I328" s="5" t="n">
        <v>2</v>
      </c>
      <c r="J328" s="5" t="inlineStr">
        <is>
          <t>male single</t>
        </is>
      </c>
      <c r="K328" s="5" t="inlineStr">
        <is>
          <t>none</t>
        </is>
      </c>
      <c r="L328" s="5" t="n">
        <v>1</v>
      </c>
      <c r="M328" s="5" t="inlineStr">
        <is>
          <t>no known property</t>
        </is>
      </c>
      <c r="N328" s="5" t="n">
        <v>34</v>
      </c>
      <c r="O328" s="5" t="inlineStr">
        <is>
          <t>none</t>
        </is>
      </c>
      <c r="P328" s="5" t="inlineStr">
        <is>
          <t>for free</t>
        </is>
      </c>
      <c r="Q328" s="5" t="n">
        <v>1</v>
      </c>
      <c r="R328" s="5" t="inlineStr">
        <is>
          <t>high qualif/self emp/mgmt</t>
        </is>
      </c>
      <c r="S328" s="5" t="n">
        <v>1</v>
      </c>
      <c r="T328" s="5" t="inlineStr">
        <is>
          <t>yes</t>
        </is>
      </c>
      <c r="U328" s="5" t="inlineStr">
        <is>
          <t>yes</t>
        </is>
      </c>
      <c r="V328" s="5" t="inlineStr">
        <is>
          <t>good</t>
        </is>
      </c>
    </row>
    <row r="329">
      <c r="A329" s="5" t="n">
        <v>324</v>
      </c>
      <c r="B329" s="5" t="inlineStr">
        <is>
          <t>&lt;0</t>
        </is>
      </c>
      <c r="C329" s="5" t="n">
        <v>18</v>
      </c>
      <c r="D329" s="5" t="inlineStr">
        <is>
          <t>existing paid</t>
        </is>
      </c>
      <c r="E329" s="5" t="inlineStr">
        <is>
          <t>furniture/equipment</t>
        </is>
      </c>
      <c r="F329" s="5" t="n">
        <v>2659</v>
      </c>
      <c r="G329" s="5" t="inlineStr">
        <is>
          <t>&gt;=1000</t>
        </is>
      </c>
      <c r="H329" s="5" t="inlineStr">
        <is>
          <t>1&lt;=X&lt;4</t>
        </is>
      </c>
      <c r="I329" s="5" t="n">
        <v>4</v>
      </c>
      <c r="J329" s="5" t="inlineStr">
        <is>
          <t>male single</t>
        </is>
      </c>
      <c r="K329" s="5" t="inlineStr">
        <is>
          <t>none</t>
        </is>
      </c>
      <c r="L329" s="5" t="n">
        <v>2</v>
      </c>
      <c r="M329" s="5" t="inlineStr">
        <is>
          <t>car</t>
        </is>
      </c>
      <c r="N329" s="5" t="n">
        <v>28</v>
      </c>
      <c r="O329" s="5" t="inlineStr">
        <is>
          <t>none</t>
        </is>
      </c>
      <c r="P329" s="5" t="inlineStr">
        <is>
          <t>own</t>
        </is>
      </c>
      <c r="Q329" s="5" t="n">
        <v>1</v>
      </c>
      <c r="R329" s="5" t="inlineStr">
        <is>
          <t>skilled</t>
        </is>
      </c>
      <c r="S329" s="5" t="n">
        <v>1</v>
      </c>
      <c r="T329" s="5" t="inlineStr">
        <is>
          <t>none</t>
        </is>
      </c>
      <c r="U329" s="5" t="inlineStr">
        <is>
          <t>yes</t>
        </is>
      </c>
      <c r="V329" s="5" t="inlineStr">
        <is>
          <t>good</t>
        </is>
      </c>
    </row>
    <row r="330">
      <c r="A330" s="5" t="n">
        <v>325</v>
      </c>
      <c r="B330" s="5" t="inlineStr">
        <is>
          <t>no checking</t>
        </is>
      </c>
      <c r="C330" s="5" t="n">
        <v>18</v>
      </c>
      <c r="D330" s="5" t="inlineStr">
        <is>
          <t>critical/other existing credit</t>
        </is>
      </c>
      <c r="E330" s="5" t="inlineStr">
        <is>
          <t>new car</t>
        </is>
      </c>
      <c r="F330" s="5" t="n">
        <v>1028</v>
      </c>
      <c r="G330" s="5" t="inlineStr">
        <is>
          <t>&lt;100</t>
        </is>
      </c>
      <c r="H330" s="5" t="inlineStr">
        <is>
          <t>1&lt;=X&lt;4</t>
        </is>
      </c>
      <c r="I330" s="5" t="n">
        <v>4</v>
      </c>
      <c r="J330" s="5" t="inlineStr">
        <is>
          <t>female div/dep/mar</t>
        </is>
      </c>
      <c r="K330" s="5" t="inlineStr">
        <is>
          <t>none</t>
        </is>
      </c>
      <c r="L330" s="5" t="n">
        <v>3</v>
      </c>
      <c r="M330" s="5" t="inlineStr">
        <is>
          <t>real estate</t>
        </is>
      </c>
      <c r="N330" s="5" t="n">
        <v>36</v>
      </c>
      <c r="O330" s="5" t="inlineStr">
        <is>
          <t>none</t>
        </is>
      </c>
      <c r="P330" s="5" t="inlineStr">
        <is>
          <t>own</t>
        </is>
      </c>
      <c r="Q330" s="5" t="n">
        <v>2</v>
      </c>
      <c r="R330" s="5" t="inlineStr">
        <is>
          <t>skilled</t>
        </is>
      </c>
      <c r="S330" s="5" t="n">
        <v>1</v>
      </c>
      <c r="T330" s="5" t="inlineStr">
        <is>
          <t>none</t>
        </is>
      </c>
      <c r="U330" s="5" t="inlineStr">
        <is>
          <t>yes</t>
        </is>
      </c>
      <c r="V330" s="5" t="inlineStr">
        <is>
          <t>good</t>
        </is>
      </c>
    </row>
    <row r="331">
      <c r="A331" s="5" t="n">
        <v>326</v>
      </c>
      <c r="B331" s="5" t="inlineStr">
        <is>
          <t>&lt;0</t>
        </is>
      </c>
      <c r="C331" s="5" t="n">
        <v>8</v>
      </c>
      <c r="D331" s="5" t="inlineStr">
        <is>
          <t>critical/other existing credit</t>
        </is>
      </c>
      <c r="E331" s="5" t="inlineStr">
        <is>
          <t>new car</t>
        </is>
      </c>
      <c r="F331" s="5" t="n">
        <v>3398</v>
      </c>
      <c r="G331" s="5" t="inlineStr">
        <is>
          <t>&lt;100</t>
        </is>
      </c>
      <c r="H331" s="5" t="inlineStr">
        <is>
          <t>4&lt;=X&lt;7</t>
        </is>
      </c>
      <c r="I331" s="5" t="n">
        <v>1</v>
      </c>
      <c r="J331" s="5" t="inlineStr">
        <is>
          <t>male single</t>
        </is>
      </c>
      <c r="K331" s="5" t="inlineStr">
        <is>
          <t>none</t>
        </is>
      </c>
      <c r="L331" s="5" t="n">
        <v>4</v>
      </c>
      <c r="M331" s="5" t="inlineStr">
        <is>
          <t>real estate</t>
        </is>
      </c>
      <c r="N331" s="5" t="n">
        <v>39</v>
      </c>
      <c r="O331" s="5" t="inlineStr">
        <is>
          <t>none</t>
        </is>
      </c>
      <c r="P331" s="5" t="inlineStr">
        <is>
          <t>own</t>
        </is>
      </c>
      <c r="Q331" s="5" t="n">
        <v>2</v>
      </c>
      <c r="R331" s="5" t="inlineStr">
        <is>
          <t>unskilled resident</t>
        </is>
      </c>
      <c r="S331" s="5" t="n">
        <v>1</v>
      </c>
      <c r="T331" s="5" t="inlineStr">
        <is>
          <t>none</t>
        </is>
      </c>
      <c r="U331" s="5" t="inlineStr">
        <is>
          <t>no</t>
        </is>
      </c>
      <c r="V331" s="5" t="inlineStr">
        <is>
          <t>good</t>
        </is>
      </c>
    </row>
    <row r="332">
      <c r="A332" s="5" t="n">
        <v>327</v>
      </c>
      <c r="B332" s="5" t="inlineStr">
        <is>
          <t>no checking</t>
        </is>
      </c>
      <c r="C332" s="5" t="n">
        <v>12</v>
      </c>
      <c r="D332" s="5" t="inlineStr">
        <is>
          <t>critical/other existing credit</t>
        </is>
      </c>
      <c r="E332" s="5" t="inlineStr">
        <is>
          <t>furniture/equipment</t>
        </is>
      </c>
      <c r="F332" s="5" t="n">
        <v>5801</v>
      </c>
      <c r="G332" s="5" t="inlineStr">
        <is>
          <t>no known savings</t>
        </is>
      </c>
      <c r="H332" s="5" t="inlineStr">
        <is>
          <t>&gt;=7</t>
        </is>
      </c>
      <c r="I332" s="5" t="n">
        <v>2</v>
      </c>
      <c r="J332" s="5" t="inlineStr">
        <is>
          <t>male single</t>
        </is>
      </c>
      <c r="K332" s="5" t="inlineStr">
        <is>
          <t>none</t>
        </is>
      </c>
      <c r="L332" s="5" t="n">
        <v>4</v>
      </c>
      <c r="M332" s="5" t="inlineStr">
        <is>
          <t>life insurance</t>
        </is>
      </c>
      <c r="N332" s="5" t="n">
        <v>49</v>
      </c>
      <c r="O332" s="5" t="inlineStr">
        <is>
          <t>none</t>
        </is>
      </c>
      <c r="P332" s="5" t="inlineStr">
        <is>
          <t>rent</t>
        </is>
      </c>
      <c r="Q332" s="5" t="n">
        <v>1</v>
      </c>
      <c r="R332" s="5" t="inlineStr">
        <is>
          <t>skilled</t>
        </is>
      </c>
      <c r="S332" s="5" t="n">
        <v>1</v>
      </c>
      <c r="T332" s="5" t="inlineStr">
        <is>
          <t>yes</t>
        </is>
      </c>
      <c r="U332" s="5" t="inlineStr">
        <is>
          <t>yes</t>
        </is>
      </c>
      <c r="V332" s="5" t="inlineStr">
        <is>
          <t>good</t>
        </is>
      </c>
    </row>
    <row r="333">
      <c r="A333" s="5" t="n">
        <v>328</v>
      </c>
      <c r="B333" s="5" t="inlineStr">
        <is>
          <t>no checking</t>
        </is>
      </c>
      <c r="C333" s="5" t="n">
        <v>24</v>
      </c>
      <c r="D333" s="5" t="inlineStr">
        <is>
          <t>existing paid</t>
        </is>
      </c>
      <c r="E333" s="5" t="inlineStr">
        <is>
          <t>new car</t>
        </is>
      </c>
      <c r="F333" s="5" t="n">
        <v>1525</v>
      </c>
      <c r="G333" s="5" t="inlineStr">
        <is>
          <t>&gt;=1000</t>
        </is>
      </c>
      <c r="H333" s="5" t="inlineStr">
        <is>
          <t>4&lt;=X&lt;7</t>
        </is>
      </c>
      <c r="I333" s="5" t="n">
        <v>4</v>
      </c>
      <c r="J333" s="5" t="inlineStr">
        <is>
          <t>female div/dep/mar</t>
        </is>
      </c>
      <c r="K333" s="5" t="inlineStr">
        <is>
          <t>none</t>
        </is>
      </c>
      <c r="L333" s="5" t="n">
        <v>3</v>
      </c>
      <c r="M333" s="5" t="inlineStr">
        <is>
          <t>car</t>
        </is>
      </c>
      <c r="N333" s="5" t="n">
        <v>34</v>
      </c>
      <c r="O333" s="5" t="inlineStr">
        <is>
          <t>none</t>
        </is>
      </c>
      <c r="P333" s="5" t="inlineStr">
        <is>
          <t>own</t>
        </is>
      </c>
      <c r="Q333" s="5" t="n">
        <v>1</v>
      </c>
      <c r="R333" s="5" t="inlineStr">
        <is>
          <t>skilled</t>
        </is>
      </c>
      <c r="S333" s="5" t="n">
        <v>2</v>
      </c>
      <c r="T333" s="5" t="inlineStr">
        <is>
          <t>yes</t>
        </is>
      </c>
      <c r="U333" s="5" t="inlineStr">
        <is>
          <t>yes</t>
        </is>
      </c>
      <c r="V333" s="5" t="inlineStr">
        <is>
          <t>good</t>
        </is>
      </c>
    </row>
    <row r="334">
      <c r="A334" s="5" t="n">
        <v>329</v>
      </c>
      <c r="B334" s="5" t="inlineStr">
        <is>
          <t>&gt;=200</t>
        </is>
      </c>
      <c r="C334" s="5" t="n">
        <v>36</v>
      </c>
      <c r="D334" s="5" t="inlineStr">
        <is>
          <t>existing paid</t>
        </is>
      </c>
      <c r="E334" s="5" t="inlineStr">
        <is>
          <t>radio/tv</t>
        </is>
      </c>
      <c r="F334" s="5" t="n">
        <v>4473</v>
      </c>
      <c r="G334" s="5" t="inlineStr">
        <is>
          <t>&lt;100</t>
        </is>
      </c>
      <c r="H334" s="5" t="inlineStr">
        <is>
          <t>&gt;=7</t>
        </is>
      </c>
      <c r="I334" s="5" t="n">
        <v>4</v>
      </c>
      <c r="J334" s="5" t="inlineStr">
        <is>
          <t>male single</t>
        </is>
      </c>
      <c r="K334" s="5" t="inlineStr">
        <is>
          <t>none</t>
        </is>
      </c>
      <c r="L334" s="5" t="n">
        <v>2</v>
      </c>
      <c r="M334" s="5" t="inlineStr">
        <is>
          <t>car</t>
        </is>
      </c>
      <c r="N334" s="5" t="n">
        <v>31</v>
      </c>
      <c r="O334" s="5" t="inlineStr">
        <is>
          <t>none</t>
        </is>
      </c>
      <c r="P334" s="5" t="inlineStr">
        <is>
          <t>own</t>
        </is>
      </c>
      <c r="Q334" s="5" t="n">
        <v>1</v>
      </c>
      <c r="R334" s="5" t="inlineStr">
        <is>
          <t>skilled</t>
        </is>
      </c>
      <c r="S334" s="5" t="n">
        <v>1</v>
      </c>
      <c r="T334" s="5" t="inlineStr">
        <is>
          <t>none</t>
        </is>
      </c>
      <c r="U334" s="5" t="inlineStr">
        <is>
          <t>yes</t>
        </is>
      </c>
      <c r="V334" s="5" t="inlineStr">
        <is>
          <t>good</t>
        </is>
      </c>
    </row>
    <row r="335">
      <c r="A335" s="5" t="n">
        <v>330</v>
      </c>
      <c r="B335" s="5" t="inlineStr">
        <is>
          <t>0&lt;=X&lt;200</t>
        </is>
      </c>
      <c r="C335" s="5" t="n">
        <v>6</v>
      </c>
      <c r="D335" s="5" t="inlineStr">
        <is>
          <t>existing paid</t>
        </is>
      </c>
      <c r="E335" s="5" t="inlineStr">
        <is>
          <t>radio/tv</t>
        </is>
      </c>
      <c r="F335" s="5" t="n">
        <v>1068</v>
      </c>
      <c r="G335" s="5" t="inlineStr">
        <is>
          <t>&lt;100</t>
        </is>
      </c>
      <c r="H335" s="5" t="inlineStr">
        <is>
          <t>&gt;=7</t>
        </is>
      </c>
      <c r="I335" s="5" t="n">
        <v>4</v>
      </c>
      <c r="J335" s="5" t="inlineStr">
        <is>
          <t>male single</t>
        </is>
      </c>
      <c r="K335" s="5" t="inlineStr">
        <is>
          <t>none</t>
        </is>
      </c>
      <c r="L335" s="5" t="n">
        <v>4</v>
      </c>
      <c r="M335" s="5" t="inlineStr">
        <is>
          <t>car</t>
        </is>
      </c>
      <c r="N335" s="5" t="n">
        <v>28</v>
      </c>
      <c r="O335" s="5" t="inlineStr">
        <is>
          <t>none</t>
        </is>
      </c>
      <c r="P335" s="5" t="inlineStr">
        <is>
          <t>own</t>
        </is>
      </c>
      <c r="Q335" s="5" t="n">
        <v>1</v>
      </c>
      <c r="R335" s="5" t="inlineStr">
        <is>
          <t>skilled</t>
        </is>
      </c>
      <c r="S335" s="5" t="n">
        <v>2</v>
      </c>
      <c r="T335" s="5" t="inlineStr">
        <is>
          <t>none</t>
        </is>
      </c>
      <c r="U335" s="5" t="inlineStr">
        <is>
          <t>yes</t>
        </is>
      </c>
      <c r="V335" s="5" t="inlineStr">
        <is>
          <t>good</t>
        </is>
      </c>
    </row>
    <row r="336">
      <c r="A336" s="5" t="n">
        <v>331</v>
      </c>
      <c r="B336" s="5" t="inlineStr">
        <is>
          <t>&lt;0</t>
        </is>
      </c>
      <c r="C336" s="5" t="n">
        <v>24</v>
      </c>
      <c r="D336" s="5" t="inlineStr">
        <is>
          <t>critical/other existing credit</t>
        </is>
      </c>
      <c r="E336" s="5" t="inlineStr">
        <is>
          <t>used car</t>
        </is>
      </c>
      <c r="F336" s="5" t="n">
        <v>6615</v>
      </c>
      <c r="G336" s="5" t="inlineStr">
        <is>
          <t>&lt;100</t>
        </is>
      </c>
      <c r="H336" s="5" t="inlineStr">
        <is>
          <t>unemployed</t>
        </is>
      </c>
      <c r="I336" s="5" t="n">
        <v>2</v>
      </c>
      <c r="J336" s="5" t="inlineStr">
        <is>
          <t>male single</t>
        </is>
      </c>
      <c r="K336" s="5" t="inlineStr">
        <is>
          <t>none</t>
        </is>
      </c>
      <c r="L336" s="5" t="n">
        <v>4</v>
      </c>
      <c r="M336" s="5" t="inlineStr">
        <is>
          <t>no known property</t>
        </is>
      </c>
      <c r="N336" s="5" t="n">
        <v>75</v>
      </c>
      <c r="O336" s="5" t="inlineStr">
        <is>
          <t>none</t>
        </is>
      </c>
      <c r="P336" s="5" t="inlineStr">
        <is>
          <t>for free</t>
        </is>
      </c>
      <c r="Q336" s="5" t="n">
        <v>2</v>
      </c>
      <c r="R336" s="5" t="inlineStr">
        <is>
          <t>high qualif/self emp/mgmt</t>
        </is>
      </c>
      <c r="S336" s="5" t="n">
        <v>1</v>
      </c>
      <c r="T336" s="5" t="inlineStr">
        <is>
          <t>yes</t>
        </is>
      </c>
      <c r="U336" s="5" t="inlineStr">
        <is>
          <t>yes</t>
        </is>
      </c>
      <c r="V336" s="5" t="inlineStr">
        <is>
          <t>good</t>
        </is>
      </c>
    </row>
    <row r="337">
      <c r="A337" s="5" t="n">
        <v>332</v>
      </c>
      <c r="B337" s="5" t="inlineStr">
        <is>
          <t>no checking</t>
        </is>
      </c>
      <c r="C337" s="5" t="n">
        <v>18</v>
      </c>
      <c r="D337" s="5" t="inlineStr">
        <is>
          <t>critical/other existing credit</t>
        </is>
      </c>
      <c r="E337" s="5" t="inlineStr">
        <is>
          <t>education</t>
        </is>
      </c>
      <c r="F337" s="5" t="n">
        <v>1864</v>
      </c>
      <c r="G337" s="5" t="inlineStr">
        <is>
          <t>100&lt;=X&lt;500</t>
        </is>
      </c>
      <c r="H337" s="5" t="inlineStr">
        <is>
          <t>1&lt;=X&lt;4</t>
        </is>
      </c>
      <c r="I337" s="5" t="n">
        <v>4</v>
      </c>
      <c r="J337" s="5" t="inlineStr">
        <is>
          <t>female div/dep/mar</t>
        </is>
      </c>
      <c r="K337" s="5" t="inlineStr">
        <is>
          <t>none</t>
        </is>
      </c>
      <c r="L337" s="5" t="n">
        <v>2</v>
      </c>
      <c r="M337" s="5" t="inlineStr">
        <is>
          <t>real estate</t>
        </is>
      </c>
      <c r="N337" s="5" t="n">
        <v>30</v>
      </c>
      <c r="O337" s="5" t="inlineStr">
        <is>
          <t>none</t>
        </is>
      </c>
      <c r="P337" s="5" t="inlineStr">
        <is>
          <t>own</t>
        </is>
      </c>
      <c r="Q337" s="5" t="n">
        <v>2</v>
      </c>
      <c r="R337" s="5" t="inlineStr">
        <is>
          <t>skilled</t>
        </is>
      </c>
      <c r="S337" s="5" t="n">
        <v>1</v>
      </c>
      <c r="T337" s="5" t="inlineStr">
        <is>
          <t>none</t>
        </is>
      </c>
      <c r="U337" s="5" t="inlineStr">
        <is>
          <t>yes</t>
        </is>
      </c>
      <c r="V337" s="5" t="inlineStr">
        <is>
          <t>bad</t>
        </is>
      </c>
    </row>
    <row r="338">
      <c r="A338" s="5" t="n">
        <v>333</v>
      </c>
      <c r="B338" s="5" t="inlineStr">
        <is>
          <t>0&lt;=X&lt;200</t>
        </is>
      </c>
      <c r="C338" s="5" t="n">
        <v>60</v>
      </c>
      <c r="D338" s="5" t="inlineStr">
        <is>
          <t>existing paid</t>
        </is>
      </c>
      <c r="E338" s="5" t="inlineStr">
        <is>
          <t>new car</t>
        </is>
      </c>
      <c r="F338" s="5" t="n">
        <v>7408</v>
      </c>
      <c r="G338" s="5" t="inlineStr">
        <is>
          <t>100&lt;=X&lt;500</t>
        </is>
      </c>
      <c r="H338" s="5" t="inlineStr">
        <is>
          <t>&lt;1</t>
        </is>
      </c>
      <c r="I338" s="5" t="n">
        <v>4</v>
      </c>
      <c r="J338" s="5" t="inlineStr">
        <is>
          <t>female div/dep/mar</t>
        </is>
      </c>
      <c r="K338" s="5" t="inlineStr">
        <is>
          <t>none</t>
        </is>
      </c>
      <c r="L338" s="5" t="n">
        <v>2</v>
      </c>
      <c r="M338" s="5" t="inlineStr">
        <is>
          <t>life insurance</t>
        </is>
      </c>
      <c r="N338" s="5" t="n">
        <v>24</v>
      </c>
      <c r="O338" s="5" t="inlineStr">
        <is>
          <t>none</t>
        </is>
      </c>
      <c r="P338" s="5" t="inlineStr">
        <is>
          <t>own</t>
        </is>
      </c>
      <c r="Q338" s="5" t="n">
        <v>1</v>
      </c>
      <c r="R338" s="5" t="inlineStr">
        <is>
          <t>high qualif/self emp/mgmt</t>
        </is>
      </c>
      <c r="S338" s="5" t="n">
        <v>1</v>
      </c>
      <c r="T338" s="5" t="inlineStr">
        <is>
          <t>none</t>
        </is>
      </c>
      <c r="U338" s="5" t="inlineStr">
        <is>
          <t>yes</t>
        </is>
      </c>
      <c r="V338" s="5" t="inlineStr">
        <is>
          <t>bad</t>
        </is>
      </c>
    </row>
    <row r="339">
      <c r="A339" s="5" t="n">
        <v>334</v>
      </c>
      <c r="B339" s="5" t="inlineStr">
        <is>
          <t>no checking</t>
        </is>
      </c>
      <c r="C339" s="5" t="n">
        <v>48</v>
      </c>
      <c r="D339" s="5" t="inlineStr">
        <is>
          <t>critical/other existing credit</t>
        </is>
      </c>
      <c r="E339" s="5" t="inlineStr">
        <is>
          <t>used car</t>
        </is>
      </c>
      <c r="F339" s="5" t="n">
        <v>11590</v>
      </c>
      <c r="G339" s="5" t="inlineStr">
        <is>
          <t>100&lt;=X&lt;500</t>
        </is>
      </c>
      <c r="H339" s="5" t="inlineStr">
        <is>
          <t>1&lt;=X&lt;4</t>
        </is>
      </c>
      <c r="I339" s="5" t="n">
        <v>2</v>
      </c>
      <c r="J339" s="5" t="inlineStr">
        <is>
          <t>female div/dep/mar</t>
        </is>
      </c>
      <c r="K339" s="5" t="inlineStr">
        <is>
          <t>none</t>
        </is>
      </c>
      <c r="L339" s="5" t="n">
        <v>4</v>
      </c>
      <c r="M339" s="5" t="inlineStr">
        <is>
          <t>car</t>
        </is>
      </c>
      <c r="N339" s="5" t="n">
        <v>24</v>
      </c>
      <c r="O339" s="5" t="inlineStr">
        <is>
          <t>bank</t>
        </is>
      </c>
      <c r="P339" s="5" t="inlineStr">
        <is>
          <t>rent</t>
        </is>
      </c>
      <c r="Q339" s="5" t="n">
        <v>2</v>
      </c>
      <c r="R339" s="5" t="inlineStr">
        <is>
          <t>unskilled resident</t>
        </is>
      </c>
      <c r="S339" s="5" t="n">
        <v>1</v>
      </c>
      <c r="T339" s="5" t="inlineStr">
        <is>
          <t>none</t>
        </is>
      </c>
      <c r="U339" s="5" t="inlineStr">
        <is>
          <t>yes</t>
        </is>
      </c>
      <c r="V339" s="5" t="inlineStr">
        <is>
          <t>bad</t>
        </is>
      </c>
    </row>
    <row r="340">
      <c r="A340" s="5" t="n">
        <v>335</v>
      </c>
      <c r="B340" s="5" t="inlineStr">
        <is>
          <t>&lt;0</t>
        </is>
      </c>
      <c r="C340" s="5" t="n">
        <v>24</v>
      </c>
      <c r="D340" s="5" t="inlineStr">
        <is>
          <t>no credits/all paid</t>
        </is>
      </c>
      <c r="E340" s="5" t="inlineStr">
        <is>
          <t>furniture/equipment</t>
        </is>
      </c>
      <c r="F340" s="5" t="n">
        <v>4110</v>
      </c>
      <c r="G340" s="5" t="inlineStr">
        <is>
          <t>&lt;100</t>
        </is>
      </c>
      <c r="H340" s="5" t="inlineStr">
        <is>
          <t>&gt;=7</t>
        </is>
      </c>
      <c r="I340" s="5" t="n">
        <v>3</v>
      </c>
      <c r="J340" s="5" t="inlineStr">
        <is>
          <t>male single</t>
        </is>
      </c>
      <c r="K340" s="5" t="inlineStr">
        <is>
          <t>none</t>
        </is>
      </c>
      <c r="L340" s="5" t="n">
        <v>4</v>
      </c>
      <c r="M340" s="5" t="inlineStr">
        <is>
          <t>no known property</t>
        </is>
      </c>
      <c r="N340" s="5" t="n">
        <v>23</v>
      </c>
      <c r="O340" s="5" t="inlineStr">
        <is>
          <t>bank</t>
        </is>
      </c>
      <c r="P340" s="5" t="inlineStr">
        <is>
          <t>rent</t>
        </is>
      </c>
      <c r="Q340" s="5" t="n">
        <v>2</v>
      </c>
      <c r="R340" s="5" t="inlineStr">
        <is>
          <t>skilled</t>
        </is>
      </c>
      <c r="S340" s="5" t="n">
        <v>2</v>
      </c>
      <c r="T340" s="5" t="inlineStr">
        <is>
          <t>none</t>
        </is>
      </c>
      <c r="U340" s="5" t="inlineStr">
        <is>
          <t>yes</t>
        </is>
      </c>
      <c r="V340" s="5" t="inlineStr">
        <is>
          <t>bad</t>
        </is>
      </c>
    </row>
    <row r="341">
      <c r="A341" s="5" t="n">
        <v>336</v>
      </c>
      <c r="B341" s="5" t="inlineStr">
        <is>
          <t>&lt;0</t>
        </is>
      </c>
      <c r="C341" s="5" t="n">
        <v>6</v>
      </c>
      <c r="D341" s="5" t="inlineStr">
        <is>
          <t>critical/other existing credit</t>
        </is>
      </c>
      <c r="E341" s="5" t="inlineStr">
        <is>
          <t>furniture/equipment</t>
        </is>
      </c>
      <c r="F341" s="5" t="n">
        <v>3384</v>
      </c>
      <c r="G341" s="5" t="inlineStr">
        <is>
          <t>&lt;100</t>
        </is>
      </c>
      <c r="H341" s="5" t="inlineStr">
        <is>
          <t>1&lt;=X&lt;4</t>
        </is>
      </c>
      <c r="I341" s="5" t="n">
        <v>1</v>
      </c>
      <c r="J341" s="5" t="inlineStr">
        <is>
          <t>male div/sep</t>
        </is>
      </c>
      <c r="K341" s="5" t="inlineStr">
        <is>
          <t>none</t>
        </is>
      </c>
      <c r="L341" s="5" t="n">
        <v>4</v>
      </c>
      <c r="M341" s="5" t="inlineStr">
        <is>
          <t>real estate</t>
        </is>
      </c>
      <c r="N341" s="5" t="n">
        <v>44</v>
      </c>
      <c r="O341" s="5" t="inlineStr">
        <is>
          <t>none</t>
        </is>
      </c>
      <c r="P341" s="5" t="inlineStr">
        <is>
          <t>rent</t>
        </is>
      </c>
      <c r="Q341" s="5" t="n">
        <v>1</v>
      </c>
      <c r="R341" s="5" t="inlineStr">
        <is>
          <t>high qualif/self emp/mgmt</t>
        </is>
      </c>
      <c r="S341" s="5" t="n">
        <v>1</v>
      </c>
      <c r="T341" s="5" t="inlineStr">
        <is>
          <t>yes</t>
        </is>
      </c>
      <c r="U341" s="5" t="inlineStr">
        <is>
          <t>yes</t>
        </is>
      </c>
      <c r="V341" s="5" t="inlineStr">
        <is>
          <t>bad</t>
        </is>
      </c>
    </row>
    <row r="342">
      <c r="A342" s="5" t="n">
        <v>337</v>
      </c>
      <c r="B342" s="5" t="inlineStr">
        <is>
          <t>0&lt;=X&lt;200</t>
        </is>
      </c>
      <c r="C342" s="5" t="n">
        <v>13</v>
      </c>
      <c r="D342" s="5" t="inlineStr">
        <is>
          <t>existing paid</t>
        </is>
      </c>
      <c r="E342" s="5" t="inlineStr">
        <is>
          <t>radio/tv</t>
        </is>
      </c>
      <c r="F342" s="5" t="n">
        <v>2101</v>
      </c>
      <c r="G342" s="5" t="inlineStr">
        <is>
          <t>&lt;100</t>
        </is>
      </c>
      <c r="H342" s="5" t="inlineStr">
        <is>
          <t>&lt;1</t>
        </is>
      </c>
      <c r="I342" s="5" t="n">
        <v>2</v>
      </c>
      <c r="J342" s="5" t="inlineStr">
        <is>
          <t>female div/dep/mar</t>
        </is>
      </c>
      <c r="K342" s="5" t="inlineStr">
        <is>
          <t>guarantor</t>
        </is>
      </c>
      <c r="L342" s="5" t="n">
        <v>4</v>
      </c>
      <c r="M342" s="5" t="inlineStr">
        <is>
          <t>life insurance</t>
        </is>
      </c>
      <c r="N342" s="5" t="n">
        <v>23</v>
      </c>
      <c r="O342" s="5" t="inlineStr">
        <is>
          <t>none</t>
        </is>
      </c>
      <c r="P342" s="5" t="inlineStr">
        <is>
          <t>own</t>
        </is>
      </c>
      <c r="Q342" s="5" t="n">
        <v>1</v>
      </c>
      <c r="R342" s="5" t="inlineStr">
        <is>
          <t>unskilled resident</t>
        </is>
      </c>
      <c r="S342" s="5" t="n">
        <v>1</v>
      </c>
      <c r="T342" s="5" t="inlineStr">
        <is>
          <t>none</t>
        </is>
      </c>
      <c r="U342" s="5" t="inlineStr">
        <is>
          <t>yes</t>
        </is>
      </c>
      <c r="V342" s="5" t="inlineStr">
        <is>
          <t>good</t>
        </is>
      </c>
    </row>
    <row r="343">
      <c r="A343" s="5" t="n">
        <v>338</v>
      </c>
      <c r="B343" s="5" t="inlineStr">
        <is>
          <t>&lt;0</t>
        </is>
      </c>
      <c r="C343" s="5" t="n">
        <v>15</v>
      </c>
      <c r="D343" s="5" t="inlineStr">
        <is>
          <t>existing paid</t>
        </is>
      </c>
      <c r="E343" s="5" t="inlineStr">
        <is>
          <t>domestic appliance</t>
        </is>
      </c>
      <c r="F343" s="5" t="n">
        <v>1275</v>
      </c>
      <c r="G343" s="5" t="inlineStr">
        <is>
          <t>no known savings</t>
        </is>
      </c>
      <c r="H343" s="5" t="inlineStr">
        <is>
          <t>1&lt;=X&lt;4</t>
        </is>
      </c>
      <c r="I343" s="5" t="n">
        <v>4</v>
      </c>
      <c r="J343" s="5" t="inlineStr">
        <is>
          <t>female div/dep/mar</t>
        </is>
      </c>
      <c r="K343" s="5" t="inlineStr">
        <is>
          <t>none</t>
        </is>
      </c>
      <c r="L343" s="5" t="n">
        <v>2</v>
      </c>
      <c r="M343" s="5" t="inlineStr">
        <is>
          <t>car</t>
        </is>
      </c>
      <c r="N343" s="5" t="n">
        <v>24</v>
      </c>
      <c r="O343" s="5" t="inlineStr">
        <is>
          <t>none</t>
        </is>
      </c>
      <c r="P343" s="5" t="inlineStr">
        <is>
          <t>rent</t>
        </is>
      </c>
      <c r="Q343" s="5" t="n">
        <v>1</v>
      </c>
      <c r="R343" s="5" t="inlineStr">
        <is>
          <t>skilled</t>
        </is>
      </c>
      <c r="S343" s="5" t="n">
        <v>1</v>
      </c>
      <c r="T343" s="5" t="inlineStr">
        <is>
          <t>none</t>
        </is>
      </c>
      <c r="U343" s="5" t="inlineStr">
        <is>
          <t>yes</t>
        </is>
      </c>
      <c r="V343" s="5" t="inlineStr">
        <is>
          <t>bad</t>
        </is>
      </c>
    </row>
    <row r="344">
      <c r="A344" s="5" t="n">
        <v>339</v>
      </c>
      <c r="B344" s="5" t="inlineStr">
        <is>
          <t>&lt;0</t>
        </is>
      </c>
      <c r="C344" s="5" t="n">
        <v>24</v>
      </c>
      <c r="D344" s="5" t="inlineStr">
        <is>
          <t>existing paid</t>
        </is>
      </c>
      <c r="E344" s="5" t="inlineStr">
        <is>
          <t>furniture/equipment</t>
        </is>
      </c>
      <c r="F344" s="5" t="n">
        <v>4169</v>
      </c>
      <c r="G344" s="5" t="inlineStr">
        <is>
          <t>&lt;100</t>
        </is>
      </c>
      <c r="H344" s="5" t="inlineStr">
        <is>
          <t>1&lt;=X&lt;4</t>
        </is>
      </c>
      <c r="I344" s="5" t="n">
        <v>4</v>
      </c>
      <c r="J344" s="5" t="inlineStr">
        <is>
          <t>male single</t>
        </is>
      </c>
      <c r="K344" s="5" t="inlineStr">
        <is>
          <t>none</t>
        </is>
      </c>
      <c r="L344" s="5" t="n">
        <v>4</v>
      </c>
      <c r="M344" s="5" t="inlineStr">
        <is>
          <t>life insurance</t>
        </is>
      </c>
      <c r="N344" s="5" t="n">
        <v>28</v>
      </c>
      <c r="O344" s="5" t="inlineStr">
        <is>
          <t>none</t>
        </is>
      </c>
      <c r="P344" s="5" t="inlineStr">
        <is>
          <t>own</t>
        </is>
      </c>
      <c r="Q344" s="5" t="n">
        <v>1</v>
      </c>
      <c r="R344" s="5" t="inlineStr">
        <is>
          <t>skilled</t>
        </is>
      </c>
      <c r="S344" s="5" t="n">
        <v>1</v>
      </c>
      <c r="T344" s="5" t="inlineStr">
        <is>
          <t>none</t>
        </is>
      </c>
      <c r="U344" s="5" t="inlineStr">
        <is>
          <t>yes</t>
        </is>
      </c>
      <c r="V344" s="5" t="inlineStr">
        <is>
          <t>good</t>
        </is>
      </c>
    </row>
    <row r="345">
      <c r="A345" s="5" t="n">
        <v>340</v>
      </c>
      <c r="B345" s="5" t="inlineStr">
        <is>
          <t>0&lt;=X&lt;200</t>
        </is>
      </c>
      <c r="C345" s="5" t="n">
        <v>10</v>
      </c>
      <c r="D345" s="5" t="inlineStr">
        <is>
          <t>existing paid</t>
        </is>
      </c>
      <c r="E345" s="5" t="inlineStr">
        <is>
          <t>furniture/equipment</t>
        </is>
      </c>
      <c r="F345" s="5" t="n">
        <v>1521</v>
      </c>
      <c r="G345" s="5" t="inlineStr">
        <is>
          <t>&lt;100</t>
        </is>
      </c>
      <c r="H345" s="5" t="inlineStr">
        <is>
          <t>1&lt;=X&lt;4</t>
        </is>
      </c>
      <c r="I345" s="5" t="n">
        <v>4</v>
      </c>
      <c r="J345" s="5" t="inlineStr">
        <is>
          <t>male div/sep</t>
        </is>
      </c>
      <c r="K345" s="5" t="inlineStr">
        <is>
          <t>none</t>
        </is>
      </c>
      <c r="L345" s="5" t="n">
        <v>2</v>
      </c>
      <c r="M345" s="5" t="inlineStr">
        <is>
          <t>car</t>
        </is>
      </c>
      <c r="N345" s="5" t="n">
        <v>31</v>
      </c>
      <c r="O345" s="5" t="inlineStr">
        <is>
          <t>none</t>
        </is>
      </c>
      <c r="P345" s="5" t="inlineStr">
        <is>
          <t>own</t>
        </is>
      </c>
      <c r="Q345" s="5" t="n">
        <v>1</v>
      </c>
      <c r="R345" s="5" t="inlineStr">
        <is>
          <t>unskilled resident</t>
        </is>
      </c>
      <c r="S345" s="5" t="n">
        <v>1</v>
      </c>
      <c r="T345" s="5" t="inlineStr">
        <is>
          <t>none</t>
        </is>
      </c>
      <c r="U345" s="5" t="inlineStr">
        <is>
          <t>yes</t>
        </is>
      </c>
      <c r="V345" s="5" t="inlineStr">
        <is>
          <t>good</t>
        </is>
      </c>
    </row>
    <row r="346">
      <c r="A346" s="5" t="n">
        <v>341</v>
      </c>
      <c r="B346" s="5" t="inlineStr">
        <is>
          <t>0&lt;=X&lt;200</t>
        </is>
      </c>
      <c r="C346" s="5" t="n">
        <v>24</v>
      </c>
      <c r="D346" s="5" t="inlineStr">
        <is>
          <t>critical/other existing credit</t>
        </is>
      </c>
      <c r="E346" s="5" t="inlineStr">
        <is>
          <t>education</t>
        </is>
      </c>
      <c r="F346" s="5" t="n">
        <v>5743</v>
      </c>
      <c r="G346" s="5" t="inlineStr">
        <is>
          <t>&lt;100</t>
        </is>
      </c>
      <c r="H346" s="5" t="inlineStr">
        <is>
          <t>&lt;1</t>
        </is>
      </c>
      <c r="I346" s="5" t="n">
        <v>2</v>
      </c>
      <c r="J346" s="5" t="inlineStr">
        <is>
          <t>female div/dep/mar</t>
        </is>
      </c>
      <c r="K346" s="5" t="inlineStr">
        <is>
          <t>none</t>
        </is>
      </c>
      <c r="L346" s="5" t="n">
        <v>4</v>
      </c>
      <c r="M346" s="5" t="inlineStr">
        <is>
          <t>no known property</t>
        </is>
      </c>
      <c r="N346" s="5" t="n">
        <v>24</v>
      </c>
      <c r="O346" s="5" t="inlineStr">
        <is>
          <t>none</t>
        </is>
      </c>
      <c r="P346" s="5" t="inlineStr">
        <is>
          <t>for free</t>
        </is>
      </c>
      <c r="Q346" s="5" t="n">
        <v>2</v>
      </c>
      <c r="R346" s="5" t="inlineStr">
        <is>
          <t>skilled</t>
        </is>
      </c>
      <c r="S346" s="5" t="n">
        <v>1</v>
      </c>
      <c r="T346" s="5" t="inlineStr">
        <is>
          <t>yes</t>
        </is>
      </c>
      <c r="U346" s="5" t="inlineStr">
        <is>
          <t>yes</t>
        </is>
      </c>
      <c r="V346" s="5" t="inlineStr">
        <is>
          <t>good</t>
        </is>
      </c>
    </row>
    <row r="347">
      <c r="A347" s="5" t="n">
        <v>342</v>
      </c>
      <c r="B347" s="5" t="inlineStr">
        <is>
          <t>&lt;0</t>
        </is>
      </c>
      <c r="C347" s="5" t="n">
        <v>21</v>
      </c>
      <c r="D347" s="5" t="inlineStr">
        <is>
          <t>existing paid</t>
        </is>
      </c>
      <c r="E347" s="5" t="inlineStr">
        <is>
          <t>furniture/equipment</t>
        </is>
      </c>
      <c r="F347" s="5" t="n">
        <v>3599</v>
      </c>
      <c r="G347" s="5" t="inlineStr">
        <is>
          <t>&lt;100</t>
        </is>
      </c>
      <c r="H347" s="5" t="inlineStr">
        <is>
          <t>4&lt;=X&lt;7</t>
        </is>
      </c>
      <c r="I347" s="5" t="n">
        <v>1</v>
      </c>
      <c r="J347" s="5" t="inlineStr">
        <is>
          <t>female div/dep/mar</t>
        </is>
      </c>
      <c r="K347" s="5" t="inlineStr">
        <is>
          <t>none</t>
        </is>
      </c>
      <c r="L347" s="5" t="n">
        <v>4</v>
      </c>
      <c r="M347" s="5" t="inlineStr">
        <is>
          <t>car</t>
        </is>
      </c>
      <c r="N347" s="5" t="n">
        <v>26</v>
      </c>
      <c r="O347" s="5" t="inlineStr">
        <is>
          <t>none</t>
        </is>
      </c>
      <c r="P347" s="5" t="inlineStr">
        <is>
          <t>rent</t>
        </is>
      </c>
      <c r="Q347" s="5" t="n">
        <v>1</v>
      </c>
      <c r="R347" s="5" t="inlineStr">
        <is>
          <t>unskilled resident</t>
        </is>
      </c>
      <c r="S347" s="5" t="n">
        <v>1</v>
      </c>
      <c r="T347" s="5" t="inlineStr">
        <is>
          <t>none</t>
        </is>
      </c>
      <c r="U347" s="5" t="inlineStr">
        <is>
          <t>yes</t>
        </is>
      </c>
      <c r="V347" s="5" t="inlineStr">
        <is>
          <t>good</t>
        </is>
      </c>
    </row>
    <row r="348">
      <c r="A348" s="5" t="n">
        <v>343</v>
      </c>
      <c r="B348" s="5" t="inlineStr">
        <is>
          <t>0&lt;=X&lt;200</t>
        </is>
      </c>
      <c r="C348" s="5" t="n">
        <v>18</v>
      </c>
      <c r="D348" s="5" t="inlineStr">
        <is>
          <t>existing paid</t>
        </is>
      </c>
      <c r="E348" s="5" t="inlineStr">
        <is>
          <t>radio/tv</t>
        </is>
      </c>
      <c r="F348" s="5" t="n">
        <v>3213</v>
      </c>
      <c r="G348" s="5" t="inlineStr">
        <is>
          <t>500&lt;=X&lt;1000</t>
        </is>
      </c>
      <c r="H348" s="5" t="inlineStr">
        <is>
          <t>&lt;1</t>
        </is>
      </c>
      <c r="I348" s="5" t="n">
        <v>1</v>
      </c>
      <c r="J348" s="5" t="inlineStr">
        <is>
          <t>male mar/wid</t>
        </is>
      </c>
      <c r="K348" s="5" t="inlineStr">
        <is>
          <t>none</t>
        </is>
      </c>
      <c r="L348" s="5" t="n">
        <v>3</v>
      </c>
      <c r="M348" s="5" t="inlineStr">
        <is>
          <t>real estate</t>
        </is>
      </c>
      <c r="N348" s="5" t="n">
        <v>25</v>
      </c>
      <c r="O348" s="5" t="inlineStr">
        <is>
          <t>none</t>
        </is>
      </c>
      <c r="P348" s="5" t="inlineStr">
        <is>
          <t>rent</t>
        </is>
      </c>
      <c r="Q348" s="5" t="n">
        <v>1</v>
      </c>
      <c r="R348" s="5" t="inlineStr">
        <is>
          <t>skilled</t>
        </is>
      </c>
      <c r="S348" s="5" t="n">
        <v>1</v>
      </c>
      <c r="T348" s="5" t="inlineStr">
        <is>
          <t>none</t>
        </is>
      </c>
      <c r="U348" s="5" t="inlineStr">
        <is>
          <t>yes</t>
        </is>
      </c>
      <c r="V348" s="5" t="inlineStr">
        <is>
          <t>good</t>
        </is>
      </c>
    </row>
    <row r="349">
      <c r="A349" s="5" t="n">
        <v>344</v>
      </c>
      <c r="B349" s="5" t="inlineStr">
        <is>
          <t>0&lt;=X&lt;200</t>
        </is>
      </c>
      <c r="C349" s="5" t="n">
        <v>18</v>
      </c>
      <c r="D349" s="5" t="inlineStr">
        <is>
          <t>existing paid</t>
        </is>
      </c>
      <c r="E349" s="5" t="inlineStr">
        <is>
          <t>business</t>
        </is>
      </c>
      <c r="F349" s="5" t="n">
        <v>4439</v>
      </c>
      <c r="G349" s="5" t="inlineStr">
        <is>
          <t>&lt;100</t>
        </is>
      </c>
      <c r="H349" s="5" t="inlineStr">
        <is>
          <t>&gt;=7</t>
        </is>
      </c>
      <c r="I349" s="5" t="n">
        <v>1</v>
      </c>
      <c r="J349" s="5" t="inlineStr">
        <is>
          <t>male single</t>
        </is>
      </c>
      <c r="K349" s="5" t="inlineStr">
        <is>
          <t>co applicant</t>
        </is>
      </c>
      <c r="L349" s="5" t="n">
        <v>1</v>
      </c>
      <c r="M349" s="5" t="inlineStr">
        <is>
          <t>real estate</t>
        </is>
      </c>
      <c r="N349" s="5" t="n">
        <v>33</v>
      </c>
      <c r="O349" s="5" t="inlineStr">
        <is>
          <t>bank</t>
        </is>
      </c>
      <c r="P349" s="5" t="inlineStr">
        <is>
          <t>own</t>
        </is>
      </c>
      <c r="Q349" s="5" t="n">
        <v>1</v>
      </c>
      <c r="R349" s="5" t="inlineStr">
        <is>
          <t>high qualif/self emp/mgmt</t>
        </is>
      </c>
      <c r="S349" s="5" t="n">
        <v>1</v>
      </c>
      <c r="T349" s="5" t="inlineStr">
        <is>
          <t>yes</t>
        </is>
      </c>
      <c r="U349" s="5" t="inlineStr">
        <is>
          <t>yes</t>
        </is>
      </c>
      <c r="V349" s="5" t="inlineStr">
        <is>
          <t>good</t>
        </is>
      </c>
    </row>
    <row r="350">
      <c r="A350" s="5" t="n">
        <v>345</v>
      </c>
      <c r="B350" s="5" t="inlineStr">
        <is>
          <t>&gt;=200</t>
        </is>
      </c>
      <c r="C350" s="5" t="n">
        <v>10</v>
      </c>
      <c r="D350" s="5" t="inlineStr">
        <is>
          <t>existing paid</t>
        </is>
      </c>
      <c r="E350" s="5" t="inlineStr">
        <is>
          <t>new car</t>
        </is>
      </c>
      <c r="F350" s="5" t="n">
        <v>3949</v>
      </c>
      <c r="G350" s="5" t="inlineStr">
        <is>
          <t>&lt;100</t>
        </is>
      </c>
      <c r="H350" s="5" t="inlineStr">
        <is>
          <t>&lt;1</t>
        </is>
      </c>
      <c r="I350" s="5" t="n">
        <v>1</v>
      </c>
      <c r="J350" s="5" t="inlineStr">
        <is>
          <t>male single</t>
        </is>
      </c>
      <c r="K350" s="5" t="inlineStr">
        <is>
          <t>guarantor</t>
        </is>
      </c>
      <c r="L350" s="5" t="n">
        <v>1</v>
      </c>
      <c r="M350" s="5" t="inlineStr">
        <is>
          <t>life insurance</t>
        </is>
      </c>
      <c r="N350" s="5" t="n">
        <v>37</v>
      </c>
      <c r="O350" s="5" t="inlineStr">
        <is>
          <t>none</t>
        </is>
      </c>
      <c r="P350" s="5" t="inlineStr">
        <is>
          <t>own</t>
        </is>
      </c>
      <c r="Q350" s="5" t="n">
        <v>1</v>
      </c>
      <c r="R350" s="5" t="inlineStr">
        <is>
          <t>unskilled resident</t>
        </is>
      </c>
      <c r="S350" s="5" t="n">
        <v>2</v>
      </c>
      <c r="T350" s="5" t="inlineStr">
        <is>
          <t>none</t>
        </is>
      </c>
      <c r="U350" s="5" t="inlineStr">
        <is>
          <t>yes</t>
        </is>
      </c>
      <c r="V350" s="5" t="inlineStr">
        <is>
          <t>good</t>
        </is>
      </c>
    </row>
    <row r="351">
      <c r="A351" s="5" t="n">
        <v>346</v>
      </c>
      <c r="B351" s="5" t="inlineStr">
        <is>
          <t>no checking</t>
        </is>
      </c>
      <c r="C351" s="5" t="n">
        <v>15</v>
      </c>
      <c r="D351" s="5" t="inlineStr">
        <is>
          <t>critical/other existing credit</t>
        </is>
      </c>
      <c r="E351" s="5" t="inlineStr">
        <is>
          <t>radio/tv</t>
        </is>
      </c>
      <c r="F351" s="5" t="n">
        <v>1459</v>
      </c>
      <c r="G351" s="5" t="inlineStr">
        <is>
          <t>&lt;100</t>
        </is>
      </c>
      <c r="H351" s="5" t="inlineStr">
        <is>
          <t>1&lt;=X&lt;4</t>
        </is>
      </c>
      <c r="I351" s="5" t="n">
        <v>4</v>
      </c>
      <c r="J351" s="5" t="inlineStr">
        <is>
          <t>female div/dep/mar</t>
        </is>
      </c>
      <c r="K351" s="5" t="inlineStr">
        <is>
          <t>none</t>
        </is>
      </c>
      <c r="L351" s="5" t="n">
        <v>2</v>
      </c>
      <c r="M351" s="5" t="inlineStr">
        <is>
          <t>car</t>
        </is>
      </c>
      <c r="N351" s="5" t="n">
        <v>43</v>
      </c>
      <c r="O351" s="5" t="inlineStr">
        <is>
          <t>none</t>
        </is>
      </c>
      <c r="P351" s="5" t="inlineStr">
        <is>
          <t>own</t>
        </is>
      </c>
      <c r="Q351" s="5" t="n">
        <v>1</v>
      </c>
      <c r="R351" s="5" t="inlineStr">
        <is>
          <t>unskilled resident</t>
        </is>
      </c>
      <c r="S351" s="5" t="n">
        <v>1</v>
      </c>
      <c r="T351" s="5" t="inlineStr">
        <is>
          <t>none</t>
        </is>
      </c>
      <c r="U351" s="5" t="inlineStr">
        <is>
          <t>yes</t>
        </is>
      </c>
      <c r="V351" s="5" t="inlineStr">
        <is>
          <t>good</t>
        </is>
      </c>
    </row>
    <row r="352">
      <c r="A352" s="5" t="n">
        <v>347</v>
      </c>
      <c r="B352" s="5" t="inlineStr">
        <is>
          <t>0&lt;=X&lt;200</t>
        </is>
      </c>
      <c r="C352" s="5" t="n">
        <v>13</v>
      </c>
      <c r="D352" s="5" t="inlineStr">
        <is>
          <t>critical/other existing credit</t>
        </is>
      </c>
      <c r="E352" s="5" t="inlineStr">
        <is>
          <t>radio/tv</t>
        </is>
      </c>
      <c r="F352" s="5" t="n">
        <v>882</v>
      </c>
      <c r="G352" s="5" t="inlineStr">
        <is>
          <t>&lt;100</t>
        </is>
      </c>
      <c r="H352" s="5" t="inlineStr">
        <is>
          <t>&lt;1</t>
        </is>
      </c>
      <c r="I352" s="5" t="n">
        <v>4</v>
      </c>
      <c r="J352" s="5" t="inlineStr">
        <is>
          <t>male single</t>
        </is>
      </c>
      <c r="K352" s="5" t="inlineStr">
        <is>
          <t>guarantor</t>
        </is>
      </c>
      <c r="L352" s="5" t="n">
        <v>4</v>
      </c>
      <c r="M352" s="5" t="inlineStr">
        <is>
          <t>real estate</t>
        </is>
      </c>
      <c r="N352" s="5" t="n">
        <v>23</v>
      </c>
      <c r="O352" s="5" t="inlineStr">
        <is>
          <t>none</t>
        </is>
      </c>
      <c r="P352" s="5" t="inlineStr">
        <is>
          <t>own</t>
        </is>
      </c>
      <c r="Q352" s="5" t="n">
        <v>2</v>
      </c>
      <c r="R352" s="5" t="inlineStr">
        <is>
          <t>skilled</t>
        </is>
      </c>
      <c r="S352" s="5" t="n">
        <v>1</v>
      </c>
      <c r="T352" s="5" t="inlineStr">
        <is>
          <t>none</t>
        </is>
      </c>
      <c r="U352" s="5" t="inlineStr">
        <is>
          <t>yes</t>
        </is>
      </c>
      <c r="V352" s="5" t="inlineStr">
        <is>
          <t>good</t>
        </is>
      </c>
    </row>
    <row r="353">
      <c r="A353" s="5" t="n">
        <v>348</v>
      </c>
      <c r="B353" s="5" t="inlineStr">
        <is>
          <t>0&lt;=X&lt;200</t>
        </is>
      </c>
      <c r="C353" s="5" t="n">
        <v>24</v>
      </c>
      <c r="D353" s="5" t="inlineStr">
        <is>
          <t>existing paid</t>
        </is>
      </c>
      <c r="E353" s="5" t="inlineStr">
        <is>
          <t>radio/tv</t>
        </is>
      </c>
      <c r="F353" s="5" t="n">
        <v>3758</v>
      </c>
      <c r="G353" s="5" t="inlineStr">
        <is>
          <t>500&lt;=X&lt;1000</t>
        </is>
      </c>
      <c r="H353" s="5" t="inlineStr">
        <is>
          <t>unemployed</t>
        </is>
      </c>
      <c r="I353" s="5" t="n">
        <v>1</v>
      </c>
      <c r="J353" s="5" t="inlineStr">
        <is>
          <t>female div/dep/mar</t>
        </is>
      </c>
      <c r="K353" s="5" t="inlineStr">
        <is>
          <t>none</t>
        </is>
      </c>
      <c r="L353" s="5" t="n">
        <v>4</v>
      </c>
      <c r="M353" s="5" t="inlineStr">
        <is>
          <t>no known property</t>
        </is>
      </c>
      <c r="N353" s="5" t="n">
        <v>23</v>
      </c>
      <c r="O353" s="5" t="inlineStr">
        <is>
          <t>none</t>
        </is>
      </c>
      <c r="P353" s="5" t="inlineStr">
        <is>
          <t>rent</t>
        </is>
      </c>
      <c r="Q353" s="5" t="n">
        <v>1</v>
      </c>
      <c r="R353" s="5" t="inlineStr">
        <is>
          <t>unemp/unskilled non res</t>
        </is>
      </c>
      <c r="S353" s="5" t="n">
        <v>1</v>
      </c>
      <c r="T353" s="5" t="inlineStr">
        <is>
          <t>none</t>
        </is>
      </c>
      <c r="U353" s="5" t="inlineStr">
        <is>
          <t>yes</t>
        </is>
      </c>
      <c r="V353" s="5" t="inlineStr">
        <is>
          <t>good</t>
        </is>
      </c>
    </row>
    <row r="354">
      <c r="A354" s="5" t="n">
        <v>349</v>
      </c>
      <c r="B354" s="5" t="inlineStr">
        <is>
          <t>no checking</t>
        </is>
      </c>
      <c r="C354" s="5" t="n">
        <v>6</v>
      </c>
      <c r="D354" s="5" t="inlineStr">
        <is>
          <t>delayed previously</t>
        </is>
      </c>
      <c r="E354" s="5" t="inlineStr">
        <is>
          <t>business</t>
        </is>
      </c>
      <c r="F354" s="5" t="n">
        <v>1743</v>
      </c>
      <c r="G354" s="5" t="inlineStr">
        <is>
          <t>100&lt;=X&lt;500</t>
        </is>
      </c>
      <c r="H354" s="5" t="inlineStr">
        <is>
          <t>1&lt;=X&lt;4</t>
        </is>
      </c>
      <c r="I354" s="5" t="n">
        <v>1</v>
      </c>
      <c r="J354" s="5" t="inlineStr">
        <is>
          <t>male single</t>
        </is>
      </c>
      <c r="K354" s="5" t="inlineStr">
        <is>
          <t>none</t>
        </is>
      </c>
      <c r="L354" s="5" t="n">
        <v>2</v>
      </c>
      <c r="M354" s="5" t="inlineStr">
        <is>
          <t>real estate</t>
        </is>
      </c>
      <c r="N354" s="5" t="n">
        <v>34</v>
      </c>
      <c r="O354" s="5" t="inlineStr">
        <is>
          <t>none</t>
        </is>
      </c>
      <c r="P354" s="5" t="inlineStr">
        <is>
          <t>own</t>
        </is>
      </c>
      <c r="Q354" s="5" t="n">
        <v>2</v>
      </c>
      <c r="R354" s="5" t="inlineStr">
        <is>
          <t>unskilled resident</t>
        </is>
      </c>
      <c r="S354" s="5" t="n">
        <v>1</v>
      </c>
      <c r="T354" s="5" t="inlineStr">
        <is>
          <t>none</t>
        </is>
      </c>
      <c r="U354" s="5" t="inlineStr">
        <is>
          <t>yes</t>
        </is>
      </c>
      <c r="V354" s="5" t="inlineStr">
        <is>
          <t>good</t>
        </is>
      </c>
    </row>
    <row r="355">
      <c r="A355" s="5" t="n">
        <v>350</v>
      </c>
      <c r="B355" s="5" t="inlineStr">
        <is>
          <t>0&lt;=X&lt;200</t>
        </is>
      </c>
      <c r="C355" s="5" t="n">
        <v>9</v>
      </c>
      <c r="D355" s="5" t="inlineStr">
        <is>
          <t>critical/other existing credit</t>
        </is>
      </c>
      <c r="E355" s="5" t="inlineStr">
        <is>
          <t>education</t>
        </is>
      </c>
      <c r="F355" s="5" t="n">
        <v>1136</v>
      </c>
      <c r="G355" s="5" t="inlineStr">
        <is>
          <t>&gt;=1000</t>
        </is>
      </c>
      <c r="H355" s="5" t="inlineStr">
        <is>
          <t>&gt;=7</t>
        </is>
      </c>
      <c r="I355" s="5" t="n">
        <v>4</v>
      </c>
      <c r="J355" s="5" t="inlineStr">
        <is>
          <t>male single</t>
        </is>
      </c>
      <c r="K355" s="5" t="inlineStr">
        <is>
          <t>none</t>
        </is>
      </c>
      <c r="L355" s="5" t="n">
        <v>3</v>
      </c>
      <c r="M355" s="5" t="inlineStr">
        <is>
          <t>no known property</t>
        </is>
      </c>
      <c r="N355" s="5" t="n">
        <v>32</v>
      </c>
      <c r="O355" s="5" t="inlineStr">
        <is>
          <t>none</t>
        </is>
      </c>
      <c r="P355" s="5" t="inlineStr">
        <is>
          <t>for free</t>
        </is>
      </c>
      <c r="Q355" s="5" t="n">
        <v>2</v>
      </c>
      <c r="R355" s="5" t="inlineStr">
        <is>
          <t>skilled</t>
        </is>
      </c>
      <c r="S355" s="5" t="n">
        <v>2</v>
      </c>
      <c r="T355" s="5" t="inlineStr">
        <is>
          <t>none</t>
        </is>
      </c>
      <c r="U355" s="5" t="inlineStr">
        <is>
          <t>yes</t>
        </is>
      </c>
      <c r="V355" s="5" t="inlineStr">
        <is>
          <t>bad</t>
        </is>
      </c>
    </row>
    <row r="356">
      <c r="A356" s="5" t="n">
        <v>351</v>
      </c>
      <c r="B356" s="5" t="inlineStr">
        <is>
          <t>no checking</t>
        </is>
      </c>
      <c r="C356" s="5" t="n">
        <v>9</v>
      </c>
      <c r="D356" s="5" t="inlineStr">
        <is>
          <t>existing paid</t>
        </is>
      </c>
      <c r="E356" s="5" t="inlineStr">
        <is>
          <t>domestic appliance</t>
        </is>
      </c>
      <c r="F356" s="5" t="n">
        <v>1236</v>
      </c>
      <c r="G356" s="5" t="inlineStr">
        <is>
          <t>&lt;100</t>
        </is>
      </c>
      <c r="H356" s="5" t="inlineStr">
        <is>
          <t>&lt;1</t>
        </is>
      </c>
      <c r="I356" s="5" t="n">
        <v>1</v>
      </c>
      <c r="J356" s="5" t="inlineStr">
        <is>
          <t>female div/dep/mar</t>
        </is>
      </c>
      <c r="K356" s="5" t="inlineStr">
        <is>
          <t>none</t>
        </is>
      </c>
      <c r="L356" s="5" t="n">
        <v>4</v>
      </c>
      <c r="M356" s="5" t="inlineStr">
        <is>
          <t>real estate</t>
        </is>
      </c>
      <c r="N356" s="5" t="n">
        <v>23</v>
      </c>
      <c r="O356" s="5" t="inlineStr">
        <is>
          <t>none</t>
        </is>
      </c>
      <c r="P356" s="5" t="inlineStr">
        <is>
          <t>rent</t>
        </is>
      </c>
      <c r="Q356" s="5" t="n">
        <v>1</v>
      </c>
      <c r="R356" s="5" t="inlineStr">
        <is>
          <t>skilled</t>
        </is>
      </c>
      <c r="S356" s="5" t="n">
        <v>1</v>
      </c>
      <c r="T356" s="5" t="inlineStr">
        <is>
          <t>yes</t>
        </is>
      </c>
      <c r="U356" s="5" t="inlineStr">
        <is>
          <t>yes</t>
        </is>
      </c>
      <c r="V356" s="5" t="inlineStr">
        <is>
          <t>good</t>
        </is>
      </c>
    </row>
    <row r="357">
      <c r="A357" s="5" t="n">
        <v>352</v>
      </c>
      <c r="B357" s="5" t="inlineStr">
        <is>
          <t>0&lt;=X&lt;200</t>
        </is>
      </c>
      <c r="C357" s="5" t="n">
        <v>9</v>
      </c>
      <c r="D357" s="5" t="inlineStr">
        <is>
          <t>existing paid</t>
        </is>
      </c>
      <c r="E357" s="5" t="inlineStr">
        <is>
          <t>furniture/equipment</t>
        </is>
      </c>
      <c r="F357" s="5" t="n">
        <v>959</v>
      </c>
      <c r="G357" s="5" t="inlineStr">
        <is>
          <t>&lt;100</t>
        </is>
      </c>
      <c r="H357" s="5" t="inlineStr">
        <is>
          <t>1&lt;=X&lt;4</t>
        </is>
      </c>
      <c r="I357" s="5" t="n">
        <v>1</v>
      </c>
      <c r="J357" s="5" t="inlineStr">
        <is>
          <t>female div/dep/mar</t>
        </is>
      </c>
      <c r="K357" s="5" t="inlineStr">
        <is>
          <t>none</t>
        </is>
      </c>
      <c r="L357" s="5" t="n">
        <v>2</v>
      </c>
      <c r="M357" s="5" t="inlineStr">
        <is>
          <t>car</t>
        </is>
      </c>
      <c r="N357" s="5" t="n">
        <v>29</v>
      </c>
      <c r="O357" s="5" t="inlineStr">
        <is>
          <t>none</t>
        </is>
      </c>
      <c r="P357" s="5" t="inlineStr">
        <is>
          <t>own</t>
        </is>
      </c>
      <c r="Q357" s="5" t="n">
        <v>1</v>
      </c>
      <c r="R357" s="5" t="inlineStr">
        <is>
          <t>skilled</t>
        </is>
      </c>
      <c r="S357" s="5" t="n">
        <v>1</v>
      </c>
      <c r="T357" s="5" t="inlineStr">
        <is>
          <t>none</t>
        </is>
      </c>
      <c r="U357" s="5" t="inlineStr">
        <is>
          <t>no</t>
        </is>
      </c>
      <c r="V357" s="5" t="inlineStr">
        <is>
          <t>bad</t>
        </is>
      </c>
    </row>
    <row r="358">
      <c r="A358" s="5" t="n">
        <v>353</v>
      </c>
      <c r="B358" s="5" t="inlineStr">
        <is>
          <t>no checking</t>
        </is>
      </c>
      <c r="C358" s="5" t="n">
        <v>18</v>
      </c>
      <c r="D358" s="5" t="inlineStr">
        <is>
          <t>critical/other existing credit</t>
        </is>
      </c>
      <c r="E358" s="5" t="inlineStr">
        <is>
          <t>used car</t>
        </is>
      </c>
      <c r="F358" s="5" t="n">
        <v>3229</v>
      </c>
      <c r="G358" s="5" t="inlineStr">
        <is>
          <t>no known savings</t>
        </is>
      </c>
      <c r="H358" s="5" t="inlineStr">
        <is>
          <t>unemployed</t>
        </is>
      </c>
      <c r="I358" s="5" t="n">
        <v>2</v>
      </c>
      <c r="J358" s="5" t="inlineStr">
        <is>
          <t>male single</t>
        </is>
      </c>
      <c r="K358" s="5" t="inlineStr">
        <is>
          <t>none</t>
        </is>
      </c>
      <c r="L358" s="5" t="n">
        <v>4</v>
      </c>
      <c r="M358" s="5" t="inlineStr">
        <is>
          <t>no known property</t>
        </is>
      </c>
      <c r="N358" s="5" t="n">
        <v>38</v>
      </c>
      <c r="O358" s="5" t="inlineStr">
        <is>
          <t>none</t>
        </is>
      </c>
      <c r="P358" s="5" t="inlineStr">
        <is>
          <t>own</t>
        </is>
      </c>
      <c r="Q358" s="5" t="n">
        <v>1</v>
      </c>
      <c r="R358" s="5" t="inlineStr">
        <is>
          <t>high qualif/self emp/mgmt</t>
        </is>
      </c>
      <c r="S358" s="5" t="n">
        <v>1</v>
      </c>
      <c r="T358" s="5" t="inlineStr">
        <is>
          <t>yes</t>
        </is>
      </c>
      <c r="U358" s="5" t="inlineStr">
        <is>
          <t>yes</t>
        </is>
      </c>
      <c r="V358" s="5" t="inlineStr">
        <is>
          <t>good</t>
        </is>
      </c>
    </row>
    <row r="359">
      <c r="A359" s="5" t="n">
        <v>354</v>
      </c>
      <c r="B359" s="5" t="inlineStr">
        <is>
          <t>&lt;0</t>
        </is>
      </c>
      <c r="C359" s="5" t="n">
        <v>12</v>
      </c>
      <c r="D359" s="5" t="inlineStr">
        <is>
          <t>no credits/all paid</t>
        </is>
      </c>
      <c r="E359" s="5" t="inlineStr">
        <is>
          <t>radio/tv</t>
        </is>
      </c>
      <c r="F359" s="5" t="n">
        <v>6199</v>
      </c>
      <c r="G359" s="5" t="inlineStr">
        <is>
          <t>&lt;100</t>
        </is>
      </c>
      <c r="H359" s="5" t="inlineStr">
        <is>
          <t>1&lt;=X&lt;4</t>
        </is>
      </c>
      <c r="I359" s="5" t="n">
        <v>4</v>
      </c>
      <c r="J359" s="5" t="inlineStr">
        <is>
          <t>male single</t>
        </is>
      </c>
      <c r="K359" s="5" t="inlineStr">
        <is>
          <t>none</t>
        </is>
      </c>
      <c r="L359" s="5" t="n">
        <v>2</v>
      </c>
      <c r="M359" s="5" t="inlineStr">
        <is>
          <t>life insurance</t>
        </is>
      </c>
      <c r="N359" s="5" t="n">
        <v>28</v>
      </c>
      <c r="O359" s="5" t="inlineStr">
        <is>
          <t>none</t>
        </is>
      </c>
      <c r="P359" s="5" t="inlineStr">
        <is>
          <t>rent</t>
        </is>
      </c>
      <c r="Q359" s="5" t="n">
        <v>2</v>
      </c>
      <c r="R359" s="5" t="inlineStr">
        <is>
          <t>skilled</t>
        </is>
      </c>
      <c r="S359" s="5" t="n">
        <v>1</v>
      </c>
      <c r="T359" s="5" t="inlineStr">
        <is>
          <t>yes</t>
        </is>
      </c>
      <c r="U359" s="5" t="inlineStr">
        <is>
          <t>yes</t>
        </is>
      </c>
      <c r="V359" s="5" t="inlineStr">
        <is>
          <t>bad</t>
        </is>
      </c>
    </row>
    <row r="360">
      <c r="A360" s="5" t="n">
        <v>355</v>
      </c>
      <c r="B360" s="5" t="inlineStr">
        <is>
          <t>no checking</t>
        </is>
      </c>
      <c r="C360" s="5" t="n">
        <v>10</v>
      </c>
      <c r="D360" s="5" t="inlineStr">
        <is>
          <t>existing paid</t>
        </is>
      </c>
      <c r="E360" s="5" t="inlineStr">
        <is>
          <t>education</t>
        </is>
      </c>
      <c r="F360" s="5" t="n">
        <v>727</v>
      </c>
      <c r="G360" s="5" t="inlineStr">
        <is>
          <t>500&lt;=X&lt;1000</t>
        </is>
      </c>
      <c r="H360" s="5" t="inlineStr">
        <is>
          <t>&gt;=7</t>
        </is>
      </c>
      <c r="I360" s="5" t="n">
        <v>4</v>
      </c>
      <c r="J360" s="5" t="inlineStr">
        <is>
          <t>male single</t>
        </is>
      </c>
      <c r="K360" s="5" t="inlineStr">
        <is>
          <t>none</t>
        </is>
      </c>
      <c r="L360" s="5" t="n">
        <v>4</v>
      </c>
      <c r="M360" s="5" t="inlineStr">
        <is>
          <t>no known property</t>
        </is>
      </c>
      <c r="N360" s="5" t="n">
        <v>46</v>
      </c>
      <c r="O360" s="5" t="inlineStr">
        <is>
          <t>none</t>
        </is>
      </c>
      <c r="P360" s="5" t="inlineStr">
        <is>
          <t>for free</t>
        </is>
      </c>
      <c r="Q360" s="5" t="n">
        <v>1</v>
      </c>
      <c r="R360" s="5" t="inlineStr">
        <is>
          <t>skilled</t>
        </is>
      </c>
      <c r="S360" s="5" t="n">
        <v>1</v>
      </c>
      <c r="T360" s="5" t="inlineStr">
        <is>
          <t>yes</t>
        </is>
      </c>
      <c r="U360" s="5" t="inlineStr">
        <is>
          <t>yes</t>
        </is>
      </c>
      <c r="V360" s="5" t="inlineStr">
        <is>
          <t>good</t>
        </is>
      </c>
    </row>
    <row r="361">
      <c r="A361" s="5" t="n">
        <v>356</v>
      </c>
      <c r="B361" s="5" t="inlineStr">
        <is>
          <t>0&lt;=X&lt;200</t>
        </is>
      </c>
      <c r="C361" s="5" t="n">
        <v>24</v>
      </c>
      <c r="D361" s="5" t="inlineStr">
        <is>
          <t>existing paid</t>
        </is>
      </c>
      <c r="E361" s="5" t="inlineStr">
        <is>
          <t>new car</t>
        </is>
      </c>
      <c r="F361" s="5" t="n">
        <v>1246</v>
      </c>
      <c r="G361" s="5" t="inlineStr">
        <is>
          <t>&lt;100</t>
        </is>
      </c>
      <c r="H361" s="5" t="inlineStr">
        <is>
          <t>&lt;1</t>
        </is>
      </c>
      <c r="I361" s="5" t="n">
        <v>4</v>
      </c>
      <c r="J361" s="5" t="inlineStr">
        <is>
          <t>male single</t>
        </is>
      </c>
      <c r="K361" s="5" t="inlineStr">
        <is>
          <t>none</t>
        </is>
      </c>
      <c r="L361" s="5" t="n">
        <v>2</v>
      </c>
      <c r="M361" s="5" t="inlineStr">
        <is>
          <t>real estate</t>
        </is>
      </c>
      <c r="N361" s="5" t="n">
        <v>23</v>
      </c>
      <c r="O361" s="5" t="inlineStr">
        <is>
          <t>stores</t>
        </is>
      </c>
      <c r="P361" s="5" t="inlineStr">
        <is>
          <t>own</t>
        </is>
      </c>
      <c r="Q361" s="5" t="n">
        <v>1</v>
      </c>
      <c r="R361" s="5" t="inlineStr">
        <is>
          <t>unskilled resident</t>
        </is>
      </c>
      <c r="S361" s="5" t="n">
        <v>1</v>
      </c>
      <c r="T361" s="5" t="inlineStr">
        <is>
          <t>none</t>
        </is>
      </c>
      <c r="U361" s="5" t="inlineStr">
        <is>
          <t>yes</t>
        </is>
      </c>
      <c r="V361" s="5" t="inlineStr">
        <is>
          <t>bad</t>
        </is>
      </c>
    </row>
    <row r="362">
      <c r="A362" s="5" t="n">
        <v>357</v>
      </c>
      <c r="B362" s="5" t="inlineStr">
        <is>
          <t>no checking</t>
        </is>
      </c>
      <c r="C362" s="5" t="n">
        <v>12</v>
      </c>
      <c r="D362" s="5" t="inlineStr">
        <is>
          <t>critical/other existing credit</t>
        </is>
      </c>
      <c r="E362" s="5" t="inlineStr">
        <is>
          <t>radio/tv</t>
        </is>
      </c>
      <c r="F362" s="5" t="n">
        <v>2331</v>
      </c>
      <c r="G362" s="5" t="inlineStr">
        <is>
          <t>no known savings</t>
        </is>
      </c>
      <c r="H362" s="5" t="inlineStr">
        <is>
          <t>&gt;=7</t>
        </is>
      </c>
      <c r="I362" s="5" t="n">
        <v>1</v>
      </c>
      <c r="J362" s="5" t="inlineStr">
        <is>
          <t>male single</t>
        </is>
      </c>
      <c r="K362" s="5" t="inlineStr">
        <is>
          <t>co applicant</t>
        </is>
      </c>
      <c r="L362" s="5" t="n">
        <v>4</v>
      </c>
      <c r="M362" s="5" t="inlineStr">
        <is>
          <t>real estate</t>
        </is>
      </c>
      <c r="N362" s="5" t="n">
        <v>49</v>
      </c>
      <c r="O362" s="5" t="inlineStr">
        <is>
          <t>none</t>
        </is>
      </c>
      <c r="P362" s="5" t="inlineStr">
        <is>
          <t>own</t>
        </is>
      </c>
      <c r="Q362" s="5" t="n">
        <v>1</v>
      </c>
      <c r="R362" s="5" t="inlineStr">
        <is>
          <t>skilled</t>
        </is>
      </c>
      <c r="S362" s="5" t="n">
        <v>1</v>
      </c>
      <c r="T362" s="5" t="inlineStr">
        <is>
          <t>yes</t>
        </is>
      </c>
      <c r="U362" s="5" t="inlineStr">
        <is>
          <t>yes</t>
        </is>
      </c>
      <c r="V362" s="5" t="inlineStr">
        <is>
          <t>good</t>
        </is>
      </c>
    </row>
    <row r="363">
      <c r="A363" s="5" t="n">
        <v>358</v>
      </c>
      <c r="B363" s="5" t="inlineStr">
        <is>
          <t>no checking</t>
        </is>
      </c>
      <c r="C363" s="5" t="n">
        <v>36</v>
      </c>
      <c r="D363" s="5" t="inlineStr">
        <is>
          <t>delayed previously</t>
        </is>
      </c>
      <c r="E363" s="5" t="inlineStr">
        <is>
          <t>radio/tv</t>
        </is>
      </c>
      <c r="F363" s="5" t="n">
        <v>4463</v>
      </c>
      <c r="G363" s="5" t="inlineStr">
        <is>
          <t>&lt;100</t>
        </is>
      </c>
      <c r="H363" s="5" t="inlineStr">
        <is>
          <t>1&lt;=X&lt;4</t>
        </is>
      </c>
      <c r="I363" s="5" t="n">
        <v>4</v>
      </c>
      <c r="J363" s="5" t="inlineStr">
        <is>
          <t>male single</t>
        </is>
      </c>
      <c r="K363" s="5" t="inlineStr">
        <is>
          <t>none</t>
        </is>
      </c>
      <c r="L363" s="5" t="n">
        <v>2</v>
      </c>
      <c r="M363" s="5" t="inlineStr">
        <is>
          <t>car</t>
        </is>
      </c>
      <c r="N363" s="5" t="n">
        <v>26</v>
      </c>
      <c r="O363" s="5" t="inlineStr">
        <is>
          <t>none</t>
        </is>
      </c>
      <c r="P363" s="5" t="inlineStr">
        <is>
          <t>own</t>
        </is>
      </c>
      <c r="Q363" s="5" t="n">
        <v>2</v>
      </c>
      <c r="R363" s="5" t="inlineStr">
        <is>
          <t>high qualif/self emp/mgmt</t>
        </is>
      </c>
      <c r="S363" s="5" t="n">
        <v>1</v>
      </c>
      <c r="T363" s="5" t="inlineStr">
        <is>
          <t>yes</t>
        </is>
      </c>
      <c r="U363" s="5" t="inlineStr">
        <is>
          <t>yes</t>
        </is>
      </c>
      <c r="V363" s="5" t="inlineStr">
        <is>
          <t>bad</t>
        </is>
      </c>
    </row>
    <row r="364">
      <c r="A364" s="5" t="n">
        <v>359</v>
      </c>
      <c r="B364" s="5" t="inlineStr">
        <is>
          <t>no checking</t>
        </is>
      </c>
      <c r="C364" s="5" t="n">
        <v>12</v>
      </c>
      <c r="D364" s="5" t="inlineStr">
        <is>
          <t>existing paid</t>
        </is>
      </c>
      <c r="E364" s="5" t="inlineStr">
        <is>
          <t>radio/tv</t>
        </is>
      </c>
      <c r="F364" s="5" t="n">
        <v>776</v>
      </c>
      <c r="G364" s="5" t="inlineStr">
        <is>
          <t>&lt;100</t>
        </is>
      </c>
      <c r="H364" s="5" t="inlineStr">
        <is>
          <t>1&lt;=X&lt;4</t>
        </is>
      </c>
      <c r="I364" s="5" t="n">
        <v>4</v>
      </c>
      <c r="J364" s="5" t="inlineStr">
        <is>
          <t>male mar/wid</t>
        </is>
      </c>
      <c r="K364" s="5" t="inlineStr">
        <is>
          <t>none</t>
        </is>
      </c>
      <c r="L364" s="5" t="n">
        <v>2</v>
      </c>
      <c r="M364" s="5" t="inlineStr">
        <is>
          <t>real estate</t>
        </is>
      </c>
      <c r="N364" s="5" t="n">
        <v>28</v>
      </c>
      <c r="O364" s="5" t="inlineStr">
        <is>
          <t>none</t>
        </is>
      </c>
      <c r="P364" s="5" t="inlineStr">
        <is>
          <t>own</t>
        </is>
      </c>
      <c r="Q364" s="5" t="n">
        <v>1</v>
      </c>
      <c r="R364" s="5" t="inlineStr">
        <is>
          <t>skilled</t>
        </is>
      </c>
      <c r="S364" s="5" t="n">
        <v>1</v>
      </c>
      <c r="T364" s="5" t="inlineStr">
        <is>
          <t>none</t>
        </is>
      </c>
      <c r="U364" s="5" t="inlineStr">
        <is>
          <t>yes</t>
        </is>
      </c>
      <c r="V364" s="5" t="inlineStr">
        <is>
          <t>good</t>
        </is>
      </c>
    </row>
    <row r="365">
      <c r="A365" s="5" t="n">
        <v>360</v>
      </c>
      <c r="B365" s="5" t="inlineStr">
        <is>
          <t>&lt;0</t>
        </is>
      </c>
      <c r="C365" s="5" t="n">
        <v>30</v>
      </c>
      <c r="D365" s="5" t="inlineStr">
        <is>
          <t>existing paid</t>
        </is>
      </c>
      <c r="E365" s="5" t="inlineStr">
        <is>
          <t>furniture/equipment</t>
        </is>
      </c>
      <c r="F365" s="5" t="n">
        <v>2406</v>
      </c>
      <c r="G365" s="5" t="inlineStr">
        <is>
          <t>&lt;100</t>
        </is>
      </c>
      <c r="H365" s="5" t="inlineStr">
        <is>
          <t>4&lt;=X&lt;7</t>
        </is>
      </c>
      <c r="I365" s="5" t="n">
        <v>4</v>
      </c>
      <c r="J365" s="5" t="inlineStr">
        <is>
          <t>female div/dep/mar</t>
        </is>
      </c>
      <c r="K365" s="5" t="inlineStr">
        <is>
          <t>none</t>
        </is>
      </c>
      <c r="L365" s="5" t="n">
        <v>4</v>
      </c>
      <c r="M365" s="5" t="inlineStr">
        <is>
          <t>real estate</t>
        </is>
      </c>
      <c r="N365" s="5" t="n">
        <v>23</v>
      </c>
      <c r="O365" s="5" t="inlineStr">
        <is>
          <t>none</t>
        </is>
      </c>
      <c r="P365" s="5" t="inlineStr">
        <is>
          <t>rent</t>
        </is>
      </c>
      <c r="Q365" s="5" t="n">
        <v>1</v>
      </c>
      <c r="R365" s="5" t="inlineStr">
        <is>
          <t>skilled</t>
        </is>
      </c>
      <c r="S365" s="5" t="n">
        <v>1</v>
      </c>
      <c r="T365" s="5" t="inlineStr">
        <is>
          <t>none</t>
        </is>
      </c>
      <c r="U365" s="5" t="inlineStr">
        <is>
          <t>yes</t>
        </is>
      </c>
      <c r="V365" s="5" t="inlineStr">
        <is>
          <t>bad</t>
        </is>
      </c>
    </row>
    <row r="366">
      <c r="A366" s="5" t="n">
        <v>361</v>
      </c>
      <c r="B366" s="5" t="inlineStr">
        <is>
          <t>0&lt;=X&lt;200</t>
        </is>
      </c>
      <c r="C366" s="5" t="n">
        <v>18</v>
      </c>
      <c r="D366" s="5" t="inlineStr">
        <is>
          <t>existing paid</t>
        </is>
      </c>
      <c r="E366" s="5" t="inlineStr">
        <is>
          <t>education</t>
        </is>
      </c>
      <c r="F366" s="5" t="n">
        <v>1239</v>
      </c>
      <c r="G366" s="5" t="inlineStr">
        <is>
          <t>no known savings</t>
        </is>
      </c>
      <c r="H366" s="5" t="inlineStr">
        <is>
          <t>1&lt;=X&lt;4</t>
        </is>
      </c>
      <c r="I366" s="5" t="n">
        <v>4</v>
      </c>
      <c r="J366" s="5" t="inlineStr">
        <is>
          <t>male single</t>
        </is>
      </c>
      <c r="K366" s="5" t="inlineStr">
        <is>
          <t>none</t>
        </is>
      </c>
      <c r="L366" s="5" t="n">
        <v>4</v>
      </c>
      <c r="M366" s="5" t="inlineStr">
        <is>
          <t>no known property</t>
        </is>
      </c>
      <c r="N366" s="5" t="n">
        <v>61</v>
      </c>
      <c r="O366" s="5" t="inlineStr">
        <is>
          <t>none</t>
        </is>
      </c>
      <c r="P366" s="5" t="inlineStr">
        <is>
          <t>for free</t>
        </is>
      </c>
      <c r="Q366" s="5" t="n">
        <v>1</v>
      </c>
      <c r="R366" s="5" t="inlineStr">
        <is>
          <t>skilled</t>
        </is>
      </c>
      <c r="S366" s="5" t="n">
        <v>1</v>
      </c>
      <c r="T366" s="5" t="inlineStr">
        <is>
          <t>none</t>
        </is>
      </c>
      <c r="U366" s="5" t="inlineStr">
        <is>
          <t>yes</t>
        </is>
      </c>
      <c r="V366" s="5" t="inlineStr">
        <is>
          <t>good</t>
        </is>
      </c>
    </row>
    <row r="367">
      <c r="A367" s="5" t="n">
        <v>362</v>
      </c>
      <c r="B367" s="5" t="inlineStr">
        <is>
          <t>&gt;=200</t>
        </is>
      </c>
      <c r="C367" s="5" t="n">
        <v>12</v>
      </c>
      <c r="D367" s="5" t="inlineStr">
        <is>
          <t>existing paid</t>
        </is>
      </c>
      <c r="E367" s="5" t="inlineStr">
        <is>
          <t>radio/tv</t>
        </is>
      </c>
      <c r="F367" s="5" t="n">
        <v>3399</v>
      </c>
      <c r="G367" s="5" t="inlineStr">
        <is>
          <t>no known savings</t>
        </is>
      </c>
      <c r="H367" s="5" t="inlineStr">
        <is>
          <t>&gt;=7</t>
        </is>
      </c>
      <c r="I367" s="5" t="n">
        <v>2</v>
      </c>
      <c r="J367" s="5" t="inlineStr">
        <is>
          <t>male single</t>
        </is>
      </c>
      <c r="K367" s="5" t="inlineStr">
        <is>
          <t>none</t>
        </is>
      </c>
      <c r="L367" s="5" t="n">
        <v>3</v>
      </c>
      <c r="M367" s="5" t="inlineStr">
        <is>
          <t>car</t>
        </is>
      </c>
      <c r="N367" s="5" t="n">
        <v>37</v>
      </c>
      <c r="O367" s="5" t="inlineStr">
        <is>
          <t>none</t>
        </is>
      </c>
      <c r="P367" s="5" t="inlineStr">
        <is>
          <t>own</t>
        </is>
      </c>
      <c r="Q367" s="5" t="n">
        <v>1</v>
      </c>
      <c r="R367" s="5" t="inlineStr">
        <is>
          <t>high qualif/self emp/mgmt</t>
        </is>
      </c>
      <c r="S367" s="5" t="n">
        <v>1</v>
      </c>
      <c r="T367" s="5" t="inlineStr">
        <is>
          <t>none</t>
        </is>
      </c>
      <c r="U367" s="5" t="inlineStr">
        <is>
          <t>yes</t>
        </is>
      </c>
      <c r="V367" s="5" t="inlineStr">
        <is>
          <t>good</t>
        </is>
      </c>
    </row>
    <row r="368">
      <c r="A368" s="5" t="n">
        <v>363</v>
      </c>
      <c r="B368" s="5" t="inlineStr">
        <is>
          <t>&gt;=200</t>
        </is>
      </c>
      <c r="C368" s="5" t="n">
        <v>12</v>
      </c>
      <c r="D368" s="5" t="inlineStr">
        <is>
          <t>delayed previously</t>
        </is>
      </c>
      <c r="E368" s="5" t="inlineStr">
        <is>
          <t>new car</t>
        </is>
      </c>
      <c r="F368" s="5" t="n">
        <v>2247</v>
      </c>
      <c r="G368" s="5" t="inlineStr">
        <is>
          <t>&lt;100</t>
        </is>
      </c>
      <c r="H368" s="5" t="inlineStr">
        <is>
          <t>1&lt;=X&lt;4</t>
        </is>
      </c>
      <c r="I368" s="5" t="n">
        <v>2</v>
      </c>
      <c r="J368" s="5" t="inlineStr">
        <is>
          <t>female div/dep/mar</t>
        </is>
      </c>
      <c r="K368" s="5" t="inlineStr">
        <is>
          <t>none</t>
        </is>
      </c>
      <c r="L368" s="5" t="n">
        <v>2</v>
      </c>
      <c r="M368" s="5" t="inlineStr">
        <is>
          <t>car</t>
        </is>
      </c>
      <c r="N368" s="5" t="n">
        <v>36</v>
      </c>
      <c r="O368" s="5" t="inlineStr">
        <is>
          <t>stores</t>
        </is>
      </c>
      <c r="P368" s="5" t="inlineStr">
        <is>
          <t>own</t>
        </is>
      </c>
      <c r="Q368" s="5" t="n">
        <v>2</v>
      </c>
      <c r="R368" s="5" t="inlineStr">
        <is>
          <t>skilled</t>
        </is>
      </c>
      <c r="S368" s="5" t="n">
        <v>1</v>
      </c>
      <c r="T368" s="5" t="inlineStr">
        <is>
          <t>yes</t>
        </is>
      </c>
      <c r="U368" s="5" t="inlineStr">
        <is>
          <t>yes</t>
        </is>
      </c>
      <c r="V368" s="5" t="inlineStr">
        <is>
          <t>good</t>
        </is>
      </c>
    </row>
    <row r="369">
      <c r="A369" s="5" t="n">
        <v>364</v>
      </c>
      <c r="B369" s="5" t="inlineStr">
        <is>
          <t>no checking</t>
        </is>
      </c>
      <c r="C369" s="5" t="n">
        <v>6</v>
      </c>
      <c r="D369" s="5" t="inlineStr">
        <is>
          <t>existing paid</t>
        </is>
      </c>
      <c r="E369" s="5" t="inlineStr">
        <is>
          <t>furniture/equipment</t>
        </is>
      </c>
      <c r="F369" s="5" t="n">
        <v>1766</v>
      </c>
      <c r="G369" s="5" t="inlineStr">
        <is>
          <t>&lt;100</t>
        </is>
      </c>
      <c r="H369" s="5" t="inlineStr">
        <is>
          <t>1&lt;=X&lt;4</t>
        </is>
      </c>
      <c r="I369" s="5" t="n">
        <v>1</v>
      </c>
      <c r="J369" s="5" t="inlineStr">
        <is>
          <t>male mar/wid</t>
        </is>
      </c>
      <c r="K369" s="5" t="inlineStr">
        <is>
          <t>none</t>
        </is>
      </c>
      <c r="L369" s="5" t="n">
        <v>2</v>
      </c>
      <c r="M369" s="5" t="inlineStr">
        <is>
          <t>life insurance</t>
        </is>
      </c>
      <c r="N369" s="5" t="n">
        <v>21</v>
      </c>
      <c r="O369" s="5" t="inlineStr">
        <is>
          <t>none</t>
        </is>
      </c>
      <c r="P369" s="5" t="inlineStr">
        <is>
          <t>rent</t>
        </is>
      </c>
      <c r="Q369" s="5" t="n">
        <v>1</v>
      </c>
      <c r="R369" s="5" t="inlineStr">
        <is>
          <t>skilled</t>
        </is>
      </c>
      <c r="S369" s="5" t="n">
        <v>1</v>
      </c>
      <c r="T369" s="5" t="inlineStr">
        <is>
          <t>none</t>
        </is>
      </c>
      <c r="U369" s="5" t="inlineStr">
        <is>
          <t>yes</t>
        </is>
      </c>
      <c r="V369" s="5" t="inlineStr">
        <is>
          <t>good</t>
        </is>
      </c>
    </row>
    <row r="370">
      <c r="A370" s="5" t="n">
        <v>365</v>
      </c>
      <c r="B370" s="5" t="inlineStr">
        <is>
          <t>&lt;0</t>
        </is>
      </c>
      <c r="C370" s="5" t="n">
        <v>18</v>
      </c>
      <c r="D370" s="5" t="inlineStr">
        <is>
          <t>existing paid</t>
        </is>
      </c>
      <c r="E370" s="5" t="inlineStr">
        <is>
          <t>furniture/equipment</t>
        </is>
      </c>
      <c r="F370" s="5" t="n">
        <v>2473</v>
      </c>
      <c r="G370" s="5" t="inlineStr">
        <is>
          <t>&lt;100</t>
        </is>
      </c>
      <c r="H370" s="5" t="inlineStr">
        <is>
          <t>unemployed</t>
        </is>
      </c>
      <c r="I370" s="5" t="n">
        <v>4</v>
      </c>
      <c r="J370" s="5" t="inlineStr">
        <is>
          <t>male single</t>
        </is>
      </c>
      <c r="K370" s="5" t="inlineStr">
        <is>
          <t>none</t>
        </is>
      </c>
      <c r="L370" s="5" t="n">
        <v>1</v>
      </c>
      <c r="M370" s="5" t="inlineStr">
        <is>
          <t>car</t>
        </is>
      </c>
      <c r="N370" s="5" t="n">
        <v>25</v>
      </c>
      <c r="O370" s="5" t="inlineStr">
        <is>
          <t>none</t>
        </is>
      </c>
      <c r="P370" s="5" t="inlineStr">
        <is>
          <t>own</t>
        </is>
      </c>
      <c r="Q370" s="5" t="n">
        <v>1</v>
      </c>
      <c r="R370" s="5" t="inlineStr">
        <is>
          <t>unemp/unskilled non res</t>
        </is>
      </c>
      <c r="S370" s="5" t="n">
        <v>1</v>
      </c>
      <c r="T370" s="5" t="inlineStr">
        <is>
          <t>none</t>
        </is>
      </c>
      <c r="U370" s="5" t="inlineStr">
        <is>
          <t>yes</t>
        </is>
      </c>
      <c r="V370" s="5" t="inlineStr">
        <is>
          <t>bad</t>
        </is>
      </c>
    </row>
    <row r="371">
      <c r="A371" s="5" t="n">
        <v>366</v>
      </c>
      <c r="B371" s="5" t="inlineStr">
        <is>
          <t>no checking</t>
        </is>
      </c>
      <c r="C371" s="5" t="n">
        <v>12</v>
      </c>
      <c r="D371" s="5" t="inlineStr">
        <is>
          <t>existing paid</t>
        </is>
      </c>
      <c r="E371" s="5" t="inlineStr">
        <is>
          <t>business</t>
        </is>
      </c>
      <c r="F371" s="5" t="n">
        <v>1542</v>
      </c>
      <c r="G371" s="5" t="inlineStr">
        <is>
          <t>&lt;100</t>
        </is>
      </c>
      <c r="H371" s="5" t="inlineStr">
        <is>
          <t>4&lt;=X&lt;7</t>
        </is>
      </c>
      <c r="I371" s="5" t="n">
        <v>2</v>
      </c>
      <c r="J371" s="5" t="inlineStr">
        <is>
          <t>male single</t>
        </is>
      </c>
      <c r="K371" s="5" t="inlineStr">
        <is>
          <t>none</t>
        </is>
      </c>
      <c r="L371" s="5" t="n">
        <v>4</v>
      </c>
      <c r="M371" s="5" t="inlineStr">
        <is>
          <t>car</t>
        </is>
      </c>
      <c r="N371" s="5" t="n">
        <v>36</v>
      </c>
      <c r="O371" s="5" t="inlineStr">
        <is>
          <t>none</t>
        </is>
      </c>
      <c r="P371" s="5" t="inlineStr">
        <is>
          <t>own</t>
        </is>
      </c>
      <c r="Q371" s="5" t="n">
        <v>1</v>
      </c>
      <c r="R371" s="5" t="inlineStr">
        <is>
          <t>skilled</t>
        </is>
      </c>
      <c r="S371" s="5" t="n">
        <v>1</v>
      </c>
      <c r="T371" s="5" t="inlineStr">
        <is>
          <t>yes</t>
        </is>
      </c>
      <c r="U371" s="5" t="inlineStr">
        <is>
          <t>yes</t>
        </is>
      </c>
      <c r="V371" s="5" t="inlineStr">
        <is>
          <t>good</t>
        </is>
      </c>
    </row>
    <row r="372">
      <c r="A372" s="5" t="n">
        <v>367</v>
      </c>
      <c r="B372" s="5" t="inlineStr">
        <is>
          <t>no checking</t>
        </is>
      </c>
      <c r="C372" s="5" t="n">
        <v>18</v>
      </c>
      <c r="D372" s="5" t="inlineStr">
        <is>
          <t>critical/other existing credit</t>
        </is>
      </c>
      <c r="E372" s="5" t="inlineStr">
        <is>
          <t>used car</t>
        </is>
      </c>
      <c r="F372" s="5" t="n">
        <v>3850</v>
      </c>
      <c r="G372" s="5" t="inlineStr">
        <is>
          <t>&lt;100</t>
        </is>
      </c>
      <c r="H372" s="5" t="inlineStr">
        <is>
          <t>4&lt;=X&lt;7</t>
        </is>
      </c>
      <c r="I372" s="5" t="n">
        <v>3</v>
      </c>
      <c r="J372" s="5" t="inlineStr">
        <is>
          <t>male single</t>
        </is>
      </c>
      <c r="K372" s="5" t="inlineStr">
        <is>
          <t>none</t>
        </is>
      </c>
      <c r="L372" s="5" t="n">
        <v>1</v>
      </c>
      <c r="M372" s="5" t="inlineStr">
        <is>
          <t>car</t>
        </is>
      </c>
      <c r="N372" s="5" t="n">
        <v>27</v>
      </c>
      <c r="O372" s="5" t="inlineStr">
        <is>
          <t>none</t>
        </is>
      </c>
      <c r="P372" s="5" t="inlineStr">
        <is>
          <t>own</t>
        </is>
      </c>
      <c r="Q372" s="5" t="n">
        <v>2</v>
      </c>
      <c r="R372" s="5" t="inlineStr">
        <is>
          <t>skilled</t>
        </is>
      </c>
      <c r="S372" s="5" t="n">
        <v>1</v>
      </c>
      <c r="T372" s="5" t="inlineStr">
        <is>
          <t>none</t>
        </is>
      </c>
      <c r="U372" s="5" t="inlineStr">
        <is>
          <t>yes</t>
        </is>
      </c>
      <c r="V372" s="5" t="inlineStr">
        <is>
          <t>good</t>
        </is>
      </c>
    </row>
    <row r="373">
      <c r="A373" s="5" t="n">
        <v>368</v>
      </c>
      <c r="B373" s="5" t="inlineStr">
        <is>
          <t>&lt;0</t>
        </is>
      </c>
      <c r="C373" s="5" t="n">
        <v>18</v>
      </c>
      <c r="D373" s="5" t="inlineStr">
        <is>
          <t>existing paid</t>
        </is>
      </c>
      <c r="E373" s="5" t="inlineStr">
        <is>
          <t>furniture/equipment</t>
        </is>
      </c>
      <c r="F373" s="5" t="n">
        <v>3650</v>
      </c>
      <c r="G373" s="5" t="inlineStr">
        <is>
          <t>&lt;100</t>
        </is>
      </c>
      <c r="H373" s="5" t="inlineStr">
        <is>
          <t>&lt;1</t>
        </is>
      </c>
      <c r="I373" s="5" t="n">
        <v>1</v>
      </c>
      <c r="J373" s="5" t="inlineStr">
        <is>
          <t>female div/dep/mar</t>
        </is>
      </c>
      <c r="K373" s="5" t="inlineStr">
        <is>
          <t>none</t>
        </is>
      </c>
      <c r="L373" s="5" t="n">
        <v>4</v>
      </c>
      <c r="M373" s="5" t="inlineStr">
        <is>
          <t>car</t>
        </is>
      </c>
      <c r="N373" s="5" t="n">
        <v>22</v>
      </c>
      <c r="O373" s="5" t="inlineStr">
        <is>
          <t>none</t>
        </is>
      </c>
      <c r="P373" s="5" t="inlineStr">
        <is>
          <t>rent</t>
        </is>
      </c>
      <c r="Q373" s="5" t="n">
        <v>1</v>
      </c>
      <c r="R373" s="5" t="inlineStr">
        <is>
          <t>skilled</t>
        </is>
      </c>
      <c r="S373" s="5" t="n">
        <v>1</v>
      </c>
      <c r="T373" s="5" t="inlineStr">
        <is>
          <t>none</t>
        </is>
      </c>
      <c r="U373" s="5" t="inlineStr">
        <is>
          <t>yes</t>
        </is>
      </c>
      <c r="V373" s="5" t="inlineStr">
        <is>
          <t>good</t>
        </is>
      </c>
    </row>
    <row r="374">
      <c r="A374" s="5" t="n">
        <v>369</v>
      </c>
      <c r="B374" s="5" t="inlineStr">
        <is>
          <t>&lt;0</t>
        </is>
      </c>
      <c r="C374" s="5" t="n">
        <v>36</v>
      </c>
      <c r="D374" s="5" t="inlineStr">
        <is>
          <t>existing paid</t>
        </is>
      </c>
      <c r="E374" s="5" t="inlineStr">
        <is>
          <t>furniture/equipment</t>
        </is>
      </c>
      <c r="F374" s="5" t="n">
        <v>3446</v>
      </c>
      <c r="G374" s="5" t="inlineStr">
        <is>
          <t>&lt;100</t>
        </is>
      </c>
      <c r="H374" s="5" t="inlineStr">
        <is>
          <t>&gt;=7</t>
        </is>
      </c>
      <c r="I374" s="5" t="n">
        <v>4</v>
      </c>
      <c r="J374" s="5" t="inlineStr">
        <is>
          <t>male single</t>
        </is>
      </c>
      <c r="K374" s="5" t="inlineStr">
        <is>
          <t>none</t>
        </is>
      </c>
      <c r="L374" s="5" t="n">
        <v>2</v>
      </c>
      <c r="M374" s="5" t="inlineStr">
        <is>
          <t>car</t>
        </is>
      </c>
      <c r="N374" s="5" t="n">
        <v>42</v>
      </c>
      <c r="O374" s="5" t="inlineStr">
        <is>
          <t>none</t>
        </is>
      </c>
      <c r="P374" s="5" t="inlineStr">
        <is>
          <t>own</t>
        </is>
      </c>
      <c r="Q374" s="5" t="n">
        <v>1</v>
      </c>
      <c r="R374" s="5" t="inlineStr">
        <is>
          <t>skilled</t>
        </is>
      </c>
      <c r="S374" s="5" t="n">
        <v>2</v>
      </c>
      <c r="T374" s="5" t="inlineStr">
        <is>
          <t>none</t>
        </is>
      </c>
      <c r="U374" s="5" t="inlineStr">
        <is>
          <t>yes</t>
        </is>
      </c>
      <c r="V374" s="5" t="inlineStr">
        <is>
          <t>bad</t>
        </is>
      </c>
    </row>
    <row r="375">
      <c r="A375" s="5" t="n">
        <v>370</v>
      </c>
      <c r="B375" s="5" t="inlineStr">
        <is>
          <t>0&lt;=X&lt;200</t>
        </is>
      </c>
      <c r="C375" s="5" t="n">
        <v>18</v>
      </c>
      <c r="D375" s="5" t="inlineStr">
        <is>
          <t>existing paid</t>
        </is>
      </c>
      <c r="E375" s="5" t="inlineStr">
        <is>
          <t>furniture/equipment</t>
        </is>
      </c>
      <c r="F375" s="5" t="n">
        <v>3001</v>
      </c>
      <c r="G375" s="5" t="inlineStr">
        <is>
          <t>&lt;100</t>
        </is>
      </c>
      <c r="H375" s="5" t="inlineStr">
        <is>
          <t>4&lt;=X&lt;7</t>
        </is>
      </c>
      <c r="I375" s="5" t="n">
        <v>2</v>
      </c>
      <c r="J375" s="5" t="inlineStr">
        <is>
          <t>female div/dep/mar</t>
        </is>
      </c>
      <c r="K375" s="5" t="inlineStr">
        <is>
          <t>none</t>
        </is>
      </c>
      <c r="L375" s="5" t="n">
        <v>4</v>
      </c>
      <c r="M375" s="5" t="inlineStr">
        <is>
          <t>real estate</t>
        </is>
      </c>
      <c r="N375" s="5" t="n">
        <v>40</v>
      </c>
      <c r="O375" s="5" t="inlineStr">
        <is>
          <t>none</t>
        </is>
      </c>
      <c r="P375" s="5" t="inlineStr">
        <is>
          <t>rent</t>
        </is>
      </c>
      <c r="Q375" s="5" t="n">
        <v>1</v>
      </c>
      <c r="R375" s="5" t="inlineStr">
        <is>
          <t>skilled</t>
        </is>
      </c>
      <c r="S375" s="5" t="n">
        <v>1</v>
      </c>
      <c r="T375" s="5" t="inlineStr">
        <is>
          <t>none</t>
        </is>
      </c>
      <c r="U375" s="5" t="inlineStr">
        <is>
          <t>yes</t>
        </is>
      </c>
      <c r="V375" s="5" t="inlineStr">
        <is>
          <t>good</t>
        </is>
      </c>
    </row>
    <row r="376">
      <c r="A376" s="5" t="n">
        <v>371</v>
      </c>
      <c r="B376" s="5" t="inlineStr">
        <is>
          <t>no checking</t>
        </is>
      </c>
      <c r="C376" s="5" t="n">
        <v>36</v>
      </c>
      <c r="D376" s="5" t="inlineStr">
        <is>
          <t>existing paid</t>
        </is>
      </c>
      <c r="E376" s="5" t="inlineStr">
        <is>
          <t>new car</t>
        </is>
      </c>
      <c r="F376" s="5" t="n">
        <v>3079</v>
      </c>
      <c r="G376" s="5" t="inlineStr">
        <is>
          <t>no known savings</t>
        </is>
      </c>
      <c r="H376" s="5" t="inlineStr">
        <is>
          <t>1&lt;=X&lt;4</t>
        </is>
      </c>
      <c r="I376" s="5" t="n">
        <v>4</v>
      </c>
      <c r="J376" s="5" t="inlineStr">
        <is>
          <t>male single</t>
        </is>
      </c>
      <c r="K376" s="5" t="inlineStr">
        <is>
          <t>none</t>
        </is>
      </c>
      <c r="L376" s="5" t="n">
        <v>4</v>
      </c>
      <c r="M376" s="5" t="inlineStr">
        <is>
          <t>real estate</t>
        </is>
      </c>
      <c r="N376" s="5" t="n">
        <v>36</v>
      </c>
      <c r="O376" s="5" t="inlineStr">
        <is>
          <t>none</t>
        </is>
      </c>
      <c r="P376" s="5" t="inlineStr">
        <is>
          <t>own</t>
        </is>
      </c>
      <c r="Q376" s="5" t="n">
        <v>1</v>
      </c>
      <c r="R376" s="5" t="inlineStr">
        <is>
          <t>skilled</t>
        </is>
      </c>
      <c r="S376" s="5" t="n">
        <v>1</v>
      </c>
      <c r="T376" s="5" t="inlineStr">
        <is>
          <t>none</t>
        </is>
      </c>
      <c r="U376" s="5" t="inlineStr">
        <is>
          <t>yes</t>
        </is>
      </c>
      <c r="V376" s="5" t="inlineStr">
        <is>
          <t>good</t>
        </is>
      </c>
    </row>
    <row r="377">
      <c r="A377" s="5" t="n">
        <v>372</v>
      </c>
      <c r="B377" s="5" t="inlineStr">
        <is>
          <t>no checking</t>
        </is>
      </c>
      <c r="C377" s="5" t="n">
        <v>18</v>
      </c>
      <c r="D377" s="5" t="inlineStr">
        <is>
          <t>critical/other existing credit</t>
        </is>
      </c>
      <c r="E377" s="5" t="inlineStr">
        <is>
          <t>radio/tv</t>
        </is>
      </c>
      <c r="F377" s="5" t="n">
        <v>6070</v>
      </c>
      <c r="G377" s="5" t="inlineStr">
        <is>
          <t>&lt;100</t>
        </is>
      </c>
      <c r="H377" s="5" t="inlineStr">
        <is>
          <t>&gt;=7</t>
        </is>
      </c>
      <c r="I377" s="5" t="n">
        <v>3</v>
      </c>
      <c r="J377" s="5" t="inlineStr">
        <is>
          <t>male single</t>
        </is>
      </c>
      <c r="K377" s="5" t="inlineStr">
        <is>
          <t>none</t>
        </is>
      </c>
      <c r="L377" s="5" t="n">
        <v>4</v>
      </c>
      <c r="M377" s="5" t="inlineStr">
        <is>
          <t>car</t>
        </is>
      </c>
      <c r="N377" s="5" t="n">
        <v>33</v>
      </c>
      <c r="O377" s="5" t="inlineStr">
        <is>
          <t>none</t>
        </is>
      </c>
      <c r="P377" s="5" t="inlineStr">
        <is>
          <t>own</t>
        </is>
      </c>
      <c r="Q377" s="5" t="n">
        <v>2</v>
      </c>
      <c r="R377" s="5" t="inlineStr">
        <is>
          <t>skilled</t>
        </is>
      </c>
      <c r="S377" s="5" t="n">
        <v>1</v>
      </c>
      <c r="T377" s="5" t="inlineStr">
        <is>
          <t>yes</t>
        </is>
      </c>
      <c r="U377" s="5" t="inlineStr">
        <is>
          <t>yes</t>
        </is>
      </c>
      <c r="V377" s="5" t="inlineStr">
        <is>
          <t>good</t>
        </is>
      </c>
    </row>
    <row r="378">
      <c r="A378" s="5" t="n">
        <v>373</v>
      </c>
      <c r="B378" s="5" t="inlineStr">
        <is>
          <t>no checking</t>
        </is>
      </c>
      <c r="C378" s="5" t="n">
        <v>10</v>
      </c>
      <c r="D378" s="5" t="inlineStr">
        <is>
          <t>critical/other existing credit</t>
        </is>
      </c>
      <c r="E378" s="5" t="inlineStr">
        <is>
          <t>furniture/equipment</t>
        </is>
      </c>
      <c r="F378" s="5" t="n">
        <v>2146</v>
      </c>
      <c r="G378" s="5" t="inlineStr">
        <is>
          <t>&lt;100</t>
        </is>
      </c>
      <c r="H378" s="5" t="inlineStr">
        <is>
          <t>&lt;1</t>
        </is>
      </c>
      <c r="I378" s="5" t="n">
        <v>1</v>
      </c>
      <c r="J378" s="5" t="inlineStr">
        <is>
          <t>female div/dep/mar</t>
        </is>
      </c>
      <c r="K378" s="5" t="inlineStr">
        <is>
          <t>none</t>
        </is>
      </c>
      <c r="L378" s="5" t="n">
        <v>3</v>
      </c>
      <c r="M378" s="5" t="inlineStr">
        <is>
          <t>real estate</t>
        </is>
      </c>
      <c r="N378" s="5" t="n">
        <v>23</v>
      </c>
      <c r="O378" s="5" t="inlineStr">
        <is>
          <t>none</t>
        </is>
      </c>
      <c r="P378" s="5" t="inlineStr">
        <is>
          <t>rent</t>
        </is>
      </c>
      <c r="Q378" s="5" t="n">
        <v>2</v>
      </c>
      <c r="R378" s="5" t="inlineStr">
        <is>
          <t>skilled</t>
        </is>
      </c>
      <c r="S378" s="5" t="n">
        <v>1</v>
      </c>
      <c r="T378" s="5" t="inlineStr">
        <is>
          <t>none</t>
        </is>
      </c>
      <c r="U378" s="5" t="inlineStr">
        <is>
          <t>yes</t>
        </is>
      </c>
      <c r="V378" s="5" t="inlineStr">
        <is>
          <t>good</t>
        </is>
      </c>
    </row>
    <row r="379">
      <c r="A379" s="5" t="n">
        <v>374</v>
      </c>
      <c r="B379" s="5" t="inlineStr">
        <is>
          <t>no checking</t>
        </is>
      </c>
      <c r="C379" s="5" t="n">
        <v>60</v>
      </c>
      <c r="D379" s="5" t="inlineStr">
        <is>
          <t>critical/other existing credit</t>
        </is>
      </c>
      <c r="E379" s="5" t="inlineStr">
        <is>
          <t>new car</t>
        </is>
      </c>
      <c r="F379" s="5" t="n">
        <v>13756</v>
      </c>
      <c r="G379" s="5" t="inlineStr">
        <is>
          <t>no known savings</t>
        </is>
      </c>
      <c r="H379" s="5" t="inlineStr">
        <is>
          <t>&gt;=7</t>
        </is>
      </c>
      <c r="I379" s="5" t="n">
        <v>2</v>
      </c>
      <c r="J379" s="5" t="inlineStr">
        <is>
          <t>male single</t>
        </is>
      </c>
      <c r="K379" s="5" t="inlineStr">
        <is>
          <t>none</t>
        </is>
      </c>
      <c r="L379" s="5" t="n">
        <v>4</v>
      </c>
      <c r="M379" s="5" t="inlineStr">
        <is>
          <t>no known property</t>
        </is>
      </c>
      <c r="N379" s="5" t="n">
        <v>63</v>
      </c>
      <c r="O379" s="5" t="inlineStr">
        <is>
          <t>bank</t>
        </is>
      </c>
      <c r="P379" s="5" t="inlineStr">
        <is>
          <t>for free</t>
        </is>
      </c>
      <c r="Q379" s="5" t="n">
        <v>1</v>
      </c>
      <c r="R379" s="5" t="inlineStr">
        <is>
          <t>high qualif/self emp/mgmt</t>
        </is>
      </c>
      <c r="S379" s="5" t="n">
        <v>1</v>
      </c>
      <c r="T379" s="5" t="inlineStr">
        <is>
          <t>yes</t>
        </is>
      </c>
      <c r="U379" s="5" t="inlineStr">
        <is>
          <t>yes</t>
        </is>
      </c>
      <c r="V379" s="5" t="inlineStr">
        <is>
          <t>good</t>
        </is>
      </c>
    </row>
    <row r="380">
      <c r="A380" s="5" t="n">
        <v>375</v>
      </c>
      <c r="B380" s="5" t="inlineStr">
        <is>
          <t>0&lt;=X&lt;200</t>
        </is>
      </c>
      <c r="C380" s="5" t="n">
        <v>60</v>
      </c>
      <c r="D380" s="5" t="inlineStr">
        <is>
          <t>all paid</t>
        </is>
      </c>
      <c r="E380" s="5" t="inlineStr">
        <is>
          <t>other</t>
        </is>
      </c>
      <c r="F380" s="5" t="n">
        <v>14782</v>
      </c>
      <c r="G380" s="5" t="inlineStr">
        <is>
          <t>100&lt;=X&lt;500</t>
        </is>
      </c>
      <c r="H380" s="5" t="inlineStr">
        <is>
          <t>&gt;=7</t>
        </is>
      </c>
      <c r="I380" s="5" t="n">
        <v>3</v>
      </c>
      <c r="J380" s="5" t="inlineStr">
        <is>
          <t>female div/dep/mar</t>
        </is>
      </c>
      <c r="K380" s="5" t="inlineStr">
        <is>
          <t>none</t>
        </is>
      </c>
      <c r="L380" s="5" t="n">
        <v>4</v>
      </c>
      <c r="M380" s="5" t="inlineStr">
        <is>
          <t>no known property</t>
        </is>
      </c>
      <c r="N380" s="5" t="n">
        <v>60</v>
      </c>
      <c r="O380" s="5" t="inlineStr">
        <is>
          <t>bank</t>
        </is>
      </c>
      <c r="P380" s="5" t="inlineStr">
        <is>
          <t>for free</t>
        </is>
      </c>
      <c r="Q380" s="5" t="n">
        <v>2</v>
      </c>
      <c r="R380" s="5" t="inlineStr">
        <is>
          <t>high qualif/self emp/mgmt</t>
        </is>
      </c>
      <c r="S380" s="5" t="n">
        <v>1</v>
      </c>
      <c r="T380" s="5" t="inlineStr">
        <is>
          <t>yes</t>
        </is>
      </c>
      <c r="U380" s="5" t="inlineStr">
        <is>
          <t>yes</t>
        </is>
      </c>
      <c r="V380" s="5" t="inlineStr">
        <is>
          <t>bad</t>
        </is>
      </c>
    </row>
    <row r="381">
      <c r="A381" s="5" t="n">
        <v>376</v>
      </c>
      <c r="B381" s="5" t="inlineStr">
        <is>
          <t>&lt;0</t>
        </is>
      </c>
      <c r="C381" s="5" t="n">
        <v>48</v>
      </c>
      <c r="D381" s="5" t="inlineStr">
        <is>
          <t>all paid</t>
        </is>
      </c>
      <c r="E381" s="5" t="inlineStr">
        <is>
          <t>business</t>
        </is>
      </c>
      <c r="F381" s="5" t="n">
        <v>7685</v>
      </c>
      <c r="G381" s="5" t="inlineStr">
        <is>
          <t>&lt;100</t>
        </is>
      </c>
      <c r="H381" s="5" t="inlineStr">
        <is>
          <t>4&lt;=X&lt;7</t>
        </is>
      </c>
      <c r="I381" s="5" t="n">
        <v>2</v>
      </c>
      <c r="J381" s="5" t="inlineStr">
        <is>
          <t>female div/dep/mar</t>
        </is>
      </c>
      <c r="K381" s="5" t="inlineStr">
        <is>
          <t>guarantor</t>
        </is>
      </c>
      <c r="L381" s="5" t="n">
        <v>4</v>
      </c>
      <c r="M381" s="5" t="inlineStr">
        <is>
          <t>car</t>
        </is>
      </c>
      <c r="N381" s="5" t="n">
        <v>37</v>
      </c>
      <c r="O381" s="5" t="inlineStr">
        <is>
          <t>none</t>
        </is>
      </c>
      <c r="P381" s="5" t="inlineStr">
        <is>
          <t>rent</t>
        </is>
      </c>
      <c r="Q381" s="5" t="n">
        <v>1</v>
      </c>
      <c r="R381" s="5" t="inlineStr">
        <is>
          <t>skilled</t>
        </is>
      </c>
      <c r="S381" s="5" t="n">
        <v>1</v>
      </c>
      <c r="T381" s="5" t="inlineStr">
        <is>
          <t>none</t>
        </is>
      </c>
      <c r="U381" s="5" t="inlineStr">
        <is>
          <t>yes</t>
        </is>
      </c>
      <c r="V381" s="5" t="inlineStr">
        <is>
          <t>bad</t>
        </is>
      </c>
    </row>
    <row r="382">
      <c r="A382" s="5" t="n">
        <v>377</v>
      </c>
      <c r="B382" s="5" t="inlineStr">
        <is>
          <t>no checking</t>
        </is>
      </c>
      <c r="C382" s="5" t="n">
        <v>18</v>
      </c>
      <c r="D382" s="5" t="inlineStr">
        <is>
          <t>delayed previously</t>
        </is>
      </c>
      <c r="E382" s="5" t="inlineStr">
        <is>
          <t>radio/tv</t>
        </is>
      </c>
      <c r="F382" s="5" t="n">
        <v>2320</v>
      </c>
      <c r="G382" s="5" t="inlineStr">
        <is>
          <t>&lt;100</t>
        </is>
      </c>
      <c r="H382" s="5" t="inlineStr">
        <is>
          <t>unemployed</t>
        </is>
      </c>
      <c r="I382" s="5" t="n">
        <v>2</v>
      </c>
      <c r="J382" s="5" t="inlineStr">
        <is>
          <t>male mar/wid</t>
        </is>
      </c>
      <c r="K382" s="5" t="inlineStr">
        <is>
          <t>none</t>
        </is>
      </c>
      <c r="L382" s="5" t="n">
        <v>3</v>
      </c>
      <c r="M382" s="5" t="inlineStr">
        <is>
          <t>real estate</t>
        </is>
      </c>
      <c r="N382" s="5" t="n">
        <v>34</v>
      </c>
      <c r="O382" s="5" t="inlineStr">
        <is>
          <t>none</t>
        </is>
      </c>
      <c r="P382" s="5" t="inlineStr">
        <is>
          <t>own</t>
        </is>
      </c>
      <c r="Q382" s="5" t="n">
        <v>2</v>
      </c>
      <c r="R382" s="5" t="inlineStr">
        <is>
          <t>skilled</t>
        </is>
      </c>
      <c r="S382" s="5" t="n">
        <v>1</v>
      </c>
      <c r="T382" s="5" t="inlineStr">
        <is>
          <t>none</t>
        </is>
      </c>
      <c r="U382" s="5" t="inlineStr">
        <is>
          <t>yes</t>
        </is>
      </c>
      <c r="V382" s="5" t="inlineStr">
        <is>
          <t>good</t>
        </is>
      </c>
    </row>
    <row r="383">
      <c r="A383" s="5" t="n">
        <v>378</v>
      </c>
      <c r="B383" s="5" t="inlineStr">
        <is>
          <t>no checking</t>
        </is>
      </c>
      <c r="C383" s="5" t="n">
        <v>7</v>
      </c>
      <c r="D383" s="5" t="inlineStr">
        <is>
          <t>delayed previously</t>
        </is>
      </c>
      <c r="E383" s="5" t="inlineStr">
        <is>
          <t>radio/tv</t>
        </is>
      </c>
      <c r="F383" s="5" t="n">
        <v>846</v>
      </c>
      <c r="G383" s="5" t="inlineStr">
        <is>
          <t>no known savings</t>
        </is>
      </c>
      <c r="H383" s="5" t="inlineStr">
        <is>
          <t>&gt;=7</t>
        </is>
      </c>
      <c r="I383" s="5" t="n">
        <v>3</v>
      </c>
      <c r="J383" s="5" t="inlineStr">
        <is>
          <t>male single</t>
        </is>
      </c>
      <c r="K383" s="5" t="inlineStr">
        <is>
          <t>none</t>
        </is>
      </c>
      <c r="L383" s="5" t="n">
        <v>4</v>
      </c>
      <c r="M383" s="5" t="inlineStr">
        <is>
          <t>no known property</t>
        </is>
      </c>
      <c r="N383" s="5" t="n">
        <v>36</v>
      </c>
      <c r="O383" s="5" t="inlineStr">
        <is>
          <t>none</t>
        </is>
      </c>
      <c r="P383" s="5" t="inlineStr">
        <is>
          <t>for free</t>
        </is>
      </c>
      <c r="Q383" s="5" t="n">
        <v>1</v>
      </c>
      <c r="R383" s="5" t="inlineStr">
        <is>
          <t>skilled</t>
        </is>
      </c>
      <c r="S383" s="5" t="n">
        <v>1</v>
      </c>
      <c r="T383" s="5" t="inlineStr">
        <is>
          <t>none</t>
        </is>
      </c>
      <c r="U383" s="5" t="inlineStr">
        <is>
          <t>yes</t>
        </is>
      </c>
      <c r="V383" s="5" t="inlineStr">
        <is>
          <t>good</t>
        </is>
      </c>
    </row>
    <row r="384">
      <c r="A384" s="5" t="n">
        <v>379</v>
      </c>
      <c r="B384" s="5" t="inlineStr">
        <is>
          <t>0&lt;=X&lt;200</t>
        </is>
      </c>
      <c r="C384" s="5" t="n">
        <v>36</v>
      </c>
      <c r="D384" s="5" t="inlineStr">
        <is>
          <t>existing paid</t>
        </is>
      </c>
      <c r="E384" s="5" t="inlineStr">
        <is>
          <t>new car</t>
        </is>
      </c>
      <c r="F384" s="5" t="n">
        <v>14318</v>
      </c>
      <c r="G384" s="5" t="inlineStr">
        <is>
          <t>&lt;100</t>
        </is>
      </c>
      <c r="H384" s="5" t="inlineStr">
        <is>
          <t>&gt;=7</t>
        </is>
      </c>
      <c r="I384" s="5" t="n">
        <v>4</v>
      </c>
      <c r="J384" s="5" t="inlineStr">
        <is>
          <t>male single</t>
        </is>
      </c>
      <c r="K384" s="5" t="inlineStr">
        <is>
          <t>none</t>
        </is>
      </c>
      <c r="L384" s="5" t="n">
        <v>2</v>
      </c>
      <c r="M384" s="5" t="inlineStr">
        <is>
          <t>no known property</t>
        </is>
      </c>
      <c r="N384" s="5" t="n">
        <v>57</v>
      </c>
      <c r="O384" s="5" t="inlineStr">
        <is>
          <t>none</t>
        </is>
      </c>
      <c r="P384" s="5" t="inlineStr">
        <is>
          <t>for free</t>
        </is>
      </c>
      <c r="Q384" s="5" t="n">
        <v>1</v>
      </c>
      <c r="R384" s="5" t="inlineStr">
        <is>
          <t>high qualif/self emp/mgmt</t>
        </is>
      </c>
      <c r="S384" s="5" t="n">
        <v>1</v>
      </c>
      <c r="T384" s="5" t="inlineStr">
        <is>
          <t>yes</t>
        </is>
      </c>
      <c r="U384" s="5" t="inlineStr">
        <is>
          <t>yes</t>
        </is>
      </c>
      <c r="V384" s="5" t="inlineStr">
        <is>
          <t>bad</t>
        </is>
      </c>
    </row>
    <row r="385">
      <c r="A385" s="5" t="n">
        <v>380</v>
      </c>
      <c r="B385" s="5" t="inlineStr">
        <is>
          <t>no checking</t>
        </is>
      </c>
      <c r="C385" s="5" t="n">
        <v>6</v>
      </c>
      <c r="D385" s="5" t="inlineStr">
        <is>
          <t>critical/other existing credit</t>
        </is>
      </c>
      <c r="E385" s="5" t="inlineStr">
        <is>
          <t>new car</t>
        </is>
      </c>
      <c r="F385" s="5" t="n">
        <v>362</v>
      </c>
      <c r="G385" s="5" t="inlineStr">
        <is>
          <t>100&lt;=X&lt;500</t>
        </is>
      </c>
      <c r="H385" s="5" t="inlineStr">
        <is>
          <t>1&lt;=X&lt;4</t>
        </is>
      </c>
      <c r="I385" s="5" t="n">
        <v>4</v>
      </c>
      <c r="J385" s="5" t="inlineStr">
        <is>
          <t>female div/dep/mar</t>
        </is>
      </c>
      <c r="K385" s="5" t="inlineStr">
        <is>
          <t>none</t>
        </is>
      </c>
      <c r="L385" s="5" t="n">
        <v>4</v>
      </c>
      <c r="M385" s="5" t="inlineStr">
        <is>
          <t>car</t>
        </is>
      </c>
      <c r="N385" s="5" t="n">
        <v>52</v>
      </c>
      <c r="O385" s="5" t="inlineStr">
        <is>
          <t>none</t>
        </is>
      </c>
      <c r="P385" s="5" t="inlineStr">
        <is>
          <t>own</t>
        </is>
      </c>
      <c r="Q385" s="5" t="n">
        <v>2</v>
      </c>
      <c r="R385" s="5" t="inlineStr">
        <is>
          <t>unskilled resident</t>
        </is>
      </c>
      <c r="S385" s="5" t="n">
        <v>1</v>
      </c>
      <c r="T385" s="5" t="inlineStr">
        <is>
          <t>none</t>
        </is>
      </c>
      <c r="U385" s="5" t="inlineStr">
        <is>
          <t>yes</t>
        </is>
      </c>
      <c r="V385" s="5" t="inlineStr">
        <is>
          <t>good</t>
        </is>
      </c>
    </row>
    <row r="386">
      <c r="A386" s="5" t="n">
        <v>381</v>
      </c>
      <c r="B386" s="5" t="inlineStr">
        <is>
          <t>&lt;0</t>
        </is>
      </c>
      <c r="C386" s="5" t="n">
        <v>20</v>
      </c>
      <c r="D386" s="5" t="inlineStr">
        <is>
          <t>existing paid</t>
        </is>
      </c>
      <c r="E386" s="5" t="inlineStr">
        <is>
          <t>furniture/equipment</t>
        </is>
      </c>
      <c r="F386" s="5" t="n">
        <v>2212</v>
      </c>
      <c r="G386" s="5" t="inlineStr">
        <is>
          <t>no known savings</t>
        </is>
      </c>
      <c r="H386" s="5" t="inlineStr">
        <is>
          <t>4&lt;=X&lt;7</t>
        </is>
      </c>
      <c r="I386" s="5" t="n">
        <v>4</v>
      </c>
      <c r="J386" s="5" t="inlineStr">
        <is>
          <t>male single</t>
        </is>
      </c>
      <c r="K386" s="5" t="inlineStr">
        <is>
          <t>none</t>
        </is>
      </c>
      <c r="L386" s="5" t="n">
        <v>4</v>
      </c>
      <c r="M386" s="5" t="inlineStr">
        <is>
          <t>car</t>
        </is>
      </c>
      <c r="N386" s="5" t="n">
        <v>39</v>
      </c>
      <c r="O386" s="5" t="inlineStr">
        <is>
          <t>none</t>
        </is>
      </c>
      <c r="P386" s="5" t="inlineStr">
        <is>
          <t>own</t>
        </is>
      </c>
      <c r="Q386" s="5" t="n">
        <v>1</v>
      </c>
      <c r="R386" s="5" t="inlineStr">
        <is>
          <t>skilled</t>
        </is>
      </c>
      <c r="S386" s="5" t="n">
        <v>1</v>
      </c>
      <c r="T386" s="5" t="inlineStr">
        <is>
          <t>yes</t>
        </is>
      </c>
      <c r="U386" s="5" t="inlineStr">
        <is>
          <t>yes</t>
        </is>
      </c>
      <c r="V386" s="5" t="inlineStr">
        <is>
          <t>good</t>
        </is>
      </c>
    </row>
    <row r="387">
      <c r="A387" s="5" t="n">
        <v>382</v>
      </c>
      <c r="B387" s="5" t="inlineStr">
        <is>
          <t>0&lt;=X&lt;200</t>
        </is>
      </c>
      <c r="C387" s="5" t="n">
        <v>18</v>
      </c>
      <c r="D387" s="5" t="inlineStr">
        <is>
          <t>existing paid</t>
        </is>
      </c>
      <c r="E387" s="5" t="inlineStr">
        <is>
          <t>used car</t>
        </is>
      </c>
      <c r="F387" s="5" t="n">
        <v>12976</v>
      </c>
      <c r="G387" s="5" t="inlineStr">
        <is>
          <t>&lt;100</t>
        </is>
      </c>
      <c r="H387" s="5" t="inlineStr">
        <is>
          <t>unemployed</t>
        </is>
      </c>
      <c r="I387" s="5" t="n">
        <v>3</v>
      </c>
      <c r="J387" s="5" t="inlineStr">
        <is>
          <t>female div/dep/mar</t>
        </is>
      </c>
      <c r="K387" s="5" t="inlineStr">
        <is>
          <t>none</t>
        </is>
      </c>
      <c r="L387" s="5" t="n">
        <v>4</v>
      </c>
      <c r="M387" s="5" t="inlineStr">
        <is>
          <t>no known property</t>
        </is>
      </c>
      <c r="N387" s="5" t="n">
        <v>38</v>
      </c>
      <c r="O387" s="5" t="inlineStr">
        <is>
          <t>none</t>
        </is>
      </c>
      <c r="P387" s="5" t="inlineStr">
        <is>
          <t>for free</t>
        </is>
      </c>
      <c r="Q387" s="5" t="n">
        <v>1</v>
      </c>
      <c r="R387" s="5" t="inlineStr">
        <is>
          <t>high qualif/self emp/mgmt</t>
        </is>
      </c>
      <c r="S387" s="5" t="n">
        <v>1</v>
      </c>
      <c r="T387" s="5" t="inlineStr">
        <is>
          <t>yes</t>
        </is>
      </c>
      <c r="U387" s="5" t="inlineStr">
        <is>
          <t>yes</t>
        </is>
      </c>
      <c r="V387" s="5" t="inlineStr">
        <is>
          <t>bad</t>
        </is>
      </c>
    </row>
    <row r="388">
      <c r="A388" s="5" t="n">
        <v>383</v>
      </c>
      <c r="B388" s="5" t="inlineStr">
        <is>
          <t>no checking</t>
        </is>
      </c>
      <c r="C388" s="5" t="n">
        <v>22</v>
      </c>
      <c r="D388" s="5" t="inlineStr">
        <is>
          <t>existing paid</t>
        </is>
      </c>
      <c r="E388" s="5" t="inlineStr">
        <is>
          <t>new car</t>
        </is>
      </c>
      <c r="F388" s="5" t="n">
        <v>1283</v>
      </c>
      <c r="G388" s="5" t="inlineStr">
        <is>
          <t>no known savings</t>
        </is>
      </c>
      <c r="H388" s="5" t="inlineStr">
        <is>
          <t>4&lt;=X&lt;7</t>
        </is>
      </c>
      <c r="I388" s="5" t="n">
        <v>4</v>
      </c>
      <c r="J388" s="5" t="inlineStr">
        <is>
          <t>female div/dep/mar</t>
        </is>
      </c>
      <c r="K388" s="5" t="inlineStr">
        <is>
          <t>none</t>
        </is>
      </c>
      <c r="L388" s="5" t="n">
        <v>4</v>
      </c>
      <c r="M388" s="5" t="inlineStr">
        <is>
          <t>life insurance</t>
        </is>
      </c>
      <c r="N388" s="5" t="n">
        <v>25</v>
      </c>
      <c r="O388" s="5" t="inlineStr">
        <is>
          <t>none</t>
        </is>
      </c>
      <c r="P388" s="5" t="inlineStr">
        <is>
          <t>rent</t>
        </is>
      </c>
      <c r="Q388" s="5" t="n">
        <v>1</v>
      </c>
      <c r="R388" s="5" t="inlineStr">
        <is>
          <t>skilled</t>
        </is>
      </c>
      <c r="S388" s="5" t="n">
        <v>1</v>
      </c>
      <c r="T388" s="5" t="inlineStr">
        <is>
          <t>none</t>
        </is>
      </c>
      <c r="U388" s="5" t="inlineStr">
        <is>
          <t>yes</t>
        </is>
      </c>
      <c r="V388" s="5" t="inlineStr">
        <is>
          <t>good</t>
        </is>
      </c>
    </row>
    <row r="389">
      <c r="A389" s="5" t="n">
        <v>384</v>
      </c>
      <c r="B389" s="5" t="inlineStr">
        <is>
          <t>&gt;=200</t>
        </is>
      </c>
      <c r="C389" s="5" t="n">
        <v>12</v>
      </c>
      <c r="D389" s="5" t="inlineStr">
        <is>
          <t>existing paid</t>
        </is>
      </c>
      <c r="E389" s="5" t="inlineStr">
        <is>
          <t>new car</t>
        </is>
      </c>
      <c r="F389" s="5" t="n">
        <v>1330</v>
      </c>
      <c r="G389" s="5" t="inlineStr">
        <is>
          <t>&lt;100</t>
        </is>
      </c>
      <c r="H389" s="5" t="inlineStr">
        <is>
          <t>&lt;1</t>
        </is>
      </c>
      <c r="I389" s="5" t="n">
        <v>4</v>
      </c>
      <c r="J389" s="5" t="inlineStr">
        <is>
          <t>male single</t>
        </is>
      </c>
      <c r="K389" s="5" t="inlineStr">
        <is>
          <t>none</t>
        </is>
      </c>
      <c r="L389" s="5" t="n">
        <v>1</v>
      </c>
      <c r="M389" s="5" t="inlineStr">
        <is>
          <t>real estate</t>
        </is>
      </c>
      <c r="N389" s="5" t="n">
        <v>26</v>
      </c>
      <c r="O389" s="5" t="inlineStr">
        <is>
          <t>none</t>
        </is>
      </c>
      <c r="P389" s="5" t="inlineStr">
        <is>
          <t>own</t>
        </is>
      </c>
      <c r="Q389" s="5" t="n">
        <v>1</v>
      </c>
      <c r="R389" s="5" t="inlineStr">
        <is>
          <t>skilled</t>
        </is>
      </c>
      <c r="S389" s="5" t="n">
        <v>1</v>
      </c>
      <c r="T389" s="5" t="inlineStr">
        <is>
          <t>none</t>
        </is>
      </c>
      <c r="U389" s="5" t="inlineStr">
        <is>
          <t>yes</t>
        </is>
      </c>
      <c r="V389" s="5" t="inlineStr">
        <is>
          <t>good</t>
        </is>
      </c>
    </row>
    <row r="390">
      <c r="A390" s="5" t="n">
        <v>385</v>
      </c>
      <c r="B390" s="5" t="inlineStr">
        <is>
          <t>no checking</t>
        </is>
      </c>
      <c r="C390" s="5" t="n">
        <v>30</v>
      </c>
      <c r="D390" s="5" t="inlineStr">
        <is>
          <t>delayed previously</t>
        </is>
      </c>
      <c r="E390" s="5" t="inlineStr">
        <is>
          <t>business</t>
        </is>
      </c>
      <c r="F390" s="5" t="n">
        <v>4272</v>
      </c>
      <c r="G390" s="5" t="inlineStr">
        <is>
          <t>100&lt;=X&lt;500</t>
        </is>
      </c>
      <c r="H390" s="5" t="inlineStr">
        <is>
          <t>1&lt;=X&lt;4</t>
        </is>
      </c>
      <c r="I390" s="5" t="n">
        <v>2</v>
      </c>
      <c r="J390" s="5" t="inlineStr">
        <is>
          <t>male single</t>
        </is>
      </c>
      <c r="K390" s="5" t="inlineStr">
        <is>
          <t>none</t>
        </is>
      </c>
      <c r="L390" s="5" t="n">
        <v>2</v>
      </c>
      <c r="M390" s="5" t="inlineStr">
        <is>
          <t>life insurance</t>
        </is>
      </c>
      <c r="N390" s="5" t="n">
        <v>26</v>
      </c>
      <c r="O390" s="5" t="inlineStr">
        <is>
          <t>none</t>
        </is>
      </c>
      <c r="P390" s="5" t="inlineStr">
        <is>
          <t>own</t>
        </is>
      </c>
      <c r="Q390" s="5" t="n">
        <v>2</v>
      </c>
      <c r="R390" s="5" t="inlineStr">
        <is>
          <t>unskilled resident</t>
        </is>
      </c>
      <c r="S390" s="5" t="n">
        <v>1</v>
      </c>
      <c r="T390" s="5" t="inlineStr">
        <is>
          <t>none</t>
        </is>
      </c>
      <c r="U390" s="5" t="inlineStr">
        <is>
          <t>yes</t>
        </is>
      </c>
      <c r="V390" s="5" t="inlineStr">
        <is>
          <t>good</t>
        </is>
      </c>
    </row>
    <row r="391">
      <c r="A391" s="5" t="n">
        <v>386</v>
      </c>
      <c r="B391" s="5" t="inlineStr">
        <is>
          <t>no checking</t>
        </is>
      </c>
      <c r="C391" s="5" t="n">
        <v>18</v>
      </c>
      <c r="D391" s="5" t="inlineStr">
        <is>
          <t>critical/other existing credit</t>
        </is>
      </c>
      <c r="E391" s="5" t="inlineStr">
        <is>
          <t>radio/tv</t>
        </is>
      </c>
      <c r="F391" s="5" t="n">
        <v>2238</v>
      </c>
      <c r="G391" s="5" t="inlineStr">
        <is>
          <t>&lt;100</t>
        </is>
      </c>
      <c r="H391" s="5" t="inlineStr">
        <is>
          <t>1&lt;=X&lt;4</t>
        </is>
      </c>
      <c r="I391" s="5" t="n">
        <v>2</v>
      </c>
      <c r="J391" s="5" t="inlineStr">
        <is>
          <t>female div/dep/mar</t>
        </is>
      </c>
      <c r="K391" s="5" t="inlineStr">
        <is>
          <t>none</t>
        </is>
      </c>
      <c r="L391" s="5" t="n">
        <v>1</v>
      </c>
      <c r="M391" s="5" t="inlineStr">
        <is>
          <t>car</t>
        </is>
      </c>
      <c r="N391" s="5" t="n">
        <v>25</v>
      </c>
      <c r="O391" s="5" t="inlineStr">
        <is>
          <t>none</t>
        </is>
      </c>
      <c r="P391" s="5" t="inlineStr">
        <is>
          <t>own</t>
        </is>
      </c>
      <c r="Q391" s="5" t="n">
        <v>2</v>
      </c>
      <c r="R391" s="5" t="inlineStr">
        <is>
          <t>skilled</t>
        </is>
      </c>
      <c r="S391" s="5" t="n">
        <v>1</v>
      </c>
      <c r="T391" s="5" t="inlineStr">
        <is>
          <t>none</t>
        </is>
      </c>
      <c r="U391" s="5" t="inlineStr">
        <is>
          <t>yes</t>
        </is>
      </c>
      <c r="V391" s="5" t="inlineStr">
        <is>
          <t>good</t>
        </is>
      </c>
    </row>
    <row r="392">
      <c r="A392" s="5" t="n">
        <v>387</v>
      </c>
      <c r="B392" s="5" t="inlineStr">
        <is>
          <t>no checking</t>
        </is>
      </c>
      <c r="C392" s="5" t="n">
        <v>18</v>
      </c>
      <c r="D392" s="5" t="inlineStr">
        <is>
          <t>existing paid</t>
        </is>
      </c>
      <c r="E392" s="5" t="inlineStr">
        <is>
          <t>radio/tv</t>
        </is>
      </c>
      <c r="F392" s="5" t="n">
        <v>1126</v>
      </c>
      <c r="G392" s="5" t="inlineStr">
        <is>
          <t>no known savings</t>
        </is>
      </c>
      <c r="H392" s="5" t="inlineStr">
        <is>
          <t>&lt;1</t>
        </is>
      </c>
      <c r="I392" s="5" t="n">
        <v>4</v>
      </c>
      <c r="J392" s="5" t="inlineStr">
        <is>
          <t>female div/dep/mar</t>
        </is>
      </c>
      <c r="K392" s="5" t="inlineStr">
        <is>
          <t>none</t>
        </is>
      </c>
      <c r="L392" s="5" t="n">
        <v>2</v>
      </c>
      <c r="M392" s="5" t="inlineStr">
        <is>
          <t>real estate</t>
        </is>
      </c>
      <c r="N392" s="5" t="n">
        <v>21</v>
      </c>
      <c r="O392" s="5" t="inlineStr">
        <is>
          <t>none</t>
        </is>
      </c>
      <c r="P392" s="5" t="inlineStr">
        <is>
          <t>rent</t>
        </is>
      </c>
      <c r="Q392" s="5" t="n">
        <v>1</v>
      </c>
      <c r="R392" s="5" t="inlineStr">
        <is>
          <t>skilled</t>
        </is>
      </c>
      <c r="S392" s="5" t="n">
        <v>1</v>
      </c>
      <c r="T392" s="5" t="inlineStr">
        <is>
          <t>yes</t>
        </is>
      </c>
      <c r="U392" s="5" t="inlineStr">
        <is>
          <t>yes</t>
        </is>
      </c>
      <c r="V392" s="5" t="inlineStr">
        <is>
          <t>good</t>
        </is>
      </c>
    </row>
    <row r="393">
      <c r="A393" s="5" t="n">
        <v>388</v>
      </c>
      <c r="B393" s="5" t="inlineStr">
        <is>
          <t>0&lt;=X&lt;200</t>
        </is>
      </c>
      <c r="C393" s="5" t="n">
        <v>18</v>
      </c>
      <c r="D393" s="5" t="inlineStr">
        <is>
          <t>critical/other existing credit</t>
        </is>
      </c>
      <c r="E393" s="5" t="inlineStr">
        <is>
          <t>furniture/equipment</t>
        </is>
      </c>
      <c r="F393" s="5" t="n">
        <v>7374</v>
      </c>
      <c r="G393" s="5" t="inlineStr">
        <is>
          <t>&lt;100</t>
        </is>
      </c>
      <c r="H393" s="5" t="inlineStr">
        <is>
          <t>unemployed</t>
        </is>
      </c>
      <c r="I393" s="5" t="n">
        <v>4</v>
      </c>
      <c r="J393" s="5" t="inlineStr">
        <is>
          <t>male single</t>
        </is>
      </c>
      <c r="K393" s="5" t="inlineStr">
        <is>
          <t>none</t>
        </is>
      </c>
      <c r="L393" s="5" t="n">
        <v>4</v>
      </c>
      <c r="M393" s="5" t="inlineStr">
        <is>
          <t>life insurance</t>
        </is>
      </c>
      <c r="N393" s="5" t="n">
        <v>40</v>
      </c>
      <c r="O393" s="5" t="inlineStr">
        <is>
          <t>stores</t>
        </is>
      </c>
      <c r="P393" s="5" t="inlineStr">
        <is>
          <t>own</t>
        </is>
      </c>
      <c r="Q393" s="5" t="n">
        <v>2</v>
      </c>
      <c r="R393" s="5" t="inlineStr">
        <is>
          <t>high qualif/self emp/mgmt</t>
        </is>
      </c>
      <c r="S393" s="5" t="n">
        <v>1</v>
      </c>
      <c r="T393" s="5" t="inlineStr">
        <is>
          <t>yes</t>
        </is>
      </c>
      <c r="U393" s="5" t="inlineStr">
        <is>
          <t>yes</t>
        </is>
      </c>
      <c r="V393" s="5" t="inlineStr">
        <is>
          <t>good</t>
        </is>
      </c>
    </row>
    <row r="394">
      <c r="A394" s="5" t="n">
        <v>389</v>
      </c>
      <c r="B394" s="5" t="inlineStr">
        <is>
          <t>0&lt;=X&lt;200</t>
        </is>
      </c>
      <c r="C394" s="5" t="n">
        <v>15</v>
      </c>
      <c r="D394" s="5" t="inlineStr">
        <is>
          <t>critical/other existing credit</t>
        </is>
      </c>
      <c r="E394" s="5" t="inlineStr">
        <is>
          <t>business</t>
        </is>
      </c>
      <c r="F394" s="5" t="n">
        <v>2326</v>
      </c>
      <c r="G394" s="5" t="inlineStr">
        <is>
          <t>500&lt;=X&lt;1000</t>
        </is>
      </c>
      <c r="H394" s="5" t="inlineStr">
        <is>
          <t>1&lt;=X&lt;4</t>
        </is>
      </c>
      <c r="I394" s="5" t="n">
        <v>2</v>
      </c>
      <c r="J394" s="5" t="inlineStr">
        <is>
          <t>male single</t>
        </is>
      </c>
      <c r="K394" s="5" t="inlineStr">
        <is>
          <t>none</t>
        </is>
      </c>
      <c r="L394" s="5" t="n">
        <v>4</v>
      </c>
      <c r="M394" s="5" t="inlineStr">
        <is>
          <t>car</t>
        </is>
      </c>
      <c r="N394" s="5" t="n">
        <v>27</v>
      </c>
      <c r="O394" s="5" t="inlineStr">
        <is>
          <t>bank</t>
        </is>
      </c>
      <c r="P394" s="5" t="inlineStr">
        <is>
          <t>own</t>
        </is>
      </c>
      <c r="Q394" s="5" t="n">
        <v>1</v>
      </c>
      <c r="R394" s="5" t="inlineStr">
        <is>
          <t>skilled</t>
        </is>
      </c>
      <c r="S394" s="5" t="n">
        <v>1</v>
      </c>
      <c r="T394" s="5" t="inlineStr">
        <is>
          <t>none</t>
        </is>
      </c>
      <c r="U394" s="5" t="inlineStr">
        <is>
          <t>yes</t>
        </is>
      </c>
      <c r="V394" s="5" t="inlineStr">
        <is>
          <t>good</t>
        </is>
      </c>
    </row>
    <row r="395">
      <c r="A395" s="5" t="n">
        <v>390</v>
      </c>
      <c r="B395" s="5" t="inlineStr">
        <is>
          <t>no checking</t>
        </is>
      </c>
      <c r="C395" s="5" t="n">
        <v>9</v>
      </c>
      <c r="D395" s="5" t="inlineStr">
        <is>
          <t>existing paid</t>
        </is>
      </c>
      <c r="E395" s="5" t="inlineStr">
        <is>
          <t>business</t>
        </is>
      </c>
      <c r="F395" s="5" t="n">
        <v>1449</v>
      </c>
      <c r="G395" s="5" t="inlineStr">
        <is>
          <t>&lt;100</t>
        </is>
      </c>
      <c r="H395" s="5" t="inlineStr">
        <is>
          <t>4&lt;=X&lt;7</t>
        </is>
      </c>
      <c r="I395" s="5" t="n">
        <v>3</v>
      </c>
      <c r="J395" s="5" t="inlineStr">
        <is>
          <t>female div/dep/mar</t>
        </is>
      </c>
      <c r="K395" s="5" t="inlineStr">
        <is>
          <t>none</t>
        </is>
      </c>
      <c r="L395" s="5" t="n">
        <v>2</v>
      </c>
      <c r="M395" s="5" t="inlineStr">
        <is>
          <t>car</t>
        </is>
      </c>
      <c r="N395" s="5" t="n">
        <v>27</v>
      </c>
      <c r="O395" s="5" t="inlineStr">
        <is>
          <t>none</t>
        </is>
      </c>
      <c r="P395" s="5" t="inlineStr">
        <is>
          <t>own</t>
        </is>
      </c>
      <c r="Q395" s="5" t="n">
        <v>2</v>
      </c>
      <c r="R395" s="5" t="inlineStr">
        <is>
          <t>skilled</t>
        </is>
      </c>
      <c r="S395" s="5" t="n">
        <v>1</v>
      </c>
      <c r="T395" s="5" t="inlineStr">
        <is>
          <t>none</t>
        </is>
      </c>
      <c r="U395" s="5" t="inlineStr">
        <is>
          <t>yes</t>
        </is>
      </c>
      <c r="V395" s="5" t="inlineStr">
        <is>
          <t>good</t>
        </is>
      </c>
    </row>
    <row r="396">
      <c r="A396" s="5" t="n">
        <v>391</v>
      </c>
      <c r="B396" s="5" t="inlineStr">
        <is>
          <t>no checking</t>
        </is>
      </c>
      <c r="C396" s="5" t="n">
        <v>18</v>
      </c>
      <c r="D396" s="5" t="inlineStr">
        <is>
          <t>existing paid</t>
        </is>
      </c>
      <c r="E396" s="5" t="inlineStr">
        <is>
          <t>new car</t>
        </is>
      </c>
      <c r="F396" s="5" t="n">
        <v>1820</v>
      </c>
      <c r="G396" s="5" t="inlineStr">
        <is>
          <t>&lt;100</t>
        </is>
      </c>
      <c r="H396" s="5" t="inlineStr">
        <is>
          <t>1&lt;=X&lt;4</t>
        </is>
      </c>
      <c r="I396" s="5" t="n">
        <v>2</v>
      </c>
      <c r="J396" s="5" t="inlineStr">
        <is>
          <t>male mar/wid</t>
        </is>
      </c>
      <c r="K396" s="5" t="inlineStr">
        <is>
          <t>none</t>
        </is>
      </c>
      <c r="L396" s="5" t="n">
        <v>2</v>
      </c>
      <c r="M396" s="5" t="inlineStr">
        <is>
          <t>life insurance</t>
        </is>
      </c>
      <c r="N396" s="5" t="n">
        <v>30</v>
      </c>
      <c r="O396" s="5" t="inlineStr">
        <is>
          <t>none</t>
        </is>
      </c>
      <c r="P396" s="5" t="inlineStr">
        <is>
          <t>own</t>
        </is>
      </c>
      <c r="Q396" s="5" t="n">
        <v>1</v>
      </c>
      <c r="R396" s="5" t="inlineStr">
        <is>
          <t>high qualif/self emp/mgmt</t>
        </is>
      </c>
      <c r="S396" s="5" t="n">
        <v>1</v>
      </c>
      <c r="T396" s="5" t="inlineStr">
        <is>
          <t>yes</t>
        </is>
      </c>
      <c r="U396" s="5" t="inlineStr">
        <is>
          <t>yes</t>
        </is>
      </c>
      <c r="V396" s="5" t="inlineStr">
        <is>
          <t>good</t>
        </is>
      </c>
    </row>
    <row r="397">
      <c r="A397" s="5" t="n">
        <v>392</v>
      </c>
      <c r="B397" s="5" t="inlineStr">
        <is>
          <t>0&lt;=X&lt;200</t>
        </is>
      </c>
      <c r="C397" s="5" t="n">
        <v>12</v>
      </c>
      <c r="D397" s="5" t="inlineStr">
        <is>
          <t>existing paid</t>
        </is>
      </c>
      <c r="E397" s="5" t="inlineStr">
        <is>
          <t>furniture/equipment</t>
        </is>
      </c>
      <c r="F397" s="5" t="n">
        <v>983</v>
      </c>
      <c r="G397" s="5" t="inlineStr">
        <is>
          <t>&gt;=1000</t>
        </is>
      </c>
      <c r="H397" s="5" t="inlineStr">
        <is>
          <t>&lt;1</t>
        </is>
      </c>
      <c r="I397" s="5" t="n">
        <v>1</v>
      </c>
      <c r="J397" s="5" t="inlineStr">
        <is>
          <t>female div/dep/mar</t>
        </is>
      </c>
      <c r="K397" s="5" t="inlineStr">
        <is>
          <t>none</t>
        </is>
      </c>
      <c r="L397" s="5" t="n">
        <v>4</v>
      </c>
      <c r="M397" s="5" t="inlineStr">
        <is>
          <t>real estate</t>
        </is>
      </c>
      <c r="N397" s="5" t="n">
        <v>19</v>
      </c>
      <c r="O397" s="5" t="inlineStr">
        <is>
          <t>none</t>
        </is>
      </c>
      <c r="P397" s="5" t="inlineStr">
        <is>
          <t>rent</t>
        </is>
      </c>
      <c r="Q397" s="5" t="n">
        <v>1</v>
      </c>
      <c r="R397" s="5" t="inlineStr">
        <is>
          <t>unskilled resident</t>
        </is>
      </c>
      <c r="S397" s="5" t="n">
        <v>1</v>
      </c>
      <c r="T397" s="5" t="inlineStr">
        <is>
          <t>none</t>
        </is>
      </c>
      <c r="U397" s="5" t="inlineStr">
        <is>
          <t>yes</t>
        </is>
      </c>
      <c r="V397" s="5" t="inlineStr">
        <is>
          <t>good</t>
        </is>
      </c>
    </row>
    <row r="398">
      <c r="A398" s="5" t="n">
        <v>393</v>
      </c>
      <c r="B398" s="5" t="inlineStr">
        <is>
          <t>&lt;0</t>
        </is>
      </c>
      <c r="C398" s="5" t="n">
        <v>36</v>
      </c>
      <c r="D398" s="5" t="inlineStr">
        <is>
          <t>existing paid</t>
        </is>
      </c>
      <c r="E398" s="5" t="inlineStr">
        <is>
          <t>new car</t>
        </is>
      </c>
      <c r="F398" s="5" t="n">
        <v>3249</v>
      </c>
      <c r="G398" s="5" t="inlineStr">
        <is>
          <t>&lt;100</t>
        </is>
      </c>
      <c r="H398" s="5" t="inlineStr">
        <is>
          <t>4&lt;=X&lt;7</t>
        </is>
      </c>
      <c r="I398" s="5" t="n">
        <v>2</v>
      </c>
      <c r="J398" s="5" t="inlineStr">
        <is>
          <t>male single</t>
        </is>
      </c>
      <c r="K398" s="5" t="inlineStr">
        <is>
          <t>none</t>
        </is>
      </c>
      <c r="L398" s="5" t="n">
        <v>4</v>
      </c>
      <c r="M398" s="5" t="inlineStr">
        <is>
          <t>no known property</t>
        </is>
      </c>
      <c r="N398" s="5" t="n">
        <v>39</v>
      </c>
      <c r="O398" s="5" t="inlineStr">
        <is>
          <t>bank</t>
        </is>
      </c>
      <c r="P398" s="5" t="inlineStr">
        <is>
          <t>for free</t>
        </is>
      </c>
      <c r="Q398" s="5" t="n">
        <v>1</v>
      </c>
      <c r="R398" s="5" t="inlineStr">
        <is>
          <t>high qualif/self emp/mgmt</t>
        </is>
      </c>
      <c r="S398" s="5" t="n">
        <v>2</v>
      </c>
      <c r="T398" s="5" t="inlineStr">
        <is>
          <t>yes</t>
        </is>
      </c>
      <c r="U398" s="5" t="inlineStr">
        <is>
          <t>yes</t>
        </is>
      </c>
      <c r="V398" s="5" t="inlineStr">
        <is>
          <t>good</t>
        </is>
      </c>
    </row>
    <row r="399">
      <c r="A399" s="5" t="n">
        <v>394</v>
      </c>
      <c r="B399" s="5" t="inlineStr">
        <is>
          <t>&lt;0</t>
        </is>
      </c>
      <c r="C399" s="5" t="n">
        <v>6</v>
      </c>
      <c r="D399" s="5" t="inlineStr">
        <is>
          <t>critical/other existing credit</t>
        </is>
      </c>
      <c r="E399" s="5" t="inlineStr">
        <is>
          <t>radio/tv</t>
        </is>
      </c>
      <c r="F399" s="5" t="n">
        <v>1957</v>
      </c>
      <c r="G399" s="5" t="inlineStr">
        <is>
          <t>&lt;100</t>
        </is>
      </c>
      <c r="H399" s="5" t="inlineStr">
        <is>
          <t>4&lt;=X&lt;7</t>
        </is>
      </c>
      <c r="I399" s="5" t="n">
        <v>1</v>
      </c>
      <c r="J399" s="5" t="inlineStr">
        <is>
          <t>female div/dep/mar</t>
        </is>
      </c>
      <c r="K399" s="5" t="inlineStr">
        <is>
          <t>none</t>
        </is>
      </c>
      <c r="L399" s="5" t="n">
        <v>4</v>
      </c>
      <c r="M399" s="5" t="inlineStr">
        <is>
          <t>car</t>
        </is>
      </c>
      <c r="N399" s="5" t="n">
        <v>31</v>
      </c>
      <c r="O399" s="5" t="inlineStr">
        <is>
          <t>none</t>
        </is>
      </c>
      <c r="P399" s="5" t="inlineStr">
        <is>
          <t>own</t>
        </is>
      </c>
      <c r="Q399" s="5" t="n">
        <v>1</v>
      </c>
      <c r="R399" s="5" t="inlineStr">
        <is>
          <t>skilled</t>
        </is>
      </c>
      <c r="S399" s="5" t="n">
        <v>1</v>
      </c>
      <c r="T399" s="5" t="inlineStr">
        <is>
          <t>none</t>
        </is>
      </c>
      <c r="U399" s="5" t="inlineStr">
        <is>
          <t>yes</t>
        </is>
      </c>
      <c r="V399" s="5" t="inlineStr">
        <is>
          <t>good</t>
        </is>
      </c>
    </row>
    <row r="400">
      <c r="A400" s="5" t="n">
        <v>395</v>
      </c>
      <c r="B400" s="5" t="inlineStr">
        <is>
          <t>no checking</t>
        </is>
      </c>
      <c r="C400" s="5" t="n">
        <v>9</v>
      </c>
      <c r="D400" s="5" t="inlineStr">
        <is>
          <t>critical/other existing credit</t>
        </is>
      </c>
      <c r="E400" s="5" t="inlineStr">
        <is>
          <t>furniture/equipment</t>
        </is>
      </c>
      <c r="F400" s="5" t="n">
        <v>2406</v>
      </c>
      <c r="G400" s="5" t="inlineStr">
        <is>
          <t>&lt;100</t>
        </is>
      </c>
      <c r="H400" s="5" t="inlineStr">
        <is>
          <t>unemployed</t>
        </is>
      </c>
      <c r="I400" s="5" t="n">
        <v>2</v>
      </c>
      <c r="J400" s="5" t="inlineStr">
        <is>
          <t>male single</t>
        </is>
      </c>
      <c r="K400" s="5" t="inlineStr">
        <is>
          <t>none</t>
        </is>
      </c>
      <c r="L400" s="5" t="n">
        <v>3</v>
      </c>
      <c r="M400" s="5" t="inlineStr">
        <is>
          <t>car</t>
        </is>
      </c>
      <c r="N400" s="5" t="n">
        <v>31</v>
      </c>
      <c r="O400" s="5" t="inlineStr">
        <is>
          <t>none</t>
        </is>
      </c>
      <c r="P400" s="5" t="inlineStr">
        <is>
          <t>own</t>
        </is>
      </c>
      <c r="Q400" s="5" t="n">
        <v>1</v>
      </c>
      <c r="R400" s="5" t="inlineStr">
        <is>
          <t>high qualif/self emp/mgmt</t>
        </is>
      </c>
      <c r="S400" s="5" t="n">
        <v>1</v>
      </c>
      <c r="T400" s="5" t="inlineStr">
        <is>
          <t>none</t>
        </is>
      </c>
      <c r="U400" s="5" t="inlineStr">
        <is>
          <t>yes</t>
        </is>
      </c>
      <c r="V400" s="5" t="inlineStr">
        <is>
          <t>good</t>
        </is>
      </c>
    </row>
    <row r="401">
      <c r="A401" s="5" t="n">
        <v>396</v>
      </c>
      <c r="B401" s="5" t="inlineStr">
        <is>
          <t>0&lt;=X&lt;200</t>
        </is>
      </c>
      <c r="C401" s="5" t="n">
        <v>39</v>
      </c>
      <c r="D401" s="5" t="inlineStr">
        <is>
          <t>delayed previously</t>
        </is>
      </c>
      <c r="E401" s="5" t="inlineStr">
        <is>
          <t>education</t>
        </is>
      </c>
      <c r="F401" s="5" t="n">
        <v>11760</v>
      </c>
      <c r="G401" s="5" t="inlineStr">
        <is>
          <t>100&lt;=X&lt;500</t>
        </is>
      </c>
      <c r="H401" s="5" t="inlineStr">
        <is>
          <t>4&lt;=X&lt;7</t>
        </is>
      </c>
      <c r="I401" s="5" t="n">
        <v>2</v>
      </c>
      <c r="J401" s="5" t="inlineStr">
        <is>
          <t>male single</t>
        </is>
      </c>
      <c r="K401" s="5" t="inlineStr">
        <is>
          <t>none</t>
        </is>
      </c>
      <c r="L401" s="5" t="n">
        <v>3</v>
      </c>
      <c r="M401" s="5" t="inlineStr">
        <is>
          <t>no known property</t>
        </is>
      </c>
      <c r="N401" s="5" t="n">
        <v>32</v>
      </c>
      <c r="O401" s="5" t="inlineStr">
        <is>
          <t>none</t>
        </is>
      </c>
      <c r="P401" s="5" t="inlineStr">
        <is>
          <t>rent</t>
        </is>
      </c>
      <c r="Q401" s="5" t="n">
        <v>1</v>
      </c>
      <c r="R401" s="5" t="inlineStr">
        <is>
          <t>skilled</t>
        </is>
      </c>
      <c r="S401" s="5" t="n">
        <v>1</v>
      </c>
      <c r="T401" s="5" t="inlineStr">
        <is>
          <t>yes</t>
        </is>
      </c>
      <c r="U401" s="5" t="inlineStr">
        <is>
          <t>yes</t>
        </is>
      </c>
      <c r="V401" s="5" t="inlineStr">
        <is>
          <t>good</t>
        </is>
      </c>
    </row>
    <row r="402">
      <c r="A402" s="5" t="n">
        <v>397</v>
      </c>
      <c r="B402" s="5" t="inlineStr">
        <is>
          <t>&lt;0</t>
        </is>
      </c>
      <c r="C402" s="5" t="n">
        <v>12</v>
      </c>
      <c r="D402" s="5" t="inlineStr">
        <is>
          <t>existing paid</t>
        </is>
      </c>
      <c r="E402" s="5" t="inlineStr">
        <is>
          <t>furniture/equipment</t>
        </is>
      </c>
      <c r="F402" s="5" t="n">
        <v>2578</v>
      </c>
      <c r="G402" s="5" t="inlineStr">
        <is>
          <t>&lt;100</t>
        </is>
      </c>
      <c r="H402" s="5" t="inlineStr">
        <is>
          <t>unemployed</t>
        </is>
      </c>
      <c r="I402" s="5" t="n">
        <v>3</v>
      </c>
      <c r="J402" s="5" t="inlineStr">
        <is>
          <t>female div/dep/mar</t>
        </is>
      </c>
      <c r="K402" s="5" t="inlineStr">
        <is>
          <t>none</t>
        </is>
      </c>
      <c r="L402" s="5" t="n">
        <v>4</v>
      </c>
      <c r="M402" s="5" t="inlineStr">
        <is>
          <t>no known property</t>
        </is>
      </c>
      <c r="N402" s="5" t="n">
        <v>55</v>
      </c>
      <c r="O402" s="5" t="inlineStr">
        <is>
          <t>none</t>
        </is>
      </c>
      <c r="P402" s="5" t="inlineStr">
        <is>
          <t>for free</t>
        </is>
      </c>
      <c r="Q402" s="5" t="n">
        <v>1</v>
      </c>
      <c r="R402" s="5" t="inlineStr">
        <is>
          <t>high qualif/self emp/mgmt</t>
        </is>
      </c>
      <c r="S402" s="5" t="n">
        <v>1</v>
      </c>
      <c r="T402" s="5" t="inlineStr">
        <is>
          <t>none</t>
        </is>
      </c>
      <c r="U402" s="5" t="inlineStr">
        <is>
          <t>yes</t>
        </is>
      </c>
      <c r="V402" s="5" t="inlineStr">
        <is>
          <t>good</t>
        </is>
      </c>
    </row>
    <row r="403">
      <c r="A403" s="5" t="n">
        <v>398</v>
      </c>
      <c r="B403" s="5" t="inlineStr">
        <is>
          <t>&lt;0</t>
        </is>
      </c>
      <c r="C403" s="5" t="n">
        <v>36</v>
      </c>
      <c r="D403" s="5" t="inlineStr">
        <is>
          <t>critical/other existing credit</t>
        </is>
      </c>
      <c r="E403" s="5" t="inlineStr">
        <is>
          <t>furniture/equipment</t>
        </is>
      </c>
      <c r="F403" s="5" t="n">
        <v>2348</v>
      </c>
      <c r="G403" s="5" t="inlineStr">
        <is>
          <t>&lt;100</t>
        </is>
      </c>
      <c r="H403" s="5" t="inlineStr">
        <is>
          <t>1&lt;=X&lt;4</t>
        </is>
      </c>
      <c r="I403" s="5" t="n">
        <v>3</v>
      </c>
      <c r="J403" s="5" t="inlineStr">
        <is>
          <t>male mar/wid</t>
        </is>
      </c>
      <c r="K403" s="5" t="inlineStr">
        <is>
          <t>none</t>
        </is>
      </c>
      <c r="L403" s="5" t="n">
        <v>2</v>
      </c>
      <c r="M403" s="5" t="inlineStr">
        <is>
          <t>life insurance</t>
        </is>
      </c>
      <c r="N403" s="5" t="n">
        <v>46</v>
      </c>
      <c r="O403" s="5" t="inlineStr">
        <is>
          <t>none</t>
        </is>
      </c>
      <c r="P403" s="5" t="inlineStr">
        <is>
          <t>own</t>
        </is>
      </c>
      <c r="Q403" s="5" t="n">
        <v>2</v>
      </c>
      <c r="R403" s="5" t="inlineStr">
        <is>
          <t>skilled</t>
        </is>
      </c>
      <c r="S403" s="5" t="n">
        <v>1</v>
      </c>
      <c r="T403" s="5" t="inlineStr">
        <is>
          <t>yes</t>
        </is>
      </c>
      <c r="U403" s="5" t="inlineStr">
        <is>
          <t>yes</t>
        </is>
      </c>
      <c r="V403" s="5" t="inlineStr">
        <is>
          <t>good</t>
        </is>
      </c>
    </row>
    <row r="404">
      <c r="A404" s="5" t="n">
        <v>399</v>
      </c>
      <c r="B404" s="5" t="inlineStr">
        <is>
          <t>0&lt;=X&lt;200</t>
        </is>
      </c>
      <c r="C404" s="5" t="n">
        <v>12</v>
      </c>
      <c r="D404" s="5" t="inlineStr">
        <is>
          <t>existing paid</t>
        </is>
      </c>
      <c r="E404" s="5" t="inlineStr">
        <is>
          <t>new car</t>
        </is>
      </c>
      <c r="F404" s="5" t="n">
        <v>1223</v>
      </c>
      <c r="G404" s="5" t="inlineStr">
        <is>
          <t>&lt;100</t>
        </is>
      </c>
      <c r="H404" s="5" t="inlineStr">
        <is>
          <t>&gt;=7</t>
        </is>
      </c>
      <c r="I404" s="5" t="n">
        <v>1</v>
      </c>
      <c r="J404" s="5" t="inlineStr">
        <is>
          <t>male div/sep</t>
        </is>
      </c>
      <c r="K404" s="5" t="inlineStr">
        <is>
          <t>none</t>
        </is>
      </c>
      <c r="L404" s="5" t="n">
        <v>1</v>
      </c>
      <c r="M404" s="5" t="inlineStr">
        <is>
          <t>real estate</t>
        </is>
      </c>
      <c r="N404" s="5" t="n">
        <v>46</v>
      </c>
      <c r="O404" s="5" t="inlineStr">
        <is>
          <t>none</t>
        </is>
      </c>
      <c r="P404" s="5" t="inlineStr">
        <is>
          <t>rent</t>
        </is>
      </c>
      <c r="Q404" s="5" t="n">
        <v>2</v>
      </c>
      <c r="R404" s="5" t="inlineStr">
        <is>
          <t>skilled</t>
        </is>
      </c>
      <c r="S404" s="5" t="n">
        <v>1</v>
      </c>
      <c r="T404" s="5" t="inlineStr">
        <is>
          <t>none</t>
        </is>
      </c>
      <c r="U404" s="5" t="inlineStr">
        <is>
          <t>yes</t>
        </is>
      </c>
      <c r="V404" s="5" t="inlineStr">
        <is>
          <t>bad</t>
        </is>
      </c>
    </row>
    <row r="405">
      <c r="A405" s="5" t="n">
        <v>400</v>
      </c>
      <c r="B405" s="5" t="inlineStr">
        <is>
          <t>no checking</t>
        </is>
      </c>
      <c r="C405" s="5" t="n">
        <v>24</v>
      </c>
      <c r="D405" s="5" t="inlineStr">
        <is>
          <t>critical/other existing credit</t>
        </is>
      </c>
      <c r="E405" s="5" t="inlineStr">
        <is>
          <t>radio/tv</t>
        </is>
      </c>
      <c r="F405" s="5" t="n">
        <v>1516</v>
      </c>
      <c r="G405" s="5" t="inlineStr">
        <is>
          <t>&gt;=1000</t>
        </is>
      </c>
      <c r="H405" s="5" t="inlineStr">
        <is>
          <t>1&lt;=X&lt;4</t>
        </is>
      </c>
      <c r="I405" s="5" t="n">
        <v>4</v>
      </c>
      <c r="J405" s="5" t="inlineStr">
        <is>
          <t>female div/dep/mar</t>
        </is>
      </c>
      <c r="K405" s="5" t="inlineStr">
        <is>
          <t>none</t>
        </is>
      </c>
      <c r="L405" s="5" t="n">
        <v>1</v>
      </c>
      <c r="M405" s="5" t="inlineStr">
        <is>
          <t>real estate</t>
        </is>
      </c>
      <c r="N405" s="5" t="n">
        <v>43</v>
      </c>
      <c r="O405" s="5" t="inlineStr">
        <is>
          <t>none</t>
        </is>
      </c>
      <c r="P405" s="5" t="inlineStr">
        <is>
          <t>own</t>
        </is>
      </c>
      <c r="Q405" s="5" t="n">
        <v>2</v>
      </c>
      <c r="R405" s="5" t="inlineStr">
        <is>
          <t>unskilled resident</t>
        </is>
      </c>
      <c r="S405" s="5" t="n">
        <v>1</v>
      </c>
      <c r="T405" s="5" t="inlineStr">
        <is>
          <t>none</t>
        </is>
      </c>
      <c r="U405" s="5" t="inlineStr">
        <is>
          <t>yes</t>
        </is>
      </c>
      <c r="V405" s="5" t="inlineStr">
        <is>
          <t>good</t>
        </is>
      </c>
    </row>
    <row r="406">
      <c r="A406" s="5" t="n">
        <v>401</v>
      </c>
      <c r="B406" s="5" t="inlineStr">
        <is>
          <t>no checking</t>
        </is>
      </c>
      <c r="C406" s="5" t="n">
        <v>18</v>
      </c>
      <c r="D406" s="5" t="inlineStr">
        <is>
          <t>existing paid</t>
        </is>
      </c>
      <c r="E406" s="5" t="inlineStr">
        <is>
          <t>radio/tv</t>
        </is>
      </c>
      <c r="F406" s="5" t="n">
        <v>1473</v>
      </c>
      <c r="G406" s="5" t="inlineStr">
        <is>
          <t>&lt;100</t>
        </is>
      </c>
      <c r="H406" s="5" t="inlineStr">
        <is>
          <t>&lt;1</t>
        </is>
      </c>
      <c r="I406" s="5" t="n">
        <v>3</v>
      </c>
      <c r="J406" s="5" t="inlineStr">
        <is>
          <t>male mar/wid</t>
        </is>
      </c>
      <c r="K406" s="5" t="inlineStr">
        <is>
          <t>none</t>
        </is>
      </c>
      <c r="L406" s="5" t="n">
        <v>4</v>
      </c>
      <c r="M406" s="5" t="inlineStr">
        <is>
          <t>real estate</t>
        </is>
      </c>
      <c r="N406" s="5" t="n">
        <v>39</v>
      </c>
      <c r="O406" s="5" t="inlineStr">
        <is>
          <t>none</t>
        </is>
      </c>
      <c r="P406" s="5" t="inlineStr">
        <is>
          <t>own</t>
        </is>
      </c>
      <c r="Q406" s="5" t="n">
        <v>1</v>
      </c>
      <c r="R406" s="5" t="inlineStr">
        <is>
          <t>skilled</t>
        </is>
      </c>
      <c r="S406" s="5" t="n">
        <v>1</v>
      </c>
      <c r="T406" s="5" t="inlineStr">
        <is>
          <t>yes</t>
        </is>
      </c>
      <c r="U406" s="5" t="inlineStr">
        <is>
          <t>yes</t>
        </is>
      </c>
      <c r="V406" s="5" t="inlineStr">
        <is>
          <t>good</t>
        </is>
      </c>
    </row>
    <row r="407">
      <c r="A407" s="5" t="n">
        <v>402</v>
      </c>
      <c r="B407" s="5" t="inlineStr">
        <is>
          <t>0&lt;=X&lt;200</t>
        </is>
      </c>
      <c r="C407" s="5" t="n">
        <v>18</v>
      </c>
      <c r="D407" s="5" t="inlineStr">
        <is>
          <t>critical/other existing credit</t>
        </is>
      </c>
      <c r="E407" s="5" t="inlineStr">
        <is>
          <t>business</t>
        </is>
      </c>
      <c r="F407" s="5" t="n">
        <v>1887</v>
      </c>
      <c r="G407" s="5" t="inlineStr">
        <is>
          <t>no known savings</t>
        </is>
      </c>
      <c r="H407" s="5" t="inlineStr">
        <is>
          <t>1&lt;=X&lt;4</t>
        </is>
      </c>
      <c r="I407" s="5" t="n">
        <v>4</v>
      </c>
      <c r="J407" s="5" t="inlineStr">
        <is>
          <t>male mar/wid</t>
        </is>
      </c>
      <c r="K407" s="5" t="inlineStr">
        <is>
          <t>none</t>
        </is>
      </c>
      <c r="L407" s="5" t="n">
        <v>4</v>
      </c>
      <c r="M407" s="5" t="inlineStr">
        <is>
          <t>real estate</t>
        </is>
      </c>
      <c r="N407" s="5" t="n">
        <v>28</v>
      </c>
      <c r="O407" s="5" t="inlineStr">
        <is>
          <t>bank</t>
        </is>
      </c>
      <c r="P407" s="5" t="inlineStr">
        <is>
          <t>own</t>
        </is>
      </c>
      <c r="Q407" s="5" t="n">
        <v>2</v>
      </c>
      <c r="R407" s="5" t="inlineStr">
        <is>
          <t>skilled</t>
        </is>
      </c>
      <c r="S407" s="5" t="n">
        <v>1</v>
      </c>
      <c r="T407" s="5" t="inlineStr">
        <is>
          <t>none</t>
        </is>
      </c>
      <c r="U407" s="5" t="inlineStr">
        <is>
          <t>yes</t>
        </is>
      </c>
      <c r="V407" s="5" t="inlineStr">
        <is>
          <t>good</t>
        </is>
      </c>
    </row>
    <row r="408">
      <c r="A408" s="5" t="n">
        <v>403</v>
      </c>
      <c r="B408" s="5" t="inlineStr">
        <is>
          <t>no checking</t>
        </is>
      </c>
      <c r="C408" s="5" t="n">
        <v>24</v>
      </c>
      <c r="D408" s="5" t="inlineStr">
        <is>
          <t>delayed previously</t>
        </is>
      </c>
      <c r="E408" s="5" t="inlineStr">
        <is>
          <t>business</t>
        </is>
      </c>
      <c r="F408" s="5" t="n">
        <v>8648</v>
      </c>
      <c r="G408" s="5" t="inlineStr">
        <is>
          <t>&lt;100</t>
        </is>
      </c>
      <c r="H408" s="5" t="inlineStr">
        <is>
          <t>&lt;1</t>
        </is>
      </c>
      <c r="I408" s="5" t="n">
        <v>2</v>
      </c>
      <c r="J408" s="5" t="inlineStr">
        <is>
          <t>male single</t>
        </is>
      </c>
      <c r="K408" s="5" t="inlineStr">
        <is>
          <t>none</t>
        </is>
      </c>
      <c r="L408" s="5" t="n">
        <v>2</v>
      </c>
      <c r="M408" s="5" t="inlineStr">
        <is>
          <t>car</t>
        </is>
      </c>
      <c r="N408" s="5" t="n">
        <v>27</v>
      </c>
      <c r="O408" s="5" t="inlineStr">
        <is>
          <t>bank</t>
        </is>
      </c>
      <c r="P408" s="5" t="inlineStr">
        <is>
          <t>own</t>
        </is>
      </c>
      <c r="Q408" s="5" t="n">
        <v>2</v>
      </c>
      <c r="R408" s="5" t="inlineStr">
        <is>
          <t>skilled</t>
        </is>
      </c>
      <c r="S408" s="5" t="n">
        <v>1</v>
      </c>
      <c r="T408" s="5" t="inlineStr">
        <is>
          <t>yes</t>
        </is>
      </c>
      <c r="U408" s="5" t="inlineStr">
        <is>
          <t>yes</t>
        </is>
      </c>
      <c r="V408" s="5" t="inlineStr">
        <is>
          <t>bad</t>
        </is>
      </c>
    </row>
    <row r="409">
      <c r="A409" s="5" t="n">
        <v>404</v>
      </c>
      <c r="B409" s="5" t="inlineStr">
        <is>
          <t>no checking</t>
        </is>
      </c>
      <c r="C409" s="5" t="n">
        <v>14</v>
      </c>
      <c r="D409" s="5" t="inlineStr">
        <is>
          <t>delayed previously</t>
        </is>
      </c>
      <c r="E409" s="5" t="inlineStr">
        <is>
          <t>new car</t>
        </is>
      </c>
      <c r="F409" s="5" t="n">
        <v>802</v>
      </c>
      <c r="G409" s="5" t="inlineStr">
        <is>
          <t>&lt;100</t>
        </is>
      </c>
      <c r="H409" s="5" t="inlineStr">
        <is>
          <t>1&lt;=X&lt;4</t>
        </is>
      </c>
      <c r="I409" s="5" t="n">
        <v>4</v>
      </c>
      <c r="J409" s="5" t="inlineStr">
        <is>
          <t>male single</t>
        </is>
      </c>
      <c r="K409" s="5" t="inlineStr">
        <is>
          <t>none</t>
        </is>
      </c>
      <c r="L409" s="5" t="n">
        <v>2</v>
      </c>
      <c r="M409" s="5" t="inlineStr">
        <is>
          <t>car</t>
        </is>
      </c>
      <c r="N409" s="5" t="n">
        <v>27</v>
      </c>
      <c r="O409" s="5" t="inlineStr">
        <is>
          <t>none</t>
        </is>
      </c>
      <c r="P409" s="5" t="inlineStr">
        <is>
          <t>own</t>
        </is>
      </c>
      <c r="Q409" s="5" t="n">
        <v>2</v>
      </c>
      <c r="R409" s="5" t="inlineStr">
        <is>
          <t>unskilled resident</t>
        </is>
      </c>
      <c r="S409" s="5" t="n">
        <v>1</v>
      </c>
      <c r="T409" s="5" t="inlineStr">
        <is>
          <t>none</t>
        </is>
      </c>
      <c r="U409" s="5" t="inlineStr">
        <is>
          <t>yes</t>
        </is>
      </c>
      <c r="V409" s="5" t="inlineStr">
        <is>
          <t>good</t>
        </is>
      </c>
    </row>
    <row r="410">
      <c r="A410" s="5" t="n">
        <v>405</v>
      </c>
      <c r="B410" s="5" t="inlineStr">
        <is>
          <t>0&lt;=X&lt;200</t>
        </is>
      </c>
      <c r="C410" s="5" t="n">
        <v>18</v>
      </c>
      <c r="D410" s="5" t="inlineStr">
        <is>
          <t>delayed previously</t>
        </is>
      </c>
      <c r="E410" s="5" t="inlineStr">
        <is>
          <t>new car</t>
        </is>
      </c>
      <c r="F410" s="5" t="n">
        <v>2899</v>
      </c>
      <c r="G410" s="5" t="inlineStr">
        <is>
          <t>no known savings</t>
        </is>
      </c>
      <c r="H410" s="5" t="inlineStr">
        <is>
          <t>&gt;=7</t>
        </is>
      </c>
      <c r="I410" s="5" t="n">
        <v>4</v>
      </c>
      <c r="J410" s="5" t="inlineStr">
        <is>
          <t>male single</t>
        </is>
      </c>
      <c r="K410" s="5" t="inlineStr">
        <is>
          <t>none</t>
        </is>
      </c>
      <c r="L410" s="5" t="n">
        <v>4</v>
      </c>
      <c r="M410" s="5" t="inlineStr">
        <is>
          <t>car</t>
        </is>
      </c>
      <c r="N410" s="5" t="n">
        <v>43</v>
      </c>
      <c r="O410" s="5" t="inlineStr">
        <is>
          <t>none</t>
        </is>
      </c>
      <c r="P410" s="5" t="inlineStr">
        <is>
          <t>own</t>
        </is>
      </c>
      <c r="Q410" s="5" t="n">
        <v>1</v>
      </c>
      <c r="R410" s="5" t="inlineStr">
        <is>
          <t>skilled</t>
        </is>
      </c>
      <c r="S410" s="5" t="n">
        <v>2</v>
      </c>
      <c r="T410" s="5" t="inlineStr">
        <is>
          <t>none</t>
        </is>
      </c>
      <c r="U410" s="5" t="inlineStr">
        <is>
          <t>yes</t>
        </is>
      </c>
      <c r="V410" s="5" t="inlineStr">
        <is>
          <t>good</t>
        </is>
      </c>
    </row>
    <row r="411">
      <c r="A411" s="5" t="n">
        <v>406</v>
      </c>
      <c r="B411" s="5" t="inlineStr">
        <is>
          <t>0&lt;=X&lt;200</t>
        </is>
      </c>
      <c r="C411" s="5" t="n">
        <v>24</v>
      </c>
      <c r="D411" s="5" t="inlineStr">
        <is>
          <t>existing paid</t>
        </is>
      </c>
      <c r="E411" s="5" t="inlineStr">
        <is>
          <t>radio/tv</t>
        </is>
      </c>
      <c r="F411" s="5" t="n">
        <v>2039</v>
      </c>
      <c r="G411" s="5" t="inlineStr">
        <is>
          <t>&lt;100</t>
        </is>
      </c>
      <c r="H411" s="5" t="inlineStr">
        <is>
          <t>&lt;1</t>
        </is>
      </c>
      <c r="I411" s="5" t="n">
        <v>1</v>
      </c>
      <c r="J411" s="5" t="inlineStr">
        <is>
          <t>male mar/wid</t>
        </is>
      </c>
      <c r="K411" s="5" t="inlineStr">
        <is>
          <t>none</t>
        </is>
      </c>
      <c r="L411" s="5" t="n">
        <v>1</v>
      </c>
      <c r="M411" s="5" t="inlineStr">
        <is>
          <t>life insurance</t>
        </is>
      </c>
      <c r="N411" s="5" t="n">
        <v>22</v>
      </c>
      <c r="O411" s="5" t="inlineStr">
        <is>
          <t>none</t>
        </is>
      </c>
      <c r="P411" s="5" t="inlineStr">
        <is>
          <t>own</t>
        </is>
      </c>
      <c r="Q411" s="5" t="n">
        <v>1</v>
      </c>
      <c r="R411" s="5" t="inlineStr">
        <is>
          <t>skilled</t>
        </is>
      </c>
      <c r="S411" s="5" t="n">
        <v>1</v>
      </c>
      <c r="T411" s="5" t="inlineStr">
        <is>
          <t>yes</t>
        </is>
      </c>
      <c r="U411" s="5" t="inlineStr">
        <is>
          <t>yes</t>
        </is>
      </c>
      <c r="V411" s="5" t="inlineStr">
        <is>
          <t>bad</t>
        </is>
      </c>
    </row>
    <row r="412">
      <c r="A412" s="5" t="n">
        <v>407</v>
      </c>
      <c r="B412" s="5" t="inlineStr">
        <is>
          <t>no checking</t>
        </is>
      </c>
      <c r="C412" s="5" t="n">
        <v>24</v>
      </c>
      <c r="D412" s="5" t="inlineStr">
        <is>
          <t>critical/other existing credit</t>
        </is>
      </c>
      <c r="E412" s="5" t="inlineStr">
        <is>
          <t>used car</t>
        </is>
      </c>
      <c r="F412" s="5" t="n">
        <v>2197</v>
      </c>
      <c r="G412" s="5" t="inlineStr">
        <is>
          <t>no known savings</t>
        </is>
      </c>
      <c r="H412" s="5" t="inlineStr">
        <is>
          <t>4&lt;=X&lt;7</t>
        </is>
      </c>
      <c r="I412" s="5" t="n">
        <v>4</v>
      </c>
      <c r="J412" s="5" t="inlineStr">
        <is>
          <t>male single</t>
        </is>
      </c>
      <c r="K412" s="5" t="inlineStr">
        <is>
          <t>none</t>
        </is>
      </c>
      <c r="L412" s="5" t="n">
        <v>4</v>
      </c>
      <c r="M412" s="5" t="inlineStr">
        <is>
          <t>car</t>
        </is>
      </c>
      <c r="N412" s="5" t="n">
        <v>43</v>
      </c>
      <c r="O412" s="5" t="inlineStr">
        <is>
          <t>none</t>
        </is>
      </c>
      <c r="P412" s="5" t="inlineStr">
        <is>
          <t>own</t>
        </is>
      </c>
      <c r="Q412" s="5" t="n">
        <v>2</v>
      </c>
      <c r="R412" s="5" t="inlineStr">
        <is>
          <t>skilled</t>
        </is>
      </c>
      <c r="S412" s="5" t="n">
        <v>2</v>
      </c>
      <c r="T412" s="5" t="inlineStr">
        <is>
          <t>yes</t>
        </is>
      </c>
      <c r="U412" s="5" t="inlineStr">
        <is>
          <t>yes</t>
        </is>
      </c>
      <c r="V412" s="5" t="inlineStr">
        <is>
          <t>good</t>
        </is>
      </c>
    </row>
    <row r="413">
      <c r="A413" s="5" t="n">
        <v>408</v>
      </c>
      <c r="B413" s="5" t="inlineStr">
        <is>
          <t>&lt;0</t>
        </is>
      </c>
      <c r="C413" s="5" t="n">
        <v>15</v>
      </c>
      <c r="D413" s="5" t="inlineStr">
        <is>
          <t>existing paid</t>
        </is>
      </c>
      <c r="E413" s="5" t="inlineStr">
        <is>
          <t>radio/tv</t>
        </is>
      </c>
      <c r="F413" s="5" t="n">
        <v>1053</v>
      </c>
      <c r="G413" s="5" t="inlineStr">
        <is>
          <t>&lt;100</t>
        </is>
      </c>
      <c r="H413" s="5" t="inlineStr">
        <is>
          <t>&lt;1</t>
        </is>
      </c>
      <c r="I413" s="5" t="n">
        <v>4</v>
      </c>
      <c r="J413" s="5" t="inlineStr">
        <is>
          <t>male mar/wid</t>
        </is>
      </c>
      <c r="K413" s="5" t="inlineStr">
        <is>
          <t>none</t>
        </is>
      </c>
      <c r="L413" s="5" t="n">
        <v>2</v>
      </c>
      <c r="M413" s="5" t="inlineStr">
        <is>
          <t>real estate</t>
        </is>
      </c>
      <c r="N413" s="5" t="n">
        <v>27</v>
      </c>
      <c r="O413" s="5" t="inlineStr">
        <is>
          <t>none</t>
        </is>
      </c>
      <c r="P413" s="5" t="inlineStr">
        <is>
          <t>own</t>
        </is>
      </c>
      <c r="Q413" s="5" t="n">
        <v>1</v>
      </c>
      <c r="R413" s="5" t="inlineStr">
        <is>
          <t>skilled</t>
        </is>
      </c>
      <c r="S413" s="5" t="n">
        <v>1</v>
      </c>
      <c r="T413" s="5" t="inlineStr">
        <is>
          <t>none</t>
        </is>
      </c>
      <c r="U413" s="5" t="inlineStr">
        <is>
          <t>no</t>
        </is>
      </c>
      <c r="V413" s="5" t="inlineStr">
        <is>
          <t>good</t>
        </is>
      </c>
    </row>
    <row r="414">
      <c r="A414" s="5" t="n">
        <v>409</v>
      </c>
      <c r="B414" s="5" t="inlineStr">
        <is>
          <t>no checking</t>
        </is>
      </c>
      <c r="C414" s="5" t="n">
        <v>24</v>
      </c>
      <c r="D414" s="5" t="inlineStr">
        <is>
          <t>existing paid</t>
        </is>
      </c>
      <c r="E414" s="5" t="inlineStr">
        <is>
          <t>radio/tv</t>
        </is>
      </c>
      <c r="F414" s="5" t="n">
        <v>3235</v>
      </c>
      <c r="G414" s="5" t="inlineStr">
        <is>
          <t>500&lt;=X&lt;1000</t>
        </is>
      </c>
      <c r="H414" s="5" t="inlineStr">
        <is>
          <t>&gt;=7</t>
        </is>
      </c>
      <c r="I414" s="5" t="n">
        <v>3</v>
      </c>
      <c r="J414" s="5" t="inlineStr">
        <is>
          <t>male div/sep</t>
        </is>
      </c>
      <c r="K414" s="5" t="inlineStr">
        <is>
          <t>none</t>
        </is>
      </c>
      <c r="L414" s="5" t="n">
        <v>2</v>
      </c>
      <c r="M414" s="5" t="inlineStr">
        <is>
          <t>car</t>
        </is>
      </c>
      <c r="N414" s="5" t="n">
        <v>26</v>
      </c>
      <c r="O414" s="5" t="inlineStr">
        <is>
          <t>none</t>
        </is>
      </c>
      <c r="P414" s="5" t="inlineStr">
        <is>
          <t>own</t>
        </is>
      </c>
      <c r="Q414" s="5" t="n">
        <v>1</v>
      </c>
      <c r="R414" s="5" t="inlineStr">
        <is>
          <t>high qualif/self emp/mgmt</t>
        </is>
      </c>
      <c r="S414" s="5" t="n">
        <v>1</v>
      </c>
      <c r="T414" s="5" t="inlineStr">
        <is>
          <t>yes</t>
        </is>
      </c>
      <c r="U414" s="5" t="inlineStr">
        <is>
          <t>yes</t>
        </is>
      </c>
      <c r="V414" s="5" t="inlineStr">
        <is>
          <t>good</t>
        </is>
      </c>
    </row>
    <row r="415">
      <c r="A415" s="5" t="n">
        <v>410</v>
      </c>
      <c r="B415" s="5" t="inlineStr">
        <is>
          <t>&gt;=200</t>
        </is>
      </c>
      <c r="C415" s="5" t="n">
        <v>12</v>
      </c>
      <c r="D415" s="5" t="inlineStr">
        <is>
          <t>critical/other existing credit</t>
        </is>
      </c>
      <c r="E415" s="5" t="inlineStr">
        <is>
          <t>new car</t>
        </is>
      </c>
      <c r="F415" s="5" t="n">
        <v>939</v>
      </c>
      <c r="G415" s="5" t="inlineStr">
        <is>
          <t>500&lt;=X&lt;1000</t>
        </is>
      </c>
      <c r="H415" s="5" t="inlineStr">
        <is>
          <t>4&lt;=X&lt;7</t>
        </is>
      </c>
      <c r="I415" s="5" t="n">
        <v>4</v>
      </c>
      <c r="J415" s="5" t="inlineStr">
        <is>
          <t>male mar/wid</t>
        </is>
      </c>
      <c r="K415" s="5" t="inlineStr">
        <is>
          <t>none</t>
        </is>
      </c>
      <c r="L415" s="5" t="n">
        <v>2</v>
      </c>
      <c r="M415" s="5" t="inlineStr">
        <is>
          <t>real estate</t>
        </is>
      </c>
      <c r="N415" s="5" t="n">
        <v>28</v>
      </c>
      <c r="O415" s="5" t="inlineStr">
        <is>
          <t>none</t>
        </is>
      </c>
      <c r="P415" s="5" t="inlineStr">
        <is>
          <t>own</t>
        </is>
      </c>
      <c r="Q415" s="5" t="n">
        <v>3</v>
      </c>
      <c r="R415" s="5" t="inlineStr">
        <is>
          <t>skilled</t>
        </is>
      </c>
      <c r="S415" s="5" t="n">
        <v>1</v>
      </c>
      <c r="T415" s="5" t="inlineStr">
        <is>
          <t>yes</t>
        </is>
      </c>
      <c r="U415" s="5" t="inlineStr">
        <is>
          <t>yes</t>
        </is>
      </c>
      <c r="V415" s="5" t="inlineStr">
        <is>
          <t>bad</t>
        </is>
      </c>
    </row>
    <row r="416">
      <c r="A416" s="5" t="n">
        <v>411</v>
      </c>
      <c r="B416" s="5" t="inlineStr">
        <is>
          <t>0&lt;=X&lt;200</t>
        </is>
      </c>
      <c r="C416" s="5" t="n">
        <v>24</v>
      </c>
      <c r="D416" s="5" t="inlineStr">
        <is>
          <t>existing paid</t>
        </is>
      </c>
      <c r="E416" s="5" t="inlineStr">
        <is>
          <t>radio/tv</t>
        </is>
      </c>
      <c r="F416" s="5" t="n">
        <v>1967</v>
      </c>
      <c r="G416" s="5" t="inlineStr">
        <is>
          <t>&lt;100</t>
        </is>
      </c>
      <c r="H416" s="5" t="inlineStr">
        <is>
          <t>&gt;=7</t>
        </is>
      </c>
      <c r="I416" s="5" t="n">
        <v>4</v>
      </c>
      <c r="J416" s="5" t="inlineStr">
        <is>
          <t>female div/dep/mar</t>
        </is>
      </c>
      <c r="K416" s="5" t="inlineStr">
        <is>
          <t>none</t>
        </is>
      </c>
      <c r="L416" s="5" t="n">
        <v>4</v>
      </c>
      <c r="M416" s="5" t="inlineStr">
        <is>
          <t>car</t>
        </is>
      </c>
      <c r="N416" s="5" t="n">
        <v>20</v>
      </c>
      <c r="O416" s="5" t="inlineStr">
        <is>
          <t>none</t>
        </is>
      </c>
      <c r="P416" s="5" t="inlineStr">
        <is>
          <t>own</t>
        </is>
      </c>
      <c r="Q416" s="5" t="n">
        <v>1</v>
      </c>
      <c r="R416" s="5" t="inlineStr">
        <is>
          <t>skilled</t>
        </is>
      </c>
      <c r="S416" s="5" t="n">
        <v>1</v>
      </c>
      <c r="T416" s="5" t="inlineStr">
        <is>
          <t>yes</t>
        </is>
      </c>
      <c r="U416" s="5" t="inlineStr">
        <is>
          <t>yes</t>
        </is>
      </c>
      <c r="V416" s="5" t="inlineStr">
        <is>
          <t>good</t>
        </is>
      </c>
    </row>
    <row r="417">
      <c r="A417" s="5" t="n">
        <v>412</v>
      </c>
      <c r="B417" s="5" t="inlineStr">
        <is>
          <t>no checking</t>
        </is>
      </c>
      <c r="C417" s="5" t="n">
        <v>33</v>
      </c>
      <c r="D417" s="5" t="inlineStr">
        <is>
          <t>critical/other existing credit</t>
        </is>
      </c>
      <c r="E417" s="5" t="inlineStr">
        <is>
          <t>used car</t>
        </is>
      </c>
      <c r="F417" s="5" t="n">
        <v>7253</v>
      </c>
      <c r="G417" s="5" t="inlineStr">
        <is>
          <t>&lt;100</t>
        </is>
      </c>
      <c r="H417" s="5" t="inlineStr">
        <is>
          <t>4&lt;=X&lt;7</t>
        </is>
      </c>
      <c r="I417" s="5" t="n">
        <v>3</v>
      </c>
      <c r="J417" s="5" t="inlineStr">
        <is>
          <t>male single</t>
        </is>
      </c>
      <c r="K417" s="5" t="inlineStr">
        <is>
          <t>none</t>
        </is>
      </c>
      <c r="L417" s="5" t="n">
        <v>2</v>
      </c>
      <c r="M417" s="5" t="inlineStr">
        <is>
          <t>car</t>
        </is>
      </c>
      <c r="N417" s="5" t="n">
        <v>35</v>
      </c>
      <c r="O417" s="5" t="inlineStr">
        <is>
          <t>none</t>
        </is>
      </c>
      <c r="P417" s="5" t="inlineStr">
        <is>
          <t>own</t>
        </is>
      </c>
      <c r="Q417" s="5" t="n">
        <v>2</v>
      </c>
      <c r="R417" s="5" t="inlineStr">
        <is>
          <t>high qualif/self emp/mgmt</t>
        </is>
      </c>
      <c r="S417" s="5" t="n">
        <v>1</v>
      </c>
      <c r="T417" s="5" t="inlineStr">
        <is>
          <t>yes</t>
        </is>
      </c>
      <c r="U417" s="5" t="inlineStr">
        <is>
          <t>yes</t>
        </is>
      </c>
      <c r="V417" s="5" t="inlineStr">
        <is>
          <t>good</t>
        </is>
      </c>
    </row>
    <row r="418">
      <c r="A418" s="5" t="n">
        <v>413</v>
      </c>
      <c r="B418" s="5" t="inlineStr">
        <is>
          <t>no checking</t>
        </is>
      </c>
      <c r="C418" s="5" t="n">
        <v>12</v>
      </c>
      <c r="D418" s="5" t="inlineStr">
        <is>
          <t>critical/other existing credit</t>
        </is>
      </c>
      <c r="E418" s="5" t="inlineStr">
        <is>
          <t>business</t>
        </is>
      </c>
      <c r="F418" s="5" t="n">
        <v>2292</v>
      </c>
      <c r="G418" s="5" t="inlineStr">
        <is>
          <t>&lt;100</t>
        </is>
      </c>
      <c r="H418" s="5" t="inlineStr">
        <is>
          <t>unemployed</t>
        </is>
      </c>
      <c r="I418" s="5" t="n">
        <v>4</v>
      </c>
      <c r="J418" s="5" t="inlineStr">
        <is>
          <t>male single</t>
        </is>
      </c>
      <c r="K418" s="5" t="inlineStr">
        <is>
          <t>none</t>
        </is>
      </c>
      <c r="L418" s="5" t="n">
        <v>2</v>
      </c>
      <c r="M418" s="5" t="inlineStr">
        <is>
          <t>car</t>
        </is>
      </c>
      <c r="N418" s="5" t="n">
        <v>42</v>
      </c>
      <c r="O418" s="5" t="inlineStr">
        <is>
          <t>stores</t>
        </is>
      </c>
      <c r="P418" s="5" t="inlineStr">
        <is>
          <t>own</t>
        </is>
      </c>
      <c r="Q418" s="5" t="n">
        <v>2</v>
      </c>
      <c r="R418" s="5" t="inlineStr">
        <is>
          <t>high qualif/self emp/mgmt</t>
        </is>
      </c>
      <c r="S418" s="5" t="n">
        <v>1</v>
      </c>
      <c r="T418" s="5" t="inlineStr">
        <is>
          <t>yes</t>
        </is>
      </c>
      <c r="U418" s="5" t="inlineStr">
        <is>
          <t>yes</t>
        </is>
      </c>
      <c r="V418" s="5" t="inlineStr">
        <is>
          <t>bad</t>
        </is>
      </c>
    </row>
    <row r="419">
      <c r="A419" s="5" t="n">
        <v>414</v>
      </c>
      <c r="B419" s="5" t="inlineStr">
        <is>
          <t>no checking</t>
        </is>
      </c>
      <c r="C419" s="5" t="n">
        <v>10</v>
      </c>
      <c r="D419" s="5" t="inlineStr">
        <is>
          <t>existing paid</t>
        </is>
      </c>
      <c r="E419" s="5" t="inlineStr">
        <is>
          <t>new car</t>
        </is>
      </c>
      <c r="F419" s="5" t="n">
        <v>1597</v>
      </c>
      <c r="G419" s="5" t="inlineStr">
        <is>
          <t>500&lt;=X&lt;1000</t>
        </is>
      </c>
      <c r="H419" s="5" t="inlineStr">
        <is>
          <t>1&lt;=X&lt;4</t>
        </is>
      </c>
      <c r="I419" s="5" t="n">
        <v>3</v>
      </c>
      <c r="J419" s="5" t="inlineStr">
        <is>
          <t>male single</t>
        </is>
      </c>
      <c r="K419" s="5" t="inlineStr">
        <is>
          <t>none</t>
        </is>
      </c>
      <c r="L419" s="5" t="n">
        <v>2</v>
      </c>
      <c r="M419" s="5" t="inlineStr">
        <is>
          <t>no known property</t>
        </is>
      </c>
      <c r="N419" s="5" t="n">
        <v>40</v>
      </c>
      <c r="O419" s="5" t="inlineStr">
        <is>
          <t>none</t>
        </is>
      </c>
      <c r="P419" s="5" t="inlineStr">
        <is>
          <t>rent</t>
        </is>
      </c>
      <c r="Q419" s="5" t="n">
        <v>1</v>
      </c>
      <c r="R419" s="5" t="inlineStr">
        <is>
          <t>unskilled resident</t>
        </is>
      </c>
      <c r="S419" s="5" t="n">
        <v>2</v>
      </c>
      <c r="T419" s="5" t="inlineStr">
        <is>
          <t>none</t>
        </is>
      </c>
      <c r="U419" s="5" t="inlineStr">
        <is>
          <t>no</t>
        </is>
      </c>
      <c r="V419" s="5" t="inlineStr">
        <is>
          <t>good</t>
        </is>
      </c>
    </row>
    <row r="420">
      <c r="A420" s="5" t="n">
        <v>415</v>
      </c>
      <c r="B420" s="5" t="inlineStr">
        <is>
          <t>&lt;0</t>
        </is>
      </c>
      <c r="C420" s="5" t="n">
        <v>24</v>
      </c>
      <c r="D420" s="5" t="inlineStr">
        <is>
          <t>existing paid</t>
        </is>
      </c>
      <c r="E420" s="5" t="inlineStr">
        <is>
          <t>new car</t>
        </is>
      </c>
      <c r="F420" s="5" t="n">
        <v>1381</v>
      </c>
      <c r="G420" s="5" t="inlineStr">
        <is>
          <t>no known savings</t>
        </is>
      </c>
      <c r="H420" s="5" t="inlineStr">
        <is>
          <t>1&lt;=X&lt;4</t>
        </is>
      </c>
      <c r="I420" s="5" t="n">
        <v>4</v>
      </c>
      <c r="J420" s="5" t="inlineStr">
        <is>
          <t>female div/dep/mar</t>
        </is>
      </c>
      <c r="K420" s="5" t="inlineStr">
        <is>
          <t>none</t>
        </is>
      </c>
      <c r="L420" s="5" t="n">
        <v>2</v>
      </c>
      <c r="M420" s="5" t="inlineStr">
        <is>
          <t>life insurance</t>
        </is>
      </c>
      <c r="N420" s="5" t="n">
        <v>35</v>
      </c>
      <c r="O420" s="5" t="inlineStr">
        <is>
          <t>none</t>
        </is>
      </c>
      <c r="P420" s="5" t="inlineStr">
        <is>
          <t>own</t>
        </is>
      </c>
      <c r="Q420" s="5" t="n">
        <v>1</v>
      </c>
      <c r="R420" s="5" t="inlineStr">
        <is>
          <t>skilled</t>
        </is>
      </c>
      <c r="S420" s="5" t="n">
        <v>1</v>
      </c>
      <c r="T420" s="5" t="inlineStr">
        <is>
          <t>none</t>
        </is>
      </c>
      <c r="U420" s="5" t="inlineStr">
        <is>
          <t>yes</t>
        </is>
      </c>
      <c r="V420" s="5" t="inlineStr">
        <is>
          <t>bad</t>
        </is>
      </c>
    </row>
    <row r="421">
      <c r="A421" s="5" t="n">
        <v>416</v>
      </c>
      <c r="B421" s="5" t="inlineStr">
        <is>
          <t>no checking</t>
        </is>
      </c>
      <c r="C421" s="5" t="n">
        <v>36</v>
      </c>
      <c r="D421" s="5" t="inlineStr">
        <is>
          <t>critical/other existing credit</t>
        </is>
      </c>
      <c r="E421" s="5" t="inlineStr">
        <is>
          <t>used car</t>
        </is>
      </c>
      <c r="F421" s="5" t="n">
        <v>5842</v>
      </c>
      <c r="G421" s="5" t="inlineStr">
        <is>
          <t>&lt;100</t>
        </is>
      </c>
      <c r="H421" s="5" t="inlineStr">
        <is>
          <t>&gt;=7</t>
        </is>
      </c>
      <c r="I421" s="5" t="n">
        <v>2</v>
      </c>
      <c r="J421" s="5" t="inlineStr">
        <is>
          <t>male single</t>
        </is>
      </c>
      <c r="K421" s="5" t="inlineStr">
        <is>
          <t>none</t>
        </is>
      </c>
      <c r="L421" s="5" t="n">
        <v>2</v>
      </c>
      <c r="M421" s="5" t="inlineStr">
        <is>
          <t>life insurance</t>
        </is>
      </c>
      <c r="N421" s="5" t="n">
        <v>35</v>
      </c>
      <c r="O421" s="5" t="inlineStr">
        <is>
          <t>none</t>
        </is>
      </c>
      <c r="P421" s="5" t="inlineStr">
        <is>
          <t>own</t>
        </is>
      </c>
      <c r="Q421" s="5" t="n">
        <v>2</v>
      </c>
      <c r="R421" s="5" t="inlineStr">
        <is>
          <t>skilled</t>
        </is>
      </c>
      <c r="S421" s="5" t="n">
        <v>2</v>
      </c>
      <c r="T421" s="5" t="inlineStr">
        <is>
          <t>yes</t>
        </is>
      </c>
      <c r="U421" s="5" t="inlineStr">
        <is>
          <t>yes</t>
        </is>
      </c>
      <c r="V421" s="5" t="inlineStr">
        <is>
          <t>good</t>
        </is>
      </c>
    </row>
    <row r="422">
      <c r="A422" s="5" t="n">
        <v>417</v>
      </c>
      <c r="B422" s="5" t="inlineStr">
        <is>
          <t>&lt;0</t>
        </is>
      </c>
      <c r="C422" s="5" t="n">
        <v>12</v>
      </c>
      <c r="D422" s="5" t="inlineStr">
        <is>
          <t>existing paid</t>
        </is>
      </c>
      <c r="E422" s="5" t="inlineStr">
        <is>
          <t>new car</t>
        </is>
      </c>
      <c r="F422" s="5" t="n">
        <v>2579</v>
      </c>
      <c r="G422" s="5" t="inlineStr">
        <is>
          <t>&lt;100</t>
        </is>
      </c>
      <c r="H422" s="5" t="inlineStr">
        <is>
          <t>&lt;1</t>
        </is>
      </c>
      <c r="I422" s="5" t="n">
        <v>4</v>
      </c>
      <c r="J422" s="5" t="inlineStr">
        <is>
          <t>male single</t>
        </is>
      </c>
      <c r="K422" s="5" t="inlineStr">
        <is>
          <t>none</t>
        </is>
      </c>
      <c r="L422" s="5" t="n">
        <v>1</v>
      </c>
      <c r="M422" s="5" t="inlineStr">
        <is>
          <t>real estate</t>
        </is>
      </c>
      <c r="N422" s="5" t="n">
        <v>33</v>
      </c>
      <c r="O422" s="5" t="inlineStr">
        <is>
          <t>none</t>
        </is>
      </c>
      <c r="P422" s="5" t="inlineStr">
        <is>
          <t>own</t>
        </is>
      </c>
      <c r="Q422" s="5" t="n">
        <v>1</v>
      </c>
      <c r="R422" s="5" t="inlineStr">
        <is>
          <t>unskilled resident</t>
        </is>
      </c>
      <c r="S422" s="5" t="n">
        <v>2</v>
      </c>
      <c r="T422" s="5" t="inlineStr">
        <is>
          <t>none</t>
        </is>
      </c>
      <c r="U422" s="5" t="inlineStr">
        <is>
          <t>yes</t>
        </is>
      </c>
      <c r="V422" s="5" t="inlineStr">
        <is>
          <t>bad</t>
        </is>
      </c>
    </row>
    <row r="423">
      <c r="A423" s="5" t="n">
        <v>418</v>
      </c>
      <c r="B423" s="5" t="inlineStr">
        <is>
          <t>&lt;0</t>
        </is>
      </c>
      <c r="C423" s="5" t="n">
        <v>18</v>
      </c>
      <c r="D423" s="5" t="inlineStr">
        <is>
          <t>delayed previously</t>
        </is>
      </c>
      <c r="E423" s="5" t="inlineStr">
        <is>
          <t>education</t>
        </is>
      </c>
      <c r="F423" s="5" t="n">
        <v>8471</v>
      </c>
      <c r="G423" s="5" t="inlineStr">
        <is>
          <t>no known savings</t>
        </is>
      </c>
      <c r="H423" s="5" t="inlineStr">
        <is>
          <t>1&lt;=X&lt;4</t>
        </is>
      </c>
      <c r="I423" s="5" t="n">
        <v>1</v>
      </c>
      <c r="J423" s="5" t="inlineStr">
        <is>
          <t>female div/dep/mar</t>
        </is>
      </c>
      <c r="K423" s="5" t="inlineStr">
        <is>
          <t>none</t>
        </is>
      </c>
      <c r="L423" s="5" t="n">
        <v>2</v>
      </c>
      <c r="M423" s="5" t="inlineStr">
        <is>
          <t>car</t>
        </is>
      </c>
      <c r="N423" s="5" t="n">
        <v>23</v>
      </c>
      <c r="O423" s="5" t="inlineStr">
        <is>
          <t>none</t>
        </is>
      </c>
      <c r="P423" s="5" t="inlineStr">
        <is>
          <t>rent</t>
        </is>
      </c>
      <c r="Q423" s="5" t="n">
        <v>2</v>
      </c>
      <c r="R423" s="5" t="inlineStr">
        <is>
          <t>skilled</t>
        </is>
      </c>
      <c r="S423" s="5" t="n">
        <v>1</v>
      </c>
      <c r="T423" s="5" t="inlineStr">
        <is>
          <t>yes</t>
        </is>
      </c>
      <c r="U423" s="5" t="inlineStr">
        <is>
          <t>yes</t>
        </is>
      </c>
      <c r="V423" s="5" t="inlineStr">
        <is>
          <t>good</t>
        </is>
      </c>
    </row>
    <row r="424">
      <c r="A424" s="5" t="n">
        <v>419</v>
      </c>
      <c r="B424" s="5" t="inlineStr">
        <is>
          <t>no checking</t>
        </is>
      </c>
      <c r="C424" s="5" t="n">
        <v>21</v>
      </c>
      <c r="D424" s="5" t="inlineStr">
        <is>
          <t>existing paid</t>
        </is>
      </c>
      <c r="E424" s="5" t="inlineStr">
        <is>
          <t>new car</t>
        </is>
      </c>
      <c r="F424" s="5" t="n">
        <v>2782</v>
      </c>
      <c r="G424" s="5" t="inlineStr">
        <is>
          <t>500&lt;=X&lt;1000</t>
        </is>
      </c>
      <c r="H424" s="5" t="inlineStr">
        <is>
          <t>4&lt;=X&lt;7</t>
        </is>
      </c>
      <c r="I424" s="5" t="n">
        <v>1</v>
      </c>
      <c r="J424" s="5" t="inlineStr">
        <is>
          <t>female div/dep/mar</t>
        </is>
      </c>
      <c r="K424" s="5" t="inlineStr">
        <is>
          <t>none</t>
        </is>
      </c>
      <c r="L424" s="5" t="n">
        <v>2</v>
      </c>
      <c r="M424" s="5" t="inlineStr">
        <is>
          <t>car</t>
        </is>
      </c>
      <c r="N424" s="5" t="n">
        <v>31</v>
      </c>
      <c r="O424" s="5" t="inlineStr">
        <is>
          <t>bank</t>
        </is>
      </c>
      <c r="P424" s="5" t="inlineStr">
        <is>
          <t>own</t>
        </is>
      </c>
      <c r="Q424" s="5" t="n">
        <v>1</v>
      </c>
      <c r="R424" s="5" t="inlineStr">
        <is>
          <t>high qualif/self emp/mgmt</t>
        </is>
      </c>
      <c r="S424" s="5" t="n">
        <v>1</v>
      </c>
      <c r="T424" s="5" t="inlineStr">
        <is>
          <t>none</t>
        </is>
      </c>
      <c r="U424" s="5" t="inlineStr">
        <is>
          <t>yes</t>
        </is>
      </c>
      <c r="V424" s="5" t="inlineStr">
        <is>
          <t>good</t>
        </is>
      </c>
    </row>
    <row r="425">
      <c r="A425" s="5" t="n">
        <v>420</v>
      </c>
      <c r="B425" s="5" t="inlineStr">
        <is>
          <t>0&lt;=X&lt;200</t>
        </is>
      </c>
      <c r="C425" s="5" t="n">
        <v>18</v>
      </c>
      <c r="D425" s="5" t="inlineStr">
        <is>
          <t>existing paid</t>
        </is>
      </c>
      <c r="E425" s="5" t="inlineStr">
        <is>
          <t>new car</t>
        </is>
      </c>
      <c r="F425" s="5" t="n">
        <v>1042</v>
      </c>
      <c r="G425" s="5" t="inlineStr">
        <is>
          <t>no known savings</t>
        </is>
      </c>
      <c r="H425" s="5" t="inlineStr">
        <is>
          <t>1&lt;=X&lt;4</t>
        </is>
      </c>
      <c r="I425" s="5" t="n">
        <v>4</v>
      </c>
      <c r="J425" s="5" t="inlineStr">
        <is>
          <t>female div/dep/mar</t>
        </is>
      </c>
      <c r="K425" s="5" t="inlineStr">
        <is>
          <t>none</t>
        </is>
      </c>
      <c r="L425" s="5" t="n">
        <v>2</v>
      </c>
      <c r="M425" s="5" t="inlineStr">
        <is>
          <t>life insurance</t>
        </is>
      </c>
      <c r="N425" s="5" t="n">
        <v>33</v>
      </c>
      <c r="O425" s="5" t="inlineStr">
        <is>
          <t>none</t>
        </is>
      </c>
      <c r="P425" s="5" t="inlineStr">
        <is>
          <t>own</t>
        </is>
      </c>
      <c r="Q425" s="5" t="n">
        <v>1</v>
      </c>
      <c r="R425" s="5" t="inlineStr">
        <is>
          <t>skilled</t>
        </is>
      </c>
      <c r="S425" s="5" t="n">
        <v>1</v>
      </c>
      <c r="T425" s="5" t="inlineStr">
        <is>
          <t>none</t>
        </is>
      </c>
      <c r="U425" s="5" t="inlineStr">
        <is>
          <t>yes</t>
        </is>
      </c>
      <c r="V425" s="5" t="inlineStr">
        <is>
          <t>bad</t>
        </is>
      </c>
    </row>
    <row r="426">
      <c r="A426" s="5" t="n">
        <v>421</v>
      </c>
      <c r="B426" s="5" t="inlineStr">
        <is>
          <t>no checking</t>
        </is>
      </c>
      <c r="C426" s="5" t="n">
        <v>15</v>
      </c>
      <c r="D426" s="5" t="inlineStr">
        <is>
          <t>existing paid</t>
        </is>
      </c>
      <c r="E426" s="5" t="inlineStr">
        <is>
          <t>new car</t>
        </is>
      </c>
      <c r="F426" s="5" t="n">
        <v>3186</v>
      </c>
      <c r="G426" s="5" t="inlineStr">
        <is>
          <t>&gt;=1000</t>
        </is>
      </c>
      <c r="H426" s="5" t="inlineStr">
        <is>
          <t>4&lt;=X&lt;7</t>
        </is>
      </c>
      <c r="I426" s="5" t="n">
        <v>2</v>
      </c>
      <c r="J426" s="5" t="inlineStr">
        <is>
          <t>female div/dep/mar</t>
        </is>
      </c>
      <c r="K426" s="5" t="inlineStr">
        <is>
          <t>none</t>
        </is>
      </c>
      <c r="L426" s="5" t="n">
        <v>3</v>
      </c>
      <c r="M426" s="5" t="inlineStr">
        <is>
          <t>car</t>
        </is>
      </c>
      <c r="N426" s="5" t="n">
        <v>20</v>
      </c>
      <c r="O426" s="5" t="inlineStr">
        <is>
          <t>none</t>
        </is>
      </c>
      <c r="P426" s="5" t="inlineStr">
        <is>
          <t>rent</t>
        </is>
      </c>
      <c r="Q426" s="5" t="n">
        <v>1</v>
      </c>
      <c r="R426" s="5" t="inlineStr">
        <is>
          <t>skilled</t>
        </is>
      </c>
      <c r="S426" s="5" t="n">
        <v>1</v>
      </c>
      <c r="T426" s="5" t="inlineStr">
        <is>
          <t>none</t>
        </is>
      </c>
      <c r="U426" s="5" t="inlineStr">
        <is>
          <t>yes</t>
        </is>
      </c>
      <c r="V426" s="5" t="inlineStr">
        <is>
          <t>good</t>
        </is>
      </c>
    </row>
    <row r="427">
      <c r="A427" s="5" t="n">
        <v>422</v>
      </c>
      <c r="B427" s="5" t="inlineStr">
        <is>
          <t>0&lt;=X&lt;200</t>
        </is>
      </c>
      <c r="C427" s="5" t="n">
        <v>12</v>
      </c>
      <c r="D427" s="5" t="inlineStr">
        <is>
          <t>existing paid</t>
        </is>
      </c>
      <c r="E427" s="5" t="inlineStr">
        <is>
          <t>used car</t>
        </is>
      </c>
      <c r="F427" s="5" t="n">
        <v>2028</v>
      </c>
      <c r="G427" s="5" t="inlineStr">
        <is>
          <t>no known savings</t>
        </is>
      </c>
      <c r="H427" s="5" t="inlineStr">
        <is>
          <t>1&lt;=X&lt;4</t>
        </is>
      </c>
      <c r="I427" s="5" t="n">
        <v>4</v>
      </c>
      <c r="J427" s="5" t="inlineStr">
        <is>
          <t>male single</t>
        </is>
      </c>
      <c r="K427" s="5" t="inlineStr">
        <is>
          <t>none</t>
        </is>
      </c>
      <c r="L427" s="5" t="n">
        <v>2</v>
      </c>
      <c r="M427" s="5" t="inlineStr">
        <is>
          <t>car</t>
        </is>
      </c>
      <c r="N427" s="5" t="n">
        <v>30</v>
      </c>
      <c r="O427" s="5" t="inlineStr">
        <is>
          <t>none</t>
        </is>
      </c>
      <c r="P427" s="5" t="inlineStr">
        <is>
          <t>own</t>
        </is>
      </c>
      <c r="Q427" s="5" t="n">
        <v>1</v>
      </c>
      <c r="R427" s="5" t="inlineStr">
        <is>
          <t>skilled</t>
        </is>
      </c>
      <c r="S427" s="5" t="n">
        <v>1</v>
      </c>
      <c r="T427" s="5" t="inlineStr">
        <is>
          <t>none</t>
        </is>
      </c>
      <c r="U427" s="5" t="inlineStr">
        <is>
          <t>yes</t>
        </is>
      </c>
      <c r="V427" s="5" t="inlineStr">
        <is>
          <t>good</t>
        </is>
      </c>
    </row>
    <row r="428">
      <c r="A428" s="5" t="n">
        <v>423</v>
      </c>
      <c r="B428" s="5" t="inlineStr">
        <is>
          <t>0&lt;=X&lt;200</t>
        </is>
      </c>
      <c r="C428" s="5" t="n">
        <v>12</v>
      </c>
      <c r="D428" s="5" t="inlineStr">
        <is>
          <t>critical/other existing credit</t>
        </is>
      </c>
      <c r="E428" s="5" t="inlineStr">
        <is>
          <t>new car</t>
        </is>
      </c>
      <c r="F428" s="5" t="n">
        <v>958</v>
      </c>
      <c r="G428" s="5" t="inlineStr">
        <is>
          <t>&lt;100</t>
        </is>
      </c>
      <c r="H428" s="5" t="inlineStr">
        <is>
          <t>4&lt;=X&lt;7</t>
        </is>
      </c>
      <c r="I428" s="5" t="n">
        <v>2</v>
      </c>
      <c r="J428" s="5" t="inlineStr">
        <is>
          <t>male single</t>
        </is>
      </c>
      <c r="K428" s="5" t="inlineStr">
        <is>
          <t>none</t>
        </is>
      </c>
      <c r="L428" s="5" t="n">
        <v>3</v>
      </c>
      <c r="M428" s="5" t="inlineStr">
        <is>
          <t>real estate</t>
        </is>
      </c>
      <c r="N428" s="5" t="n">
        <v>47</v>
      </c>
      <c r="O428" s="5" t="inlineStr">
        <is>
          <t>none</t>
        </is>
      </c>
      <c r="P428" s="5" t="inlineStr">
        <is>
          <t>own</t>
        </is>
      </c>
      <c r="Q428" s="5" t="n">
        <v>2</v>
      </c>
      <c r="R428" s="5" t="inlineStr">
        <is>
          <t>unskilled resident</t>
        </is>
      </c>
      <c r="S428" s="5" t="n">
        <v>2</v>
      </c>
      <c r="T428" s="5" t="inlineStr">
        <is>
          <t>none</t>
        </is>
      </c>
      <c r="U428" s="5" t="inlineStr">
        <is>
          <t>yes</t>
        </is>
      </c>
      <c r="V428" s="5" t="inlineStr">
        <is>
          <t>good</t>
        </is>
      </c>
    </row>
    <row r="429">
      <c r="A429" s="5" t="n">
        <v>424</v>
      </c>
      <c r="B429" s="5" t="inlineStr">
        <is>
          <t>no checking</t>
        </is>
      </c>
      <c r="C429" s="5" t="n">
        <v>21</v>
      </c>
      <c r="D429" s="5" t="inlineStr">
        <is>
          <t>delayed previously</t>
        </is>
      </c>
      <c r="E429" s="5" t="inlineStr">
        <is>
          <t>furniture/equipment</t>
        </is>
      </c>
      <c r="F429" s="5" t="n">
        <v>1591</v>
      </c>
      <c r="G429" s="5" t="inlineStr">
        <is>
          <t>100&lt;=X&lt;500</t>
        </is>
      </c>
      <c r="H429" s="5" t="inlineStr">
        <is>
          <t>4&lt;=X&lt;7</t>
        </is>
      </c>
      <c r="I429" s="5" t="n">
        <v>4</v>
      </c>
      <c r="J429" s="5" t="inlineStr">
        <is>
          <t>male single</t>
        </is>
      </c>
      <c r="K429" s="5" t="inlineStr">
        <is>
          <t>none</t>
        </is>
      </c>
      <c r="L429" s="5" t="n">
        <v>3</v>
      </c>
      <c r="M429" s="5" t="inlineStr">
        <is>
          <t>real estate</t>
        </is>
      </c>
      <c r="N429" s="5" t="n">
        <v>34</v>
      </c>
      <c r="O429" s="5" t="inlineStr">
        <is>
          <t>none</t>
        </is>
      </c>
      <c r="P429" s="5" t="inlineStr">
        <is>
          <t>own</t>
        </is>
      </c>
      <c r="Q429" s="5" t="n">
        <v>2</v>
      </c>
      <c r="R429" s="5" t="inlineStr">
        <is>
          <t>high qualif/self emp/mgmt</t>
        </is>
      </c>
      <c r="S429" s="5" t="n">
        <v>1</v>
      </c>
      <c r="T429" s="5" t="inlineStr">
        <is>
          <t>none</t>
        </is>
      </c>
      <c r="U429" s="5" t="inlineStr">
        <is>
          <t>yes</t>
        </is>
      </c>
      <c r="V429" s="5" t="inlineStr">
        <is>
          <t>good</t>
        </is>
      </c>
    </row>
    <row r="430">
      <c r="A430" s="5" t="n">
        <v>425</v>
      </c>
      <c r="B430" s="5" t="inlineStr">
        <is>
          <t>0&lt;=X&lt;200</t>
        </is>
      </c>
      <c r="C430" s="5" t="n">
        <v>12</v>
      </c>
      <c r="D430" s="5" t="inlineStr">
        <is>
          <t>existing paid</t>
        </is>
      </c>
      <c r="E430" s="5" t="inlineStr">
        <is>
          <t>furniture/equipment</t>
        </is>
      </c>
      <c r="F430" s="5" t="n">
        <v>2762</v>
      </c>
      <c r="G430" s="5" t="inlineStr">
        <is>
          <t>no known savings</t>
        </is>
      </c>
      <c r="H430" s="5" t="inlineStr">
        <is>
          <t>&gt;=7</t>
        </is>
      </c>
      <c r="I430" s="5" t="n">
        <v>1</v>
      </c>
      <c r="J430" s="5" t="inlineStr">
        <is>
          <t>female div/dep/mar</t>
        </is>
      </c>
      <c r="K430" s="5" t="inlineStr">
        <is>
          <t>none</t>
        </is>
      </c>
      <c r="L430" s="5" t="n">
        <v>2</v>
      </c>
      <c r="M430" s="5" t="inlineStr">
        <is>
          <t>life insurance</t>
        </is>
      </c>
      <c r="N430" s="5" t="n">
        <v>25</v>
      </c>
      <c r="O430" s="5" t="inlineStr">
        <is>
          <t>bank</t>
        </is>
      </c>
      <c r="P430" s="5" t="inlineStr">
        <is>
          <t>own</t>
        </is>
      </c>
      <c r="Q430" s="5" t="n">
        <v>1</v>
      </c>
      <c r="R430" s="5" t="inlineStr">
        <is>
          <t>skilled</t>
        </is>
      </c>
      <c r="S430" s="5" t="n">
        <v>1</v>
      </c>
      <c r="T430" s="5" t="inlineStr">
        <is>
          <t>yes</t>
        </is>
      </c>
      <c r="U430" s="5" t="inlineStr">
        <is>
          <t>yes</t>
        </is>
      </c>
      <c r="V430" s="5" t="inlineStr">
        <is>
          <t>bad</t>
        </is>
      </c>
    </row>
    <row r="431">
      <c r="A431" s="5" t="n">
        <v>426</v>
      </c>
      <c r="B431" s="5" t="inlineStr">
        <is>
          <t>0&lt;=X&lt;200</t>
        </is>
      </c>
      <c r="C431" s="5" t="n">
        <v>18</v>
      </c>
      <c r="D431" s="5" t="inlineStr">
        <is>
          <t>existing paid</t>
        </is>
      </c>
      <c r="E431" s="5" t="inlineStr">
        <is>
          <t>used car</t>
        </is>
      </c>
      <c r="F431" s="5" t="n">
        <v>2779</v>
      </c>
      <c r="G431" s="5" t="inlineStr">
        <is>
          <t>&lt;100</t>
        </is>
      </c>
      <c r="H431" s="5" t="inlineStr">
        <is>
          <t>1&lt;=X&lt;4</t>
        </is>
      </c>
      <c r="I431" s="5" t="n">
        <v>1</v>
      </c>
      <c r="J431" s="5" t="inlineStr">
        <is>
          <t>male mar/wid</t>
        </is>
      </c>
      <c r="K431" s="5" t="inlineStr">
        <is>
          <t>none</t>
        </is>
      </c>
      <c r="L431" s="5" t="n">
        <v>3</v>
      </c>
      <c r="M431" s="5" t="inlineStr">
        <is>
          <t>car</t>
        </is>
      </c>
      <c r="N431" s="5" t="n">
        <v>21</v>
      </c>
      <c r="O431" s="5" t="inlineStr">
        <is>
          <t>none</t>
        </is>
      </c>
      <c r="P431" s="5" t="inlineStr">
        <is>
          <t>rent</t>
        </is>
      </c>
      <c r="Q431" s="5" t="n">
        <v>1</v>
      </c>
      <c r="R431" s="5" t="inlineStr">
        <is>
          <t>skilled</t>
        </is>
      </c>
      <c r="S431" s="5" t="n">
        <v>1</v>
      </c>
      <c r="T431" s="5" t="inlineStr">
        <is>
          <t>yes</t>
        </is>
      </c>
      <c r="U431" s="5" t="inlineStr">
        <is>
          <t>yes</t>
        </is>
      </c>
      <c r="V431" s="5" t="inlineStr">
        <is>
          <t>good</t>
        </is>
      </c>
    </row>
    <row r="432">
      <c r="A432" s="5" t="n">
        <v>427</v>
      </c>
      <c r="B432" s="5" t="inlineStr">
        <is>
          <t>no checking</t>
        </is>
      </c>
      <c r="C432" s="5" t="n">
        <v>28</v>
      </c>
      <c r="D432" s="5" t="inlineStr">
        <is>
          <t>critical/other existing credit</t>
        </is>
      </c>
      <c r="E432" s="5" t="inlineStr">
        <is>
          <t>radio/tv</t>
        </is>
      </c>
      <c r="F432" s="5" t="n">
        <v>2743</v>
      </c>
      <c r="G432" s="5" t="inlineStr">
        <is>
          <t>&lt;100</t>
        </is>
      </c>
      <c r="H432" s="5" t="inlineStr">
        <is>
          <t>&gt;=7</t>
        </is>
      </c>
      <c r="I432" s="5" t="n">
        <v>4</v>
      </c>
      <c r="J432" s="5" t="inlineStr">
        <is>
          <t>male single</t>
        </is>
      </c>
      <c r="K432" s="5" t="inlineStr">
        <is>
          <t>none</t>
        </is>
      </c>
      <c r="L432" s="5" t="n">
        <v>2</v>
      </c>
      <c r="M432" s="5" t="inlineStr">
        <is>
          <t>car</t>
        </is>
      </c>
      <c r="N432" s="5" t="n">
        <v>29</v>
      </c>
      <c r="O432" s="5" t="inlineStr">
        <is>
          <t>none</t>
        </is>
      </c>
      <c r="P432" s="5" t="inlineStr">
        <is>
          <t>own</t>
        </is>
      </c>
      <c r="Q432" s="5" t="n">
        <v>2</v>
      </c>
      <c r="R432" s="5" t="inlineStr">
        <is>
          <t>skilled</t>
        </is>
      </c>
      <c r="S432" s="5" t="n">
        <v>1</v>
      </c>
      <c r="T432" s="5" t="inlineStr">
        <is>
          <t>none</t>
        </is>
      </c>
      <c r="U432" s="5" t="inlineStr">
        <is>
          <t>yes</t>
        </is>
      </c>
      <c r="V432" s="5" t="inlineStr">
        <is>
          <t>good</t>
        </is>
      </c>
    </row>
    <row r="433">
      <c r="A433" s="5" t="n">
        <v>428</v>
      </c>
      <c r="B433" s="5" t="inlineStr">
        <is>
          <t>no checking</t>
        </is>
      </c>
      <c r="C433" s="5" t="n">
        <v>18</v>
      </c>
      <c r="D433" s="5" t="inlineStr">
        <is>
          <t>critical/other existing credit</t>
        </is>
      </c>
      <c r="E433" s="5" t="inlineStr">
        <is>
          <t>radio/tv</t>
        </is>
      </c>
      <c r="F433" s="5" t="n">
        <v>1149</v>
      </c>
      <c r="G433" s="5" t="inlineStr">
        <is>
          <t>&gt;=1000</t>
        </is>
      </c>
      <c r="H433" s="5" t="inlineStr">
        <is>
          <t>1&lt;=X&lt;4</t>
        </is>
      </c>
      <c r="I433" s="5" t="n">
        <v>4</v>
      </c>
      <c r="J433" s="5" t="inlineStr">
        <is>
          <t>male single</t>
        </is>
      </c>
      <c r="K433" s="5" t="inlineStr">
        <is>
          <t>none</t>
        </is>
      </c>
      <c r="L433" s="5" t="n">
        <v>3</v>
      </c>
      <c r="M433" s="5" t="inlineStr">
        <is>
          <t>real estate</t>
        </is>
      </c>
      <c r="N433" s="5" t="n">
        <v>46</v>
      </c>
      <c r="O433" s="5" t="inlineStr">
        <is>
          <t>none</t>
        </is>
      </c>
      <c r="P433" s="5" t="inlineStr">
        <is>
          <t>own</t>
        </is>
      </c>
      <c r="Q433" s="5" t="n">
        <v>2</v>
      </c>
      <c r="R433" s="5" t="inlineStr">
        <is>
          <t>skilled</t>
        </is>
      </c>
      <c r="S433" s="5" t="n">
        <v>1</v>
      </c>
      <c r="T433" s="5" t="inlineStr">
        <is>
          <t>none</t>
        </is>
      </c>
      <c r="U433" s="5" t="inlineStr">
        <is>
          <t>yes</t>
        </is>
      </c>
      <c r="V433" s="5" t="inlineStr">
        <is>
          <t>good</t>
        </is>
      </c>
    </row>
    <row r="434">
      <c r="A434" s="5" t="n">
        <v>429</v>
      </c>
      <c r="B434" s="5" t="inlineStr">
        <is>
          <t>no checking</t>
        </is>
      </c>
      <c r="C434" s="5" t="n">
        <v>9</v>
      </c>
      <c r="D434" s="5" t="inlineStr">
        <is>
          <t>existing paid</t>
        </is>
      </c>
      <c r="E434" s="5" t="inlineStr">
        <is>
          <t>furniture/equipment</t>
        </is>
      </c>
      <c r="F434" s="5" t="n">
        <v>1313</v>
      </c>
      <c r="G434" s="5" t="inlineStr">
        <is>
          <t>&lt;100</t>
        </is>
      </c>
      <c r="H434" s="5" t="inlineStr">
        <is>
          <t>&gt;=7</t>
        </is>
      </c>
      <c r="I434" s="5" t="n">
        <v>1</v>
      </c>
      <c r="J434" s="5" t="inlineStr">
        <is>
          <t>male single</t>
        </is>
      </c>
      <c r="K434" s="5" t="inlineStr">
        <is>
          <t>none</t>
        </is>
      </c>
      <c r="L434" s="5" t="n">
        <v>4</v>
      </c>
      <c r="M434" s="5" t="inlineStr">
        <is>
          <t>car</t>
        </is>
      </c>
      <c r="N434" s="5" t="n">
        <v>20</v>
      </c>
      <c r="O434" s="5" t="inlineStr">
        <is>
          <t>none</t>
        </is>
      </c>
      <c r="P434" s="5" t="inlineStr">
        <is>
          <t>own</t>
        </is>
      </c>
      <c r="Q434" s="5" t="n">
        <v>1</v>
      </c>
      <c r="R434" s="5" t="inlineStr">
        <is>
          <t>skilled</t>
        </is>
      </c>
      <c r="S434" s="5" t="n">
        <v>1</v>
      </c>
      <c r="T434" s="5" t="inlineStr">
        <is>
          <t>none</t>
        </is>
      </c>
      <c r="U434" s="5" t="inlineStr">
        <is>
          <t>yes</t>
        </is>
      </c>
      <c r="V434" s="5" t="inlineStr">
        <is>
          <t>good</t>
        </is>
      </c>
    </row>
    <row r="435">
      <c r="A435" s="5" t="n">
        <v>430</v>
      </c>
      <c r="B435" s="5" t="inlineStr">
        <is>
          <t>&lt;0</t>
        </is>
      </c>
      <c r="C435" s="5" t="n">
        <v>18</v>
      </c>
      <c r="D435" s="5" t="inlineStr">
        <is>
          <t>critical/other existing credit</t>
        </is>
      </c>
      <c r="E435" s="5" t="inlineStr">
        <is>
          <t>repairs</t>
        </is>
      </c>
      <c r="F435" s="5" t="n">
        <v>1190</v>
      </c>
      <c r="G435" s="5" t="inlineStr">
        <is>
          <t>&lt;100</t>
        </is>
      </c>
      <c r="H435" s="5" t="inlineStr">
        <is>
          <t>unemployed</t>
        </is>
      </c>
      <c r="I435" s="5" t="n">
        <v>2</v>
      </c>
      <c r="J435" s="5" t="inlineStr">
        <is>
          <t>female div/dep/mar</t>
        </is>
      </c>
      <c r="K435" s="5" t="inlineStr">
        <is>
          <t>none</t>
        </is>
      </c>
      <c r="L435" s="5" t="n">
        <v>4</v>
      </c>
      <c r="M435" s="5" t="inlineStr">
        <is>
          <t>no known property</t>
        </is>
      </c>
      <c r="N435" s="5" t="n">
        <v>55</v>
      </c>
      <c r="O435" s="5" t="inlineStr">
        <is>
          <t>none</t>
        </is>
      </c>
      <c r="P435" s="5" t="inlineStr">
        <is>
          <t>for free</t>
        </is>
      </c>
      <c r="Q435" s="5" t="n">
        <v>3</v>
      </c>
      <c r="R435" s="5" t="inlineStr">
        <is>
          <t>unemp/unskilled non res</t>
        </is>
      </c>
      <c r="S435" s="5" t="n">
        <v>2</v>
      </c>
      <c r="T435" s="5" t="inlineStr">
        <is>
          <t>none</t>
        </is>
      </c>
      <c r="U435" s="5" t="inlineStr">
        <is>
          <t>yes</t>
        </is>
      </c>
      <c r="V435" s="5" t="inlineStr">
        <is>
          <t>bad</t>
        </is>
      </c>
    </row>
    <row r="436">
      <c r="A436" s="5" t="n">
        <v>431</v>
      </c>
      <c r="B436" s="5" t="inlineStr">
        <is>
          <t>no checking</t>
        </is>
      </c>
      <c r="C436" s="5" t="n">
        <v>5</v>
      </c>
      <c r="D436" s="5" t="inlineStr">
        <is>
          <t>existing paid</t>
        </is>
      </c>
      <c r="E436" s="5" t="inlineStr">
        <is>
          <t>business</t>
        </is>
      </c>
      <c r="F436" s="5" t="n">
        <v>3448</v>
      </c>
      <c r="G436" s="5" t="inlineStr">
        <is>
          <t>&lt;100</t>
        </is>
      </c>
      <c r="H436" s="5" t="inlineStr">
        <is>
          <t>4&lt;=X&lt;7</t>
        </is>
      </c>
      <c r="I436" s="5" t="n">
        <v>1</v>
      </c>
      <c r="J436" s="5" t="inlineStr">
        <is>
          <t>male single</t>
        </is>
      </c>
      <c r="K436" s="5" t="inlineStr">
        <is>
          <t>none</t>
        </is>
      </c>
      <c r="L436" s="5" t="n">
        <v>4</v>
      </c>
      <c r="M436" s="5" t="inlineStr">
        <is>
          <t>real estate</t>
        </is>
      </c>
      <c r="N436" s="5" t="n">
        <v>74</v>
      </c>
      <c r="O436" s="5" t="inlineStr">
        <is>
          <t>none</t>
        </is>
      </c>
      <c r="P436" s="5" t="inlineStr">
        <is>
          <t>own</t>
        </is>
      </c>
      <c r="Q436" s="5" t="n">
        <v>1</v>
      </c>
      <c r="R436" s="5" t="inlineStr">
        <is>
          <t>unskilled resident</t>
        </is>
      </c>
      <c r="S436" s="5" t="n">
        <v>1</v>
      </c>
      <c r="T436" s="5" t="inlineStr">
        <is>
          <t>none</t>
        </is>
      </c>
      <c r="U436" s="5" t="inlineStr">
        <is>
          <t>yes</t>
        </is>
      </c>
      <c r="V436" s="5" t="inlineStr">
        <is>
          <t>good</t>
        </is>
      </c>
    </row>
    <row r="437">
      <c r="A437" s="5" t="n">
        <v>432</v>
      </c>
      <c r="B437" s="5" t="inlineStr">
        <is>
          <t>0&lt;=X&lt;200</t>
        </is>
      </c>
      <c r="C437" s="5" t="n">
        <v>24</v>
      </c>
      <c r="D437" s="5" t="inlineStr">
        <is>
          <t>existing paid</t>
        </is>
      </c>
      <c r="E437" s="5" t="inlineStr">
        <is>
          <t>other</t>
        </is>
      </c>
      <c r="F437" s="5" t="n">
        <v>11328</v>
      </c>
      <c r="G437" s="5" t="inlineStr">
        <is>
          <t>&lt;100</t>
        </is>
      </c>
      <c r="H437" s="5" t="inlineStr">
        <is>
          <t>1&lt;=X&lt;4</t>
        </is>
      </c>
      <c r="I437" s="5" t="n">
        <v>2</v>
      </c>
      <c r="J437" s="5" t="inlineStr">
        <is>
          <t>male single</t>
        </is>
      </c>
      <c r="K437" s="5" t="inlineStr">
        <is>
          <t>co applicant</t>
        </is>
      </c>
      <c r="L437" s="5" t="n">
        <v>3</v>
      </c>
      <c r="M437" s="5" t="inlineStr">
        <is>
          <t>car</t>
        </is>
      </c>
      <c r="N437" s="5" t="n">
        <v>29</v>
      </c>
      <c r="O437" s="5" t="inlineStr">
        <is>
          <t>bank</t>
        </is>
      </c>
      <c r="P437" s="5" t="inlineStr">
        <is>
          <t>own</t>
        </is>
      </c>
      <c r="Q437" s="5" t="n">
        <v>2</v>
      </c>
      <c r="R437" s="5" t="inlineStr">
        <is>
          <t>high qualif/self emp/mgmt</t>
        </is>
      </c>
      <c r="S437" s="5" t="n">
        <v>1</v>
      </c>
      <c r="T437" s="5" t="inlineStr">
        <is>
          <t>yes</t>
        </is>
      </c>
      <c r="U437" s="5" t="inlineStr">
        <is>
          <t>yes</t>
        </is>
      </c>
      <c r="V437" s="5" t="inlineStr">
        <is>
          <t>bad</t>
        </is>
      </c>
    </row>
    <row r="438">
      <c r="A438" s="5" t="n">
        <v>433</v>
      </c>
      <c r="B438" s="5" t="inlineStr">
        <is>
          <t>&lt;0</t>
        </is>
      </c>
      <c r="C438" s="5" t="n">
        <v>6</v>
      </c>
      <c r="D438" s="5" t="inlineStr">
        <is>
          <t>critical/other existing credit</t>
        </is>
      </c>
      <c r="E438" s="5" t="inlineStr">
        <is>
          <t>furniture/equipment</t>
        </is>
      </c>
      <c r="F438" s="5" t="n">
        <v>1872</v>
      </c>
      <c r="G438" s="5" t="inlineStr">
        <is>
          <t>&lt;100</t>
        </is>
      </c>
      <c r="H438" s="5" t="inlineStr">
        <is>
          <t>unemployed</t>
        </is>
      </c>
      <c r="I438" s="5" t="n">
        <v>4</v>
      </c>
      <c r="J438" s="5" t="inlineStr">
        <is>
          <t>male single</t>
        </is>
      </c>
      <c r="K438" s="5" t="inlineStr">
        <is>
          <t>none</t>
        </is>
      </c>
      <c r="L438" s="5" t="n">
        <v>4</v>
      </c>
      <c r="M438" s="5" t="inlineStr">
        <is>
          <t>no known property</t>
        </is>
      </c>
      <c r="N438" s="5" t="n">
        <v>36</v>
      </c>
      <c r="O438" s="5" t="inlineStr">
        <is>
          <t>none</t>
        </is>
      </c>
      <c r="P438" s="5" t="inlineStr">
        <is>
          <t>for free</t>
        </is>
      </c>
      <c r="Q438" s="5" t="n">
        <v>3</v>
      </c>
      <c r="R438" s="5" t="inlineStr">
        <is>
          <t>high qualif/self emp/mgmt</t>
        </is>
      </c>
      <c r="S438" s="5" t="n">
        <v>1</v>
      </c>
      <c r="T438" s="5" t="inlineStr">
        <is>
          <t>yes</t>
        </is>
      </c>
      <c r="U438" s="5" t="inlineStr">
        <is>
          <t>yes</t>
        </is>
      </c>
      <c r="V438" s="5" t="inlineStr">
        <is>
          <t>good</t>
        </is>
      </c>
    </row>
    <row r="439">
      <c r="A439" s="5" t="n">
        <v>434</v>
      </c>
      <c r="B439" s="5" t="inlineStr">
        <is>
          <t>no checking</t>
        </is>
      </c>
      <c r="C439" s="5" t="n">
        <v>24</v>
      </c>
      <c r="D439" s="5" t="inlineStr">
        <is>
          <t>critical/other existing credit</t>
        </is>
      </c>
      <c r="E439" s="5" t="inlineStr">
        <is>
          <t>repairs</t>
        </is>
      </c>
      <c r="F439" s="5" t="n">
        <v>2058</v>
      </c>
      <c r="G439" s="5" t="inlineStr">
        <is>
          <t>&lt;100</t>
        </is>
      </c>
      <c r="H439" s="5" t="inlineStr">
        <is>
          <t>1&lt;=X&lt;4</t>
        </is>
      </c>
      <c r="I439" s="5" t="n">
        <v>4</v>
      </c>
      <c r="J439" s="5" t="inlineStr">
        <is>
          <t>male div/sep</t>
        </is>
      </c>
      <c r="K439" s="5" t="inlineStr">
        <is>
          <t>none</t>
        </is>
      </c>
      <c r="L439" s="5" t="n">
        <v>2</v>
      </c>
      <c r="M439" s="5" t="inlineStr">
        <is>
          <t>real estate</t>
        </is>
      </c>
      <c r="N439" s="5" t="n">
        <v>33</v>
      </c>
      <c r="O439" s="5" t="inlineStr">
        <is>
          <t>none</t>
        </is>
      </c>
      <c r="P439" s="5" t="inlineStr">
        <is>
          <t>own</t>
        </is>
      </c>
      <c r="Q439" s="5" t="n">
        <v>2</v>
      </c>
      <c r="R439" s="5" t="inlineStr">
        <is>
          <t>skilled</t>
        </is>
      </c>
      <c r="S439" s="5" t="n">
        <v>1</v>
      </c>
      <c r="T439" s="5" t="inlineStr">
        <is>
          <t>yes</t>
        </is>
      </c>
      <c r="U439" s="5" t="inlineStr">
        <is>
          <t>yes</t>
        </is>
      </c>
      <c r="V439" s="5" t="inlineStr">
        <is>
          <t>good</t>
        </is>
      </c>
    </row>
    <row r="440">
      <c r="A440" s="5" t="n">
        <v>435</v>
      </c>
      <c r="B440" s="5" t="inlineStr">
        <is>
          <t>&lt;0</t>
        </is>
      </c>
      <c r="C440" s="5" t="n">
        <v>9</v>
      </c>
      <c r="D440" s="5" t="inlineStr">
        <is>
          <t>existing paid</t>
        </is>
      </c>
      <c r="E440" s="5" t="inlineStr">
        <is>
          <t>furniture/equipment</t>
        </is>
      </c>
      <c r="F440" s="5" t="n">
        <v>2136</v>
      </c>
      <c r="G440" s="5" t="inlineStr">
        <is>
          <t>&lt;100</t>
        </is>
      </c>
      <c r="H440" s="5" t="inlineStr">
        <is>
          <t>1&lt;=X&lt;4</t>
        </is>
      </c>
      <c r="I440" s="5" t="n">
        <v>3</v>
      </c>
      <c r="J440" s="5" t="inlineStr">
        <is>
          <t>male single</t>
        </is>
      </c>
      <c r="K440" s="5" t="inlineStr">
        <is>
          <t>none</t>
        </is>
      </c>
      <c r="L440" s="5" t="n">
        <v>2</v>
      </c>
      <c r="M440" s="5" t="inlineStr">
        <is>
          <t>real estate</t>
        </is>
      </c>
      <c r="N440" s="5" t="n">
        <v>25</v>
      </c>
      <c r="O440" s="5" t="inlineStr">
        <is>
          <t>none</t>
        </is>
      </c>
      <c r="P440" s="5" t="inlineStr">
        <is>
          <t>own</t>
        </is>
      </c>
      <c r="Q440" s="5" t="n">
        <v>1</v>
      </c>
      <c r="R440" s="5" t="inlineStr">
        <is>
          <t>skilled</t>
        </is>
      </c>
      <c r="S440" s="5" t="n">
        <v>1</v>
      </c>
      <c r="T440" s="5" t="inlineStr">
        <is>
          <t>none</t>
        </is>
      </c>
      <c r="U440" s="5" t="inlineStr">
        <is>
          <t>yes</t>
        </is>
      </c>
      <c r="V440" s="5" t="inlineStr">
        <is>
          <t>good</t>
        </is>
      </c>
    </row>
    <row r="441">
      <c r="A441" s="5" t="n">
        <v>436</v>
      </c>
      <c r="B441" s="5" t="inlineStr">
        <is>
          <t>0&lt;=X&lt;200</t>
        </is>
      </c>
      <c r="C441" s="5" t="n">
        <v>12</v>
      </c>
      <c r="D441" s="5" t="inlineStr">
        <is>
          <t>existing paid</t>
        </is>
      </c>
      <c r="E441" s="5" t="inlineStr">
        <is>
          <t>radio/tv</t>
        </is>
      </c>
      <c r="F441" s="5" t="n">
        <v>1484</v>
      </c>
      <c r="G441" s="5" t="inlineStr">
        <is>
          <t>no known savings</t>
        </is>
      </c>
      <c r="H441" s="5" t="inlineStr">
        <is>
          <t>1&lt;=X&lt;4</t>
        </is>
      </c>
      <c r="I441" s="5" t="n">
        <v>2</v>
      </c>
      <c r="J441" s="5" t="inlineStr">
        <is>
          <t>male mar/wid</t>
        </is>
      </c>
      <c r="K441" s="5" t="inlineStr">
        <is>
          <t>none</t>
        </is>
      </c>
      <c r="L441" s="5" t="n">
        <v>1</v>
      </c>
      <c r="M441" s="5" t="inlineStr">
        <is>
          <t>real estate</t>
        </is>
      </c>
      <c r="N441" s="5" t="n">
        <v>25</v>
      </c>
      <c r="O441" s="5" t="inlineStr">
        <is>
          <t>none</t>
        </is>
      </c>
      <c r="P441" s="5" t="inlineStr">
        <is>
          <t>own</t>
        </is>
      </c>
      <c r="Q441" s="5" t="n">
        <v>1</v>
      </c>
      <c r="R441" s="5" t="inlineStr">
        <is>
          <t>skilled</t>
        </is>
      </c>
      <c r="S441" s="5" t="n">
        <v>1</v>
      </c>
      <c r="T441" s="5" t="inlineStr">
        <is>
          <t>yes</t>
        </is>
      </c>
      <c r="U441" s="5" t="inlineStr">
        <is>
          <t>yes</t>
        </is>
      </c>
      <c r="V441" s="5" t="inlineStr">
        <is>
          <t>bad</t>
        </is>
      </c>
    </row>
    <row r="442">
      <c r="A442" s="5" t="n">
        <v>437</v>
      </c>
      <c r="B442" s="5" t="inlineStr">
        <is>
          <t>no checking</t>
        </is>
      </c>
      <c r="C442" s="5" t="n">
        <v>6</v>
      </c>
      <c r="D442" s="5" t="inlineStr">
        <is>
          <t>existing paid</t>
        </is>
      </c>
      <c r="E442" s="5" t="inlineStr">
        <is>
          <t>repairs</t>
        </is>
      </c>
      <c r="F442" s="5" t="n">
        <v>660</v>
      </c>
      <c r="G442" s="5" t="inlineStr">
        <is>
          <t>500&lt;=X&lt;1000</t>
        </is>
      </c>
      <c r="H442" s="5" t="inlineStr">
        <is>
          <t>4&lt;=X&lt;7</t>
        </is>
      </c>
      <c r="I442" s="5" t="n">
        <v>2</v>
      </c>
      <c r="J442" s="5" t="inlineStr">
        <is>
          <t>male mar/wid</t>
        </is>
      </c>
      <c r="K442" s="5" t="inlineStr">
        <is>
          <t>none</t>
        </is>
      </c>
      <c r="L442" s="5" t="n">
        <v>4</v>
      </c>
      <c r="M442" s="5" t="inlineStr">
        <is>
          <t>real estate</t>
        </is>
      </c>
      <c r="N442" s="5" t="n">
        <v>23</v>
      </c>
      <c r="O442" s="5" t="inlineStr">
        <is>
          <t>none</t>
        </is>
      </c>
      <c r="P442" s="5" t="inlineStr">
        <is>
          <t>rent</t>
        </is>
      </c>
      <c r="Q442" s="5" t="n">
        <v>1</v>
      </c>
      <c r="R442" s="5" t="inlineStr">
        <is>
          <t>unskilled resident</t>
        </is>
      </c>
      <c r="S442" s="5" t="n">
        <v>1</v>
      </c>
      <c r="T442" s="5" t="inlineStr">
        <is>
          <t>none</t>
        </is>
      </c>
      <c r="U442" s="5" t="inlineStr">
        <is>
          <t>yes</t>
        </is>
      </c>
      <c r="V442" s="5" t="inlineStr">
        <is>
          <t>good</t>
        </is>
      </c>
    </row>
    <row r="443">
      <c r="A443" s="5" t="n">
        <v>438</v>
      </c>
      <c r="B443" s="5" t="inlineStr">
        <is>
          <t>no checking</t>
        </is>
      </c>
      <c r="C443" s="5" t="n">
        <v>24</v>
      </c>
      <c r="D443" s="5" t="inlineStr">
        <is>
          <t>critical/other existing credit</t>
        </is>
      </c>
      <c r="E443" s="5" t="inlineStr">
        <is>
          <t>new car</t>
        </is>
      </c>
      <c r="F443" s="5" t="n">
        <v>1287</v>
      </c>
      <c r="G443" s="5" t="inlineStr">
        <is>
          <t>&gt;=1000</t>
        </is>
      </c>
      <c r="H443" s="5" t="inlineStr">
        <is>
          <t>&gt;=7</t>
        </is>
      </c>
      <c r="I443" s="5" t="n">
        <v>4</v>
      </c>
      <c r="J443" s="5" t="inlineStr">
        <is>
          <t>female div/dep/mar</t>
        </is>
      </c>
      <c r="K443" s="5" t="inlineStr">
        <is>
          <t>none</t>
        </is>
      </c>
      <c r="L443" s="5" t="n">
        <v>4</v>
      </c>
      <c r="M443" s="5" t="inlineStr">
        <is>
          <t>real estate</t>
        </is>
      </c>
      <c r="N443" s="5" t="n">
        <v>37</v>
      </c>
      <c r="O443" s="5" t="inlineStr">
        <is>
          <t>none</t>
        </is>
      </c>
      <c r="P443" s="5" t="inlineStr">
        <is>
          <t>own</t>
        </is>
      </c>
      <c r="Q443" s="5" t="n">
        <v>2</v>
      </c>
      <c r="R443" s="5" t="inlineStr">
        <is>
          <t>skilled</t>
        </is>
      </c>
      <c r="S443" s="5" t="n">
        <v>1</v>
      </c>
      <c r="T443" s="5" t="inlineStr">
        <is>
          <t>yes</t>
        </is>
      </c>
      <c r="U443" s="5" t="inlineStr">
        <is>
          <t>yes</t>
        </is>
      </c>
      <c r="V443" s="5" t="inlineStr">
        <is>
          <t>good</t>
        </is>
      </c>
    </row>
    <row r="444">
      <c r="A444" s="5" t="n">
        <v>439</v>
      </c>
      <c r="B444" s="5" t="inlineStr">
        <is>
          <t>&lt;0</t>
        </is>
      </c>
      <c r="C444" s="5" t="n">
        <v>42</v>
      </c>
      <c r="D444" s="5" t="inlineStr">
        <is>
          <t>critical/other existing credit</t>
        </is>
      </c>
      <c r="E444" s="5" t="inlineStr">
        <is>
          <t>repairs</t>
        </is>
      </c>
      <c r="F444" s="5" t="n">
        <v>3394</v>
      </c>
      <c r="G444" s="5" t="inlineStr">
        <is>
          <t>&lt;100</t>
        </is>
      </c>
      <c r="H444" s="5" t="inlineStr">
        <is>
          <t>unemployed</t>
        </is>
      </c>
      <c r="I444" s="5" t="n">
        <v>4</v>
      </c>
      <c r="J444" s="5" t="inlineStr">
        <is>
          <t>male single</t>
        </is>
      </c>
      <c r="K444" s="5" t="inlineStr">
        <is>
          <t>co applicant</t>
        </is>
      </c>
      <c r="L444" s="5" t="n">
        <v>4</v>
      </c>
      <c r="M444" s="5" t="inlineStr">
        <is>
          <t>car</t>
        </is>
      </c>
      <c r="N444" s="5" t="n">
        <v>65</v>
      </c>
      <c r="O444" s="5" t="inlineStr">
        <is>
          <t>none</t>
        </is>
      </c>
      <c r="P444" s="5" t="inlineStr">
        <is>
          <t>own</t>
        </is>
      </c>
      <c r="Q444" s="5" t="n">
        <v>2</v>
      </c>
      <c r="R444" s="5" t="inlineStr">
        <is>
          <t>unemp/unskilled non res</t>
        </is>
      </c>
      <c r="S444" s="5" t="n">
        <v>1</v>
      </c>
      <c r="T444" s="5" t="inlineStr">
        <is>
          <t>none</t>
        </is>
      </c>
      <c r="U444" s="5" t="inlineStr">
        <is>
          <t>yes</t>
        </is>
      </c>
      <c r="V444" s="5" t="inlineStr">
        <is>
          <t>good</t>
        </is>
      </c>
    </row>
    <row r="445">
      <c r="A445" s="5" t="n">
        <v>440</v>
      </c>
      <c r="B445" s="5" t="inlineStr">
        <is>
          <t>&gt;=200</t>
        </is>
      </c>
      <c r="C445" s="5" t="n">
        <v>12</v>
      </c>
      <c r="D445" s="5" t="inlineStr">
        <is>
          <t>all paid</t>
        </is>
      </c>
      <c r="E445" s="5" t="inlineStr">
        <is>
          <t>business</t>
        </is>
      </c>
      <c r="F445" s="5" t="n">
        <v>609</v>
      </c>
      <c r="G445" s="5" t="inlineStr">
        <is>
          <t>&lt;100</t>
        </is>
      </c>
      <c r="H445" s="5" t="inlineStr">
        <is>
          <t>&lt;1</t>
        </is>
      </c>
      <c r="I445" s="5" t="n">
        <v>4</v>
      </c>
      <c r="J445" s="5" t="inlineStr">
        <is>
          <t>female div/dep/mar</t>
        </is>
      </c>
      <c r="K445" s="5" t="inlineStr">
        <is>
          <t>none</t>
        </is>
      </c>
      <c r="L445" s="5" t="n">
        <v>1</v>
      </c>
      <c r="M445" s="5" t="inlineStr">
        <is>
          <t>real estate</t>
        </is>
      </c>
      <c r="N445" s="5" t="n">
        <v>26</v>
      </c>
      <c r="O445" s="5" t="inlineStr">
        <is>
          <t>none</t>
        </is>
      </c>
      <c r="P445" s="5" t="inlineStr">
        <is>
          <t>own</t>
        </is>
      </c>
      <c r="Q445" s="5" t="n">
        <v>1</v>
      </c>
      <c r="R445" s="5" t="inlineStr">
        <is>
          <t>unemp/unskilled non res</t>
        </is>
      </c>
      <c r="S445" s="5" t="n">
        <v>1</v>
      </c>
      <c r="T445" s="5" t="inlineStr">
        <is>
          <t>none</t>
        </is>
      </c>
      <c r="U445" s="5" t="inlineStr">
        <is>
          <t>yes</t>
        </is>
      </c>
      <c r="V445" s="5" t="inlineStr">
        <is>
          <t>bad</t>
        </is>
      </c>
    </row>
    <row r="446">
      <c r="A446" s="5" t="n">
        <v>441</v>
      </c>
      <c r="B446" s="5" t="inlineStr">
        <is>
          <t>no checking</t>
        </is>
      </c>
      <c r="C446" s="5" t="n">
        <v>12</v>
      </c>
      <c r="D446" s="5" t="inlineStr">
        <is>
          <t>existing paid</t>
        </is>
      </c>
      <c r="E446" s="5" t="inlineStr">
        <is>
          <t>new car</t>
        </is>
      </c>
      <c r="F446" s="5" t="n">
        <v>1884</v>
      </c>
      <c r="G446" s="5" t="inlineStr">
        <is>
          <t>&lt;100</t>
        </is>
      </c>
      <c r="H446" s="5" t="inlineStr">
        <is>
          <t>&gt;=7</t>
        </is>
      </c>
      <c r="I446" s="5" t="n">
        <v>4</v>
      </c>
      <c r="J446" s="5" t="inlineStr">
        <is>
          <t>male single</t>
        </is>
      </c>
      <c r="K446" s="5" t="inlineStr">
        <is>
          <t>none</t>
        </is>
      </c>
      <c r="L446" s="5" t="n">
        <v>4</v>
      </c>
      <c r="M446" s="5" t="inlineStr">
        <is>
          <t>car</t>
        </is>
      </c>
      <c r="N446" s="5" t="n">
        <v>39</v>
      </c>
      <c r="O446" s="5" t="inlineStr">
        <is>
          <t>none</t>
        </is>
      </c>
      <c r="P446" s="5" t="inlineStr">
        <is>
          <t>own</t>
        </is>
      </c>
      <c r="Q446" s="5" t="n">
        <v>1</v>
      </c>
      <c r="R446" s="5" t="inlineStr">
        <is>
          <t>high qualif/self emp/mgmt</t>
        </is>
      </c>
      <c r="S446" s="5" t="n">
        <v>1</v>
      </c>
      <c r="T446" s="5" t="inlineStr">
        <is>
          <t>yes</t>
        </is>
      </c>
      <c r="U446" s="5" t="inlineStr">
        <is>
          <t>yes</t>
        </is>
      </c>
      <c r="V446" s="5" t="inlineStr">
        <is>
          <t>good</t>
        </is>
      </c>
    </row>
    <row r="447">
      <c r="A447" s="5" t="n">
        <v>442</v>
      </c>
      <c r="B447" s="5" t="inlineStr">
        <is>
          <t>&lt;0</t>
        </is>
      </c>
      <c r="C447" s="5" t="n">
        <v>12</v>
      </c>
      <c r="D447" s="5" t="inlineStr">
        <is>
          <t>existing paid</t>
        </is>
      </c>
      <c r="E447" s="5" t="inlineStr">
        <is>
          <t>furniture/equipment</t>
        </is>
      </c>
      <c r="F447" s="5" t="n">
        <v>1620</v>
      </c>
      <c r="G447" s="5" t="inlineStr">
        <is>
          <t>&lt;100</t>
        </is>
      </c>
      <c r="H447" s="5" t="inlineStr">
        <is>
          <t>1&lt;=X&lt;4</t>
        </is>
      </c>
      <c r="I447" s="5" t="n">
        <v>2</v>
      </c>
      <c r="J447" s="5" t="inlineStr">
        <is>
          <t>female div/dep/mar</t>
        </is>
      </c>
      <c r="K447" s="5" t="inlineStr">
        <is>
          <t>co applicant</t>
        </is>
      </c>
      <c r="L447" s="5" t="n">
        <v>3</v>
      </c>
      <c r="M447" s="5" t="inlineStr">
        <is>
          <t>life insurance</t>
        </is>
      </c>
      <c r="N447" s="5" t="n">
        <v>30</v>
      </c>
      <c r="O447" s="5" t="inlineStr">
        <is>
          <t>none</t>
        </is>
      </c>
      <c r="P447" s="5" t="inlineStr">
        <is>
          <t>own</t>
        </is>
      </c>
      <c r="Q447" s="5" t="n">
        <v>1</v>
      </c>
      <c r="R447" s="5" t="inlineStr">
        <is>
          <t>skilled</t>
        </is>
      </c>
      <c r="S447" s="5" t="n">
        <v>1</v>
      </c>
      <c r="T447" s="5" t="inlineStr">
        <is>
          <t>none</t>
        </is>
      </c>
      <c r="U447" s="5" t="inlineStr">
        <is>
          <t>yes</t>
        </is>
      </c>
      <c r="V447" s="5" t="inlineStr">
        <is>
          <t>good</t>
        </is>
      </c>
    </row>
    <row r="448">
      <c r="A448" s="5" t="n">
        <v>443</v>
      </c>
      <c r="B448" s="5" t="inlineStr">
        <is>
          <t>0&lt;=X&lt;200</t>
        </is>
      </c>
      <c r="C448" s="5" t="n">
        <v>20</v>
      </c>
      <c r="D448" s="5" t="inlineStr">
        <is>
          <t>delayed previously</t>
        </is>
      </c>
      <c r="E448" s="5" t="inlineStr">
        <is>
          <t>other</t>
        </is>
      </c>
      <c r="F448" s="5" t="n">
        <v>2629</v>
      </c>
      <c r="G448" s="5" t="inlineStr">
        <is>
          <t>&lt;100</t>
        </is>
      </c>
      <c r="H448" s="5" t="inlineStr">
        <is>
          <t>1&lt;=X&lt;4</t>
        </is>
      </c>
      <c r="I448" s="5" t="n">
        <v>2</v>
      </c>
      <c r="J448" s="5" t="inlineStr">
        <is>
          <t>male single</t>
        </is>
      </c>
      <c r="K448" s="5" t="inlineStr">
        <is>
          <t>none</t>
        </is>
      </c>
      <c r="L448" s="5" t="n">
        <v>3</v>
      </c>
      <c r="M448" s="5" t="inlineStr">
        <is>
          <t>car</t>
        </is>
      </c>
      <c r="N448" s="5" t="n">
        <v>29</v>
      </c>
      <c r="O448" s="5" t="inlineStr">
        <is>
          <t>bank</t>
        </is>
      </c>
      <c r="P448" s="5" t="inlineStr">
        <is>
          <t>own</t>
        </is>
      </c>
      <c r="Q448" s="5" t="n">
        <v>2</v>
      </c>
      <c r="R448" s="5" t="inlineStr">
        <is>
          <t>skilled</t>
        </is>
      </c>
      <c r="S448" s="5" t="n">
        <v>1</v>
      </c>
      <c r="T448" s="5" t="inlineStr">
        <is>
          <t>yes</t>
        </is>
      </c>
      <c r="U448" s="5" t="inlineStr">
        <is>
          <t>yes</t>
        </is>
      </c>
      <c r="V448" s="5" t="inlineStr">
        <is>
          <t>good</t>
        </is>
      </c>
    </row>
    <row r="449">
      <c r="A449" s="5" t="n">
        <v>444</v>
      </c>
      <c r="B449" s="5" t="inlineStr">
        <is>
          <t>no checking</t>
        </is>
      </c>
      <c r="C449" s="5" t="n">
        <v>12</v>
      </c>
      <c r="D449" s="5" t="inlineStr">
        <is>
          <t>existing paid</t>
        </is>
      </c>
      <c r="E449" s="5" t="inlineStr">
        <is>
          <t>education</t>
        </is>
      </c>
      <c r="F449" s="5" t="n">
        <v>719</v>
      </c>
      <c r="G449" s="5" t="inlineStr">
        <is>
          <t>&lt;100</t>
        </is>
      </c>
      <c r="H449" s="5" t="inlineStr">
        <is>
          <t>&gt;=7</t>
        </is>
      </c>
      <c r="I449" s="5" t="n">
        <v>4</v>
      </c>
      <c r="J449" s="5" t="inlineStr">
        <is>
          <t>male single</t>
        </is>
      </c>
      <c r="K449" s="5" t="inlineStr">
        <is>
          <t>none</t>
        </is>
      </c>
      <c r="L449" s="5" t="n">
        <v>4</v>
      </c>
      <c r="M449" s="5" t="inlineStr">
        <is>
          <t>car</t>
        </is>
      </c>
      <c r="N449" s="5" t="n">
        <v>41</v>
      </c>
      <c r="O449" s="5" t="inlineStr">
        <is>
          <t>bank</t>
        </is>
      </c>
      <c r="P449" s="5" t="inlineStr">
        <is>
          <t>own</t>
        </is>
      </c>
      <c r="Q449" s="5" t="n">
        <v>1</v>
      </c>
      <c r="R449" s="5" t="inlineStr">
        <is>
          <t>unskilled resident</t>
        </is>
      </c>
      <c r="S449" s="5" t="n">
        <v>2</v>
      </c>
      <c r="T449" s="5" t="inlineStr">
        <is>
          <t>none</t>
        </is>
      </c>
      <c r="U449" s="5" t="inlineStr">
        <is>
          <t>yes</t>
        </is>
      </c>
      <c r="V449" s="5" t="inlineStr">
        <is>
          <t>bad</t>
        </is>
      </c>
    </row>
    <row r="450">
      <c r="A450" s="5" t="n">
        <v>445</v>
      </c>
      <c r="B450" s="5" t="inlineStr">
        <is>
          <t>0&lt;=X&lt;200</t>
        </is>
      </c>
      <c r="C450" s="5" t="n">
        <v>48</v>
      </c>
      <c r="D450" s="5" t="inlineStr">
        <is>
          <t>critical/other existing credit</t>
        </is>
      </c>
      <c r="E450" s="5" t="inlineStr">
        <is>
          <t>furniture/equipment</t>
        </is>
      </c>
      <c r="F450" s="5" t="n">
        <v>5096</v>
      </c>
      <c r="G450" s="5" t="inlineStr">
        <is>
          <t>&lt;100</t>
        </is>
      </c>
      <c r="H450" s="5" t="inlineStr">
        <is>
          <t>1&lt;=X&lt;4</t>
        </is>
      </c>
      <c r="I450" s="5" t="n">
        <v>2</v>
      </c>
      <c r="J450" s="5" t="inlineStr">
        <is>
          <t>female div/dep/mar</t>
        </is>
      </c>
      <c r="K450" s="5" t="inlineStr">
        <is>
          <t>none</t>
        </is>
      </c>
      <c r="L450" s="5" t="n">
        <v>3</v>
      </c>
      <c r="M450" s="5" t="inlineStr">
        <is>
          <t>car</t>
        </is>
      </c>
      <c r="N450" s="5" t="n">
        <v>30</v>
      </c>
      <c r="O450" s="5" t="inlineStr">
        <is>
          <t>none</t>
        </is>
      </c>
      <c r="P450" s="5" t="inlineStr">
        <is>
          <t>own</t>
        </is>
      </c>
      <c r="Q450" s="5" t="n">
        <v>1</v>
      </c>
      <c r="R450" s="5" t="inlineStr">
        <is>
          <t>high qualif/self emp/mgmt</t>
        </is>
      </c>
      <c r="S450" s="5" t="n">
        <v>1</v>
      </c>
      <c r="T450" s="5" t="inlineStr">
        <is>
          <t>yes</t>
        </is>
      </c>
      <c r="U450" s="5" t="inlineStr">
        <is>
          <t>yes</t>
        </is>
      </c>
      <c r="V450" s="5" t="inlineStr">
        <is>
          <t>bad</t>
        </is>
      </c>
    </row>
    <row r="451">
      <c r="A451" s="5" t="n">
        <v>446</v>
      </c>
      <c r="B451" s="5" t="inlineStr">
        <is>
          <t>no checking</t>
        </is>
      </c>
      <c r="C451" s="5" t="n">
        <v>9</v>
      </c>
      <c r="D451" s="5" t="inlineStr">
        <is>
          <t>critical/other existing credit</t>
        </is>
      </c>
      <c r="E451" s="5" t="inlineStr">
        <is>
          <t>education</t>
        </is>
      </c>
      <c r="F451" s="5" t="n">
        <v>1244</v>
      </c>
      <c r="G451" s="5" t="inlineStr">
        <is>
          <t>no known savings</t>
        </is>
      </c>
      <c r="H451" s="5" t="inlineStr">
        <is>
          <t>&gt;=7</t>
        </is>
      </c>
      <c r="I451" s="5" t="n">
        <v>4</v>
      </c>
      <c r="J451" s="5" t="inlineStr">
        <is>
          <t>female div/dep/mar</t>
        </is>
      </c>
      <c r="K451" s="5" t="inlineStr">
        <is>
          <t>none</t>
        </is>
      </c>
      <c r="L451" s="5" t="n">
        <v>4</v>
      </c>
      <c r="M451" s="5" t="inlineStr">
        <is>
          <t>life insurance</t>
        </is>
      </c>
      <c r="N451" s="5" t="n">
        <v>41</v>
      </c>
      <c r="O451" s="5" t="inlineStr">
        <is>
          <t>none</t>
        </is>
      </c>
      <c r="P451" s="5" t="inlineStr">
        <is>
          <t>rent</t>
        </is>
      </c>
      <c r="Q451" s="5" t="n">
        <v>2</v>
      </c>
      <c r="R451" s="5" t="inlineStr">
        <is>
          <t>unskilled resident</t>
        </is>
      </c>
      <c r="S451" s="5" t="n">
        <v>1</v>
      </c>
      <c r="T451" s="5" t="inlineStr">
        <is>
          <t>none</t>
        </is>
      </c>
      <c r="U451" s="5" t="inlineStr">
        <is>
          <t>yes</t>
        </is>
      </c>
      <c r="V451" s="5" t="inlineStr">
        <is>
          <t>good</t>
        </is>
      </c>
    </row>
    <row r="452">
      <c r="A452" s="5" t="n">
        <v>447</v>
      </c>
      <c r="B452" s="5" t="inlineStr">
        <is>
          <t>&lt;0</t>
        </is>
      </c>
      <c r="C452" s="5" t="n">
        <v>36</v>
      </c>
      <c r="D452" s="5" t="inlineStr">
        <is>
          <t>existing paid</t>
        </is>
      </c>
      <c r="E452" s="5" t="inlineStr">
        <is>
          <t>new car</t>
        </is>
      </c>
      <c r="F452" s="5" t="n">
        <v>1842</v>
      </c>
      <c r="G452" s="5" t="inlineStr">
        <is>
          <t>&lt;100</t>
        </is>
      </c>
      <c r="H452" s="5" t="inlineStr">
        <is>
          <t>&lt;1</t>
        </is>
      </c>
      <c r="I452" s="5" t="n">
        <v>4</v>
      </c>
      <c r="J452" s="5" t="inlineStr">
        <is>
          <t>female div/dep/mar</t>
        </is>
      </c>
      <c r="K452" s="5" t="inlineStr">
        <is>
          <t>none</t>
        </is>
      </c>
      <c r="L452" s="5" t="n">
        <v>4</v>
      </c>
      <c r="M452" s="5" t="inlineStr">
        <is>
          <t>car</t>
        </is>
      </c>
      <c r="N452" s="5" t="n">
        <v>34</v>
      </c>
      <c r="O452" s="5" t="inlineStr">
        <is>
          <t>none</t>
        </is>
      </c>
      <c r="P452" s="5" t="inlineStr">
        <is>
          <t>own</t>
        </is>
      </c>
      <c r="Q452" s="5" t="n">
        <v>1</v>
      </c>
      <c r="R452" s="5" t="inlineStr">
        <is>
          <t>skilled</t>
        </is>
      </c>
      <c r="S452" s="5" t="n">
        <v>1</v>
      </c>
      <c r="T452" s="5" t="inlineStr">
        <is>
          <t>yes</t>
        </is>
      </c>
      <c r="U452" s="5" t="inlineStr">
        <is>
          <t>yes</t>
        </is>
      </c>
      <c r="V452" s="5" t="inlineStr">
        <is>
          <t>bad</t>
        </is>
      </c>
    </row>
    <row r="453">
      <c r="A453" s="5" t="n">
        <v>448</v>
      </c>
      <c r="B453" s="5" t="inlineStr">
        <is>
          <t>0&lt;=X&lt;200</t>
        </is>
      </c>
      <c r="C453" s="5" t="n">
        <v>7</v>
      </c>
      <c r="D453" s="5" t="inlineStr">
        <is>
          <t>existing paid</t>
        </is>
      </c>
      <c r="E453" s="5" t="inlineStr">
        <is>
          <t>radio/tv</t>
        </is>
      </c>
      <c r="F453" s="5" t="n">
        <v>2576</v>
      </c>
      <c r="G453" s="5" t="inlineStr">
        <is>
          <t>&lt;100</t>
        </is>
      </c>
      <c r="H453" s="5" t="inlineStr">
        <is>
          <t>1&lt;=X&lt;4</t>
        </is>
      </c>
      <c r="I453" s="5" t="n">
        <v>2</v>
      </c>
      <c r="J453" s="5" t="inlineStr">
        <is>
          <t>male single</t>
        </is>
      </c>
      <c r="K453" s="5" t="inlineStr">
        <is>
          <t>guarantor</t>
        </is>
      </c>
      <c r="L453" s="5" t="n">
        <v>2</v>
      </c>
      <c r="M453" s="5" t="inlineStr">
        <is>
          <t>real estate</t>
        </is>
      </c>
      <c r="N453" s="5" t="n">
        <v>35</v>
      </c>
      <c r="O453" s="5" t="inlineStr">
        <is>
          <t>none</t>
        </is>
      </c>
      <c r="P453" s="5" t="inlineStr">
        <is>
          <t>own</t>
        </is>
      </c>
      <c r="Q453" s="5" t="n">
        <v>1</v>
      </c>
      <c r="R453" s="5" t="inlineStr">
        <is>
          <t>skilled</t>
        </is>
      </c>
      <c r="S453" s="5" t="n">
        <v>1</v>
      </c>
      <c r="T453" s="5" t="inlineStr">
        <is>
          <t>none</t>
        </is>
      </c>
      <c r="U453" s="5" t="inlineStr">
        <is>
          <t>yes</t>
        </is>
      </c>
      <c r="V453" s="5" t="inlineStr">
        <is>
          <t>good</t>
        </is>
      </c>
    </row>
    <row r="454">
      <c r="A454" s="5" t="n">
        <v>449</v>
      </c>
      <c r="B454" s="5" t="inlineStr">
        <is>
          <t>&gt;=200</t>
        </is>
      </c>
      <c r="C454" s="5" t="n">
        <v>12</v>
      </c>
      <c r="D454" s="5" t="inlineStr">
        <is>
          <t>existing paid</t>
        </is>
      </c>
      <c r="E454" s="5" t="inlineStr">
        <is>
          <t>furniture/equipment</t>
        </is>
      </c>
      <c r="F454" s="5" t="n">
        <v>1424</v>
      </c>
      <c r="G454" s="5" t="inlineStr">
        <is>
          <t>no known savings</t>
        </is>
      </c>
      <c r="H454" s="5" t="inlineStr">
        <is>
          <t>&gt;=7</t>
        </is>
      </c>
      <c r="I454" s="5" t="n">
        <v>3</v>
      </c>
      <c r="J454" s="5" t="inlineStr">
        <is>
          <t>female div/dep/mar</t>
        </is>
      </c>
      <c r="K454" s="5" t="inlineStr">
        <is>
          <t>none</t>
        </is>
      </c>
      <c r="L454" s="5" t="n">
        <v>4</v>
      </c>
      <c r="M454" s="5" t="inlineStr">
        <is>
          <t>real estate</t>
        </is>
      </c>
      <c r="N454" s="5" t="n">
        <v>55</v>
      </c>
      <c r="O454" s="5" t="inlineStr">
        <is>
          <t>none</t>
        </is>
      </c>
      <c r="P454" s="5" t="inlineStr">
        <is>
          <t>own</t>
        </is>
      </c>
      <c r="Q454" s="5" t="n">
        <v>1</v>
      </c>
      <c r="R454" s="5" t="inlineStr">
        <is>
          <t>high qualif/self emp/mgmt</t>
        </is>
      </c>
      <c r="S454" s="5" t="n">
        <v>1</v>
      </c>
      <c r="T454" s="5" t="inlineStr">
        <is>
          <t>yes</t>
        </is>
      </c>
      <c r="U454" s="5" t="inlineStr">
        <is>
          <t>yes</t>
        </is>
      </c>
      <c r="V454" s="5" t="inlineStr">
        <is>
          <t>good</t>
        </is>
      </c>
    </row>
    <row r="455">
      <c r="A455" s="5" t="n">
        <v>450</v>
      </c>
      <c r="B455" s="5" t="inlineStr">
        <is>
          <t>0&lt;=X&lt;200</t>
        </is>
      </c>
      <c r="C455" s="5" t="n">
        <v>15</v>
      </c>
      <c r="D455" s="5" t="inlineStr">
        <is>
          <t>delayed previously</t>
        </is>
      </c>
      <c r="E455" s="5" t="inlineStr">
        <is>
          <t>repairs</t>
        </is>
      </c>
      <c r="F455" s="5" t="n">
        <v>1512</v>
      </c>
      <c r="G455" s="5" t="inlineStr">
        <is>
          <t>&gt;=1000</t>
        </is>
      </c>
      <c r="H455" s="5" t="inlineStr">
        <is>
          <t>1&lt;=X&lt;4</t>
        </is>
      </c>
      <c r="I455" s="5" t="n">
        <v>3</v>
      </c>
      <c r="J455" s="5" t="inlineStr">
        <is>
          <t>male mar/wid</t>
        </is>
      </c>
      <c r="K455" s="5" t="inlineStr">
        <is>
          <t>none</t>
        </is>
      </c>
      <c r="L455" s="5" t="n">
        <v>3</v>
      </c>
      <c r="M455" s="5" t="inlineStr">
        <is>
          <t>life insurance</t>
        </is>
      </c>
      <c r="N455" s="5" t="n">
        <v>61</v>
      </c>
      <c r="O455" s="5" t="inlineStr">
        <is>
          <t>stores</t>
        </is>
      </c>
      <c r="P455" s="5" t="inlineStr">
        <is>
          <t>own</t>
        </is>
      </c>
      <c r="Q455" s="5" t="n">
        <v>2</v>
      </c>
      <c r="R455" s="5" t="inlineStr">
        <is>
          <t>skilled</t>
        </is>
      </c>
      <c r="S455" s="5" t="n">
        <v>1</v>
      </c>
      <c r="T455" s="5" t="inlineStr">
        <is>
          <t>none</t>
        </is>
      </c>
      <c r="U455" s="5" t="inlineStr">
        <is>
          <t>yes</t>
        </is>
      </c>
      <c r="V455" s="5" t="inlineStr">
        <is>
          <t>bad</t>
        </is>
      </c>
    </row>
    <row r="456">
      <c r="A456" s="5" t="n">
        <v>451</v>
      </c>
      <c r="B456" s="5" t="inlineStr">
        <is>
          <t>no checking</t>
        </is>
      </c>
      <c r="C456" s="5" t="n">
        <v>36</v>
      </c>
      <c r="D456" s="5" t="inlineStr">
        <is>
          <t>critical/other existing credit</t>
        </is>
      </c>
      <c r="E456" s="5" t="inlineStr">
        <is>
          <t>used car</t>
        </is>
      </c>
      <c r="F456" s="5" t="n">
        <v>11054</v>
      </c>
      <c r="G456" s="5" t="inlineStr">
        <is>
          <t>no known savings</t>
        </is>
      </c>
      <c r="H456" s="5" t="inlineStr">
        <is>
          <t>1&lt;=X&lt;4</t>
        </is>
      </c>
      <c r="I456" s="5" t="n">
        <v>4</v>
      </c>
      <c r="J456" s="5" t="inlineStr">
        <is>
          <t>male single</t>
        </is>
      </c>
      <c r="K456" s="5" t="inlineStr">
        <is>
          <t>none</t>
        </is>
      </c>
      <c r="L456" s="5" t="n">
        <v>2</v>
      </c>
      <c r="M456" s="5" t="inlineStr">
        <is>
          <t>car</t>
        </is>
      </c>
      <c r="N456" s="5" t="n">
        <v>30</v>
      </c>
      <c r="O456" s="5" t="inlineStr">
        <is>
          <t>none</t>
        </is>
      </c>
      <c r="P456" s="5" t="inlineStr">
        <is>
          <t>own</t>
        </is>
      </c>
      <c r="Q456" s="5" t="n">
        <v>1</v>
      </c>
      <c r="R456" s="5" t="inlineStr">
        <is>
          <t>high qualif/self emp/mgmt</t>
        </is>
      </c>
      <c r="S456" s="5" t="n">
        <v>1</v>
      </c>
      <c r="T456" s="5" t="inlineStr">
        <is>
          <t>yes</t>
        </is>
      </c>
      <c r="U456" s="5" t="inlineStr">
        <is>
          <t>yes</t>
        </is>
      </c>
      <c r="V456" s="5" t="inlineStr">
        <is>
          <t>good</t>
        </is>
      </c>
    </row>
    <row r="457">
      <c r="A457" s="5" t="n">
        <v>452</v>
      </c>
      <c r="B457" s="5" t="inlineStr">
        <is>
          <t>no checking</t>
        </is>
      </c>
      <c r="C457" s="5" t="n">
        <v>6</v>
      </c>
      <c r="D457" s="5" t="inlineStr">
        <is>
          <t>existing paid</t>
        </is>
      </c>
      <c r="E457" s="5" t="inlineStr">
        <is>
          <t>radio/tv</t>
        </is>
      </c>
      <c r="F457" s="5" t="n">
        <v>518</v>
      </c>
      <c r="G457" s="5" t="inlineStr">
        <is>
          <t>&lt;100</t>
        </is>
      </c>
      <c r="H457" s="5" t="inlineStr">
        <is>
          <t>1&lt;=X&lt;4</t>
        </is>
      </c>
      <c r="I457" s="5" t="n">
        <v>3</v>
      </c>
      <c r="J457" s="5" t="inlineStr">
        <is>
          <t>female div/dep/mar</t>
        </is>
      </c>
      <c r="K457" s="5" t="inlineStr">
        <is>
          <t>none</t>
        </is>
      </c>
      <c r="L457" s="5" t="n">
        <v>1</v>
      </c>
      <c r="M457" s="5" t="inlineStr">
        <is>
          <t>real estate</t>
        </is>
      </c>
      <c r="N457" s="5" t="n">
        <v>29</v>
      </c>
      <c r="O457" s="5" t="inlineStr">
        <is>
          <t>none</t>
        </is>
      </c>
      <c r="P457" s="5" t="inlineStr">
        <is>
          <t>own</t>
        </is>
      </c>
      <c r="Q457" s="5" t="n">
        <v>1</v>
      </c>
      <c r="R457" s="5" t="inlineStr">
        <is>
          <t>skilled</t>
        </is>
      </c>
      <c r="S457" s="5" t="n">
        <v>1</v>
      </c>
      <c r="T457" s="5" t="inlineStr">
        <is>
          <t>none</t>
        </is>
      </c>
      <c r="U457" s="5" t="inlineStr">
        <is>
          <t>yes</t>
        </is>
      </c>
      <c r="V457" s="5" t="inlineStr">
        <is>
          <t>good</t>
        </is>
      </c>
    </row>
    <row r="458">
      <c r="A458" s="5" t="n">
        <v>453</v>
      </c>
      <c r="B458" s="5" t="inlineStr">
        <is>
          <t>no checking</t>
        </is>
      </c>
      <c r="C458" s="5" t="n">
        <v>12</v>
      </c>
      <c r="D458" s="5" t="inlineStr">
        <is>
          <t>no credits/all paid</t>
        </is>
      </c>
      <c r="E458" s="5" t="inlineStr">
        <is>
          <t>furniture/equipment</t>
        </is>
      </c>
      <c r="F458" s="5" t="n">
        <v>2759</v>
      </c>
      <c r="G458" s="5" t="inlineStr">
        <is>
          <t>&lt;100</t>
        </is>
      </c>
      <c r="H458" s="5" t="inlineStr">
        <is>
          <t>&gt;=7</t>
        </is>
      </c>
      <c r="I458" s="5" t="n">
        <v>2</v>
      </c>
      <c r="J458" s="5" t="inlineStr">
        <is>
          <t>male single</t>
        </is>
      </c>
      <c r="K458" s="5" t="inlineStr">
        <is>
          <t>none</t>
        </is>
      </c>
      <c r="L458" s="5" t="n">
        <v>4</v>
      </c>
      <c r="M458" s="5" t="inlineStr">
        <is>
          <t>life insurance</t>
        </is>
      </c>
      <c r="N458" s="5" t="n">
        <v>34</v>
      </c>
      <c r="O458" s="5" t="inlineStr">
        <is>
          <t>none</t>
        </is>
      </c>
      <c r="P458" s="5" t="inlineStr">
        <is>
          <t>own</t>
        </is>
      </c>
      <c r="Q458" s="5" t="n">
        <v>2</v>
      </c>
      <c r="R458" s="5" t="inlineStr">
        <is>
          <t>skilled</t>
        </is>
      </c>
      <c r="S458" s="5" t="n">
        <v>1</v>
      </c>
      <c r="T458" s="5" t="inlineStr">
        <is>
          <t>none</t>
        </is>
      </c>
      <c r="U458" s="5" t="inlineStr">
        <is>
          <t>yes</t>
        </is>
      </c>
      <c r="V458" s="5" t="inlineStr">
        <is>
          <t>good</t>
        </is>
      </c>
    </row>
    <row r="459">
      <c r="A459" s="5" t="n">
        <v>454</v>
      </c>
      <c r="B459" s="5" t="inlineStr">
        <is>
          <t>no checking</t>
        </is>
      </c>
      <c r="C459" s="5" t="n">
        <v>24</v>
      </c>
      <c r="D459" s="5" t="inlineStr">
        <is>
          <t>existing paid</t>
        </is>
      </c>
      <c r="E459" s="5" t="inlineStr">
        <is>
          <t>used car</t>
        </is>
      </c>
      <c r="F459" s="5" t="n">
        <v>2670</v>
      </c>
      <c r="G459" s="5" t="inlineStr">
        <is>
          <t>&lt;100</t>
        </is>
      </c>
      <c r="H459" s="5" t="inlineStr">
        <is>
          <t>&gt;=7</t>
        </is>
      </c>
      <c r="I459" s="5" t="n">
        <v>4</v>
      </c>
      <c r="J459" s="5" t="inlineStr">
        <is>
          <t>male single</t>
        </is>
      </c>
      <c r="K459" s="5" t="inlineStr">
        <is>
          <t>none</t>
        </is>
      </c>
      <c r="L459" s="5" t="n">
        <v>4</v>
      </c>
      <c r="M459" s="5" t="inlineStr">
        <is>
          <t>car</t>
        </is>
      </c>
      <c r="N459" s="5" t="n">
        <v>35</v>
      </c>
      <c r="O459" s="5" t="inlineStr">
        <is>
          <t>none</t>
        </is>
      </c>
      <c r="P459" s="5" t="inlineStr">
        <is>
          <t>own</t>
        </is>
      </c>
      <c r="Q459" s="5" t="n">
        <v>1</v>
      </c>
      <c r="R459" s="5" t="inlineStr">
        <is>
          <t>high qualif/self emp/mgmt</t>
        </is>
      </c>
      <c r="S459" s="5" t="n">
        <v>1</v>
      </c>
      <c r="T459" s="5" t="inlineStr">
        <is>
          <t>yes</t>
        </is>
      </c>
      <c r="U459" s="5" t="inlineStr">
        <is>
          <t>yes</t>
        </is>
      </c>
      <c r="V459" s="5" t="inlineStr">
        <is>
          <t>good</t>
        </is>
      </c>
    </row>
    <row r="460">
      <c r="A460" s="5" t="n">
        <v>455</v>
      </c>
      <c r="B460" s="5" t="inlineStr">
        <is>
          <t>&lt;0</t>
        </is>
      </c>
      <c r="C460" s="5" t="n">
        <v>24</v>
      </c>
      <c r="D460" s="5" t="inlineStr">
        <is>
          <t>existing paid</t>
        </is>
      </c>
      <c r="E460" s="5" t="inlineStr">
        <is>
          <t>new car</t>
        </is>
      </c>
      <c r="F460" s="5" t="n">
        <v>4817</v>
      </c>
      <c r="G460" s="5" t="inlineStr">
        <is>
          <t>&lt;100</t>
        </is>
      </c>
      <c r="H460" s="5" t="inlineStr">
        <is>
          <t>4&lt;=X&lt;7</t>
        </is>
      </c>
      <c r="I460" s="5" t="n">
        <v>2</v>
      </c>
      <c r="J460" s="5" t="inlineStr">
        <is>
          <t>male single</t>
        </is>
      </c>
      <c r="K460" s="5" t="inlineStr">
        <is>
          <t>co applicant</t>
        </is>
      </c>
      <c r="L460" s="5" t="n">
        <v>3</v>
      </c>
      <c r="M460" s="5" t="inlineStr">
        <is>
          <t>life insurance</t>
        </is>
      </c>
      <c r="N460" s="5" t="n">
        <v>31</v>
      </c>
      <c r="O460" s="5" t="inlineStr">
        <is>
          <t>none</t>
        </is>
      </c>
      <c r="P460" s="5" t="inlineStr">
        <is>
          <t>own</t>
        </is>
      </c>
      <c r="Q460" s="5" t="n">
        <v>1</v>
      </c>
      <c r="R460" s="5" t="inlineStr">
        <is>
          <t>skilled</t>
        </is>
      </c>
      <c r="S460" s="5" t="n">
        <v>1</v>
      </c>
      <c r="T460" s="5" t="inlineStr">
        <is>
          <t>yes</t>
        </is>
      </c>
      <c r="U460" s="5" t="inlineStr">
        <is>
          <t>yes</t>
        </is>
      </c>
      <c r="V460" s="5" t="inlineStr">
        <is>
          <t>bad</t>
        </is>
      </c>
    </row>
    <row r="461">
      <c r="A461" s="5" t="n">
        <v>456</v>
      </c>
      <c r="B461" s="5" t="inlineStr">
        <is>
          <t>no checking</t>
        </is>
      </c>
      <c r="C461" s="5" t="n">
        <v>24</v>
      </c>
      <c r="D461" s="5" t="inlineStr">
        <is>
          <t>existing paid</t>
        </is>
      </c>
      <c r="E461" s="5" t="inlineStr">
        <is>
          <t>used car</t>
        </is>
      </c>
      <c r="F461" s="5" t="n">
        <v>2679</v>
      </c>
      <c r="G461" s="5" t="inlineStr">
        <is>
          <t>&lt;100</t>
        </is>
      </c>
      <c r="H461" s="5" t="inlineStr">
        <is>
          <t>&lt;1</t>
        </is>
      </c>
      <c r="I461" s="5" t="n">
        <v>4</v>
      </c>
      <c r="J461" s="5" t="inlineStr">
        <is>
          <t>female div/dep/mar</t>
        </is>
      </c>
      <c r="K461" s="5" t="inlineStr">
        <is>
          <t>none</t>
        </is>
      </c>
      <c r="L461" s="5" t="n">
        <v>1</v>
      </c>
      <c r="M461" s="5" t="inlineStr">
        <is>
          <t>no known property</t>
        </is>
      </c>
      <c r="N461" s="5" t="n">
        <v>29</v>
      </c>
      <c r="O461" s="5" t="inlineStr">
        <is>
          <t>none</t>
        </is>
      </c>
      <c r="P461" s="5" t="inlineStr">
        <is>
          <t>own</t>
        </is>
      </c>
      <c r="Q461" s="5" t="n">
        <v>1</v>
      </c>
      <c r="R461" s="5" t="inlineStr">
        <is>
          <t>high qualif/self emp/mgmt</t>
        </is>
      </c>
      <c r="S461" s="5" t="n">
        <v>1</v>
      </c>
      <c r="T461" s="5" t="inlineStr">
        <is>
          <t>yes</t>
        </is>
      </c>
      <c r="U461" s="5" t="inlineStr">
        <is>
          <t>yes</t>
        </is>
      </c>
      <c r="V461" s="5" t="inlineStr">
        <is>
          <t>good</t>
        </is>
      </c>
    </row>
    <row r="462">
      <c r="A462" s="5" t="n">
        <v>457</v>
      </c>
      <c r="B462" s="5" t="inlineStr">
        <is>
          <t>&lt;0</t>
        </is>
      </c>
      <c r="C462" s="5" t="n">
        <v>11</v>
      </c>
      <c r="D462" s="5" t="inlineStr">
        <is>
          <t>critical/other existing credit</t>
        </is>
      </c>
      <c r="E462" s="5" t="inlineStr">
        <is>
          <t>new car</t>
        </is>
      </c>
      <c r="F462" s="5" t="n">
        <v>3905</v>
      </c>
      <c r="G462" s="5" t="inlineStr">
        <is>
          <t>&lt;100</t>
        </is>
      </c>
      <c r="H462" s="5" t="inlineStr">
        <is>
          <t>1&lt;=X&lt;4</t>
        </is>
      </c>
      <c r="I462" s="5" t="n">
        <v>2</v>
      </c>
      <c r="J462" s="5" t="inlineStr">
        <is>
          <t>male single</t>
        </is>
      </c>
      <c r="K462" s="5" t="inlineStr">
        <is>
          <t>none</t>
        </is>
      </c>
      <c r="L462" s="5" t="n">
        <v>2</v>
      </c>
      <c r="M462" s="5" t="inlineStr">
        <is>
          <t>real estate</t>
        </is>
      </c>
      <c r="N462" s="5" t="n">
        <v>36</v>
      </c>
      <c r="O462" s="5" t="inlineStr">
        <is>
          <t>none</t>
        </is>
      </c>
      <c r="P462" s="5" t="inlineStr">
        <is>
          <t>rent</t>
        </is>
      </c>
      <c r="Q462" s="5" t="n">
        <v>2</v>
      </c>
      <c r="R462" s="5" t="inlineStr">
        <is>
          <t>skilled</t>
        </is>
      </c>
      <c r="S462" s="5" t="n">
        <v>2</v>
      </c>
      <c r="T462" s="5" t="inlineStr">
        <is>
          <t>none</t>
        </is>
      </c>
      <c r="U462" s="5" t="inlineStr">
        <is>
          <t>yes</t>
        </is>
      </c>
      <c r="V462" s="5" t="inlineStr">
        <is>
          <t>good</t>
        </is>
      </c>
    </row>
    <row r="463">
      <c r="A463" s="5" t="n">
        <v>458</v>
      </c>
      <c r="B463" s="5" t="inlineStr">
        <is>
          <t>&lt;0</t>
        </is>
      </c>
      <c r="C463" s="5" t="n">
        <v>12</v>
      </c>
      <c r="D463" s="5" t="inlineStr">
        <is>
          <t>existing paid</t>
        </is>
      </c>
      <c r="E463" s="5" t="inlineStr">
        <is>
          <t>used car</t>
        </is>
      </c>
      <c r="F463" s="5" t="n">
        <v>3386</v>
      </c>
      <c r="G463" s="5" t="inlineStr">
        <is>
          <t>&lt;100</t>
        </is>
      </c>
      <c r="H463" s="5" t="inlineStr">
        <is>
          <t>&gt;=7</t>
        </is>
      </c>
      <c r="I463" s="5" t="n">
        <v>3</v>
      </c>
      <c r="J463" s="5" t="inlineStr">
        <is>
          <t>male single</t>
        </is>
      </c>
      <c r="K463" s="5" t="inlineStr">
        <is>
          <t>none</t>
        </is>
      </c>
      <c r="L463" s="5" t="n">
        <v>4</v>
      </c>
      <c r="M463" s="5" t="inlineStr">
        <is>
          <t>no known property</t>
        </is>
      </c>
      <c r="N463" s="5" t="n">
        <v>35</v>
      </c>
      <c r="O463" s="5" t="inlineStr">
        <is>
          <t>none</t>
        </is>
      </c>
      <c r="P463" s="5" t="inlineStr">
        <is>
          <t>for free</t>
        </is>
      </c>
      <c r="Q463" s="5" t="n">
        <v>1</v>
      </c>
      <c r="R463" s="5" t="inlineStr">
        <is>
          <t>skilled</t>
        </is>
      </c>
      <c r="S463" s="5" t="n">
        <v>1</v>
      </c>
      <c r="T463" s="5" t="inlineStr">
        <is>
          <t>yes</t>
        </is>
      </c>
      <c r="U463" s="5" t="inlineStr">
        <is>
          <t>yes</t>
        </is>
      </c>
      <c r="V463" s="5" t="inlineStr">
        <is>
          <t>bad</t>
        </is>
      </c>
    </row>
    <row r="464">
      <c r="A464" s="5" t="n">
        <v>459</v>
      </c>
      <c r="B464" s="5" t="inlineStr">
        <is>
          <t>&lt;0</t>
        </is>
      </c>
      <c r="C464" s="5" t="n">
        <v>6</v>
      </c>
      <c r="D464" s="5" t="inlineStr">
        <is>
          <t>existing paid</t>
        </is>
      </c>
      <c r="E464" s="5" t="inlineStr">
        <is>
          <t>domestic appliance</t>
        </is>
      </c>
      <c r="F464" s="5" t="n">
        <v>343</v>
      </c>
      <c r="G464" s="5" t="inlineStr">
        <is>
          <t>&lt;100</t>
        </is>
      </c>
      <c r="H464" s="5" t="inlineStr">
        <is>
          <t>&lt;1</t>
        </is>
      </c>
      <c r="I464" s="5" t="n">
        <v>4</v>
      </c>
      <c r="J464" s="5" t="inlineStr">
        <is>
          <t>female div/dep/mar</t>
        </is>
      </c>
      <c r="K464" s="5" t="inlineStr">
        <is>
          <t>none</t>
        </is>
      </c>
      <c r="L464" s="5" t="n">
        <v>1</v>
      </c>
      <c r="M464" s="5" t="inlineStr">
        <is>
          <t>real estate</t>
        </is>
      </c>
      <c r="N464" s="5" t="n">
        <v>27</v>
      </c>
      <c r="O464" s="5" t="inlineStr">
        <is>
          <t>none</t>
        </is>
      </c>
      <c r="P464" s="5" t="inlineStr">
        <is>
          <t>own</t>
        </is>
      </c>
      <c r="Q464" s="5" t="n">
        <v>1</v>
      </c>
      <c r="R464" s="5" t="inlineStr">
        <is>
          <t>skilled</t>
        </is>
      </c>
      <c r="S464" s="5" t="n">
        <v>1</v>
      </c>
      <c r="T464" s="5" t="inlineStr">
        <is>
          <t>none</t>
        </is>
      </c>
      <c r="U464" s="5" t="inlineStr">
        <is>
          <t>yes</t>
        </is>
      </c>
      <c r="V464" s="5" t="inlineStr">
        <is>
          <t>good</t>
        </is>
      </c>
    </row>
    <row r="465">
      <c r="A465" s="5" t="n">
        <v>460</v>
      </c>
      <c r="B465" s="5" t="inlineStr">
        <is>
          <t>no checking</t>
        </is>
      </c>
      <c r="C465" s="5" t="n">
        <v>18</v>
      </c>
      <c r="D465" s="5" t="inlineStr">
        <is>
          <t>existing paid</t>
        </is>
      </c>
      <c r="E465" s="5" t="inlineStr">
        <is>
          <t>radio/tv</t>
        </is>
      </c>
      <c r="F465" s="5" t="n">
        <v>4594</v>
      </c>
      <c r="G465" s="5" t="inlineStr">
        <is>
          <t>&lt;100</t>
        </is>
      </c>
      <c r="H465" s="5" t="inlineStr">
        <is>
          <t>&lt;1</t>
        </is>
      </c>
      <c r="I465" s="5" t="n">
        <v>3</v>
      </c>
      <c r="J465" s="5" t="inlineStr">
        <is>
          <t>male single</t>
        </is>
      </c>
      <c r="K465" s="5" t="inlineStr">
        <is>
          <t>none</t>
        </is>
      </c>
      <c r="L465" s="5" t="n">
        <v>2</v>
      </c>
      <c r="M465" s="5" t="inlineStr">
        <is>
          <t>car</t>
        </is>
      </c>
      <c r="N465" s="5" t="n">
        <v>32</v>
      </c>
      <c r="O465" s="5" t="inlineStr">
        <is>
          <t>none</t>
        </is>
      </c>
      <c r="P465" s="5" t="inlineStr">
        <is>
          <t>own</t>
        </is>
      </c>
      <c r="Q465" s="5" t="n">
        <v>1</v>
      </c>
      <c r="R465" s="5" t="inlineStr">
        <is>
          <t>skilled</t>
        </is>
      </c>
      <c r="S465" s="5" t="n">
        <v>1</v>
      </c>
      <c r="T465" s="5" t="inlineStr">
        <is>
          <t>yes</t>
        </is>
      </c>
      <c r="U465" s="5" t="inlineStr">
        <is>
          <t>yes</t>
        </is>
      </c>
      <c r="V465" s="5" t="inlineStr">
        <is>
          <t>good</t>
        </is>
      </c>
    </row>
    <row r="466">
      <c r="A466" s="5" t="n">
        <v>461</v>
      </c>
      <c r="B466" s="5" t="inlineStr">
        <is>
          <t>&lt;0</t>
        </is>
      </c>
      <c r="C466" s="5" t="n">
        <v>36</v>
      </c>
      <c r="D466" s="5" t="inlineStr">
        <is>
          <t>existing paid</t>
        </is>
      </c>
      <c r="E466" s="5" t="inlineStr">
        <is>
          <t>furniture/equipment</t>
        </is>
      </c>
      <c r="F466" s="5" t="n">
        <v>3620</v>
      </c>
      <c r="G466" s="5" t="inlineStr">
        <is>
          <t>&lt;100</t>
        </is>
      </c>
      <c r="H466" s="5" t="inlineStr">
        <is>
          <t>1&lt;=X&lt;4</t>
        </is>
      </c>
      <c r="I466" s="5" t="n">
        <v>1</v>
      </c>
      <c r="J466" s="5" t="inlineStr">
        <is>
          <t>male single</t>
        </is>
      </c>
      <c r="K466" s="5" t="inlineStr">
        <is>
          <t>guarantor</t>
        </is>
      </c>
      <c r="L466" s="5" t="n">
        <v>2</v>
      </c>
      <c r="M466" s="5" t="inlineStr">
        <is>
          <t>life insurance</t>
        </is>
      </c>
      <c r="N466" s="5" t="n">
        <v>37</v>
      </c>
      <c r="O466" s="5" t="inlineStr">
        <is>
          <t>none</t>
        </is>
      </c>
      <c r="P466" s="5" t="inlineStr">
        <is>
          <t>own</t>
        </is>
      </c>
      <c r="Q466" s="5" t="n">
        <v>1</v>
      </c>
      <c r="R466" s="5" t="inlineStr">
        <is>
          <t>skilled</t>
        </is>
      </c>
      <c r="S466" s="5" t="n">
        <v>2</v>
      </c>
      <c r="T466" s="5" t="inlineStr">
        <is>
          <t>none</t>
        </is>
      </c>
      <c r="U466" s="5" t="inlineStr">
        <is>
          <t>yes</t>
        </is>
      </c>
      <c r="V466" s="5" t="inlineStr">
        <is>
          <t>good</t>
        </is>
      </c>
    </row>
    <row r="467">
      <c r="A467" s="5" t="n">
        <v>462</v>
      </c>
      <c r="B467" s="5" t="inlineStr">
        <is>
          <t>&lt;0</t>
        </is>
      </c>
      <c r="C467" s="5" t="n">
        <v>15</v>
      </c>
      <c r="D467" s="5" t="inlineStr">
        <is>
          <t>existing paid</t>
        </is>
      </c>
      <c r="E467" s="5" t="inlineStr">
        <is>
          <t>new car</t>
        </is>
      </c>
      <c r="F467" s="5" t="n">
        <v>1721</v>
      </c>
      <c r="G467" s="5" t="inlineStr">
        <is>
          <t>&lt;100</t>
        </is>
      </c>
      <c r="H467" s="5" t="inlineStr">
        <is>
          <t>&lt;1</t>
        </is>
      </c>
      <c r="I467" s="5" t="n">
        <v>2</v>
      </c>
      <c r="J467" s="5" t="inlineStr">
        <is>
          <t>male single</t>
        </is>
      </c>
      <c r="K467" s="5" t="inlineStr">
        <is>
          <t>none</t>
        </is>
      </c>
      <c r="L467" s="5" t="n">
        <v>3</v>
      </c>
      <c r="M467" s="5" t="inlineStr">
        <is>
          <t>real estate</t>
        </is>
      </c>
      <c r="N467" s="5" t="n">
        <v>36</v>
      </c>
      <c r="O467" s="5" t="inlineStr">
        <is>
          <t>none</t>
        </is>
      </c>
      <c r="P467" s="5" t="inlineStr">
        <is>
          <t>own</t>
        </is>
      </c>
      <c r="Q467" s="5" t="n">
        <v>1</v>
      </c>
      <c r="R467" s="5" t="inlineStr">
        <is>
          <t>skilled</t>
        </is>
      </c>
      <c r="S467" s="5" t="n">
        <v>1</v>
      </c>
      <c r="T467" s="5" t="inlineStr">
        <is>
          <t>none</t>
        </is>
      </c>
      <c r="U467" s="5" t="inlineStr">
        <is>
          <t>yes</t>
        </is>
      </c>
      <c r="V467" s="5" t="inlineStr">
        <is>
          <t>good</t>
        </is>
      </c>
    </row>
    <row r="468">
      <c r="A468" s="5" t="n">
        <v>463</v>
      </c>
      <c r="B468" s="5" t="inlineStr">
        <is>
          <t>0&lt;=X&lt;200</t>
        </is>
      </c>
      <c r="C468" s="5" t="n">
        <v>12</v>
      </c>
      <c r="D468" s="5" t="inlineStr">
        <is>
          <t>existing paid</t>
        </is>
      </c>
      <c r="E468" s="5" t="inlineStr">
        <is>
          <t>furniture/equipment</t>
        </is>
      </c>
      <c r="F468" s="5" t="n">
        <v>3017</v>
      </c>
      <c r="G468" s="5" t="inlineStr">
        <is>
          <t>&lt;100</t>
        </is>
      </c>
      <c r="H468" s="5" t="inlineStr">
        <is>
          <t>&lt;1</t>
        </is>
      </c>
      <c r="I468" s="5" t="n">
        <v>3</v>
      </c>
      <c r="J468" s="5" t="inlineStr">
        <is>
          <t>female div/dep/mar</t>
        </is>
      </c>
      <c r="K468" s="5" t="inlineStr">
        <is>
          <t>none</t>
        </is>
      </c>
      <c r="L468" s="5" t="n">
        <v>1</v>
      </c>
      <c r="M468" s="5" t="inlineStr">
        <is>
          <t>real estate</t>
        </is>
      </c>
      <c r="N468" s="5" t="n">
        <v>34</v>
      </c>
      <c r="O468" s="5" t="inlineStr">
        <is>
          <t>none</t>
        </is>
      </c>
      <c r="P468" s="5" t="inlineStr">
        <is>
          <t>rent</t>
        </is>
      </c>
      <c r="Q468" s="5" t="n">
        <v>1</v>
      </c>
      <c r="R468" s="5" t="inlineStr">
        <is>
          <t>high qualif/self emp/mgmt</t>
        </is>
      </c>
      <c r="S468" s="5" t="n">
        <v>1</v>
      </c>
      <c r="T468" s="5" t="inlineStr">
        <is>
          <t>none</t>
        </is>
      </c>
      <c r="U468" s="5" t="inlineStr">
        <is>
          <t>yes</t>
        </is>
      </c>
      <c r="V468" s="5" t="inlineStr">
        <is>
          <t>good</t>
        </is>
      </c>
    </row>
    <row r="469">
      <c r="A469" s="5" t="n">
        <v>464</v>
      </c>
      <c r="B469" s="5" t="inlineStr">
        <is>
          <t>0&lt;=X&lt;200</t>
        </is>
      </c>
      <c r="C469" s="5" t="n">
        <v>12</v>
      </c>
      <c r="D469" s="5" t="inlineStr">
        <is>
          <t>existing paid</t>
        </is>
      </c>
      <c r="E469" s="5" t="inlineStr">
        <is>
          <t>retraining</t>
        </is>
      </c>
      <c r="F469" s="5" t="n">
        <v>754</v>
      </c>
      <c r="G469" s="5" t="inlineStr">
        <is>
          <t>no known savings</t>
        </is>
      </c>
      <c r="H469" s="5" t="inlineStr">
        <is>
          <t>&gt;=7</t>
        </is>
      </c>
      <c r="I469" s="5" t="n">
        <v>4</v>
      </c>
      <c r="J469" s="5" t="inlineStr">
        <is>
          <t>male single</t>
        </is>
      </c>
      <c r="K469" s="5" t="inlineStr">
        <is>
          <t>none</t>
        </is>
      </c>
      <c r="L469" s="5" t="n">
        <v>4</v>
      </c>
      <c r="M469" s="5" t="inlineStr">
        <is>
          <t>life insurance</t>
        </is>
      </c>
      <c r="N469" s="5" t="n">
        <v>38</v>
      </c>
      <c r="O469" s="5" t="inlineStr">
        <is>
          <t>none</t>
        </is>
      </c>
      <c r="P469" s="5" t="inlineStr">
        <is>
          <t>own</t>
        </is>
      </c>
      <c r="Q469" s="5" t="n">
        <v>2</v>
      </c>
      <c r="R469" s="5" t="inlineStr">
        <is>
          <t>skilled</t>
        </is>
      </c>
      <c r="S469" s="5" t="n">
        <v>1</v>
      </c>
      <c r="T469" s="5" t="inlineStr">
        <is>
          <t>none</t>
        </is>
      </c>
      <c r="U469" s="5" t="inlineStr">
        <is>
          <t>yes</t>
        </is>
      </c>
      <c r="V469" s="5" t="inlineStr">
        <is>
          <t>good</t>
        </is>
      </c>
    </row>
    <row r="470">
      <c r="A470" s="5" t="n">
        <v>465</v>
      </c>
      <c r="B470" s="5" t="inlineStr">
        <is>
          <t>no checking</t>
        </is>
      </c>
      <c r="C470" s="5" t="n">
        <v>18</v>
      </c>
      <c r="D470" s="5" t="inlineStr">
        <is>
          <t>existing paid</t>
        </is>
      </c>
      <c r="E470" s="5" t="inlineStr">
        <is>
          <t>business</t>
        </is>
      </c>
      <c r="F470" s="5" t="n">
        <v>1950</v>
      </c>
      <c r="G470" s="5" t="inlineStr">
        <is>
          <t>&lt;100</t>
        </is>
      </c>
      <c r="H470" s="5" t="inlineStr">
        <is>
          <t>4&lt;=X&lt;7</t>
        </is>
      </c>
      <c r="I470" s="5" t="n">
        <v>4</v>
      </c>
      <c r="J470" s="5" t="inlineStr">
        <is>
          <t>male single</t>
        </is>
      </c>
      <c r="K470" s="5" t="inlineStr">
        <is>
          <t>none</t>
        </is>
      </c>
      <c r="L470" s="5" t="n">
        <v>1</v>
      </c>
      <c r="M470" s="5" t="inlineStr">
        <is>
          <t>car</t>
        </is>
      </c>
      <c r="N470" s="5" t="n">
        <v>34</v>
      </c>
      <c r="O470" s="5" t="inlineStr">
        <is>
          <t>stores</t>
        </is>
      </c>
      <c r="P470" s="5" t="inlineStr">
        <is>
          <t>own</t>
        </is>
      </c>
      <c r="Q470" s="5" t="n">
        <v>2</v>
      </c>
      <c r="R470" s="5" t="inlineStr">
        <is>
          <t>skilled</t>
        </is>
      </c>
      <c r="S470" s="5" t="n">
        <v>1</v>
      </c>
      <c r="T470" s="5" t="inlineStr">
        <is>
          <t>yes</t>
        </is>
      </c>
      <c r="U470" s="5" t="inlineStr">
        <is>
          <t>yes</t>
        </is>
      </c>
      <c r="V470" s="5" t="inlineStr">
        <is>
          <t>good</t>
        </is>
      </c>
    </row>
    <row r="471">
      <c r="A471" s="5" t="n">
        <v>466</v>
      </c>
      <c r="B471" s="5" t="inlineStr">
        <is>
          <t>&lt;0</t>
        </is>
      </c>
      <c r="C471" s="5" t="n">
        <v>24</v>
      </c>
      <c r="D471" s="5" t="inlineStr">
        <is>
          <t>existing paid</t>
        </is>
      </c>
      <c r="E471" s="5" t="inlineStr">
        <is>
          <t>used car</t>
        </is>
      </c>
      <c r="F471" s="5" t="n">
        <v>2924</v>
      </c>
      <c r="G471" s="5" t="inlineStr">
        <is>
          <t>&lt;100</t>
        </is>
      </c>
      <c r="H471" s="5" t="inlineStr">
        <is>
          <t>1&lt;=X&lt;4</t>
        </is>
      </c>
      <c r="I471" s="5" t="n">
        <v>3</v>
      </c>
      <c r="J471" s="5" t="inlineStr">
        <is>
          <t>male single</t>
        </is>
      </c>
      <c r="K471" s="5" t="inlineStr">
        <is>
          <t>guarantor</t>
        </is>
      </c>
      <c r="L471" s="5" t="n">
        <v>4</v>
      </c>
      <c r="M471" s="5" t="inlineStr">
        <is>
          <t>no known property</t>
        </is>
      </c>
      <c r="N471" s="5" t="n">
        <v>63</v>
      </c>
      <c r="O471" s="5" t="inlineStr">
        <is>
          <t>bank</t>
        </is>
      </c>
      <c r="P471" s="5" t="inlineStr">
        <is>
          <t>own</t>
        </is>
      </c>
      <c r="Q471" s="5" t="n">
        <v>1</v>
      </c>
      <c r="R471" s="5" t="inlineStr">
        <is>
          <t>skilled</t>
        </is>
      </c>
      <c r="S471" s="5" t="n">
        <v>2</v>
      </c>
      <c r="T471" s="5" t="inlineStr">
        <is>
          <t>yes</t>
        </is>
      </c>
      <c r="U471" s="5" t="inlineStr">
        <is>
          <t>yes</t>
        </is>
      </c>
      <c r="V471" s="5" t="inlineStr">
        <is>
          <t>good</t>
        </is>
      </c>
    </row>
    <row r="472">
      <c r="A472" s="5" t="n">
        <v>467</v>
      </c>
      <c r="B472" s="5" t="inlineStr">
        <is>
          <t>&lt;0</t>
        </is>
      </c>
      <c r="C472" s="5" t="n">
        <v>24</v>
      </c>
      <c r="D472" s="5" t="inlineStr">
        <is>
          <t>delayed previously</t>
        </is>
      </c>
      <c r="E472" s="5" t="inlineStr">
        <is>
          <t>radio/tv</t>
        </is>
      </c>
      <c r="F472" s="5" t="n">
        <v>1659</v>
      </c>
      <c r="G472" s="5" t="inlineStr">
        <is>
          <t>&lt;100</t>
        </is>
      </c>
      <c r="H472" s="5" t="inlineStr">
        <is>
          <t>&lt;1</t>
        </is>
      </c>
      <c r="I472" s="5" t="n">
        <v>4</v>
      </c>
      <c r="J472" s="5" t="inlineStr">
        <is>
          <t>female div/dep/mar</t>
        </is>
      </c>
      <c r="K472" s="5" t="inlineStr">
        <is>
          <t>none</t>
        </is>
      </c>
      <c r="L472" s="5" t="n">
        <v>2</v>
      </c>
      <c r="M472" s="5" t="inlineStr">
        <is>
          <t>car</t>
        </is>
      </c>
      <c r="N472" s="5" t="n">
        <v>29</v>
      </c>
      <c r="O472" s="5" t="inlineStr">
        <is>
          <t>none</t>
        </is>
      </c>
      <c r="P472" s="5" t="inlineStr">
        <is>
          <t>rent</t>
        </is>
      </c>
      <c r="Q472" s="5" t="n">
        <v>1</v>
      </c>
      <c r="R472" s="5" t="inlineStr">
        <is>
          <t>unskilled resident</t>
        </is>
      </c>
      <c r="S472" s="5" t="n">
        <v>1</v>
      </c>
      <c r="T472" s="5" t="inlineStr">
        <is>
          <t>yes</t>
        </is>
      </c>
      <c r="U472" s="5" t="inlineStr">
        <is>
          <t>yes</t>
        </is>
      </c>
      <c r="V472" s="5" t="inlineStr">
        <is>
          <t>bad</t>
        </is>
      </c>
    </row>
    <row r="473">
      <c r="A473" s="5" t="n">
        <v>468</v>
      </c>
      <c r="B473" s="5" t="inlineStr">
        <is>
          <t>no checking</t>
        </is>
      </c>
      <c r="C473" s="5" t="n">
        <v>48</v>
      </c>
      <c r="D473" s="5" t="inlineStr">
        <is>
          <t>delayed previously</t>
        </is>
      </c>
      <c r="E473" s="5" t="inlineStr">
        <is>
          <t>radio/tv</t>
        </is>
      </c>
      <c r="F473" s="5" t="n">
        <v>7238</v>
      </c>
      <c r="G473" s="5" t="inlineStr">
        <is>
          <t>no known savings</t>
        </is>
      </c>
      <c r="H473" s="5" t="inlineStr">
        <is>
          <t>&gt;=7</t>
        </is>
      </c>
      <c r="I473" s="5" t="n">
        <v>3</v>
      </c>
      <c r="J473" s="5" t="inlineStr">
        <is>
          <t>male single</t>
        </is>
      </c>
      <c r="K473" s="5" t="inlineStr">
        <is>
          <t>none</t>
        </is>
      </c>
      <c r="L473" s="5" t="n">
        <v>3</v>
      </c>
      <c r="M473" s="5" t="inlineStr">
        <is>
          <t>car</t>
        </is>
      </c>
      <c r="N473" s="5" t="n">
        <v>32</v>
      </c>
      <c r="O473" s="5" t="inlineStr">
        <is>
          <t>bank</t>
        </is>
      </c>
      <c r="P473" s="5" t="inlineStr">
        <is>
          <t>own</t>
        </is>
      </c>
      <c r="Q473" s="5" t="n">
        <v>2</v>
      </c>
      <c r="R473" s="5" t="inlineStr">
        <is>
          <t>skilled</t>
        </is>
      </c>
      <c r="S473" s="5" t="n">
        <v>2</v>
      </c>
      <c r="T473" s="5" t="inlineStr">
        <is>
          <t>none</t>
        </is>
      </c>
      <c r="U473" s="5" t="inlineStr">
        <is>
          <t>yes</t>
        </is>
      </c>
      <c r="V473" s="5" t="inlineStr">
        <is>
          <t>good</t>
        </is>
      </c>
    </row>
    <row r="474">
      <c r="A474" s="5" t="n">
        <v>469</v>
      </c>
      <c r="B474" s="5" t="inlineStr">
        <is>
          <t>no checking</t>
        </is>
      </c>
      <c r="C474" s="5" t="n">
        <v>33</v>
      </c>
      <c r="D474" s="5" t="inlineStr">
        <is>
          <t>delayed previously</t>
        </is>
      </c>
      <c r="E474" s="5" t="inlineStr">
        <is>
          <t>business</t>
        </is>
      </c>
      <c r="F474" s="5" t="n">
        <v>2764</v>
      </c>
      <c r="G474" s="5" t="inlineStr">
        <is>
          <t>&lt;100</t>
        </is>
      </c>
      <c r="H474" s="5" t="inlineStr">
        <is>
          <t>1&lt;=X&lt;4</t>
        </is>
      </c>
      <c r="I474" s="5" t="n">
        <v>2</v>
      </c>
      <c r="J474" s="5" t="inlineStr">
        <is>
          <t>female div/dep/mar</t>
        </is>
      </c>
      <c r="K474" s="5" t="inlineStr">
        <is>
          <t>none</t>
        </is>
      </c>
      <c r="L474" s="5" t="n">
        <v>2</v>
      </c>
      <c r="M474" s="5" t="inlineStr">
        <is>
          <t>car</t>
        </is>
      </c>
      <c r="N474" s="5" t="n">
        <v>26</v>
      </c>
      <c r="O474" s="5" t="inlineStr">
        <is>
          <t>none</t>
        </is>
      </c>
      <c r="P474" s="5" t="inlineStr">
        <is>
          <t>own</t>
        </is>
      </c>
      <c r="Q474" s="5" t="n">
        <v>2</v>
      </c>
      <c r="R474" s="5" t="inlineStr">
        <is>
          <t>skilled</t>
        </is>
      </c>
      <c r="S474" s="5" t="n">
        <v>1</v>
      </c>
      <c r="T474" s="5" t="inlineStr">
        <is>
          <t>yes</t>
        </is>
      </c>
      <c r="U474" s="5" t="inlineStr">
        <is>
          <t>yes</t>
        </is>
      </c>
      <c r="V474" s="5" t="inlineStr">
        <is>
          <t>good</t>
        </is>
      </c>
    </row>
    <row r="475">
      <c r="A475" s="5" t="n">
        <v>470</v>
      </c>
      <c r="B475" s="5" t="inlineStr">
        <is>
          <t>no checking</t>
        </is>
      </c>
      <c r="C475" s="5" t="n">
        <v>24</v>
      </c>
      <c r="D475" s="5" t="inlineStr">
        <is>
          <t>delayed previously</t>
        </is>
      </c>
      <c r="E475" s="5" t="inlineStr">
        <is>
          <t>used car</t>
        </is>
      </c>
      <c r="F475" s="5" t="n">
        <v>4679</v>
      </c>
      <c r="G475" s="5" t="inlineStr">
        <is>
          <t>&lt;100</t>
        </is>
      </c>
      <c r="H475" s="5" t="inlineStr">
        <is>
          <t>4&lt;=X&lt;7</t>
        </is>
      </c>
      <c r="I475" s="5" t="n">
        <v>3</v>
      </c>
      <c r="J475" s="5" t="inlineStr">
        <is>
          <t>male single</t>
        </is>
      </c>
      <c r="K475" s="5" t="inlineStr">
        <is>
          <t>none</t>
        </is>
      </c>
      <c r="L475" s="5" t="n">
        <v>3</v>
      </c>
      <c r="M475" s="5" t="inlineStr">
        <is>
          <t>car</t>
        </is>
      </c>
      <c r="N475" s="5" t="n">
        <v>35</v>
      </c>
      <c r="O475" s="5" t="inlineStr">
        <is>
          <t>none</t>
        </is>
      </c>
      <c r="P475" s="5" t="inlineStr">
        <is>
          <t>own</t>
        </is>
      </c>
      <c r="Q475" s="5" t="n">
        <v>2</v>
      </c>
      <c r="R475" s="5" t="inlineStr">
        <is>
          <t>unskilled resident</t>
        </is>
      </c>
      <c r="S475" s="5" t="n">
        <v>1</v>
      </c>
      <c r="T475" s="5" t="inlineStr">
        <is>
          <t>yes</t>
        </is>
      </c>
      <c r="U475" s="5" t="inlineStr">
        <is>
          <t>yes</t>
        </is>
      </c>
      <c r="V475" s="5" t="inlineStr">
        <is>
          <t>good</t>
        </is>
      </c>
    </row>
    <row r="476">
      <c r="A476" s="5" t="n">
        <v>471</v>
      </c>
      <c r="B476" s="5" t="inlineStr">
        <is>
          <t>0&lt;=X&lt;200</t>
        </is>
      </c>
      <c r="C476" s="5" t="n">
        <v>24</v>
      </c>
      <c r="D476" s="5" t="inlineStr">
        <is>
          <t>existing paid</t>
        </is>
      </c>
      <c r="E476" s="5" t="inlineStr">
        <is>
          <t>radio/tv</t>
        </is>
      </c>
      <c r="F476" s="5" t="n">
        <v>3092</v>
      </c>
      <c r="G476" s="5" t="inlineStr">
        <is>
          <t>100&lt;=X&lt;500</t>
        </is>
      </c>
      <c r="H476" s="5" t="inlineStr">
        <is>
          <t>&lt;1</t>
        </is>
      </c>
      <c r="I476" s="5" t="n">
        <v>3</v>
      </c>
      <c r="J476" s="5" t="inlineStr">
        <is>
          <t>male mar/wid</t>
        </is>
      </c>
      <c r="K476" s="5" t="inlineStr">
        <is>
          <t>none</t>
        </is>
      </c>
      <c r="L476" s="5" t="n">
        <v>2</v>
      </c>
      <c r="M476" s="5" t="inlineStr">
        <is>
          <t>car</t>
        </is>
      </c>
      <c r="N476" s="5" t="n">
        <v>22</v>
      </c>
      <c r="O476" s="5" t="inlineStr">
        <is>
          <t>none</t>
        </is>
      </c>
      <c r="P476" s="5" t="inlineStr">
        <is>
          <t>rent</t>
        </is>
      </c>
      <c r="Q476" s="5" t="n">
        <v>1</v>
      </c>
      <c r="R476" s="5" t="inlineStr">
        <is>
          <t>skilled</t>
        </is>
      </c>
      <c r="S476" s="5" t="n">
        <v>1</v>
      </c>
      <c r="T476" s="5" t="inlineStr">
        <is>
          <t>yes</t>
        </is>
      </c>
      <c r="U476" s="5" t="inlineStr">
        <is>
          <t>yes</t>
        </is>
      </c>
      <c r="V476" s="5" t="inlineStr">
        <is>
          <t>bad</t>
        </is>
      </c>
    </row>
    <row r="477">
      <c r="A477" s="5" t="n">
        <v>472</v>
      </c>
      <c r="B477" s="5" t="inlineStr">
        <is>
          <t>&lt;0</t>
        </is>
      </c>
      <c r="C477" s="5" t="n">
        <v>6</v>
      </c>
      <c r="D477" s="5" t="inlineStr">
        <is>
          <t>existing paid</t>
        </is>
      </c>
      <c r="E477" s="5" t="inlineStr">
        <is>
          <t>education</t>
        </is>
      </c>
      <c r="F477" s="5" t="n">
        <v>448</v>
      </c>
      <c r="G477" s="5" t="inlineStr">
        <is>
          <t>&lt;100</t>
        </is>
      </c>
      <c r="H477" s="5" t="inlineStr">
        <is>
          <t>&lt;1</t>
        </is>
      </c>
      <c r="I477" s="5" t="n">
        <v>4</v>
      </c>
      <c r="J477" s="5" t="inlineStr">
        <is>
          <t>female div/dep/mar</t>
        </is>
      </c>
      <c r="K477" s="5" t="inlineStr">
        <is>
          <t>none</t>
        </is>
      </c>
      <c r="L477" s="5" t="n">
        <v>4</v>
      </c>
      <c r="M477" s="5" t="inlineStr">
        <is>
          <t>life insurance</t>
        </is>
      </c>
      <c r="N477" s="5" t="n">
        <v>23</v>
      </c>
      <c r="O477" s="5" t="inlineStr">
        <is>
          <t>none</t>
        </is>
      </c>
      <c r="P477" s="5" t="inlineStr">
        <is>
          <t>own</t>
        </is>
      </c>
      <c r="Q477" s="5" t="n">
        <v>1</v>
      </c>
      <c r="R477" s="5" t="inlineStr">
        <is>
          <t>skilled</t>
        </is>
      </c>
      <c r="S477" s="5" t="n">
        <v>1</v>
      </c>
      <c r="T477" s="5" t="inlineStr">
        <is>
          <t>none</t>
        </is>
      </c>
      <c r="U477" s="5" t="inlineStr">
        <is>
          <t>yes</t>
        </is>
      </c>
      <c r="V477" s="5" t="inlineStr">
        <is>
          <t>bad</t>
        </is>
      </c>
    </row>
    <row r="478">
      <c r="A478" s="5" t="n">
        <v>473</v>
      </c>
      <c r="B478" s="5" t="inlineStr">
        <is>
          <t>&lt;0</t>
        </is>
      </c>
      <c r="C478" s="5" t="n">
        <v>9</v>
      </c>
      <c r="D478" s="5" t="inlineStr">
        <is>
          <t>existing paid</t>
        </is>
      </c>
      <c r="E478" s="5" t="inlineStr">
        <is>
          <t>new car</t>
        </is>
      </c>
      <c r="F478" s="5" t="n">
        <v>654</v>
      </c>
      <c r="G478" s="5" t="inlineStr">
        <is>
          <t>&lt;100</t>
        </is>
      </c>
      <c r="H478" s="5" t="inlineStr">
        <is>
          <t>1&lt;=X&lt;4</t>
        </is>
      </c>
      <c r="I478" s="5" t="n">
        <v>4</v>
      </c>
      <c r="J478" s="5" t="inlineStr">
        <is>
          <t>male single</t>
        </is>
      </c>
      <c r="K478" s="5" t="inlineStr">
        <is>
          <t>none</t>
        </is>
      </c>
      <c r="L478" s="5" t="n">
        <v>3</v>
      </c>
      <c r="M478" s="5" t="inlineStr">
        <is>
          <t>car</t>
        </is>
      </c>
      <c r="N478" s="5" t="n">
        <v>28</v>
      </c>
      <c r="O478" s="5" t="inlineStr">
        <is>
          <t>none</t>
        </is>
      </c>
      <c r="P478" s="5" t="inlineStr">
        <is>
          <t>own</t>
        </is>
      </c>
      <c r="Q478" s="5" t="n">
        <v>1</v>
      </c>
      <c r="R478" s="5" t="inlineStr">
        <is>
          <t>unskilled resident</t>
        </is>
      </c>
      <c r="S478" s="5" t="n">
        <v>1</v>
      </c>
      <c r="T478" s="5" t="inlineStr">
        <is>
          <t>none</t>
        </is>
      </c>
      <c r="U478" s="5" t="inlineStr">
        <is>
          <t>yes</t>
        </is>
      </c>
      <c r="V478" s="5" t="inlineStr">
        <is>
          <t>bad</t>
        </is>
      </c>
    </row>
    <row r="479">
      <c r="A479" s="5" t="n">
        <v>474</v>
      </c>
      <c r="B479" s="5" t="inlineStr">
        <is>
          <t>no checking</t>
        </is>
      </c>
      <c r="C479" s="5" t="n">
        <v>6</v>
      </c>
      <c r="D479" s="5" t="inlineStr">
        <is>
          <t>existing paid</t>
        </is>
      </c>
      <c r="E479" s="5" t="inlineStr">
        <is>
          <t>retraining</t>
        </is>
      </c>
      <c r="F479" s="5" t="n">
        <v>1238</v>
      </c>
      <c r="G479" s="5" t="inlineStr">
        <is>
          <t>no known savings</t>
        </is>
      </c>
      <c r="H479" s="5" t="inlineStr">
        <is>
          <t>unemployed</t>
        </is>
      </c>
      <c r="I479" s="5" t="n">
        <v>4</v>
      </c>
      <c r="J479" s="5" t="inlineStr">
        <is>
          <t>male single</t>
        </is>
      </c>
      <c r="K479" s="5" t="inlineStr">
        <is>
          <t>none</t>
        </is>
      </c>
      <c r="L479" s="5" t="n">
        <v>4</v>
      </c>
      <c r="M479" s="5" t="inlineStr">
        <is>
          <t>life insurance</t>
        </is>
      </c>
      <c r="N479" s="5" t="n">
        <v>36</v>
      </c>
      <c r="O479" s="5" t="inlineStr">
        <is>
          <t>none</t>
        </is>
      </c>
      <c r="P479" s="5" t="inlineStr">
        <is>
          <t>own</t>
        </is>
      </c>
      <c r="Q479" s="5" t="n">
        <v>1</v>
      </c>
      <c r="R479" s="5" t="inlineStr">
        <is>
          <t>high qualif/self emp/mgmt</t>
        </is>
      </c>
      <c r="S479" s="5" t="n">
        <v>2</v>
      </c>
      <c r="T479" s="5" t="inlineStr">
        <is>
          <t>yes</t>
        </is>
      </c>
      <c r="U479" s="5" t="inlineStr">
        <is>
          <t>yes</t>
        </is>
      </c>
      <c r="V479" s="5" t="inlineStr">
        <is>
          <t>good</t>
        </is>
      </c>
    </row>
    <row r="480">
      <c r="A480" s="5" t="n">
        <v>475</v>
      </c>
      <c r="B480" s="5" t="inlineStr">
        <is>
          <t>0&lt;=X&lt;200</t>
        </is>
      </c>
      <c r="C480" s="5" t="n">
        <v>18</v>
      </c>
      <c r="D480" s="5" t="inlineStr">
        <is>
          <t>critical/other existing credit</t>
        </is>
      </c>
      <c r="E480" s="5" t="inlineStr">
        <is>
          <t>radio/tv</t>
        </is>
      </c>
      <c r="F480" s="5" t="n">
        <v>1245</v>
      </c>
      <c r="G480" s="5" t="inlineStr">
        <is>
          <t>&lt;100</t>
        </is>
      </c>
      <c r="H480" s="5" t="inlineStr">
        <is>
          <t>1&lt;=X&lt;4</t>
        </is>
      </c>
      <c r="I480" s="5" t="n">
        <v>4</v>
      </c>
      <c r="J480" s="5" t="inlineStr">
        <is>
          <t>male mar/wid</t>
        </is>
      </c>
      <c r="K480" s="5" t="inlineStr">
        <is>
          <t>none</t>
        </is>
      </c>
      <c r="L480" s="5" t="n">
        <v>2</v>
      </c>
      <c r="M480" s="5" t="inlineStr">
        <is>
          <t>car</t>
        </is>
      </c>
      <c r="N480" s="5" t="n">
        <v>33</v>
      </c>
      <c r="O480" s="5" t="inlineStr">
        <is>
          <t>none</t>
        </is>
      </c>
      <c r="P480" s="5" t="inlineStr">
        <is>
          <t>own</t>
        </is>
      </c>
      <c r="Q480" s="5" t="n">
        <v>1</v>
      </c>
      <c r="R480" s="5" t="inlineStr">
        <is>
          <t>skilled</t>
        </is>
      </c>
      <c r="S480" s="5" t="n">
        <v>1</v>
      </c>
      <c r="T480" s="5" t="inlineStr">
        <is>
          <t>none</t>
        </is>
      </c>
      <c r="U480" s="5" t="inlineStr">
        <is>
          <t>yes</t>
        </is>
      </c>
      <c r="V480" s="5" t="inlineStr">
        <is>
          <t>bad</t>
        </is>
      </c>
    </row>
    <row r="481">
      <c r="A481" s="5" t="n">
        <v>476</v>
      </c>
      <c r="B481" s="5" t="inlineStr">
        <is>
          <t>&lt;0</t>
        </is>
      </c>
      <c r="C481" s="5" t="n">
        <v>18</v>
      </c>
      <c r="D481" s="5" t="inlineStr">
        <is>
          <t>no credits/all paid</t>
        </is>
      </c>
      <c r="E481" s="5" t="inlineStr">
        <is>
          <t>furniture/equipment</t>
        </is>
      </c>
      <c r="F481" s="5" t="n">
        <v>3114</v>
      </c>
      <c r="G481" s="5" t="inlineStr">
        <is>
          <t>&lt;100</t>
        </is>
      </c>
      <c r="H481" s="5" t="inlineStr">
        <is>
          <t>&lt;1</t>
        </is>
      </c>
      <c r="I481" s="5" t="n">
        <v>1</v>
      </c>
      <c r="J481" s="5" t="inlineStr">
        <is>
          <t>female div/dep/mar</t>
        </is>
      </c>
      <c r="K481" s="5" t="inlineStr">
        <is>
          <t>none</t>
        </is>
      </c>
      <c r="L481" s="5" t="n">
        <v>4</v>
      </c>
      <c r="M481" s="5" t="inlineStr">
        <is>
          <t>life insurance</t>
        </is>
      </c>
      <c r="N481" s="5" t="n">
        <v>26</v>
      </c>
      <c r="O481" s="5" t="inlineStr">
        <is>
          <t>none</t>
        </is>
      </c>
      <c r="P481" s="5" t="inlineStr">
        <is>
          <t>rent</t>
        </is>
      </c>
      <c r="Q481" s="5" t="n">
        <v>1</v>
      </c>
      <c r="R481" s="5" t="inlineStr">
        <is>
          <t>skilled</t>
        </is>
      </c>
      <c r="S481" s="5" t="n">
        <v>1</v>
      </c>
      <c r="T481" s="5" t="inlineStr">
        <is>
          <t>none</t>
        </is>
      </c>
      <c r="U481" s="5" t="inlineStr">
        <is>
          <t>yes</t>
        </is>
      </c>
      <c r="V481" s="5" t="inlineStr">
        <is>
          <t>bad</t>
        </is>
      </c>
    </row>
    <row r="482">
      <c r="A482" s="5" t="n">
        <v>477</v>
      </c>
      <c r="B482" s="5" t="inlineStr">
        <is>
          <t>no checking</t>
        </is>
      </c>
      <c r="C482" s="5" t="n">
        <v>39</v>
      </c>
      <c r="D482" s="5" t="inlineStr">
        <is>
          <t>existing paid</t>
        </is>
      </c>
      <c r="E482" s="5" t="inlineStr">
        <is>
          <t>used car</t>
        </is>
      </c>
      <c r="F482" s="5" t="n">
        <v>2569</v>
      </c>
      <c r="G482" s="5" t="inlineStr">
        <is>
          <t>500&lt;=X&lt;1000</t>
        </is>
      </c>
      <c r="H482" s="5" t="inlineStr">
        <is>
          <t>1&lt;=X&lt;4</t>
        </is>
      </c>
      <c r="I482" s="5" t="n">
        <v>4</v>
      </c>
      <c r="J482" s="5" t="inlineStr">
        <is>
          <t>male single</t>
        </is>
      </c>
      <c r="K482" s="5" t="inlineStr">
        <is>
          <t>none</t>
        </is>
      </c>
      <c r="L482" s="5" t="n">
        <v>4</v>
      </c>
      <c r="M482" s="5" t="inlineStr">
        <is>
          <t>car</t>
        </is>
      </c>
      <c r="N482" s="5" t="n">
        <v>24</v>
      </c>
      <c r="O482" s="5" t="inlineStr">
        <is>
          <t>none</t>
        </is>
      </c>
      <c r="P482" s="5" t="inlineStr">
        <is>
          <t>own</t>
        </is>
      </c>
      <c r="Q482" s="5" t="n">
        <v>1</v>
      </c>
      <c r="R482" s="5" t="inlineStr">
        <is>
          <t>skilled</t>
        </is>
      </c>
      <c r="S482" s="5" t="n">
        <v>1</v>
      </c>
      <c r="T482" s="5" t="inlineStr">
        <is>
          <t>none</t>
        </is>
      </c>
      <c r="U482" s="5" t="inlineStr">
        <is>
          <t>yes</t>
        </is>
      </c>
      <c r="V482" s="5" t="inlineStr">
        <is>
          <t>good</t>
        </is>
      </c>
    </row>
    <row r="483">
      <c r="A483" s="5" t="n">
        <v>478</v>
      </c>
      <c r="B483" s="5" t="inlineStr">
        <is>
          <t>&gt;=200</t>
        </is>
      </c>
      <c r="C483" s="5" t="n">
        <v>24</v>
      </c>
      <c r="D483" s="5" t="inlineStr">
        <is>
          <t>existing paid</t>
        </is>
      </c>
      <c r="E483" s="5" t="inlineStr">
        <is>
          <t>radio/tv</t>
        </is>
      </c>
      <c r="F483" s="5" t="n">
        <v>5152</v>
      </c>
      <c r="G483" s="5" t="inlineStr">
        <is>
          <t>&lt;100</t>
        </is>
      </c>
      <c r="H483" s="5" t="inlineStr">
        <is>
          <t>4&lt;=X&lt;7</t>
        </is>
      </c>
      <c r="I483" s="5" t="n">
        <v>4</v>
      </c>
      <c r="J483" s="5" t="inlineStr">
        <is>
          <t>male single</t>
        </is>
      </c>
      <c r="K483" s="5" t="inlineStr">
        <is>
          <t>none</t>
        </is>
      </c>
      <c r="L483" s="5" t="n">
        <v>2</v>
      </c>
      <c r="M483" s="5" t="inlineStr">
        <is>
          <t>car</t>
        </is>
      </c>
      <c r="N483" s="5" t="n">
        <v>25</v>
      </c>
      <c r="O483" s="5" t="inlineStr">
        <is>
          <t>bank</t>
        </is>
      </c>
      <c r="P483" s="5" t="inlineStr">
        <is>
          <t>own</t>
        </is>
      </c>
      <c r="Q483" s="5" t="n">
        <v>1</v>
      </c>
      <c r="R483" s="5" t="inlineStr">
        <is>
          <t>skilled</t>
        </is>
      </c>
      <c r="S483" s="5" t="n">
        <v>1</v>
      </c>
      <c r="T483" s="5" t="inlineStr">
        <is>
          <t>none</t>
        </is>
      </c>
      <c r="U483" s="5" t="inlineStr">
        <is>
          <t>yes</t>
        </is>
      </c>
      <c r="V483" s="5" t="inlineStr">
        <is>
          <t>good</t>
        </is>
      </c>
    </row>
    <row r="484">
      <c r="A484" s="5" t="n">
        <v>479</v>
      </c>
      <c r="B484" s="5" t="inlineStr">
        <is>
          <t>0&lt;=X&lt;200</t>
        </is>
      </c>
      <c r="C484" s="5" t="n">
        <v>12</v>
      </c>
      <c r="D484" s="5" t="inlineStr">
        <is>
          <t>existing paid</t>
        </is>
      </c>
      <c r="E484" s="5" t="inlineStr">
        <is>
          <t>business</t>
        </is>
      </c>
      <c r="F484" s="5" t="n">
        <v>1037</v>
      </c>
      <c r="G484" s="5" t="inlineStr">
        <is>
          <t>100&lt;=X&lt;500</t>
        </is>
      </c>
      <c r="H484" s="5" t="inlineStr">
        <is>
          <t>4&lt;=X&lt;7</t>
        </is>
      </c>
      <c r="I484" s="5" t="n">
        <v>3</v>
      </c>
      <c r="J484" s="5" t="inlineStr">
        <is>
          <t>male single</t>
        </is>
      </c>
      <c r="K484" s="5" t="inlineStr">
        <is>
          <t>none</t>
        </is>
      </c>
      <c r="L484" s="5" t="n">
        <v>4</v>
      </c>
      <c r="M484" s="5" t="inlineStr">
        <is>
          <t>real estate</t>
        </is>
      </c>
      <c r="N484" s="5" t="n">
        <v>39</v>
      </c>
      <c r="O484" s="5" t="inlineStr">
        <is>
          <t>none</t>
        </is>
      </c>
      <c r="P484" s="5" t="inlineStr">
        <is>
          <t>own</t>
        </is>
      </c>
      <c r="Q484" s="5" t="n">
        <v>1</v>
      </c>
      <c r="R484" s="5" t="inlineStr">
        <is>
          <t>unskilled resident</t>
        </is>
      </c>
      <c r="S484" s="5" t="n">
        <v>1</v>
      </c>
      <c r="T484" s="5" t="inlineStr">
        <is>
          <t>none</t>
        </is>
      </c>
      <c r="U484" s="5" t="inlineStr">
        <is>
          <t>yes</t>
        </is>
      </c>
      <c r="V484" s="5" t="inlineStr">
        <is>
          <t>good</t>
        </is>
      </c>
    </row>
    <row r="485">
      <c r="A485" s="5" t="n">
        <v>480</v>
      </c>
      <c r="B485" s="5" t="inlineStr">
        <is>
          <t>&lt;0</t>
        </is>
      </c>
      <c r="C485" s="5" t="n">
        <v>15</v>
      </c>
      <c r="D485" s="5" t="inlineStr">
        <is>
          <t>critical/other existing credit</t>
        </is>
      </c>
      <c r="E485" s="5" t="inlineStr">
        <is>
          <t>furniture/equipment</t>
        </is>
      </c>
      <c r="F485" s="5" t="n">
        <v>1478</v>
      </c>
      <c r="G485" s="5" t="inlineStr">
        <is>
          <t>&lt;100</t>
        </is>
      </c>
      <c r="H485" s="5" t="inlineStr">
        <is>
          <t>&gt;=7</t>
        </is>
      </c>
      <c r="I485" s="5" t="n">
        <v>4</v>
      </c>
      <c r="J485" s="5" t="inlineStr">
        <is>
          <t>male single</t>
        </is>
      </c>
      <c r="K485" s="5" t="inlineStr">
        <is>
          <t>none</t>
        </is>
      </c>
      <c r="L485" s="5" t="n">
        <v>4</v>
      </c>
      <c r="M485" s="5" t="inlineStr">
        <is>
          <t>car</t>
        </is>
      </c>
      <c r="N485" s="5" t="n">
        <v>44</v>
      </c>
      <c r="O485" s="5" t="inlineStr">
        <is>
          <t>none</t>
        </is>
      </c>
      <c r="P485" s="5" t="inlineStr">
        <is>
          <t>own</t>
        </is>
      </c>
      <c r="Q485" s="5" t="n">
        <v>2</v>
      </c>
      <c r="R485" s="5" t="inlineStr">
        <is>
          <t>skilled</t>
        </is>
      </c>
      <c r="S485" s="5" t="n">
        <v>2</v>
      </c>
      <c r="T485" s="5" t="inlineStr">
        <is>
          <t>yes</t>
        </is>
      </c>
      <c r="U485" s="5" t="inlineStr">
        <is>
          <t>yes</t>
        </is>
      </c>
      <c r="V485" s="5" t="inlineStr">
        <is>
          <t>good</t>
        </is>
      </c>
    </row>
    <row r="486">
      <c r="A486" s="5" t="n">
        <v>481</v>
      </c>
      <c r="B486" s="5" t="inlineStr">
        <is>
          <t>0&lt;=X&lt;200</t>
        </is>
      </c>
      <c r="C486" s="5" t="n">
        <v>12</v>
      </c>
      <c r="D486" s="5" t="inlineStr">
        <is>
          <t>critical/other existing credit</t>
        </is>
      </c>
      <c r="E486" s="5" t="inlineStr">
        <is>
          <t>radio/tv</t>
        </is>
      </c>
      <c r="F486" s="5" t="n">
        <v>3573</v>
      </c>
      <c r="G486" s="5" t="inlineStr">
        <is>
          <t>&lt;100</t>
        </is>
      </c>
      <c r="H486" s="5" t="inlineStr">
        <is>
          <t>1&lt;=X&lt;4</t>
        </is>
      </c>
      <c r="I486" s="5" t="n">
        <v>1</v>
      </c>
      <c r="J486" s="5" t="inlineStr">
        <is>
          <t>female div/dep/mar</t>
        </is>
      </c>
      <c r="K486" s="5" t="inlineStr">
        <is>
          <t>none</t>
        </is>
      </c>
      <c r="L486" s="5" t="n">
        <v>1</v>
      </c>
      <c r="M486" s="5" t="inlineStr">
        <is>
          <t>real estate</t>
        </is>
      </c>
      <c r="N486" s="5" t="n">
        <v>23</v>
      </c>
      <c r="O486" s="5" t="inlineStr">
        <is>
          <t>none</t>
        </is>
      </c>
      <c r="P486" s="5" t="inlineStr">
        <is>
          <t>own</t>
        </is>
      </c>
      <c r="Q486" s="5" t="n">
        <v>1</v>
      </c>
      <c r="R486" s="5" t="inlineStr">
        <is>
          <t>unskilled resident</t>
        </is>
      </c>
      <c r="S486" s="5" t="n">
        <v>1</v>
      </c>
      <c r="T486" s="5" t="inlineStr">
        <is>
          <t>none</t>
        </is>
      </c>
      <c r="U486" s="5" t="inlineStr">
        <is>
          <t>yes</t>
        </is>
      </c>
      <c r="V486" s="5" t="inlineStr">
        <is>
          <t>good</t>
        </is>
      </c>
    </row>
    <row r="487">
      <c r="A487" s="5" t="n">
        <v>482</v>
      </c>
      <c r="B487" s="5" t="inlineStr">
        <is>
          <t>0&lt;=X&lt;200</t>
        </is>
      </c>
      <c r="C487" s="5" t="n">
        <v>24</v>
      </c>
      <c r="D487" s="5" t="inlineStr">
        <is>
          <t>existing paid</t>
        </is>
      </c>
      <c r="E487" s="5" t="inlineStr">
        <is>
          <t>new car</t>
        </is>
      </c>
      <c r="F487" s="5" t="n">
        <v>1201</v>
      </c>
      <c r="G487" s="5" t="inlineStr">
        <is>
          <t>&lt;100</t>
        </is>
      </c>
      <c r="H487" s="5" t="inlineStr">
        <is>
          <t>&lt;1</t>
        </is>
      </c>
      <c r="I487" s="5" t="n">
        <v>4</v>
      </c>
      <c r="J487" s="5" t="inlineStr">
        <is>
          <t>male single</t>
        </is>
      </c>
      <c r="K487" s="5" t="inlineStr">
        <is>
          <t>none</t>
        </is>
      </c>
      <c r="L487" s="5" t="n">
        <v>1</v>
      </c>
      <c r="M487" s="5" t="inlineStr">
        <is>
          <t>life insurance</t>
        </is>
      </c>
      <c r="N487" s="5" t="n">
        <v>26</v>
      </c>
      <c r="O487" s="5" t="inlineStr">
        <is>
          <t>none</t>
        </is>
      </c>
      <c r="P487" s="5" t="inlineStr">
        <is>
          <t>own</t>
        </is>
      </c>
      <c r="Q487" s="5" t="n">
        <v>1</v>
      </c>
      <c r="R487" s="5" t="inlineStr">
        <is>
          <t>skilled</t>
        </is>
      </c>
      <c r="S487" s="5" t="n">
        <v>1</v>
      </c>
      <c r="T487" s="5" t="inlineStr">
        <is>
          <t>none</t>
        </is>
      </c>
      <c r="U487" s="5" t="inlineStr">
        <is>
          <t>yes</t>
        </is>
      </c>
      <c r="V487" s="5" t="inlineStr">
        <is>
          <t>good</t>
        </is>
      </c>
    </row>
    <row r="488">
      <c r="A488" s="5" t="n">
        <v>483</v>
      </c>
      <c r="B488" s="5" t="inlineStr">
        <is>
          <t>&lt;0</t>
        </is>
      </c>
      <c r="C488" s="5" t="n">
        <v>30</v>
      </c>
      <c r="D488" s="5" t="inlineStr">
        <is>
          <t>existing paid</t>
        </is>
      </c>
      <c r="E488" s="5" t="inlineStr">
        <is>
          <t>furniture/equipment</t>
        </is>
      </c>
      <c r="F488" s="5" t="n">
        <v>3622</v>
      </c>
      <c r="G488" s="5" t="inlineStr">
        <is>
          <t>&gt;=1000</t>
        </is>
      </c>
      <c r="H488" s="5" t="inlineStr">
        <is>
          <t>&gt;=7</t>
        </is>
      </c>
      <c r="I488" s="5" t="n">
        <v>4</v>
      </c>
      <c r="J488" s="5" t="inlineStr">
        <is>
          <t>female div/dep/mar</t>
        </is>
      </c>
      <c r="K488" s="5" t="inlineStr">
        <is>
          <t>none</t>
        </is>
      </c>
      <c r="L488" s="5" t="n">
        <v>4</v>
      </c>
      <c r="M488" s="5" t="inlineStr">
        <is>
          <t>life insurance</t>
        </is>
      </c>
      <c r="N488" s="5" t="n">
        <v>57</v>
      </c>
      <c r="O488" s="5" t="inlineStr">
        <is>
          <t>none</t>
        </is>
      </c>
      <c r="P488" s="5" t="inlineStr">
        <is>
          <t>rent</t>
        </is>
      </c>
      <c r="Q488" s="5" t="n">
        <v>2</v>
      </c>
      <c r="R488" s="5" t="inlineStr">
        <is>
          <t>skilled</t>
        </is>
      </c>
      <c r="S488" s="5" t="n">
        <v>1</v>
      </c>
      <c r="T488" s="5" t="inlineStr">
        <is>
          <t>yes</t>
        </is>
      </c>
      <c r="U488" s="5" t="inlineStr">
        <is>
          <t>yes</t>
        </is>
      </c>
      <c r="V488" s="5" t="inlineStr">
        <is>
          <t>good</t>
        </is>
      </c>
    </row>
    <row r="489">
      <c r="A489" s="5" t="n">
        <v>484</v>
      </c>
      <c r="B489" s="5" t="inlineStr">
        <is>
          <t>no checking</t>
        </is>
      </c>
      <c r="C489" s="5" t="n">
        <v>15</v>
      </c>
      <c r="D489" s="5" t="inlineStr">
        <is>
          <t>delayed previously</t>
        </is>
      </c>
      <c r="E489" s="5" t="inlineStr">
        <is>
          <t>furniture/equipment</t>
        </is>
      </c>
      <c r="F489" s="5" t="n">
        <v>960</v>
      </c>
      <c r="G489" s="5" t="inlineStr">
        <is>
          <t>&gt;=1000</t>
        </is>
      </c>
      <c r="H489" s="5" t="inlineStr">
        <is>
          <t>4&lt;=X&lt;7</t>
        </is>
      </c>
      <c r="I489" s="5" t="n">
        <v>3</v>
      </c>
      <c r="J489" s="5" t="inlineStr">
        <is>
          <t>female div/dep/mar</t>
        </is>
      </c>
      <c r="K489" s="5" t="inlineStr">
        <is>
          <t>none</t>
        </is>
      </c>
      <c r="L489" s="5" t="n">
        <v>2</v>
      </c>
      <c r="M489" s="5" t="inlineStr">
        <is>
          <t>life insurance</t>
        </is>
      </c>
      <c r="N489" s="5" t="n">
        <v>30</v>
      </c>
      <c r="O489" s="5" t="inlineStr">
        <is>
          <t>none</t>
        </is>
      </c>
      <c r="P489" s="5" t="inlineStr">
        <is>
          <t>own</t>
        </is>
      </c>
      <c r="Q489" s="5" t="n">
        <v>2</v>
      </c>
      <c r="R489" s="5" t="inlineStr">
        <is>
          <t>skilled</t>
        </is>
      </c>
      <c r="S489" s="5" t="n">
        <v>1</v>
      </c>
      <c r="T489" s="5" t="inlineStr">
        <is>
          <t>none</t>
        </is>
      </c>
      <c r="U489" s="5" t="inlineStr">
        <is>
          <t>yes</t>
        </is>
      </c>
      <c r="V489" s="5" t="inlineStr">
        <is>
          <t>good</t>
        </is>
      </c>
    </row>
    <row r="490">
      <c r="A490" s="5" t="n">
        <v>485</v>
      </c>
      <c r="B490" s="5" t="inlineStr">
        <is>
          <t>no checking</t>
        </is>
      </c>
      <c r="C490" s="5" t="n">
        <v>12</v>
      </c>
      <c r="D490" s="5" t="inlineStr">
        <is>
          <t>critical/other existing credit</t>
        </is>
      </c>
      <c r="E490" s="5" t="inlineStr">
        <is>
          <t>new car</t>
        </is>
      </c>
      <c r="F490" s="5" t="n">
        <v>1163</v>
      </c>
      <c r="G490" s="5" t="inlineStr">
        <is>
          <t>500&lt;=X&lt;1000</t>
        </is>
      </c>
      <c r="H490" s="5" t="inlineStr">
        <is>
          <t>1&lt;=X&lt;4</t>
        </is>
      </c>
      <c r="I490" s="5" t="n">
        <v>4</v>
      </c>
      <c r="J490" s="5" t="inlineStr">
        <is>
          <t>male single</t>
        </is>
      </c>
      <c r="K490" s="5" t="inlineStr">
        <is>
          <t>none</t>
        </is>
      </c>
      <c r="L490" s="5" t="n">
        <v>4</v>
      </c>
      <c r="M490" s="5" t="inlineStr">
        <is>
          <t>real estate</t>
        </is>
      </c>
      <c r="N490" s="5" t="n">
        <v>44</v>
      </c>
      <c r="O490" s="5" t="inlineStr">
        <is>
          <t>none</t>
        </is>
      </c>
      <c r="P490" s="5" t="inlineStr">
        <is>
          <t>own</t>
        </is>
      </c>
      <c r="Q490" s="5" t="n">
        <v>1</v>
      </c>
      <c r="R490" s="5" t="inlineStr">
        <is>
          <t>skilled</t>
        </is>
      </c>
      <c r="S490" s="5" t="n">
        <v>1</v>
      </c>
      <c r="T490" s="5" t="inlineStr">
        <is>
          <t>yes</t>
        </is>
      </c>
      <c r="U490" s="5" t="inlineStr">
        <is>
          <t>yes</t>
        </is>
      </c>
      <c r="V490" s="5" t="inlineStr">
        <is>
          <t>good</t>
        </is>
      </c>
    </row>
    <row r="491">
      <c r="A491" s="5" t="n">
        <v>486</v>
      </c>
      <c r="B491" s="5" t="inlineStr">
        <is>
          <t>0&lt;=X&lt;200</t>
        </is>
      </c>
      <c r="C491" s="5" t="n">
        <v>6</v>
      </c>
      <c r="D491" s="5" t="inlineStr">
        <is>
          <t>delayed previously</t>
        </is>
      </c>
      <c r="E491" s="5" t="inlineStr">
        <is>
          <t>new car</t>
        </is>
      </c>
      <c r="F491" s="5" t="n">
        <v>1209</v>
      </c>
      <c r="G491" s="5" t="inlineStr">
        <is>
          <t>&lt;100</t>
        </is>
      </c>
      <c r="H491" s="5" t="inlineStr">
        <is>
          <t>unemployed</t>
        </is>
      </c>
      <c r="I491" s="5" t="n">
        <v>4</v>
      </c>
      <c r="J491" s="5" t="inlineStr">
        <is>
          <t>male single</t>
        </is>
      </c>
      <c r="K491" s="5" t="inlineStr">
        <is>
          <t>none</t>
        </is>
      </c>
      <c r="L491" s="5" t="n">
        <v>4</v>
      </c>
      <c r="M491" s="5" t="inlineStr">
        <is>
          <t>life insurance</t>
        </is>
      </c>
      <c r="N491" s="5" t="n">
        <v>47</v>
      </c>
      <c r="O491" s="5" t="inlineStr">
        <is>
          <t>none</t>
        </is>
      </c>
      <c r="P491" s="5" t="inlineStr">
        <is>
          <t>own</t>
        </is>
      </c>
      <c r="Q491" s="5" t="n">
        <v>1</v>
      </c>
      <c r="R491" s="5" t="inlineStr">
        <is>
          <t>high qualif/self emp/mgmt</t>
        </is>
      </c>
      <c r="S491" s="5" t="n">
        <v>1</v>
      </c>
      <c r="T491" s="5" t="inlineStr">
        <is>
          <t>yes</t>
        </is>
      </c>
      <c r="U491" s="5" t="inlineStr">
        <is>
          <t>yes</t>
        </is>
      </c>
      <c r="V491" s="5" t="inlineStr">
        <is>
          <t>bad</t>
        </is>
      </c>
    </row>
    <row r="492">
      <c r="A492" s="5" t="n">
        <v>487</v>
      </c>
      <c r="B492" s="5" t="inlineStr">
        <is>
          <t>no checking</t>
        </is>
      </c>
      <c r="C492" s="5" t="n">
        <v>12</v>
      </c>
      <c r="D492" s="5" t="inlineStr">
        <is>
          <t>existing paid</t>
        </is>
      </c>
      <c r="E492" s="5" t="inlineStr">
        <is>
          <t>radio/tv</t>
        </is>
      </c>
      <c r="F492" s="5" t="n">
        <v>3077</v>
      </c>
      <c r="G492" s="5" t="inlineStr">
        <is>
          <t>&lt;100</t>
        </is>
      </c>
      <c r="H492" s="5" t="inlineStr">
        <is>
          <t>1&lt;=X&lt;4</t>
        </is>
      </c>
      <c r="I492" s="5" t="n">
        <v>2</v>
      </c>
      <c r="J492" s="5" t="inlineStr">
        <is>
          <t>male single</t>
        </is>
      </c>
      <c r="K492" s="5" t="inlineStr">
        <is>
          <t>none</t>
        </is>
      </c>
      <c r="L492" s="5" t="n">
        <v>4</v>
      </c>
      <c r="M492" s="5" t="inlineStr">
        <is>
          <t>car</t>
        </is>
      </c>
      <c r="N492" s="5" t="n">
        <v>52</v>
      </c>
      <c r="O492" s="5" t="inlineStr">
        <is>
          <t>none</t>
        </is>
      </c>
      <c r="P492" s="5" t="inlineStr">
        <is>
          <t>own</t>
        </is>
      </c>
      <c r="Q492" s="5" t="n">
        <v>1</v>
      </c>
      <c r="R492" s="5" t="inlineStr">
        <is>
          <t>skilled</t>
        </is>
      </c>
      <c r="S492" s="5" t="n">
        <v>1</v>
      </c>
      <c r="T492" s="5" t="inlineStr">
        <is>
          <t>yes</t>
        </is>
      </c>
      <c r="U492" s="5" t="inlineStr">
        <is>
          <t>yes</t>
        </is>
      </c>
      <c r="V492" s="5" t="inlineStr">
        <is>
          <t>good</t>
        </is>
      </c>
    </row>
    <row r="493">
      <c r="A493" s="5" t="n">
        <v>488</v>
      </c>
      <c r="B493" s="5" t="inlineStr">
        <is>
          <t>no checking</t>
        </is>
      </c>
      <c r="C493" s="5" t="n">
        <v>24</v>
      </c>
      <c r="D493" s="5" t="inlineStr">
        <is>
          <t>existing paid</t>
        </is>
      </c>
      <c r="E493" s="5" t="inlineStr">
        <is>
          <t>new car</t>
        </is>
      </c>
      <c r="F493" s="5" t="n">
        <v>3757</v>
      </c>
      <c r="G493" s="5" t="inlineStr">
        <is>
          <t>&lt;100</t>
        </is>
      </c>
      <c r="H493" s="5" t="inlineStr">
        <is>
          <t>&gt;=7</t>
        </is>
      </c>
      <c r="I493" s="5" t="n">
        <v>4</v>
      </c>
      <c r="J493" s="5" t="inlineStr">
        <is>
          <t>female div/dep/mar</t>
        </is>
      </c>
      <c r="K493" s="5" t="inlineStr">
        <is>
          <t>co applicant</t>
        </is>
      </c>
      <c r="L493" s="5" t="n">
        <v>4</v>
      </c>
      <c r="M493" s="5" t="inlineStr">
        <is>
          <t>no known property</t>
        </is>
      </c>
      <c r="N493" s="5" t="n">
        <v>62</v>
      </c>
      <c r="O493" s="5" t="inlineStr">
        <is>
          <t>none</t>
        </is>
      </c>
      <c r="P493" s="5" t="inlineStr">
        <is>
          <t>for free</t>
        </is>
      </c>
      <c r="Q493" s="5" t="n">
        <v>1</v>
      </c>
      <c r="R493" s="5" t="inlineStr">
        <is>
          <t>skilled</t>
        </is>
      </c>
      <c r="S493" s="5" t="n">
        <v>1</v>
      </c>
      <c r="T493" s="5" t="inlineStr">
        <is>
          <t>yes</t>
        </is>
      </c>
      <c r="U493" s="5" t="inlineStr">
        <is>
          <t>yes</t>
        </is>
      </c>
      <c r="V493" s="5" t="inlineStr">
        <is>
          <t>good</t>
        </is>
      </c>
    </row>
    <row r="494">
      <c r="A494" s="5" t="n">
        <v>489</v>
      </c>
      <c r="B494" s="5" t="inlineStr">
        <is>
          <t>no checking</t>
        </is>
      </c>
      <c r="C494" s="5" t="n">
        <v>10</v>
      </c>
      <c r="D494" s="5" t="inlineStr">
        <is>
          <t>existing paid</t>
        </is>
      </c>
      <c r="E494" s="5" t="inlineStr">
        <is>
          <t>new car</t>
        </is>
      </c>
      <c r="F494" s="5" t="n">
        <v>1418</v>
      </c>
      <c r="G494" s="5" t="inlineStr">
        <is>
          <t>100&lt;=X&lt;500</t>
        </is>
      </c>
      <c r="H494" s="5" t="inlineStr">
        <is>
          <t>1&lt;=X&lt;4</t>
        </is>
      </c>
      <c r="I494" s="5" t="n">
        <v>3</v>
      </c>
      <c r="J494" s="5" t="inlineStr">
        <is>
          <t>male single</t>
        </is>
      </c>
      <c r="K494" s="5" t="inlineStr">
        <is>
          <t>none</t>
        </is>
      </c>
      <c r="L494" s="5" t="n">
        <v>2</v>
      </c>
      <c r="M494" s="5" t="inlineStr">
        <is>
          <t>real estate</t>
        </is>
      </c>
      <c r="N494" s="5" t="n">
        <v>35</v>
      </c>
      <c r="O494" s="5" t="inlineStr">
        <is>
          <t>none</t>
        </is>
      </c>
      <c r="P494" s="5" t="inlineStr">
        <is>
          <t>rent</t>
        </is>
      </c>
      <c r="Q494" s="5" t="n">
        <v>1</v>
      </c>
      <c r="R494" s="5" t="inlineStr">
        <is>
          <t>unskilled resident</t>
        </is>
      </c>
      <c r="S494" s="5" t="n">
        <v>1</v>
      </c>
      <c r="T494" s="5" t="inlineStr">
        <is>
          <t>none</t>
        </is>
      </c>
      <c r="U494" s="5" t="inlineStr">
        <is>
          <t>no</t>
        </is>
      </c>
      <c r="V494" s="5" t="inlineStr">
        <is>
          <t>good</t>
        </is>
      </c>
    </row>
    <row r="495">
      <c r="A495" s="5" t="n">
        <v>490</v>
      </c>
      <c r="B495" s="5" t="inlineStr">
        <is>
          <t>no checking</t>
        </is>
      </c>
      <c r="C495" s="5" t="n">
        <v>6</v>
      </c>
      <c r="D495" s="5" t="inlineStr">
        <is>
          <t>existing paid</t>
        </is>
      </c>
      <c r="E495" s="5" t="inlineStr">
        <is>
          <t>new car</t>
        </is>
      </c>
      <c r="F495" s="5" t="n">
        <v>3518</v>
      </c>
      <c r="G495" s="5" t="inlineStr">
        <is>
          <t>&lt;100</t>
        </is>
      </c>
      <c r="H495" s="5" t="inlineStr">
        <is>
          <t>1&lt;=X&lt;4</t>
        </is>
      </c>
      <c r="I495" s="5" t="n">
        <v>2</v>
      </c>
      <c r="J495" s="5" t="inlineStr">
        <is>
          <t>male single</t>
        </is>
      </c>
      <c r="K495" s="5" t="inlineStr">
        <is>
          <t>guarantor</t>
        </is>
      </c>
      <c r="L495" s="5" t="n">
        <v>3</v>
      </c>
      <c r="M495" s="5" t="inlineStr">
        <is>
          <t>life insurance</t>
        </is>
      </c>
      <c r="N495" s="5" t="n">
        <v>26</v>
      </c>
      <c r="O495" s="5" t="inlineStr">
        <is>
          <t>none</t>
        </is>
      </c>
      <c r="P495" s="5" t="inlineStr">
        <is>
          <t>rent</t>
        </is>
      </c>
      <c r="Q495" s="5" t="n">
        <v>1</v>
      </c>
      <c r="R495" s="5" t="inlineStr">
        <is>
          <t>skilled</t>
        </is>
      </c>
      <c r="S495" s="5" t="n">
        <v>1</v>
      </c>
      <c r="T495" s="5" t="inlineStr">
        <is>
          <t>none</t>
        </is>
      </c>
      <c r="U495" s="5" t="inlineStr">
        <is>
          <t>yes</t>
        </is>
      </c>
      <c r="V495" s="5" t="inlineStr">
        <is>
          <t>good</t>
        </is>
      </c>
    </row>
    <row r="496">
      <c r="A496" s="5" t="n">
        <v>491</v>
      </c>
      <c r="B496" s="5" t="inlineStr">
        <is>
          <t>no checking</t>
        </is>
      </c>
      <c r="C496" s="5" t="n">
        <v>12</v>
      </c>
      <c r="D496" s="5" t="inlineStr">
        <is>
          <t>critical/other existing credit</t>
        </is>
      </c>
      <c r="E496" s="5" t="inlineStr">
        <is>
          <t>radio/tv</t>
        </is>
      </c>
      <c r="F496" s="5" t="n">
        <v>1934</v>
      </c>
      <c r="G496" s="5" t="inlineStr">
        <is>
          <t>&lt;100</t>
        </is>
      </c>
      <c r="H496" s="5" t="inlineStr">
        <is>
          <t>&gt;=7</t>
        </is>
      </c>
      <c r="I496" s="5" t="n">
        <v>2</v>
      </c>
      <c r="J496" s="5" t="inlineStr">
        <is>
          <t>male single</t>
        </is>
      </c>
      <c r="K496" s="5" t="inlineStr">
        <is>
          <t>none</t>
        </is>
      </c>
      <c r="L496" s="5" t="n">
        <v>2</v>
      </c>
      <c r="M496" s="5" t="inlineStr">
        <is>
          <t>no known property</t>
        </is>
      </c>
      <c r="N496" s="5" t="n">
        <v>26</v>
      </c>
      <c r="O496" s="5" t="inlineStr">
        <is>
          <t>none</t>
        </is>
      </c>
      <c r="P496" s="5" t="inlineStr">
        <is>
          <t>own</t>
        </is>
      </c>
      <c r="Q496" s="5" t="n">
        <v>2</v>
      </c>
      <c r="R496" s="5" t="inlineStr">
        <is>
          <t>skilled</t>
        </is>
      </c>
      <c r="S496" s="5" t="n">
        <v>1</v>
      </c>
      <c r="T496" s="5" t="inlineStr">
        <is>
          <t>none</t>
        </is>
      </c>
      <c r="U496" s="5" t="inlineStr">
        <is>
          <t>yes</t>
        </is>
      </c>
      <c r="V496" s="5" t="inlineStr">
        <is>
          <t>good</t>
        </is>
      </c>
    </row>
    <row r="497">
      <c r="A497" s="5" t="n">
        <v>492</v>
      </c>
      <c r="B497" s="5" t="inlineStr">
        <is>
          <t>0&lt;=X&lt;200</t>
        </is>
      </c>
      <c r="C497" s="5" t="n">
        <v>27</v>
      </c>
      <c r="D497" s="5" t="inlineStr">
        <is>
          <t>no credits/all paid</t>
        </is>
      </c>
      <c r="E497" s="5" t="inlineStr">
        <is>
          <t>business</t>
        </is>
      </c>
      <c r="F497" s="5" t="n">
        <v>8318</v>
      </c>
      <c r="G497" s="5" t="inlineStr">
        <is>
          <t>&lt;100</t>
        </is>
      </c>
      <c r="H497" s="5" t="inlineStr">
        <is>
          <t>&gt;=7</t>
        </is>
      </c>
      <c r="I497" s="5" t="n">
        <v>2</v>
      </c>
      <c r="J497" s="5" t="inlineStr">
        <is>
          <t>female div/dep/mar</t>
        </is>
      </c>
      <c r="K497" s="5" t="inlineStr">
        <is>
          <t>none</t>
        </is>
      </c>
      <c r="L497" s="5" t="n">
        <v>4</v>
      </c>
      <c r="M497" s="5" t="inlineStr">
        <is>
          <t>no known property</t>
        </is>
      </c>
      <c r="N497" s="5" t="n">
        <v>42</v>
      </c>
      <c r="O497" s="5" t="inlineStr">
        <is>
          <t>none</t>
        </is>
      </c>
      <c r="P497" s="5" t="inlineStr">
        <is>
          <t>for free</t>
        </is>
      </c>
      <c r="Q497" s="5" t="n">
        <v>2</v>
      </c>
      <c r="R497" s="5" t="inlineStr">
        <is>
          <t>high qualif/self emp/mgmt</t>
        </is>
      </c>
      <c r="S497" s="5" t="n">
        <v>1</v>
      </c>
      <c r="T497" s="5" t="inlineStr">
        <is>
          <t>yes</t>
        </is>
      </c>
      <c r="U497" s="5" t="inlineStr">
        <is>
          <t>yes</t>
        </is>
      </c>
      <c r="V497" s="5" t="inlineStr">
        <is>
          <t>bad</t>
        </is>
      </c>
    </row>
    <row r="498">
      <c r="A498" s="5" t="n">
        <v>493</v>
      </c>
      <c r="B498" s="5" t="inlineStr">
        <is>
          <t>no checking</t>
        </is>
      </c>
      <c r="C498" s="5" t="n">
        <v>6</v>
      </c>
      <c r="D498" s="5" t="inlineStr">
        <is>
          <t>critical/other existing credit</t>
        </is>
      </c>
      <c r="E498" s="5" t="inlineStr">
        <is>
          <t>radio/tv</t>
        </is>
      </c>
      <c r="F498" s="5" t="n">
        <v>1237</v>
      </c>
      <c r="G498" s="5" t="inlineStr">
        <is>
          <t>100&lt;=X&lt;500</t>
        </is>
      </c>
      <c r="H498" s="5" t="inlineStr">
        <is>
          <t>1&lt;=X&lt;4</t>
        </is>
      </c>
      <c r="I498" s="5" t="n">
        <v>1</v>
      </c>
      <c r="J498" s="5" t="inlineStr">
        <is>
          <t>female div/dep/mar</t>
        </is>
      </c>
      <c r="K498" s="5" t="inlineStr">
        <is>
          <t>none</t>
        </is>
      </c>
      <c r="L498" s="5" t="n">
        <v>1</v>
      </c>
      <c r="M498" s="5" t="inlineStr">
        <is>
          <t>life insurance</t>
        </is>
      </c>
      <c r="N498" s="5" t="n">
        <v>27</v>
      </c>
      <c r="O498" s="5" t="inlineStr">
        <is>
          <t>none</t>
        </is>
      </c>
      <c r="P498" s="5" t="inlineStr">
        <is>
          <t>own</t>
        </is>
      </c>
      <c r="Q498" s="5" t="n">
        <v>2</v>
      </c>
      <c r="R498" s="5" t="inlineStr">
        <is>
          <t>skilled</t>
        </is>
      </c>
      <c r="S498" s="5" t="n">
        <v>1</v>
      </c>
      <c r="T498" s="5" t="inlineStr">
        <is>
          <t>none</t>
        </is>
      </c>
      <c r="U498" s="5" t="inlineStr">
        <is>
          <t>yes</t>
        </is>
      </c>
      <c r="V498" s="5" t="inlineStr">
        <is>
          <t>good</t>
        </is>
      </c>
    </row>
    <row r="499">
      <c r="A499" s="5" t="n">
        <v>494</v>
      </c>
      <c r="B499" s="5" t="inlineStr">
        <is>
          <t>0&lt;=X&lt;200</t>
        </is>
      </c>
      <c r="C499" s="5" t="n">
        <v>6</v>
      </c>
      <c r="D499" s="5" t="inlineStr">
        <is>
          <t>existing paid</t>
        </is>
      </c>
      <c r="E499" s="5" t="inlineStr">
        <is>
          <t>radio/tv</t>
        </is>
      </c>
      <c r="F499" s="5" t="n">
        <v>368</v>
      </c>
      <c r="G499" s="5" t="inlineStr">
        <is>
          <t>no known savings</t>
        </is>
      </c>
      <c r="H499" s="5" t="inlineStr">
        <is>
          <t>&gt;=7</t>
        </is>
      </c>
      <c r="I499" s="5" t="n">
        <v>4</v>
      </c>
      <c r="J499" s="5" t="inlineStr">
        <is>
          <t>male single</t>
        </is>
      </c>
      <c r="K499" s="5" t="inlineStr">
        <is>
          <t>none</t>
        </is>
      </c>
      <c r="L499" s="5" t="n">
        <v>4</v>
      </c>
      <c r="M499" s="5" t="inlineStr">
        <is>
          <t>life insurance</t>
        </is>
      </c>
      <c r="N499" s="5" t="n">
        <v>38</v>
      </c>
      <c r="O499" s="5" t="inlineStr">
        <is>
          <t>none</t>
        </is>
      </c>
      <c r="P499" s="5" t="inlineStr">
        <is>
          <t>own</t>
        </is>
      </c>
      <c r="Q499" s="5" t="n">
        <v>1</v>
      </c>
      <c r="R499" s="5" t="inlineStr">
        <is>
          <t>skilled</t>
        </is>
      </c>
      <c r="S499" s="5" t="n">
        <v>1</v>
      </c>
      <c r="T499" s="5" t="inlineStr">
        <is>
          <t>none</t>
        </is>
      </c>
      <c r="U499" s="5" t="inlineStr">
        <is>
          <t>yes</t>
        </is>
      </c>
      <c r="V499" s="5" t="inlineStr">
        <is>
          <t>good</t>
        </is>
      </c>
    </row>
    <row r="500">
      <c r="A500" s="5" t="n">
        <v>495</v>
      </c>
      <c r="B500" s="5" t="inlineStr">
        <is>
          <t>&lt;0</t>
        </is>
      </c>
      <c r="C500" s="5" t="n">
        <v>12</v>
      </c>
      <c r="D500" s="5" t="inlineStr">
        <is>
          <t>critical/other existing credit</t>
        </is>
      </c>
      <c r="E500" s="5" t="inlineStr">
        <is>
          <t>new car</t>
        </is>
      </c>
      <c r="F500" s="5" t="n">
        <v>2122</v>
      </c>
      <c r="G500" s="5" t="inlineStr">
        <is>
          <t>&lt;100</t>
        </is>
      </c>
      <c r="H500" s="5" t="inlineStr">
        <is>
          <t>1&lt;=X&lt;4</t>
        </is>
      </c>
      <c r="I500" s="5" t="n">
        <v>3</v>
      </c>
      <c r="J500" s="5" t="inlineStr">
        <is>
          <t>male single</t>
        </is>
      </c>
      <c r="K500" s="5" t="inlineStr">
        <is>
          <t>none</t>
        </is>
      </c>
      <c r="L500" s="5" t="n">
        <v>2</v>
      </c>
      <c r="M500" s="5" t="inlineStr">
        <is>
          <t>real estate</t>
        </is>
      </c>
      <c r="N500" s="5" t="n">
        <v>39</v>
      </c>
      <c r="O500" s="5" t="inlineStr">
        <is>
          <t>none</t>
        </is>
      </c>
      <c r="P500" s="5" t="inlineStr">
        <is>
          <t>rent</t>
        </is>
      </c>
      <c r="Q500" s="5" t="n">
        <v>2</v>
      </c>
      <c r="R500" s="5" t="inlineStr">
        <is>
          <t>unskilled resident</t>
        </is>
      </c>
      <c r="S500" s="5" t="n">
        <v>2</v>
      </c>
      <c r="T500" s="5" t="inlineStr">
        <is>
          <t>none</t>
        </is>
      </c>
      <c r="U500" s="5" t="inlineStr">
        <is>
          <t>no</t>
        </is>
      </c>
      <c r="V500" s="5" t="inlineStr">
        <is>
          <t>good</t>
        </is>
      </c>
    </row>
    <row r="501">
      <c r="A501" s="5" t="n">
        <v>496</v>
      </c>
      <c r="B501" s="5" t="inlineStr">
        <is>
          <t>&lt;0</t>
        </is>
      </c>
      <c r="C501" s="5" t="n">
        <v>24</v>
      </c>
      <c r="D501" s="5" t="inlineStr">
        <is>
          <t>existing paid</t>
        </is>
      </c>
      <c r="E501" s="5" t="inlineStr">
        <is>
          <t>furniture/equipment</t>
        </is>
      </c>
      <c r="F501" s="5" t="n">
        <v>2996</v>
      </c>
      <c r="G501" s="5" t="inlineStr">
        <is>
          <t>no known savings</t>
        </is>
      </c>
      <c r="H501" s="5" t="inlineStr">
        <is>
          <t>1&lt;=X&lt;4</t>
        </is>
      </c>
      <c r="I501" s="5" t="n">
        <v>2</v>
      </c>
      <c r="J501" s="5" t="inlineStr">
        <is>
          <t>male mar/wid</t>
        </is>
      </c>
      <c r="K501" s="5" t="inlineStr">
        <is>
          <t>none</t>
        </is>
      </c>
      <c r="L501" s="5" t="n">
        <v>4</v>
      </c>
      <c r="M501" s="5" t="inlineStr">
        <is>
          <t>car</t>
        </is>
      </c>
      <c r="N501" s="5" t="n">
        <v>20</v>
      </c>
      <c r="O501" s="5" t="inlineStr">
        <is>
          <t>none</t>
        </is>
      </c>
      <c r="P501" s="5" t="inlineStr">
        <is>
          <t>own</t>
        </is>
      </c>
      <c r="Q501" s="5" t="n">
        <v>1</v>
      </c>
      <c r="R501" s="5" t="inlineStr">
        <is>
          <t>skilled</t>
        </is>
      </c>
      <c r="S501" s="5" t="n">
        <v>1</v>
      </c>
      <c r="T501" s="5" t="inlineStr">
        <is>
          <t>none</t>
        </is>
      </c>
      <c r="U501" s="5" t="inlineStr">
        <is>
          <t>yes</t>
        </is>
      </c>
      <c r="V501" s="5" t="inlineStr">
        <is>
          <t>bad</t>
        </is>
      </c>
    </row>
    <row r="502">
      <c r="A502" s="5" t="n">
        <v>497</v>
      </c>
      <c r="B502" s="5" t="inlineStr">
        <is>
          <t>0&lt;=X&lt;200</t>
        </is>
      </c>
      <c r="C502" s="5" t="n">
        <v>36</v>
      </c>
      <c r="D502" s="5" t="inlineStr">
        <is>
          <t>existing paid</t>
        </is>
      </c>
      <c r="E502" s="5" t="inlineStr">
        <is>
          <t>furniture/equipment</t>
        </is>
      </c>
      <c r="F502" s="5" t="n">
        <v>9034</v>
      </c>
      <c r="G502" s="5" t="inlineStr">
        <is>
          <t>100&lt;=X&lt;500</t>
        </is>
      </c>
      <c r="H502" s="5" t="inlineStr">
        <is>
          <t>&lt;1</t>
        </is>
      </c>
      <c r="I502" s="5" t="n">
        <v>4</v>
      </c>
      <c r="J502" s="5" t="inlineStr">
        <is>
          <t>male single</t>
        </is>
      </c>
      <c r="K502" s="5" t="inlineStr">
        <is>
          <t>co applicant</t>
        </is>
      </c>
      <c r="L502" s="5" t="n">
        <v>1</v>
      </c>
      <c r="M502" s="5" t="inlineStr">
        <is>
          <t>no known property</t>
        </is>
      </c>
      <c r="N502" s="5" t="n">
        <v>29</v>
      </c>
      <c r="O502" s="5" t="inlineStr">
        <is>
          <t>none</t>
        </is>
      </c>
      <c r="P502" s="5" t="inlineStr">
        <is>
          <t>rent</t>
        </is>
      </c>
      <c r="Q502" s="5" t="n">
        <v>1</v>
      </c>
      <c r="R502" s="5" t="inlineStr">
        <is>
          <t>high qualif/self emp/mgmt</t>
        </is>
      </c>
      <c r="S502" s="5" t="n">
        <v>1</v>
      </c>
      <c r="T502" s="5" t="inlineStr">
        <is>
          <t>yes</t>
        </is>
      </c>
      <c r="U502" s="5" t="inlineStr">
        <is>
          <t>yes</t>
        </is>
      </c>
      <c r="V502" s="5" t="inlineStr">
        <is>
          <t>bad</t>
        </is>
      </c>
    </row>
    <row r="503">
      <c r="A503" s="5" t="n">
        <v>498</v>
      </c>
      <c r="B503" s="5" t="inlineStr">
        <is>
          <t>no checking</t>
        </is>
      </c>
      <c r="C503" s="5" t="n">
        <v>24</v>
      </c>
      <c r="D503" s="5" t="inlineStr">
        <is>
          <t>critical/other existing credit</t>
        </is>
      </c>
      <c r="E503" s="5" t="inlineStr">
        <is>
          <t>furniture/equipment</t>
        </is>
      </c>
      <c r="F503" s="5" t="n">
        <v>1585</v>
      </c>
      <c r="G503" s="5" t="inlineStr">
        <is>
          <t>&lt;100</t>
        </is>
      </c>
      <c r="H503" s="5" t="inlineStr">
        <is>
          <t>4&lt;=X&lt;7</t>
        </is>
      </c>
      <c r="I503" s="5" t="n">
        <v>4</v>
      </c>
      <c r="J503" s="5" t="inlineStr">
        <is>
          <t>male single</t>
        </is>
      </c>
      <c r="K503" s="5" t="inlineStr">
        <is>
          <t>none</t>
        </is>
      </c>
      <c r="L503" s="5" t="n">
        <v>3</v>
      </c>
      <c r="M503" s="5" t="inlineStr">
        <is>
          <t>life insurance</t>
        </is>
      </c>
      <c r="N503" s="5" t="n">
        <v>40</v>
      </c>
      <c r="O503" s="5" t="inlineStr">
        <is>
          <t>none</t>
        </is>
      </c>
      <c r="P503" s="5" t="inlineStr">
        <is>
          <t>own</t>
        </is>
      </c>
      <c r="Q503" s="5" t="n">
        <v>2</v>
      </c>
      <c r="R503" s="5" t="inlineStr">
        <is>
          <t>skilled</t>
        </is>
      </c>
      <c r="S503" s="5" t="n">
        <v>1</v>
      </c>
      <c r="T503" s="5" t="inlineStr">
        <is>
          <t>none</t>
        </is>
      </c>
      <c r="U503" s="5" t="inlineStr">
        <is>
          <t>yes</t>
        </is>
      </c>
      <c r="V503" s="5" t="inlineStr">
        <is>
          <t>good</t>
        </is>
      </c>
    </row>
    <row r="504">
      <c r="A504" s="5" t="n">
        <v>499</v>
      </c>
      <c r="B504" s="5" t="inlineStr">
        <is>
          <t>0&lt;=X&lt;200</t>
        </is>
      </c>
      <c r="C504" s="5" t="n">
        <v>18</v>
      </c>
      <c r="D504" s="5" t="inlineStr">
        <is>
          <t>existing paid</t>
        </is>
      </c>
      <c r="E504" s="5" t="inlineStr">
        <is>
          <t>radio/tv</t>
        </is>
      </c>
      <c r="F504" s="5" t="n">
        <v>1301</v>
      </c>
      <c r="G504" s="5" t="inlineStr">
        <is>
          <t>&lt;100</t>
        </is>
      </c>
      <c r="H504" s="5" t="inlineStr">
        <is>
          <t>&gt;=7</t>
        </is>
      </c>
      <c r="I504" s="5" t="n">
        <v>4</v>
      </c>
      <c r="J504" s="5" t="inlineStr">
        <is>
          <t>male mar/wid</t>
        </is>
      </c>
      <c r="K504" s="5" t="inlineStr">
        <is>
          <t>guarantor</t>
        </is>
      </c>
      <c r="L504" s="5" t="n">
        <v>2</v>
      </c>
      <c r="M504" s="5" t="inlineStr">
        <is>
          <t>real estate</t>
        </is>
      </c>
      <c r="N504" s="5" t="n">
        <v>32</v>
      </c>
      <c r="O504" s="5" t="inlineStr">
        <is>
          <t>none</t>
        </is>
      </c>
      <c r="P504" s="5" t="inlineStr">
        <is>
          <t>own</t>
        </is>
      </c>
      <c r="Q504" s="5" t="n">
        <v>1</v>
      </c>
      <c r="R504" s="5" t="inlineStr">
        <is>
          <t>unskilled resident</t>
        </is>
      </c>
      <c r="S504" s="5" t="n">
        <v>1</v>
      </c>
      <c r="T504" s="5" t="inlineStr">
        <is>
          <t>none</t>
        </is>
      </c>
      <c r="U504" s="5" t="inlineStr">
        <is>
          <t>yes</t>
        </is>
      </c>
      <c r="V504" s="5" t="inlineStr">
        <is>
          <t>good</t>
        </is>
      </c>
    </row>
    <row r="505">
      <c r="A505" s="5" t="n">
        <v>500</v>
      </c>
      <c r="B505" s="5" t="inlineStr">
        <is>
          <t>&gt;=200</t>
        </is>
      </c>
      <c r="C505" s="5" t="n">
        <v>6</v>
      </c>
      <c r="D505" s="5" t="inlineStr">
        <is>
          <t>critical/other existing credit</t>
        </is>
      </c>
      <c r="E505" s="5" t="inlineStr">
        <is>
          <t>new car</t>
        </is>
      </c>
      <c r="F505" s="5" t="n">
        <v>1323</v>
      </c>
      <c r="G505" s="5" t="inlineStr">
        <is>
          <t>100&lt;=X&lt;500</t>
        </is>
      </c>
      <c r="H505" s="5" t="inlineStr">
        <is>
          <t>&gt;=7</t>
        </is>
      </c>
      <c r="I505" s="5" t="n">
        <v>2</v>
      </c>
      <c r="J505" s="5" t="inlineStr">
        <is>
          <t>male div/sep</t>
        </is>
      </c>
      <c r="K505" s="5" t="inlineStr">
        <is>
          <t>none</t>
        </is>
      </c>
      <c r="L505" s="5" t="n">
        <v>4</v>
      </c>
      <c r="M505" s="5" t="inlineStr">
        <is>
          <t>car</t>
        </is>
      </c>
      <c r="N505" s="5" t="n">
        <v>28</v>
      </c>
      <c r="O505" s="5" t="inlineStr">
        <is>
          <t>none</t>
        </is>
      </c>
      <c r="P505" s="5" t="inlineStr">
        <is>
          <t>own</t>
        </is>
      </c>
      <c r="Q505" s="5" t="n">
        <v>2</v>
      </c>
      <c r="R505" s="5" t="inlineStr">
        <is>
          <t>skilled</t>
        </is>
      </c>
      <c r="S505" s="5" t="n">
        <v>2</v>
      </c>
      <c r="T505" s="5" t="inlineStr">
        <is>
          <t>yes</t>
        </is>
      </c>
      <c r="U505" s="5" t="inlineStr">
        <is>
          <t>yes</t>
        </is>
      </c>
      <c r="V505" s="5" t="inlineStr">
        <is>
          <t>good</t>
        </is>
      </c>
    </row>
    <row r="506">
      <c r="A506" s="5" t="n">
        <v>501</v>
      </c>
      <c r="B506" s="5" t="inlineStr">
        <is>
          <t>&lt;0</t>
        </is>
      </c>
      <c r="C506" s="5" t="n">
        <v>24</v>
      </c>
      <c r="D506" s="5" t="inlineStr">
        <is>
          <t>existing paid</t>
        </is>
      </c>
      <c r="E506" s="5" t="inlineStr">
        <is>
          <t>new car</t>
        </is>
      </c>
      <c r="F506" s="5" t="n">
        <v>3123</v>
      </c>
      <c r="G506" s="5" t="inlineStr">
        <is>
          <t>&lt;100</t>
        </is>
      </c>
      <c r="H506" s="5" t="inlineStr">
        <is>
          <t>&lt;1</t>
        </is>
      </c>
      <c r="I506" s="5" t="n">
        <v>4</v>
      </c>
      <c r="J506" s="5" t="inlineStr">
        <is>
          <t>female div/dep/mar</t>
        </is>
      </c>
      <c r="K506" s="5" t="inlineStr">
        <is>
          <t>none</t>
        </is>
      </c>
      <c r="L506" s="5" t="n">
        <v>1</v>
      </c>
      <c r="M506" s="5" t="inlineStr">
        <is>
          <t>life insurance</t>
        </is>
      </c>
      <c r="N506" s="5" t="n">
        <v>27</v>
      </c>
      <c r="O506" s="5" t="inlineStr">
        <is>
          <t>none</t>
        </is>
      </c>
      <c r="P506" s="5" t="inlineStr">
        <is>
          <t>own</t>
        </is>
      </c>
      <c r="Q506" s="5" t="n">
        <v>1</v>
      </c>
      <c r="R506" s="5" t="inlineStr">
        <is>
          <t>skilled</t>
        </is>
      </c>
      <c r="S506" s="5" t="n">
        <v>1</v>
      </c>
      <c r="T506" s="5" t="inlineStr">
        <is>
          <t>none</t>
        </is>
      </c>
      <c r="U506" s="5" t="inlineStr">
        <is>
          <t>yes</t>
        </is>
      </c>
      <c r="V506" s="5" t="inlineStr">
        <is>
          <t>bad</t>
        </is>
      </c>
    </row>
    <row r="507">
      <c r="A507" s="5" t="n">
        <v>502</v>
      </c>
      <c r="B507" s="5" t="inlineStr">
        <is>
          <t>&lt;0</t>
        </is>
      </c>
      <c r="C507" s="5" t="n">
        <v>36</v>
      </c>
      <c r="D507" s="5" t="inlineStr">
        <is>
          <t>existing paid</t>
        </is>
      </c>
      <c r="E507" s="5" t="inlineStr">
        <is>
          <t>used car</t>
        </is>
      </c>
      <c r="F507" s="5" t="n">
        <v>5493</v>
      </c>
      <c r="G507" s="5" t="inlineStr">
        <is>
          <t>&lt;100</t>
        </is>
      </c>
      <c r="H507" s="5" t="inlineStr">
        <is>
          <t>&gt;=7</t>
        </is>
      </c>
      <c r="I507" s="5" t="n">
        <v>2</v>
      </c>
      <c r="J507" s="5" t="inlineStr">
        <is>
          <t>male single</t>
        </is>
      </c>
      <c r="K507" s="5" t="inlineStr">
        <is>
          <t>none</t>
        </is>
      </c>
      <c r="L507" s="5" t="n">
        <v>4</v>
      </c>
      <c r="M507" s="5" t="inlineStr">
        <is>
          <t>no known property</t>
        </is>
      </c>
      <c r="N507" s="5" t="n">
        <v>42</v>
      </c>
      <c r="O507" s="5" t="inlineStr">
        <is>
          <t>none</t>
        </is>
      </c>
      <c r="P507" s="5" t="inlineStr">
        <is>
          <t>for free</t>
        </is>
      </c>
      <c r="Q507" s="5" t="n">
        <v>1</v>
      </c>
      <c r="R507" s="5" t="inlineStr">
        <is>
          <t>skilled</t>
        </is>
      </c>
      <c r="S507" s="5" t="n">
        <v>2</v>
      </c>
      <c r="T507" s="5" t="inlineStr">
        <is>
          <t>none</t>
        </is>
      </c>
      <c r="U507" s="5" t="inlineStr">
        <is>
          <t>yes</t>
        </is>
      </c>
      <c r="V507" s="5" t="inlineStr">
        <is>
          <t>good</t>
        </is>
      </c>
    </row>
    <row r="508">
      <c r="A508" s="5" t="n">
        <v>503</v>
      </c>
      <c r="B508" s="5" t="inlineStr">
        <is>
          <t>&gt;=200</t>
        </is>
      </c>
      <c r="C508" s="5" t="n">
        <v>9</v>
      </c>
      <c r="D508" s="5" t="inlineStr">
        <is>
          <t>existing paid</t>
        </is>
      </c>
      <c r="E508" s="5" t="inlineStr">
        <is>
          <t>radio/tv</t>
        </is>
      </c>
      <c r="F508" s="5" t="n">
        <v>1126</v>
      </c>
      <c r="G508" s="5" t="inlineStr">
        <is>
          <t>100&lt;=X&lt;500</t>
        </is>
      </c>
      <c r="H508" s="5" t="inlineStr">
        <is>
          <t>&gt;=7</t>
        </is>
      </c>
      <c r="I508" s="5" t="n">
        <v>2</v>
      </c>
      <c r="J508" s="5" t="inlineStr">
        <is>
          <t>male div/sep</t>
        </is>
      </c>
      <c r="K508" s="5" t="inlineStr">
        <is>
          <t>none</t>
        </is>
      </c>
      <c r="L508" s="5" t="n">
        <v>4</v>
      </c>
      <c r="M508" s="5" t="inlineStr">
        <is>
          <t>real estate</t>
        </is>
      </c>
      <c r="N508" s="5" t="n">
        <v>49</v>
      </c>
      <c r="O508" s="5" t="inlineStr">
        <is>
          <t>none</t>
        </is>
      </c>
      <c r="P508" s="5" t="inlineStr">
        <is>
          <t>own</t>
        </is>
      </c>
      <c r="Q508" s="5" t="n">
        <v>1</v>
      </c>
      <c r="R508" s="5" t="inlineStr">
        <is>
          <t>skilled</t>
        </is>
      </c>
      <c r="S508" s="5" t="n">
        <v>1</v>
      </c>
      <c r="T508" s="5" t="inlineStr">
        <is>
          <t>none</t>
        </is>
      </c>
      <c r="U508" s="5" t="inlineStr">
        <is>
          <t>yes</t>
        </is>
      </c>
      <c r="V508" s="5" t="inlineStr">
        <is>
          <t>good</t>
        </is>
      </c>
    </row>
    <row r="509">
      <c r="A509" s="5" t="n">
        <v>504</v>
      </c>
      <c r="B509" s="5" t="inlineStr">
        <is>
          <t>0&lt;=X&lt;200</t>
        </is>
      </c>
      <c r="C509" s="5" t="n">
        <v>24</v>
      </c>
      <c r="D509" s="5" t="inlineStr">
        <is>
          <t>critical/other existing credit</t>
        </is>
      </c>
      <c r="E509" s="5" t="inlineStr">
        <is>
          <t>radio/tv</t>
        </is>
      </c>
      <c r="F509" s="5" t="n">
        <v>1216</v>
      </c>
      <c r="G509" s="5" t="inlineStr">
        <is>
          <t>100&lt;=X&lt;500</t>
        </is>
      </c>
      <c r="H509" s="5" t="inlineStr">
        <is>
          <t>&lt;1</t>
        </is>
      </c>
      <c r="I509" s="5" t="n">
        <v>4</v>
      </c>
      <c r="J509" s="5" t="inlineStr">
        <is>
          <t>male single</t>
        </is>
      </c>
      <c r="K509" s="5" t="inlineStr">
        <is>
          <t>none</t>
        </is>
      </c>
      <c r="L509" s="5" t="n">
        <v>4</v>
      </c>
      <c r="M509" s="5" t="inlineStr">
        <is>
          <t>no known property</t>
        </is>
      </c>
      <c r="N509" s="5" t="n">
        <v>38</v>
      </c>
      <c r="O509" s="5" t="inlineStr">
        <is>
          <t>bank</t>
        </is>
      </c>
      <c r="P509" s="5" t="inlineStr">
        <is>
          <t>own</t>
        </is>
      </c>
      <c r="Q509" s="5" t="n">
        <v>2</v>
      </c>
      <c r="R509" s="5" t="inlineStr">
        <is>
          <t>skilled</t>
        </is>
      </c>
      <c r="S509" s="5" t="n">
        <v>2</v>
      </c>
      <c r="T509" s="5" t="inlineStr">
        <is>
          <t>none</t>
        </is>
      </c>
      <c r="U509" s="5" t="inlineStr">
        <is>
          <t>yes</t>
        </is>
      </c>
      <c r="V509" s="5" t="inlineStr">
        <is>
          <t>bad</t>
        </is>
      </c>
    </row>
    <row r="510">
      <c r="A510" s="5" t="n">
        <v>505</v>
      </c>
      <c r="B510" s="5" t="inlineStr">
        <is>
          <t>&lt;0</t>
        </is>
      </c>
      <c r="C510" s="5" t="n">
        <v>24</v>
      </c>
      <c r="D510" s="5" t="inlineStr">
        <is>
          <t>existing paid</t>
        </is>
      </c>
      <c r="E510" s="5" t="inlineStr">
        <is>
          <t>new car</t>
        </is>
      </c>
      <c r="F510" s="5" t="n">
        <v>1207</v>
      </c>
      <c r="G510" s="5" t="inlineStr">
        <is>
          <t>&lt;100</t>
        </is>
      </c>
      <c r="H510" s="5" t="inlineStr">
        <is>
          <t>&lt;1</t>
        </is>
      </c>
      <c r="I510" s="5" t="n">
        <v>4</v>
      </c>
      <c r="J510" s="5" t="inlineStr">
        <is>
          <t>female div/dep/mar</t>
        </is>
      </c>
      <c r="K510" s="5" t="inlineStr">
        <is>
          <t>none</t>
        </is>
      </c>
      <c r="L510" s="5" t="n">
        <v>4</v>
      </c>
      <c r="M510" s="5" t="inlineStr">
        <is>
          <t>life insurance</t>
        </is>
      </c>
      <c r="N510" s="5" t="n">
        <v>24</v>
      </c>
      <c r="O510" s="5" t="inlineStr">
        <is>
          <t>none</t>
        </is>
      </c>
      <c r="P510" s="5" t="inlineStr">
        <is>
          <t>rent</t>
        </is>
      </c>
      <c r="Q510" s="5" t="n">
        <v>1</v>
      </c>
      <c r="R510" s="5" t="inlineStr">
        <is>
          <t>skilled</t>
        </is>
      </c>
      <c r="S510" s="5" t="n">
        <v>1</v>
      </c>
      <c r="T510" s="5" t="inlineStr">
        <is>
          <t>none</t>
        </is>
      </c>
      <c r="U510" s="5" t="inlineStr">
        <is>
          <t>yes</t>
        </is>
      </c>
      <c r="V510" s="5" t="inlineStr">
        <is>
          <t>bad</t>
        </is>
      </c>
    </row>
    <row r="511">
      <c r="A511" s="5" t="n">
        <v>506</v>
      </c>
      <c r="B511" s="5" t="inlineStr">
        <is>
          <t>no checking</t>
        </is>
      </c>
      <c r="C511" s="5" t="n">
        <v>10</v>
      </c>
      <c r="D511" s="5" t="inlineStr">
        <is>
          <t>existing paid</t>
        </is>
      </c>
      <c r="E511" s="5" t="inlineStr">
        <is>
          <t>new car</t>
        </is>
      </c>
      <c r="F511" s="5" t="n">
        <v>1309</v>
      </c>
      <c r="G511" s="5" t="inlineStr">
        <is>
          <t>no known savings</t>
        </is>
      </c>
      <c r="H511" s="5" t="inlineStr">
        <is>
          <t>1&lt;=X&lt;4</t>
        </is>
      </c>
      <c r="I511" s="5" t="n">
        <v>4</v>
      </c>
      <c r="J511" s="5" t="inlineStr">
        <is>
          <t>male single</t>
        </is>
      </c>
      <c r="K511" s="5" t="inlineStr">
        <is>
          <t>guarantor</t>
        </is>
      </c>
      <c r="L511" s="5" t="n">
        <v>4</v>
      </c>
      <c r="M511" s="5" t="inlineStr">
        <is>
          <t>life insurance</t>
        </is>
      </c>
      <c r="N511" s="5" t="n">
        <v>27</v>
      </c>
      <c r="O511" s="5" t="inlineStr">
        <is>
          <t>none</t>
        </is>
      </c>
      <c r="P511" s="5" t="inlineStr">
        <is>
          <t>own</t>
        </is>
      </c>
      <c r="Q511" s="5" t="n">
        <v>1</v>
      </c>
      <c r="R511" s="5" t="inlineStr">
        <is>
          <t>unskilled resident</t>
        </is>
      </c>
      <c r="S511" s="5" t="n">
        <v>1</v>
      </c>
      <c r="T511" s="5" t="inlineStr">
        <is>
          <t>none</t>
        </is>
      </c>
      <c r="U511" s="5" t="inlineStr">
        <is>
          <t>yes</t>
        </is>
      </c>
      <c r="V511" s="5" t="inlineStr">
        <is>
          <t>bad</t>
        </is>
      </c>
    </row>
    <row r="512">
      <c r="A512" s="5" t="n">
        <v>507</v>
      </c>
      <c r="B512" s="5" t="inlineStr">
        <is>
          <t>&gt;=200</t>
        </is>
      </c>
      <c r="C512" s="5" t="n">
        <v>15</v>
      </c>
      <c r="D512" s="5" t="inlineStr">
        <is>
          <t>critical/other existing credit</t>
        </is>
      </c>
      <c r="E512" s="5" t="inlineStr">
        <is>
          <t>used car</t>
        </is>
      </c>
      <c r="F512" s="5" t="n">
        <v>2360</v>
      </c>
      <c r="G512" s="5" t="inlineStr">
        <is>
          <t>500&lt;=X&lt;1000</t>
        </is>
      </c>
      <c r="H512" s="5" t="inlineStr">
        <is>
          <t>1&lt;=X&lt;4</t>
        </is>
      </c>
      <c r="I512" s="5" t="n">
        <v>2</v>
      </c>
      <c r="J512" s="5" t="inlineStr">
        <is>
          <t>male single</t>
        </is>
      </c>
      <c r="K512" s="5" t="inlineStr">
        <is>
          <t>none</t>
        </is>
      </c>
      <c r="L512" s="5" t="n">
        <v>2</v>
      </c>
      <c r="M512" s="5" t="inlineStr">
        <is>
          <t>car</t>
        </is>
      </c>
      <c r="N512" s="5" t="n">
        <v>36</v>
      </c>
      <c r="O512" s="5" t="inlineStr">
        <is>
          <t>none</t>
        </is>
      </c>
      <c r="P512" s="5" t="inlineStr">
        <is>
          <t>own</t>
        </is>
      </c>
      <c r="Q512" s="5" t="n">
        <v>1</v>
      </c>
      <c r="R512" s="5" t="inlineStr">
        <is>
          <t>skilled</t>
        </is>
      </c>
      <c r="S512" s="5" t="n">
        <v>1</v>
      </c>
      <c r="T512" s="5" t="inlineStr">
        <is>
          <t>yes</t>
        </is>
      </c>
      <c r="U512" s="5" t="inlineStr">
        <is>
          <t>yes</t>
        </is>
      </c>
      <c r="V512" s="5" t="inlineStr">
        <is>
          <t>good</t>
        </is>
      </c>
    </row>
    <row r="513">
      <c r="A513" s="5" t="n">
        <v>508</v>
      </c>
      <c r="B513" s="5" t="inlineStr">
        <is>
          <t>0&lt;=X&lt;200</t>
        </is>
      </c>
      <c r="C513" s="5" t="n">
        <v>15</v>
      </c>
      <c r="D513" s="5" t="inlineStr">
        <is>
          <t>all paid</t>
        </is>
      </c>
      <c r="E513" s="5" t="inlineStr">
        <is>
          <t>new car</t>
        </is>
      </c>
      <c r="F513" s="5" t="n">
        <v>6850</v>
      </c>
      <c r="G513" s="5" t="inlineStr">
        <is>
          <t>100&lt;=X&lt;500</t>
        </is>
      </c>
      <c r="H513" s="5" t="inlineStr">
        <is>
          <t>unemployed</t>
        </is>
      </c>
      <c r="I513" s="5" t="n">
        <v>1</v>
      </c>
      <c r="J513" s="5" t="inlineStr">
        <is>
          <t>male single</t>
        </is>
      </c>
      <c r="K513" s="5" t="inlineStr">
        <is>
          <t>none</t>
        </is>
      </c>
      <c r="L513" s="5" t="n">
        <v>2</v>
      </c>
      <c r="M513" s="5" t="inlineStr">
        <is>
          <t>life insurance</t>
        </is>
      </c>
      <c r="N513" s="5" t="n">
        <v>34</v>
      </c>
      <c r="O513" s="5" t="inlineStr">
        <is>
          <t>none</t>
        </is>
      </c>
      <c r="P513" s="5" t="inlineStr">
        <is>
          <t>own</t>
        </is>
      </c>
      <c r="Q513" s="5" t="n">
        <v>1</v>
      </c>
      <c r="R513" s="5" t="inlineStr">
        <is>
          <t>high qualif/self emp/mgmt</t>
        </is>
      </c>
      <c r="S513" s="5" t="n">
        <v>2</v>
      </c>
      <c r="T513" s="5" t="inlineStr">
        <is>
          <t>yes</t>
        </is>
      </c>
      <c r="U513" s="5" t="inlineStr">
        <is>
          <t>yes</t>
        </is>
      </c>
      <c r="V513" s="5" t="inlineStr">
        <is>
          <t>bad</t>
        </is>
      </c>
    </row>
    <row r="514">
      <c r="A514" s="5" t="n">
        <v>509</v>
      </c>
      <c r="B514" s="5" t="inlineStr">
        <is>
          <t>no checking</t>
        </is>
      </c>
      <c r="C514" s="5" t="n">
        <v>24</v>
      </c>
      <c r="D514" s="5" t="inlineStr">
        <is>
          <t>existing paid</t>
        </is>
      </c>
      <c r="E514" s="5" t="inlineStr">
        <is>
          <t>radio/tv</t>
        </is>
      </c>
      <c r="F514" s="5" t="n">
        <v>1413</v>
      </c>
      <c r="G514" s="5" t="inlineStr">
        <is>
          <t>&lt;100</t>
        </is>
      </c>
      <c r="H514" s="5" t="inlineStr">
        <is>
          <t>1&lt;=X&lt;4</t>
        </is>
      </c>
      <c r="I514" s="5" t="n">
        <v>4</v>
      </c>
      <c r="J514" s="5" t="inlineStr">
        <is>
          <t>male mar/wid</t>
        </is>
      </c>
      <c r="K514" s="5" t="inlineStr">
        <is>
          <t>none</t>
        </is>
      </c>
      <c r="L514" s="5" t="n">
        <v>2</v>
      </c>
      <c r="M514" s="5" t="inlineStr">
        <is>
          <t>life insurance</t>
        </is>
      </c>
      <c r="N514" s="5" t="n">
        <v>28</v>
      </c>
      <c r="O514" s="5" t="inlineStr">
        <is>
          <t>none</t>
        </is>
      </c>
      <c r="P514" s="5" t="inlineStr">
        <is>
          <t>own</t>
        </is>
      </c>
      <c r="Q514" s="5" t="n">
        <v>1</v>
      </c>
      <c r="R514" s="5" t="inlineStr">
        <is>
          <t>skilled</t>
        </is>
      </c>
      <c r="S514" s="5" t="n">
        <v>1</v>
      </c>
      <c r="T514" s="5" t="inlineStr">
        <is>
          <t>none</t>
        </is>
      </c>
      <c r="U514" s="5" t="inlineStr">
        <is>
          <t>yes</t>
        </is>
      </c>
      <c r="V514" s="5" t="inlineStr">
        <is>
          <t>good</t>
        </is>
      </c>
    </row>
    <row r="515">
      <c r="A515" s="5" t="n">
        <v>510</v>
      </c>
      <c r="B515" s="5" t="inlineStr">
        <is>
          <t>no checking</t>
        </is>
      </c>
      <c r="C515" s="5" t="n">
        <v>39</v>
      </c>
      <c r="D515" s="5" t="inlineStr">
        <is>
          <t>existing paid</t>
        </is>
      </c>
      <c r="E515" s="5" t="inlineStr">
        <is>
          <t>used car</t>
        </is>
      </c>
      <c r="F515" s="5" t="n">
        <v>8588</v>
      </c>
      <c r="G515" s="5" t="inlineStr">
        <is>
          <t>100&lt;=X&lt;500</t>
        </is>
      </c>
      <c r="H515" s="5" t="inlineStr">
        <is>
          <t>&gt;=7</t>
        </is>
      </c>
      <c r="I515" s="5" t="n">
        <v>4</v>
      </c>
      <c r="J515" s="5" t="inlineStr">
        <is>
          <t>male single</t>
        </is>
      </c>
      <c r="K515" s="5" t="inlineStr">
        <is>
          <t>none</t>
        </is>
      </c>
      <c r="L515" s="5" t="n">
        <v>2</v>
      </c>
      <c r="M515" s="5" t="inlineStr">
        <is>
          <t>car</t>
        </is>
      </c>
      <c r="N515" s="5" t="n">
        <v>45</v>
      </c>
      <c r="O515" s="5" t="inlineStr">
        <is>
          <t>none</t>
        </is>
      </c>
      <c r="P515" s="5" t="inlineStr">
        <is>
          <t>own</t>
        </is>
      </c>
      <c r="Q515" s="5" t="n">
        <v>1</v>
      </c>
      <c r="R515" s="5" t="inlineStr">
        <is>
          <t>high qualif/self emp/mgmt</t>
        </is>
      </c>
      <c r="S515" s="5" t="n">
        <v>1</v>
      </c>
      <c r="T515" s="5" t="inlineStr">
        <is>
          <t>yes</t>
        </is>
      </c>
      <c r="U515" s="5" t="inlineStr">
        <is>
          <t>yes</t>
        </is>
      </c>
      <c r="V515" s="5" t="inlineStr">
        <is>
          <t>good</t>
        </is>
      </c>
    </row>
    <row r="516">
      <c r="A516" s="5" t="n">
        <v>511</v>
      </c>
      <c r="B516" s="5" t="inlineStr">
        <is>
          <t>&lt;0</t>
        </is>
      </c>
      <c r="C516" s="5" t="n">
        <v>12</v>
      </c>
      <c r="D516" s="5" t="inlineStr">
        <is>
          <t>existing paid</t>
        </is>
      </c>
      <c r="E516" s="5" t="inlineStr">
        <is>
          <t>new car</t>
        </is>
      </c>
      <c r="F516" s="5" t="n">
        <v>759</v>
      </c>
      <c r="G516" s="5" t="inlineStr">
        <is>
          <t>&lt;100</t>
        </is>
      </c>
      <c r="H516" s="5" t="inlineStr">
        <is>
          <t>4&lt;=X&lt;7</t>
        </is>
      </c>
      <c r="I516" s="5" t="n">
        <v>4</v>
      </c>
      <c r="J516" s="5" t="inlineStr">
        <is>
          <t>male single</t>
        </is>
      </c>
      <c r="K516" s="5" t="inlineStr">
        <is>
          <t>none</t>
        </is>
      </c>
      <c r="L516" s="5" t="n">
        <v>2</v>
      </c>
      <c r="M516" s="5" t="inlineStr">
        <is>
          <t>real estate</t>
        </is>
      </c>
      <c r="N516" s="5" t="n">
        <v>26</v>
      </c>
      <c r="O516" s="5" t="inlineStr">
        <is>
          <t>none</t>
        </is>
      </c>
      <c r="P516" s="5" t="inlineStr">
        <is>
          <t>own</t>
        </is>
      </c>
      <c r="Q516" s="5" t="n">
        <v>1</v>
      </c>
      <c r="R516" s="5" t="inlineStr">
        <is>
          <t>skilled</t>
        </is>
      </c>
      <c r="S516" s="5" t="n">
        <v>1</v>
      </c>
      <c r="T516" s="5" t="inlineStr">
        <is>
          <t>none</t>
        </is>
      </c>
      <c r="U516" s="5" t="inlineStr">
        <is>
          <t>yes</t>
        </is>
      </c>
      <c r="V516" s="5" t="inlineStr">
        <is>
          <t>bad</t>
        </is>
      </c>
    </row>
    <row r="517">
      <c r="A517" s="5" t="n">
        <v>512</v>
      </c>
      <c r="B517" s="5" t="inlineStr">
        <is>
          <t>no checking</t>
        </is>
      </c>
      <c r="C517" s="5" t="n">
        <v>36</v>
      </c>
      <c r="D517" s="5" t="inlineStr">
        <is>
          <t>existing paid</t>
        </is>
      </c>
      <c r="E517" s="5" t="inlineStr">
        <is>
          <t>used car</t>
        </is>
      </c>
      <c r="F517" s="5" t="n">
        <v>4686</v>
      </c>
      <c r="G517" s="5" t="inlineStr">
        <is>
          <t>&lt;100</t>
        </is>
      </c>
      <c r="H517" s="5" t="inlineStr">
        <is>
          <t>1&lt;=X&lt;4</t>
        </is>
      </c>
      <c r="I517" s="5" t="n">
        <v>2</v>
      </c>
      <c r="J517" s="5" t="inlineStr">
        <is>
          <t>male single</t>
        </is>
      </c>
      <c r="K517" s="5" t="inlineStr">
        <is>
          <t>none</t>
        </is>
      </c>
      <c r="L517" s="5" t="n">
        <v>2</v>
      </c>
      <c r="M517" s="5" t="inlineStr">
        <is>
          <t>no known property</t>
        </is>
      </c>
      <c r="N517" s="5" t="n">
        <v>32</v>
      </c>
      <c r="O517" s="5" t="inlineStr">
        <is>
          <t>none</t>
        </is>
      </c>
      <c r="P517" s="5" t="inlineStr">
        <is>
          <t>for free</t>
        </is>
      </c>
      <c r="Q517" s="5" t="n">
        <v>1</v>
      </c>
      <c r="R517" s="5" t="inlineStr">
        <is>
          <t>high qualif/self emp/mgmt</t>
        </is>
      </c>
      <c r="S517" s="5" t="n">
        <v>1</v>
      </c>
      <c r="T517" s="5" t="inlineStr">
        <is>
          <t>yes</t>
        </is>
      </c>
      <c r="U517" s="5" t="inlineStr">
        <is>
          <t>yes</t>
        </is>
      </c>
      <c r="V517" s="5" t="inlineStr">
        <is>
          <t>good</t>
        </is>
      </c>
    </row>
    <row r="518">
      <c r="A518" s="5" t="n">
        <v>513</v>
      </c>
      <c r="B518" s="5" t="inlineStr">
        <is>
          <t>&gt;=200</t>
        </is>
      </c>
      <c r="C518" s="5" t="n">
        <v>15</v>
      </c>
      <c r="D518" s="5" t="inlineStr">
        <is>
          <t>existing paid</t>
        </is>
      </c>
      <c r="E518" s="5" t="inlineStr">
        <is>
          <t>business</t>
        </is>
      </c>
      <c r="F518" s="5" t="n">
        <v>2687</v>
      </c>
      <c r="G518" s="5" t="inlineStr">
        <is>
          <t>&lt;100</t>
        </is>
      </c>
      <c r="H518" s="5" t="inlineStr">
        <is>
          <t>4&lt;=X&lt;7</t>
        </is>
      </c>
      <c r="I518" s="5" t="n">
        <v>2</v>
      </c>
      <c r="J518" s="5" t="inlineStr">
        <is>
          <t>male single</t>
        </is>
      </c>
      <c r="K518" s="5" t="inlineStr">
        <is>
          <t>none</t>
        </is>
      </c>
      <c r="L518" s="5" t="n">
        <v>4</v>
      </c>
      <c r="M518" s="5" t="inlineStr">
        <is>
          <t>life insurance</t>
        </is>
      </c>
      <c r="N518" s="5" t="n">
        <v>26</v>
      </c>
      <c r="O518" s="5" t="inlineStr">
        <is>
          <t>none</t>
        </is>
      </c>
      <c r="P518" s="5" t="inlineStr">
        <is>
          <t>rent</t>
        </is>
      </c>
      <c r="Q518" s="5" t="n">
        <v>1</v>
      </c>
      <c r="R518" s="5" t="inlineStr">
        <is>
          <t>skilled</t>
        </is>
      </c>
      <c r="S518" s="5" t="n">
        <v>1</v>
      </c>
      <c r="T518" s="5" t="inlineStr">
        <is>
          <t>yes</t>
        </is>
      </c>
      <c r="U518" s="5" t="inlineStr">
        <is>
          <t>yes</t>
        </is>
      </c>
      <c r="V518" s="5" t="inlineStr">
        <is>
          <t>good</t>
        </is>
      </c>
    </row>
    <row r="519">
      <c r="A519" s="5" t="n">
        <v>514</v>
      </c>
      <c r="B519" s="5" t="inlineStr">
        <is>
          <t>0&lt;=X&lt;200</t>
        </is>
      </c>
      <c r="C519" s="5" t="n">
        <v>12</v>
      </c>
      <c r="D519" s="5" t="inlineStr">
        <is>
          <t>delayed previously</t>
        </is>
      </c>
      <c r="E519" s="5" t="inlineStr">
        <is>
          <t>radio/tv</t>
        </is>
      </c>
      <c r="F519" s="5" t="n">
        <v>585</v>
      </c>
      <c r="G519" s="5" t="inlineStr">
        <is>
          <t>&lt;100</t>
        </is>
      </c>
      <c r="H519" s="5" t="inlineStr">
        <is>
          <t>1&lt;=X&lt;4</t>
        </is>
      </c>
      <c r="I519" s="5" t="n">
        <v>4</v>
      </c>
      <c r="J519" s="5" t="inlineStr">
        <is>
          <t>male mar/wid</t>
        </is>
      </c>
      <c r="K519" s="5" t="inlineStr">
        <is>
          <t>co applicant</t>
        </is>
      </c>
      <c r="L519" s="5" t="n">
        <v>4</v>
      </c>
      <c r="M519" s="5" t="inlineStr">
        <is>
          <t>real estate</t>
        </is>
      </c>
      <c r="N519" s="5" t="n">
        <v>20</v>
      </c>
      <c r="O519" s="5" t="inlineStr">
        <is>
          <t>none</t>
        </is>
      </c>
      <c r="P519" s="5" t="inlineStr">
        <is>
          <t>rent</t>
        </is>
      </c>
      <c r="Q519" s="5" t="n">
        <v>2</v>
      </c>
      <c r="R519" s="5" t="inlineStr">
        <is>
          <t>skilled</t>
        </is>
      </c>
      <c r="S519" s="5" t="n">
        <v>1</v>
      </c>
      <c r="T519" s="5" t="inlineStr">
        <is>
          <t>none</t>
        </is>
      </c>
      <c r="U519" s="5" t="inlineStr">
        <is>
          <t>yes</t>
        </is>
      </c>
      <c r="V519" s="5" t="inlineStr">
        <is>
          <t>good</t>
        </is>
      </c>
    </row>
    <row r="520">
      <c r="A520" s="5" t="n">
        <v>515</v>
      </c>
      <c r="B520" s="5" t="inlineStr">
        <is>
          <t>no checking</t>
        </is>
      </c>
      <c r="C520" s="5" t="n">
        <v>24</v>
      </c>
      <c r="D520" s="5" t="inlineStr">
        <is>
          <t>existing paid</t>
        </is>
      </c>
      <c r="E520" s="5" t="inlineStr">
        <is>
          <t>new car</t>
        </is>
      </c>
      <c r="F520" s="5" t="n">
        <v>2255</v>
      </c>
      <c r="G520" s="5" t="inlineStr">
        <is>
          <t>no known savings</t>
        </is>
      </c>
      <c r="H520" s="5" t="inlineStr">
        <is>
          <t>&lt;1</t>
        </is>
      </c>
      <c r="I520" s="5" t="n">
        <v>4</v>
      </c>
      <c r="J520" s="5" t="inlineStr">
        <is>
          <t>male single</t>
        </is>
      </c>
      <c r="K520" s="5" t="inlineStr">
        <is>
          <t>none</t>
        </is>
      </c>
      <c r="L520" s="5" t="n">
        <v>1</v>
      </c>
      <c r="M520" s="5" t="inlineStr">
        <is>
          <t>life insurance</t>
        </is>
      </c>
      <c r="N520" s="5" t="n">
        <v>54</v>
      </c>
      <c r="O520" s="5" t="inlineStr">
        <is>
          <t>none</t>
        </is>
      </c>
      <c r="P520" s="5" t="inlineStr">
        <is>
          <t>own</t>
        </is>
      </c>
      <c r="Q520" s="5" t="n">
        <v>1</v>
      </c>
      <c r="R520" s="5" t="inlineStr">
        <is>
          <t>skilled</t>
        </is>
      </c>
      <c r="S520" s="5" t="n">
        <v>1</v>
      </c>
      <c r="T520" s="5" t="inlineStr">
        <is>
          <t>none</t>
        </is>
      </c>
      <c r="U520" s="5" t="inlineStr">
        <is>
          <t>yes</t>
        </is>
      </c>
      <c r="V520" s="5" t="inlineStr">
        <is>
          <t>good</t>
        </is>
      </c>
    </row>
    <row r="521">
      <c r="A521" s="5" t="n">
        <v>516</v>
      </c>
      <c r="B521" s="5" t="inlineStr">
        <is>
          <t>&lt;0</t>
        </is>
      </c>
      <c r="C521" s="5" t="n">
        <v>6</v>
      </c>
      <c r="D521" s="5" t="inlineStr">
        <is>
          <t>critical/other existing credit</t>
        </is>
      </c>
      <c r="E521" s="5" t="inlineStr">
        <is>
          <t>new car</t>
        </is>
      </c>
      <c r="F521" s="5" t="n">
        <v>609</v>
      </c>
      <c r="G521" s="5" t="inlineStr">
        <is>
          <t>&lt;100</t>
        </is>
      </c>
      <c r="H521" s="5" t="inlineStr">
        <is>
          <t>4&lt;=X&lt;7</t>
        </is>
      </c>
      <c r="I521" s="5" t="n">
        <v>4</v>
      </c>
      <c r="J521" s="5" t="inlineStr">
        <is>
          <t>female div/dep/mar</t>
        </is>
      </c>
      <c r="K521" s="5" t="inlineStr">
        <is>
          <t>none</t>
        </is>
      </c>
      <c r="L521" s="5" t="n">
        <v>3</v>
      </c>
      <c r="M521" s="5" t="inlineStr">
        <is>
          <t>life insurance</t>
        </is>
      </c>
      <c r="N521" s="5" t="n">
        <v>37</v>
      </c>
      <c r="O521" s="5" t="inlineStr">
        <is>
          <t>none</t>
        </is>
      </c>
      <c r="P521" s="5" t="inlineStr">
        <is>
          <t>own</t>
        </is>
      </c>
      <c r="Q521" s="5" t="n">
        <v>2</v>
      </c>
      <c r="R521" s="5" t="inlineStr">
        <is>
          <t>skilled</t>
        </is>
      </c>
      <c r="S521" s="5" t="n">
        <v>1</v>
      </c>
      <c r="T521" s="5" t="inlineStr">
        <is>
          <t>none</t>
        </is>
      </c>
      <c r="U521" s="5" t="inlineStr">
        <is>
          <t>no</t>
        </is>
      </c>
      <c r="V521" s="5" t="inlineStr">
        <is>
          <t>good</t>
        </is>
      </c>
    </row>
    <row r="522">
      <c r="A522" s="5" t="n">
        <v>517</v>
      </c>
      <c r="B522" s="5" t="inlineStr">
        <is>
          <t>&lt;0</t>
        </is>
      </c>
      <c r="C522" s="5" t="n">
        <v>6</v>
      </c>
      <c r="D522" s="5" t="inlineStr">
        <is>
          <t>critical/other existing credit</t>
        </is>
      </c>
      <c r="E522" s="5" t="inlineStr">
        <is>
          <t>new car</t>
        </is>
      </c>
      <c r="F522" s="5" t="n">
        <v>1361</v>
      </c>
      <c r="G522" s="5" t="inlineStr">
        <is>
          <t>&lt;100</t>
        </is>
      </c>
      <c r="H522" s="5" t="inlineStr">
        <is>
          <t>&lt;1</t>
        </is>
      </c>
      <c r="I522" s="5" t="n">
        <v>2</v>
      </c>
      <c r="J522" s="5" t="inlineStr">
        <is>
          <t>male single</t>
        </is>
      </c>
      <c r="K522" s="5" t="inlineStr">
        <is>
          <t>none</t>
        </is>
      </c>
      <c r="L522" s="5" t="n">
        <v>4</v>
      </c>
      <c r="M522" s="5" t="inlineStr">
        <is>
          <t>real estate</t>
        </is>
      </c>
      <c r="N522" s="5" t="n">
        <v>40</v>
      </c>
      <c r="O522" s="5" t="inlineStr">
        <is>
          <t>none</t>
        </is>
      </c>
      <c r="P522" s="5" t="inlineStr">
        <is>
          <t>own</t>
        </is>
      </c>
      <c r="Q522" s="5" t="n">
        <v>1</v>
      </c>
      <c r="R522" s="5" t="inlineStr">
        <is>
          <t>unskilled resident</t>
        </is>
      </c>
      <c r="S522" s="5" t="n">
        <v>2</v>
      </c>
      <c r="T522" s="5" t="inlineStr">
        <is>
          <t>none</t>
        </is>
      </c>
      <c r="U522" s="5" t="inlineStr">
        <is>
          <t>no</t>
        </is>
      </c>
      <c r="V522" s="5" t="inlineStr">
        <is>
          <t>good</t>
        </is>
      </c>
    </row>
    <row r="523">
      <c r="A523" s="5" t="n">
        <v>518</v>
      </c>
      <c r="B523" s="5" t="inlineStr">
        <is>
          <t>no checking</t>
        </is>
      </c>
      <c r="C523" s="5" t="n">
        <v>36</v>
      </c>
      <c r="D523" s="5" t="inlineStr">
        <is>
          <t>critical/other existing credit</t>
        </is>
      </c>
      <c r="E523" s="5" t="inlineStr">
        <is>
          <t>furniture/equipment</t>
        </is>
      </c>
      <c r="F523" s="5" t="n">
        <v>7127</v>
      </c>
      <c r="G523" s="5" t="inlineStr">
        <is>
          <t>&lt;100</t>
        </is>
      </c>
      <c r="H523" s="5" t="inlineStr">
        <is>
          <t>&lt;1</t>
        </is>
      </c>
      <c r="I523" s="5" t="n">
        <v>2</v>
      </c>
      <c r="J523" s="5" t="inlineStr">
        <is>
          <t>female div/dep/mar</t>
        </is>
      </c>
      <c r="K523" s="5" t="inlineStr">
        <is>
          <t>none</t>
        </is>
      </c>
      <c r="L523" s="5" t="n">
        <v>4</v>
      </c>
      <c r="M523" s="5" t="inlineStr">
        <is>
          <t>life insurance</t>
        </is>
      </c>
      <c r="N523" s="5" t="n">
        <v>23</v>
      </c>
      <c r="O523" s="5" t="inlineStr">
        <is>
          <t>none</t>
        </is>
      </c>
      <c r="P523" s="5" t="inlineStr">
        <is>
          <t>rent</t>
        </is>
      </c>
      <c r="Q523" s="5" t="n">
        <v>2</v>
      </c>
      <c r="R523" s="5" t="inlineStr">
        <is>
          <t>skilled</t>
        </is>
      </c>
      <c r="S523" s="5" t="n">
        <v>1</v>
      </c>
      <c r="T523" s="5" t="inlineStr">
        <is>
          <t>yes</t>
        </is>
      </c>
      <c r="U523" s="5" t="inlineStr">
        <is>
          <t>yes</t>
        </is>
      </c>
      <c r="V523" s="5" t="inlineStr">
        <is>
          <t>bad</t>
        </is>
      </c>
    </row>
    <row r="524">
      <c r="A524" s="5" t="n">
        <v>519</v>
      </c>
      <c r="B524" s="5" t="inlineStr">
        <is>
          <t>&lt;0</t>
        </is>
      </c>
      <c r="C524" s="5" t="n">
        <v>6</v>
      </c>
      <c r="D524" s="5" t="inlineStr">
        <is>
          <t>existing paid</t>
        </is>
      </c>
      <c r="E524" s="5" t="inlineStr">
        <is>
          <t>new car</t>
        </is>
      </c>
      <c r="F524" s="5" t="n">
        <v>1203</v>
      </c>
      <c r="G524" s="5" t="inlineStr">
        <is>
          <t>100&lt;=X&lt;500</t>
        </is>
      </c>
      <c r="H524" s="5" t="inlineStr">
        <is>
          <t>&gt;=7</t>
        </is>
      </c>
      <c r="I524" s="5" t="n">
        <v>3</v>
      </c>
      <c r="J524" s="5" t="inlineStr">
        <is>
          <t>male single</t>
        </is>
      </c>
      <c r="K524" s="5" t="inlineStr">
        <is>
          <t>none</t>
        </is>
      </c>
      <c r="L524" s="5" t="n">
        <v>2</v>
      </c>
      <c r="M524" s="5" t="inlineStr">
        <is>
          <t>life insurance</t>
        </is>
      </c>
      <c r="N524" s="5" t="n">
        <v>43</v>
      </c>
      <c r="O524" s="5" t="inlineStr">
        <is>
          <t>none</t>
        </is>
      </c>
      <c r="P524" s="5" t="inlineStr">
        <is>
          <t>own</t>
        </is>
      </c>
      <c r="Q524" s="5" t="n">
        <v>1</v>
      </c>
      <c r="R524" s="5" t="inlineStr">
        <is>
          <t>skilled</t>
        </is>
      </c>
      <c r="S524" s="5" t="n">
        <v>1</v>
      </c>
      <c r="T524" s="5" t="inlineStr">
        <is>
          <t>yes</t>
        </is>
      </c>
      <c r="U524" s="5" t="inlineStr">
        <is>
          <t>yes</t>
        </is>
      </c>
      <c r="V524" s="5" t="inlineStr">
        <is>
          <t>good</t>
        </is>
      </c>
    </row>
    <row r="525">
      <c r="A525" s="5" t="n">
        <v>520</v>
      </c>
      <c r="B525" s="5" t="inlineStr">
        <is>
          <t>no checking</t>
        </is>
      </c>
      <c r="C525" s="5" t="n">
        <v>6</v>
      </c>
      <c r="D525" s="5" t="inlineStr">
        <is>
          <t>critical/other existing credit</t>
        </is>
      </c>
      <c r="E525" s="5" t="inlineStr">
        <is>
          <t>radio/tv</t>
        </is>
      </c>
      <c r="F525" s="5" t="n">
        <v>700</v>
      </c>
      <c r="G525" s="5" t="inlineStr">
        <is>
          <t>no known savings</t>
        </is>
      </c>
      <c r="H525" s="5" t="inlineStr">
        <is>
          <t>&gt;=7</t>
        </is>
      </c>
      <c r="I525" s="5" t="n">
        <v>4</v>
      </c>
      <c r="J525" s="5" t="inlineStr">
        <is>
          <t>male single</t>
        </is>
      </c>
      <c r="K525" s="5" t="inlineStr">
        <is>
          <t>none</t>
        </is>
      </c>
      <c r="L525" s="5" t="n">
        <v>4</v>
      </c>
      <c r="M525" s="5" t="inlineStr">
        <is>
          <t>no known property</t>
        </is>
      </c>
      <c r="N525" s="5" t="n">
        <v>36</v>
      </c>
      <c r="O525" s="5" t="inlineStr">
        <is>
          <t>none</t>
        </is>
      </c>
      <c r="P525" s="5" t="inlineStr">
        <is>
          <t>for free</t>
        </is>
      </c>
      <c r="Q525" s="5" t="n">
        <v>2</v>
      </c>
      <c r="R525" s="5" t="inlineStr">
        <is>
          <t>skilled</t>
        </is>
      </c>
      <c r="S525" s="5" t="n">
        <v>1</v>
      </c>
      <c r="T525" s="5" t="inlineStr">
        <is>
          <t>none</t>
        </is>
      </c>
      <c r="U525" s="5" t="inlineStr">
        <is>
          <t>yes</t>
        </is>
      </c>
      <c r="V525" s="5" t="inlineStr">
        <is>
          <t>good</t>
        </is>
      </c>
    </row>
    <row r="526">
      <c r="A526" s="5" t="n">
        <v>521</v>
      </c>
      <c r="B526" s="5" t="inlineStr">
        <is>
          <t>no checking</t>
        </is>
      </c>
      <c r="C526" s="5" t="n">
        <v>24</v>
      </c>
      <c r="D526" s="5" t="inlineStr">
        <is>
          <t>critical/other existing credit</t>
        </is>
      </c>
      <c r="E526" s="5" t="inlineStr">
        <is>
          <t>repairs</t>
        </is>
      </c>
      <c r="F526" s="5" t="n">
        <v>5507</v>
      </c>
      <c r="G526" s="5" t="inlineStr">
        <is>
          <t>&lt;100</t>
        </is>
      </c>
      <c r="H526" s="5" t="inlineStr">
        <is>
          <t>&gt;=7</t>
        </is>
      </c>
      <c r="I526" s="5" t="n">
        <v>3</v>
      </c>
      <c r="J526" s="5" t="inlineStr">
        <is>
          <t>male single</t>
        </is>
      </c>
      <c r="K526" s="5" t="inlineStr">
        <is>
          <t>none</t>
        </is>
      </c>
      <c r="L526" s="5" t="n">
        <v>4</v>
      </c>
      <c r="M526" s="5" t="inlineStr">
        <is>
          <t>no known property</t>
        </is>
      </c>
      <c r="N526" s="5" t="n">
        <v>44</v>
      </c>
      <c r="O526" s="5" t="inlineStr">
        <is>
          <t>none</t>
        </is>
      </c>
      <c r="P526" s="5" t="inlineStr">
        <is>
          <t>for free</t>
        </is>
      </c>
      <c r="Q526" s="5" t="n">
        <v>2</v>
      </c>
      <c r="R526" s="5" t="inlineStr">
        <is>
          <t>skilled</t>
        </is>
      </c>
      <c r="S526" s="5" t="n">
        <v>1</v>
      </c>
      <c r="T526" s="5" t="inlineStr">
        <is>
          <t>none</t>
        </is>
      </c>
      <c r="U526" s="5" t="inlineStr">
        <is>
          <t>yes</t>
        </is>
      </c>
      <c r="V526" s="5" t="inlineStr">
        <is>
          <t>good</t>
        </is>
      </c>
    </row>
    <row r="527">
      <c r="A527" s="5" t="n">
        <v>522</v>
      </c>
      <c r="B527" s="5" t="inlineStr">
        <is>
          <t>&lt;0</t>
        </is>
      </c>
      <c r="C527" s="5" t="n">
        <v>18</v>
      </c>
      <c r="D527" s="5" t="inlineStr">
        <is>
          <t>existing paid</t>
        </is>
      </c>
      <c r="E527" s="5" t="inlineStr">
        <is>
          <t>radio/tv</t>
        </is>
      </c>
      <c r="F527" s="5" t="n">
        <v>3190</v>
      </c>
      <c r="G527" s="5" t="inlineStr">
        <is>
          <t>&lt;100</t>
        </is>
      </c>
      <c r="H527" s="5" t="inlineStr">
        <is>
          <t>1&lt;=X&lt;4</t>
        </is>
      </c>
      <c r="I527" s="5" t="n">
        <v>2</v>
      </c>
      <c r="J527" s="5" t="inlineStr">
        <is>
          <t>female div/dep/mar</t>
        </is>
      </c>
      <c r="K527" s="5" t="inlineStr">
        <is>
          <t>none</t>
        </is>
      </c>
      <c r="L527" s="5" t="n">
        <v>2</v>
      </c>
      <c r="M527" s="5" t="inlineStr">
        <is>
          <t>real estate</t>
        </is>
      </c>
      <c r="N527" s="5" t="n">
        <v>24</v>
      </c>
      <c r="O527" s="5" t="inlineStr">
        <is>
          <t>none</t>
        </is>
      </c>
      <c r="P527" s="5" t="inlineStr">
        <is>
          <t>own</t>
        </is>
      </c>
      <c r="Q527" s="5" t="n">
        <v>1</v>
      </c>
      <c r="R527" s="5" t="inlineStr">
        <is>
          <t>skilled</t>
        </is>
      </c>
      <c r="S527" s="5" t="n">
        <v>1</v>
      </c>
      <c r="T527" s="5" t="inlineStr">
        <is>
          <t>none</t>
        </is>
      </c>
      <c r="U527" s="5" t="inlineStr">
        <is>
          <t>yes</t>
        </is>
      </c>
      <c r="V527" s="5" t="inlineStr">
        <is>
          <t>bad</t>
        </is>
      </c>
    </row>
    <row r="528">
      <c r="A528" s="5" t="n">
        <v>523</v>
      </c>
      <c r="B528" s="5" t="inlineStr">
        <is>
          <t>&lt;0</t>
        </is>
      </c>
      <c r="C528" s="5" t="n">
        <v>48</v>
      </c>
      <c r="D528" s="5" t="inlineStr">
        <is>
          <t>no credits/all paid</t>
        </is>
      </c>
      <c r="E528" s="5" t="inlineStr">
        <is>
          <t>furniture/equipment</t>
        </is>
      </c>
      <c r="F528" s="5" t="n">
        <v>7119</v>
      </c>
      <c r="G528" s="5" t="inlineStr">
        <is>
          <t>&lt;100</t>
        </is>
      </c>
      <c r="H528" s="5" t="inlineStr">
        <is>
          <t>1&lt;=X&lt;4</t>
        </is>
      </c>
      <c r="I528" s="5" t="n">
        <v>3</v>
      </c>
      <c r="J528" s="5" t="inlineStr">
        <is>
          <t>male single</t>
        </is>
      </c>
      <c r="K528" s="5" t="inlineStr">
        <is>
          <t>none</t>
        </is>
      </c>
      <c r="L528" s="5" t="n">
        <v>4</v>
      </c>
      <c r="M528" s="5" t="inlineStr">
        <is>
          <t>no known property</t>
        </is>
      </c>
      <c r="N528" s="5" t="n">
        <v>53</v>
      </c>
      <c r="O528" s="5" t="inlineStr">
        <is>
          <t>none</t>
        </is>
      </c>
      <c r="P528" s="5" t="inlineStr">
        <is>
          <t>for free</t>
        </is>
      </c>
      <c r="Q528" s="5" t="n">
        <v>2</v>
      </c>
      <c r="R528" s="5" t="inlineStr">
        <is>
          <t>skilled</t>
        </is>
      </c>
      <c r="S528" s="5" t="n">
        <v>2</v>
      </c>
      <c r="T528" s="5" t="inlineStr">
        <is>
          <t>none</t>
        </is>
      </c>
      <c r="U528" s="5" t="inlineStr">
        <is>
          <t>yes</t>
        </is>
      </c>
      <c r="V528" s="5" t="inlineStr">
        <is>
          <t>bad</t>
        </is>
      </c>
    </row>
    <row r="529">
      <c r="A529" s="5" t="n">
        <v>524</v>
      </c>
      <c r="B529" s="5" t="inlineStr">
        <is>
          <t>no checking</t>
        </is>
      </c>
      <c r="C529" s="5" t="n">
        <v>24</v>
      </c>
      <c r="D529" s="5" t="inlineStr">
        <is>
          <t>existing paid</t>
        </is>
      </c>
      <c r="E529" s="5" t="inlineStr">
        <is>
          <t>used car</t>
        </is>
      </c>
      <c r="F529" s="5" t="n">
        <v>3488</v>
      </c>
      <c r="G529" s="5" t="inlineStr">
        <is>
          <t>100&lt;=X&lt;500</t>
        </is>
      </c>
      <c r="H529" s="5" t="inlineStr">
        <is>
          <t>4&lt;=X&lt;7</t>
        </is>
      </c>
      <c r="I529" s="5" t="n">
        <v>3</v>
      </c>
      <c r="J529" s="5" t="inlineStr">
        <is>
          <t>female div/dep/mar</t>
        </is>
      </c>
      <c r="K529" s="5" t="inlineStr">
        <is>
          <t>none</t>
        </is>
      </c>
      <c r="L529" s="5" t="n">
        <v>4</v>
      </c>
      <c r="M529" s="5" t="inlineStr">
        <is>
          <t>car</t>
        </is>
      </c>
      <c r="N529" s="5" t="n">
        <v>23</v>
      </c>
      <c r="O529" s="5" t="inlineStr">
        <is>
          <t>none</t>
        </is>
      </c>
      <c r="P529" s="5" t="inlineStr">
        <is>
          <t>own</t>
        </is>
      </c>
      <c r="Q529" s="5" t="n">
        <v>1</v>
      </c>
      <c r="R529" s="5" t="inlineStr">
        <is>
          <t>skilled</t>
        </is>
      </c>
      <c r="S529" s="5" t="n">
        <v>1</v>
      </c>
      <c r="T529" s="5" t="inlineStr">
        <is>
          <t>none</t>
        </is>
      </c>
      <c r="U529" s="5" t="inlineStr">
        <is>
          <t>yes</t>
        </is>
      </c>
      <c r="V529" s="5" t="inlineStr">
        <is>
          <t>good</t>
        </is>
      </c>
    </row>
    <row r="530">
      <c r="A530" s="5" t="n">
        <v>525</v>
      </c>
      <c r="B530" s="5" t="inlineStr">
        <is>
          <t>0&lt;=X&lt;200</t>
        </is>
      </c>
      <c r="C530" s="5" t="n">
        <v>18</v>
      </c>
      <c r="D530" s="5" t="inlineStr">
        <is>
          <t>existing paid</t>
        </is>
      </c>
      <c r="E530" s="5" t="inlineStr">
        <is>
          <t>radio/tv</t>
        </is>
      </c>
      <c r="F530" s="5" t="n">
        <v>1113</v>
      </c>
      <c r="G530" s="5" t="inlineStr">
        <is>
          <t>&lt;100</t>
        </is>
      </c>
      <c r="H530" s="5" t="inlineStr">
        <is>
          <t>1&lt;=X&lt;4</t>
        </is>
      </c>
      <c r="I530" s="5" t="n">
        <v>4</v>
      </c>
      <c r="J530" s="5" t="inlineStr">
        <is>
          <t>female div/dep/mar</t>
        </is>
      </c>
      <c r="K530" s="5" t="inlineStr">
        <is>
          <t>guarantor</t>
        </is>
      </c>
      <c r="L530" s="5" t="n">
        <v>4</v>
      </c>
      <c r="M530" s="5" t="inlineStr">
        <is>
          <t>real estate</t>
        </is>
      </c>
      <c r="N530" s="5" t="n">
        <v>26</v>
      </c>
      <c r="O530" s="5" t="inlineStr">
        <is>
          <t>none</t>
        </is>
      </c>
      <c r="P530" s="5" t="inlineStr">
        <is>
          <t>own</t>
        </is>
      </c>
      <c r="Q530" s="5" t="n">
        <v>1</v>
      </c>
      <c r="R530" s="5" t="inlineStr">
        <is>
          <t>unskilled resident</t>
        </is>
      </c>
      <c r="S530" s="5" t="n">
        <v>2</v>
      </c>
      <c r="T530" s="5" t="inlineStr">
        <is>
          <t>none</t>
        </is>
      </c>
      <c r="U530" s="5" t="inlineStr">
        <is>
          <t>yes</t>
        </is>
      </c>
      <c r="V530" s="5" t="inlineStr">
        <is>
          <t>good</t>
        </is>
      </c>
    </row>
    <row r="531">
      <c r="A531" s="5" t="n">
        <v>526</v>
      </c>
      <c r="B531" s="5" t="inlineStr">
        <is>
          <t>0&lt;=X&lt;200</t>
        </is>
      </c>
      <c r="C531" s="5" t="n">
        <v>26</v>
      </c>
      <c r="D531" s="5" t="inlineStr">
        <is>
          <t>existing paid</t>
        </is>
      </c>
      <c r="E531" s="5" t="inlineStr">
        <is>
          <t>used car</t>
        </is>
      </c>
      <c r="F531" s="5" t="n">
        <v>7966</v>
      </c>
      <c r="G531" s="5" t="inlineStr">
        <is>
          <t>&lt;100</t>
        </is>
      </c>
      <c r="H531" s="5" t="inlineStr">
        <is>
          <t>&lt;1</t>
        </is>
      </c>
      <c r="I531" s="5" t="n">
        <v>2</v>
      </c>
      <c r="J531" s="5" t="inlineStr">
        <is>
          <t>male single</t>
        </is>
      </c>
      <c r="K531" s="5" t="inlineStr">
        <is>
          <t>none</t>
        </is>
      </c>
      <c r="L531" s="5" t="n">
        <v>3</v>
      </c>
      <c r="M531" s="5" t="inlineStr">
        <is>
          <t>car</t>
        </is>
      </c>
      <c r="N531" s="5" t="n">
        <v>30</v>
      </c>
      <c r="O531" s="5" t="inlineStr">
        <is>
          <t>none</t>
        </is>
      </c>
      <c r="P531" s="5" t="inlineStr">
        <is>
          <t>own</t>
        </is>
      </c>
      <c r="Q531" s="5" t="n">
        <v>2</v>
      </c>
      <c r="R531" s="5" t="inlineStr">
        <is>
          <t>skilled</t>
        </is>
      </c>
      <c r="S531" s="5" t="n">
        <v>1</v>
      </c>
      <c r="T531" s="5" t="inlineStr">
        <is>
          <t>none</t>
        </is>
      </c>
      <c r="U531" s="5" t="inlineStr">
        <is>
          <t>yes</t>
        </is>
      </c>
      <c r="V531" s="5" t="inlineStr">
        <is>
          <t>good</t>
        </is>
      </c>
    </row>
    <row r="532">
      <c r="A532" s="5" t="n">
        <v>527</v>
      </c>
      <c r="B532" s="5" t="inlineStr">
        <is>
          <t>no checking</t>
        </is>
      </c>
      <c r="C532" s="5" t="n">
        <v>15</v>
      </c>
      <c r="D532" s="5" t="inlineStr">
        <is>
          <t>critical/other existing credit</t>
        </is>
      </c>
      <c r="E532" s="5" t="inlineStr">
        <is>
          <t>education</t>
        </is>
      </c>
      <c r="F532" s="5" t="n">
        <v>1532</v>
      </c>
      <c r="G532" s="5" t="inlineStr">
        <is>
          <t>100&lt;=X&lt;500</t>
        </is>
      </c>
      <c r="H532" s="5" t="inlineStr">
        <is>
          <t>1&lt;=X&lt;4</t>
        </is>
      </c>
      <c r="I532" s="5" t="n">
        <v>4</v>
      </c>
      <c r="J532" s="5" t="inlineStr">
        <is>
          <t>female div/dep/mar</t>
        </is>
      </c>
      <c r="K532" s="5" t="inlineStr">
        <is>
          <t>none</t>
        </is>
      </c>
      <c r="L532" s="5" t="n">
        <v>3</v>
      </c>
      <c r="M532" s="5" t="inlineStr">
        <is>
          <t>car</t>
        </is>
      </c>
      <c r="N532" s="5" t="n">
        <v>31</v>
      </c>
      <c r="O532" s="5" t="inlineStr">
        <is>
          <t>none</t>
        </is>
      </c>
      <c r="P532" s="5" t="inlineStr">
        <is>
          <t>own</t>
        </is>
      </c>
      <c r="Q532" s="5" t="n">
        <v>1</v>
      </c>
      <c r="R532" s="5" t="inlineStr">
        <is>
          <t>skilled</t>
        </is>
      </c>
      <c r="S532" s="5" t="n">
        <v>1</v>
      </c>
      <c r="T532" s="5" t="inlineStr">
        <is>
          <t>none</t>
        </is>
      </c>
      <c r="U532" s="5" t="inlineStr">
        <is>
          <t>yes</t>
        </is>
      </c>
      <c r="V532" s="5" t="inlineStr">
        <is>
          <t>good</t>
        </is>
      </c>
    </row>
    <row r="533">
      <c r="A533" s="5" t="n">
        <v>528</v>
      </c>
      <c r="B533" s="5" t="inlineStr">
        <is>
          <t>no checking</t>
        </is>
      </c>
      <c r="C533" s="5" t="n">
        <v>4</v>
      </c>
      <c r="D533" s="5" t="inlineStr">
        <is>
          <t>critical/other existing credit</t>
        </is>
      </c>
      <c r="E533" s="5" t="inlineStr">
        <is>
          <t>radio/tv</t>
        </is>
      </c>
      <c r="F533" s="5" t="n">
        <v>1503</v>
      </c>
      <c r="G533" s="5" t="inlineStr">
        <is>
          <t>&lt;100</t>
        </is>
      </c>
      <c r="H533" s="5" t="inlineStr">
        <is>
          <t>4&lt;=X&lt;7</t>
        </is>
      </c>
      <c r="I533" s="5" t="n">
        <v>2</v>
      </c>
      <c r="J533" s="5" t="inlineStr">
        <is>
          <t>male single</t>
        </is>
      </c>
      <c r="K533" s="5" t="inlineStr">
        <is>
          <t>none</t>
        </is>
      </c>
      <c r="L533" s="5" t="n">
        <v>1</v>
      </c>
      <c r="M533" s="5" t="inlineStr">
        <is>
          <t>real estate</t>
        </is>
      </c>
      <c r="N533" s="5" t="n">
        <v>42</v>
      </c>
      <c r="O533" s="5" t="inlineStr">
        <is>
          <t>none</t>
        </is>
      </c>
      <c r="P533" s="5" t="inlineStr">
        <is>
          <t>own</t>
        </is>
      </c>
      <c r="Q533" s="5" t="n">
        <v>2</v>
      </c>
      <c r="R533" s="5" t="inlineStr">
        <is>
          <t>unskilled resident</t>
        </is>
      </c>
      <c r="S533" s="5" t="n">
        <v>2</v>
      </c>
      <c r="T533" s="5" t="inlineStr">
        <is>
          <t>none</t>
        </is>
      </c>
      <c r="U533" s="5" t="inlineStr">
        <is>
          <t>yes</t>
        </is>
      </c>
      <c r="V533" s="5" t="inlineStr">
        <is>
          <t>good</t>
        </is>
      </c>
    </row>
    <row r="534">
      <c r="A534" s="5" t="n">
        <v>529</v>
      </c>
      <c r="B534" s="5" t="inlineStr">
        <is>
          <t>&lt;0</t>
        </is>
      </c>
      <c r="C534" s="5" t="n">
        <v>36</v>
      </c>
      <c r="D534" s="5" t="inlineStr">
        <is>
          <t>existing paid</t>
        </is>
      </c>
      <c r="E534" s="5" t="inlineStr">
        <is>
          <t>radio/tv</t>
        </is>
      </c>
      <c r="F534" s="5" t="n">
        <v>2302</v>
      </c>
      <c r="G534" s="5" t="inlineStr">
        <is>
          <t>&lt;100</t>
        </is>
      </c>
      <c r="H534" s="5" t="inlineStr">
        <is>
          <t>1&lt;=X&lt;4</t>
        </is>
      </c>
      <c r="I534" s="5" t="n">
        <v>4</v>
      </c>
      <c r="J534" s="5" t="inlineStr">
        <is>
          <t>male div/sep</t>
        </is>
      </c>
      <c r="K534" s="5" t="inlineStr">
        <is>
          <t>none</t>
        </is>
      </c>
      <c r="L534" s="5" t="n">
        <v>4</v>
      </c>
      <c r="M534" s="5" t="inlineStr">
        <is>
          <t>car</t>
        </is>
      </c>
      <c r="N534" s="5" t="n">
        <v>31</v>
      </c>
      <c r="O534" s="5" t="inlineStr">
        <is>
          <t>none</t>
        </is>
      </c>
      <c r="P534" s="5" t="inlineStr">
        <is>
          <t>rent</t>
        </is>
      </c>
      <c r="Q534" s="5" t="n">
        <v>1</v>
      </c>
      <c r="R534" s="5" t="inlineStr">
        <is>
          <t>skilled</t>
        </is>
      </c>
      <c r="S534" s="5" t="n">
        <v>1</v>
      </c>
      <c r="T534" s="5" t="inlineStr">
        <is>
          <t>none</t>
        </is>
      </c>
      <c r="U534" s="5" t="inlineStr">
        <is>
          <t>yes</t>
        </is>
      </c>
      <c r="V534" s="5" t="inlineStr">
        <is>
          <t>bad</t>
        </is>
      </c>
    </row>
    <row r="535">
      <c r="A535" s="5" t="n">
        <v>530</v>
      </c>
      <c r="B535" s="5" t="inlineStr">
        <is>
          <t>&lt;0</t>
        </is>
      </c>
      <c r="C535" s="5" t="n">
        <v>6</v>
      </c>
      <c r="D535" s="5" t="inlineStr">
        <is>
          <t>existing paid</t>
        </is>
      </c>
      <c r="E535" s="5" t="inlineStr">
        <is>
          <t>new car</t>
        </is>
      </c>
      <c r="F535" s="5" t="n">
        <v>662</v>
      </c>
      <c r="G535" s="5" t="inlineStr">
        <is>
          <t>&lt;100</t>
        </is>
      </c>
      <c r="H535" s="5" t="inlineStr">
        <is>
          <t>&lt;1</t>
        </is>
      </c>
      <c r="I535" s="5" t="n">
        <v>3</v>
      </c>
      <c r="J535" s="5" t="inlineStr">
        <is>
          <t>male single</t>
        </is>
      </c>
      <c r="K535" s="5" t="inlineStr">
        <is>
          <t>none</t>
        </is>
      </c>
      <c r="L535" s="5" t="n">
        <v>4</v>
      </c>
      <c r="M535" s="5" t="inlineStr">
        <is>
          <t>real estate</t>
        </is>
      </c>
      <c r="N535" s="5" t="n">
        <v>41</v>
      </c>
      <c r="O535" s="5" t="inlineStr">
        <is>
          <t>none</t>
        </is>
      </c>
      <c r="P535" s="5" t="inlineStr">
        <is>
          <t>own</t>
        </is>
      </c>
      <c r="Q535" s="5" t="n">
        <v>1</v>
      </c>
      <c r="R535" s="5" t="inlineStr">
        <is>
          <t>unskilled resident</t>
        </is>
      </c>
      <c r="S535" s="5" t="n">
        <v>2</v>
      </c>
      <c r="T535" s="5" t="inlineStr">
        <is>
          <t>yes</t>
        </is>
      </c>
      <c r="U535" s="5" t="inlineStr">
        <is>
          <t>yes</t>
        </is>
      </c>
      <c r="V535" s="5" t="inlineStr">
        <is>
          <t>good</t>
        </is>
      </c>
    </row>
    <row r="536">
      <c r="A536" s="5" t="n">
        <v>531</v>
      </c>
      <c r="B536" s="5" t="inlineStr">
        <is>
          <t>0&lt;=X&lt;200</t>
        </is>
      </c>
      <c r="C536" s="5" t="n">
        <v>36</v>
      </c>
      <c r="D536" s="5" t="inlineStr">
        <is>
          <t>existing paid</t>
        </is>
      </c>
      <c r="E536" s="5" t="inlineStr">
        <is>
          <t>education</t>
        </is>
      </c>
      <c r="F536" s="5" t="n">
        <v>2273</v>
      </c>
      <c r="G536" s="5" t="inlineStr">
        <is>
          <t>&lt;100</t>
        </is>
      </c>
      <c r="H536" s="5" t="inlineStr">
        <is>
          <t>4&lt;=X&lt;7</t>
        </is>
      </c>
      <c r="I536" s="5" t="n">
        <v>3</v>
      </c>
      <c r="J536" s="5" t="inlineStr">
        <is>
          <t>male single</t>
        </is>
      </c>
      <c r="K536" s="5" t="inlineStr">
        <is>
          <t>none</t>
        </is>
      </c>
      <c r="L536" s="5" t="n">
        <v>1</v>
      </c>
      <c r="M536" s="5" t="inlineStr">
        <is>
          <t>car</t>
        </is>
      </c>
      <c r="N536" s="5" t="n">
        <v>32</v>
      </c>
      <c r="O536" s="5" t="inlineStr">
        <is>
          <t>none</t>
        </is>
      </c>
      <c r="P536" s="5" t="inlineStr">
        <is>
          <t>own</t>
        </is>
      </c>
      <c r="Q536" s="5" t="n">
        <v>2</v>
      </c>
      <c r="R536" s="5" t="inlineStr">
        <is>
          <t>skilled</t>
        </is>
      </c>
      <c r="S536" s="5" t="n">
        <v>2</v>
      </c>
      <c r="T536" s="5" t="inlineStr">
        <is>
          <t>none</t>
        </is>
      </c>
      <c r="U536" s="5" t="inlineStr">
        <is>
          <t>yes</t>
        </is>
      </c>
      <c r="V536" s="5" t="inlineStr">
        <is>
          <t>good</t>
        </is>
      </c>
    </row>
    <row r="537">
      <c r="A537" s="5" t="n">
        <v>532</v>
      </c>
      <c r="B537" s="5" t="inlineStr">
        <is>
          <t>0&lt;=X&lt;200</t>
        </is>
      </c>
      <c r="C537" s="5" t="n">
        <v>15</v>
      </c>
      <c r="D537" s="5" t="inlineStr">
        <is>
          <t>existing paid</t>
        </is>
      </c>
      <c r="E537" s="5" t="inlineStr">
        <is>
          <t>new car</t>
        </is>
      </c>
      <c r="F537" s="5" t="n">
        <v>2631</v>
      </c>
      <c r="G537" s="5" t="inlineStr">
        <is>
          <t>100&lt;=X&lt;500</t>
        </is>
      </c>
      <c r="H537" s="5" t="inlineStr">
        <is>
          <t>1&lt;=X&lt;4</t>
        </is>
      </c>
      <c r="I537" s="5" t="n">
        <v>2</v>
      </c>
      <c r="J537" s="5" t="inlineStr">
        <is>
          <t>female div/dep/mar</t>
        </is>
      </c>
      <c r="K537" s="5" t="inlineStr">
        <is>
          <t>none</t>
        </is>
      </c>
      <c r="L537" s="5" t="n">
        <v>4</v>
      </c>
      <c r="M537" s="5" t="inlineStr">
        <is>
          <t>car</t>
        </is>
      </c>
      <c r="N537" s="5" t="n">
        <v>28</v>
      </c>
      <c r="O537" s="5" t="inlineStr">
        <is>
          <t>none</t>
        </is>
      </c>
      <c r="P537" s="5" t="inlineStr">
        <is>
          <t>rent</t>
        </is>
      </c>
      <c r="Q537" s="5" t="n">
        <v>2</v>
      </c>
      <c r="R537" s="5" t="inlineStr">
        <is>
          <t>skilled</t>
        </is>
      </c>
      <c r="S537" s="5" t="n">
        <v>1</v>
      </c>
      <c r="T537" s="5" t="inlineStr">
        <is>
          <t>yes</t>
        </is>
      </c>
      <c r="U537" s="5" t="inlineStr">
        <is>
          <t>yes</t>
        </is>
      </c>
      <c r="V537" s="5" t="inlineStr">
        <is>
          <t>bad</t>
        </is>
      </c>
    </row>
    <row r="538">
      <c r="A538" s="5" t="n">
        <v>533</v>
      </c>
      <c r="B538" s="5" t="inlineStr">
        <is>
          <t>no checking</t>
        </is>
      </c>
      <c r="C538" s="5" t="n">
        <v>12</v>
      </c>
      <c r="D538" s="5" t="inlineStr">
        <is>
          <t>delayed previously</t>
        </is>
      </c>
      <c r="E538" s="5" t="inlineStr">
        <is>
          <t>used car</t>
        </is>
      </c>
      <c r="F538" s="5" t="n">
        <v>1503</v>
      </c>
      <c r="G538" s="5" t="inlineStr">
        <is>
          <t>&lt;100</t>
        </is>
      </c>
      <c r="H538" s="5" t="inlineStr">
        <is>
          <t>1&lt;=X&lt;4</t>
        </is>
      </c>
      <c r="I538" s="5" t="n">
        <v>4</v>
      </c>
      <c r="J538" s="5" t="inlineStr">
        <is>
          <t>male mar/wid</t>
        </is>
      </c>
      <c r="K538" s="5" t="inlineStr">
        <is>
          <t>none</t>
        </is>
      </c>
      <c r="L538" s="5" t="n">
        <v>4</v>
      </c>
      <c r="M538" s="5" t="inlineStr">
        <is>
          <t>real estate</t>
        </is>
      </c>
      <c r="N538" s="5" t="n">
        <v>41</v>
      </c>
      <c r="O538" s="5" t="inlineStr">
        <is>
          <t>none</t>
        </is>
      </c>
      <c r="P538" s="5" t="inlineStr">
        <is>
          <t>rent</t>
        </is>
      </c>
      <c r="Q538" s="5" t="n">
        <v>1</v>
      </c>
      <c r="R538" s="5" t="inlineStr">
        <is>
          <t>skilled</t>
        </is>
      </c>
      <c r="S538" s="5" t="n">
        <v>1</v>
      </c>
      <c r="T538" s="5" t="inlineStr">
        <is>
          <t>none</t>
        </is>
      </c>
      <c r="U538" s="5" t="inlineStr">
        <is>
          <t>yes</t>
        </is>
      </c>
      <c r="V538" s="5" t="inlineStr">
        <is>
          <t>good</t>
        </is>
      </c>
    </row>
    <row r="539">
      <c r="A539" s="5" t="n">
        <v>534</v>
      </c>
      <c r="B539" s="5" t="inlineStr">
        <is>
          <t>no checking</t>
        </is>
      </c>
      <c r="C539" s="5" t="n">
        <v>24</v>
      </c>
      <c r="D539" s="5" t="inlineStr">
        <is>
          <t>existing paid</t>
        </is>
      </c>
      <c r="E539" s="5" t="inlineStr">
        <is>
          <t>radio/tv</t>
        </is>
      </c>
      <c r="F539" s="5" t="n">
        <v>1311</v>
      </c>
      <c r="G539" s="5" t="inlineStr">
        <is>
          <t>100&lt;=X&lt;500</t>
        </is>
      </c>
      <c r="H539" s="5" t="inlineStr">
        <is>
          <t>4&lt;=X&lt;7</t>
        </is>
      </c>
      <c r="I539" s="5" t="n">
        <v>4</v>
      </c>
      <c r="J539" s="5" t="inlineStr">
        <is>
          <t>male mar/wid</t>
        </is>
      </c>
      <c r="K539" s="5" t="inlineStr">
        <is>
          <t>none</t>
        </is>
      </c>
      <c r="L539" s="5" t="n">
        <v>3</v>
      </c>
      <c r="M539" s="5" t="inlineStr">
        <is>
          <t>life insurance</t>
        </is>
      </c>
      <c r="N539" s="5" t="n">
        <v>26</v>
      </c>
      <c r="O539" s="5" t="inlineStr">
        <is>
          <t>none</t>
        </is>
      </c>
      <c r="P539" s="5" t="inlineStr">
        <is>
          <t>own</t>
        </is>
      </c>
      <c r="Q539" s="5" t="n">
        <v>1</v>
      </c>
      <c r="R539" s="5" t="inlineStr">
        <is>
          <t>skilled</t>
        </is>
      </c>
      <c r="S539" s="5" t="n">
        <v>1</v>
      </c>
      <c r="T539" s="5" t="inlineStr">
        <is>
          <t>yes</t>
        </is>
      </c>
      <c r="U539" s="5" t="inlineStr">
        <is>
          <t>yes</t>
        </is>
      </c>
      <c r="V539" s="5" t="inlineStr">
        <is>
          <t>good</t>
        </is>
      </c>
    </row>
    <row r="540">
      <c r="A540" s="5" t="n">
        <v>535</v>
      </c>
      <c r="B540" s="5" t="inlineStr">
        <is>
          <t>no checking</t>
        </is>
      </c>
      <c r="C540" s="5" t="n">
        <v>24</v>
      </c>
      <c r="D540" s="5" t="inlineStr">
        <is>
          <t>existing paid</t>
        </is>
      </c>
      <c r="E540" s="5" t="inlineStr">
        <is>
          <t>radio/tv</t>
        </is>
      </c>
      <c r="F540" s="5" t="n">
        <v>3105</v>
      </c>
      <c r="G540" s="5" t="inlineStr">
        <is>
          <t>no known savings</t>
        </is>
      </c>
      <c r="H540" s="5" t="inlineStr">
        <is>
          <t>&lt;1</t>
        </is>
      </c>
      <c r="I540" s="5" t="n">
        <v>4</v>
      </c>
      <c r="J540" s="5" t="inlineStr">
        <is>
          <t>male single</t>
        </is>
      </c>
      <c r="K540" s="5" t="inlineStr">
        <is>
          <t>none</t>
        </is>
      </c>
      <c r="L540" s="5" t="n">
        <v>2</v>
      </c>
      <c r="M540" s="5" t="inlineStr">
        <is>
          <t>car</t>
        </is>
      </c>
      <c r="N540" s="5" t="n">
        <v>25</v>
      </c>
      <c r="O540" s="5" t="inlineStr">
        <is>
          <t>none</t>
        </is>
      </c>
      <c r="P540" s="5" t="inlineStr">
        <is>
          <t>own</t>
        </is>
      </c>
      <c r="Q540" s="5" t="n">
        <v>2</v>
      </c>
      <c r="R540" s="5" t="inlineStr">
        <is>
          <t>skilled</t>
        </is>
      </c>
      <c r="S540" s="5" t="n">
        <v>1</v>
      </c>
      <c r="T540" s="5" t="inlineStr">
        <is>
          <t>none</t>
        </is>
      </c>
      <c r="U540" s="5" t="inlineStr">
        <is>
          <t>yes</t>
        </is>
      </c>
      <c r="V540" s="5" t="inlineStr">
        <is>
          <t>good</t>
        </is>
      </c>
    </row>
    <row r="541">
      <c r="A541" s="5" t="n">
        <v>536</v>
      </c>
      <c r="B541" s="5" t="inlineStr">
        <is>
          <t>&gt;=200</t>
        </is>
      </c>
      <c r="C541" s="5" t="n">
        <v>21</v>
      </c>
      <c r="D541" s="5" t="inlineStr">
        <is>
          <t>critical/other existing credit</t>
        </is>
      </c>
      <c r="E541" s="5" t="inlineStr">
        <is>
          <t>education</t>
        </is>
      </c>
      <c r="F541" s="5" t="n">
        <v>2319</v>
      </c>
      <c r="G541" s="5" t="inlineStr">
        <is>
          <t>&lt;100</t>
        </is>
      </c>
      <c r="H541" s="5" t="inlineStr">
        <is>
          <t>&lt;1</t>
        </is>
      </c>
      <c r="I541" s="5" t="n">
        <v>2</v>
      </c>
      <c r="J541" s="5" t="inlineStr">
        <is>
          <t>male div/sep</t>
        </is>
      </c>
      <c r="K541" s="5" t="inlineStr">
        <is>
          <t>none</t>
        </is>
      </c>
      <c r="L541" s="5" t="n">
        <v>1</v>
      </c>
      <c r="M541" s="5" t="inlineStr">
        <is>
          <t>car</t>
        </is>
      </c>
      <c r="N541" s="5" t="n">
        <v>33</v>
      </c>
      <c r="O541" s="5" t="inlineStr">
        <is>
          <t>none</t>
        </is>
      </c>
      <c r="P541" s="5" t="inlineStr">
        <is>
          <t>rent</t>
        </is>
      </c>
      <c r="Q541" s="5" t="n">
        <v>1</v>
      </c>
      <c r="R541" s="5" t="inlineStr">
        <is>
          <t>skilled</t>
        </is>
      </c>
      <c r="S541" s="5" t="n">
        <v>1</v>
      </c>
      <c r="T541" s="5" t="inlineStr">
        <is>
          <t>none</t>
        </is>
      </c>
      <c r="U541" s="5" t="inlineStr">
        <is>
          <t>yes</t>
        </is>
      </c>
      <c r="V541" s="5" t="inlineStr">
        <is>
          <t>bad</t>
        </is>
      </c>
    </row>
    <row r="542">
      <c r="A542" s="5" t="n">
        <v>537</v>
      </c>
      <c r="B542" s="5" t="inlineStr">
        <is>
          <t>&lt;0</t>
        </is>
      </c>
      <c r="C542" s="5" t="n">
        <v>6</v>
      </c>
      <c r="D542" s="5" t="inlineStr">
        <is>
          <t>existing paid</t>
        </is>
      </c>
      <c r="E542" s="5" t="inlineStr">
        <is>
          <t>new car</t>
        </is>
      </c>
      <c r="F542" s="5" t="n">
        <v>1374</v>
      </c>
      <c r="G542" s="5" t="inlineStr">
        <is>
          <t>no known savings</t>
        </is>
      </c>
      <c r="H542" s="5" t="inlineStr">
        <is>
          <t>unemployed</t>
        </is>
      </c>
      <c r="I542" s="5" t="n">
        <v>4</v>
      </c>
      <c r="J542" s="5" t="inlineStr">
        <is>
          <t>female div/dep/mar</t>
        </is>
      </c>
      <c r="K542" s="5" t="inlineStr">
        <is>
          <t>none</t>
        </is>
      </c>
      <c r="L542" s="5" t="n">
        <v>3</v>
      </c>
      <c r="M542" s="5" t="inlineStr">
        <is>
          <t>life insurance</t>
        </is>
      </c>
      <c r="N542" s="5" t="n">
        <v>75</v>
      </c>
      <c r="O542" s="5" t="inlineStr">
        <is>
          <t>none</t>
        </is>
      </c>
      <c r="P542" s="5" t="inlineStr">
        <is>
          <t>own</t>
        </is>
      </c>
      <c r="Q542" s="5" t="n">
        <v>1</v>
      </c>
      <c r="R542" s="5" t="inlineStr">
        <is>
          <t>high qualif/self emp/mgmt</t>
        </is>
      </c>
      <c r="S542" s="5" t="n">
        <v>1</v>
      </c>
      <c r="T542" s="5" t="inlineStr">
        <is>
          <t>yes</t>
        </is>
      </c>
      <c r="U542" s="5" t="inlineStr">
        <is>
          <t>yes</t>
        </is>
      </c>
      <c r="V542" s="5" t="inlineStr">
        <is>
          <t>good</t>
        </is>
      </c>
    </row>
    <row r="543">
      <c r="A543" s="5" t="n">
        <v>538</v>
      </c>
      <c r="B543" s="5" t="inlineStr">
        <is>
          <t>0&lt;=X&lt;200</t>
        </is>
      </c>
      <c r="C543" s="5" t="n">
        <v>18</v>
      </c>
      <c r="D543" s="5" t="inlineStr">
        <is>
          <t>critical/other existing credit</t>
        </is>
      </c>
      <c r="E543" s="5" t="inlineStr">
        <is>
          <t>furniture/equipment</t>
        </is>
      </c>
      <c r="F543" s="5" t="n">
        <v>3612</v>
      </c>
      <c r="G543" s="5" t="inlineStr">
        <is>
          <t>&lt;100</t>
        </is>
      </c>
      <c r="H543" s="5" t="inlineStr">
        <is>
          <t>&gt;=7</t>
        </is>
      </c>
      <c r="I543" s="5" t="n">
        <v>3</v>
      </c>
      <c r="J543" s="5" t="inlineStr">
        <is>
          <t>female div/dep/mar</t>
        </is>
      </c>
      <c r="K543" s="5" t="inlineStr">
        <is>
          <t>none</t>
        </is>
      </c>
      <c r="L543" s="5" t="n">
        <v>4</v>
      </c>
      <c r="M543" s="5" t="inlineStr">
        <is>
          <t>life insurance</t>
        </is>
      </c>
      <c r="N543" s="5" t="n">
        <v>37</v>
      </c>
      <c r="O543" s="5" t="inlineStr">
        <is>
          <t>none</t>
        </is>
      </c>
      <c r="P543" s="5" t="inlineStr">
        <is>
          <t>own</t>
        </is>
      </c>
      <c r="Q543" s="5" t="n">
        <v>1</v>
      </c>
      <c r="R543" s="5" t="inlineStr">
        <is>
          <t>skilled</t>
        </is>
      </c>
      <c r="S543" s="5" t="n">
        <v>1</v>
      </c>
      <c r="T543" s="5" t="inlineStr">
        <is>
          <t>yes</t>
        </is>
      </c>
      <c r="U543" s="5" t="inlineStr">
        <is>
          <t>yes</t>
        </is>
      </c>
      <c r="V543" s="5" t="inlineStr">
        <is>
          <t>good</t>
        </is>
      </c>
    </row>
    <row r="544">
      <c r="A544" s="5" t="n">
        <v>539</v>
      </c>
      <c r="B544" s="5" t="inlineStr">
        <is>
          <t>&lt;0</t>
        </is>
      </c>
      <c r="C544" s="5" t="n">
        <v>48</v>
      </c>
      <c r="D544" s="5" t="inlineStr">
        <is>
          <t>existing paid</t>
        </is>
      </c>
      <c r="E544" s="5" t="inlineStr">
        <is>
          <t>new car</t>
        </is>
      </c>
      <c r="F544" s="5" t="n">
        <v>7763</v>
      </c>
      <c r="G544" s="5" t="inlineStr">
        <is>
          <t>&lt;100</t>
        </is>
      </c>
      <c r="H544" s="5" t="inlineStr">
        <is>
          <t>&gt;=7</t>
        </is>
      </c>
      <c r="I544" s="5" t="n">
        <v>4</v>
      </c>
      <c r="J544" s="5" t="inlineStr">
        <is>
          <t>male single</t>
        </is>
      </c>
      <c r="K544" s="5" t="inlineStr">
        <is>
          <t>none</t>
        </is>
      </c>
      <c r="L544" s="5" t="n">
        <v>4</v>
      </c>
      <c r="M544" s="5" t="inlineStr">
        <is>
          <t>no known property</t>
        </is>
      </c>
      <c r="N544" s="5" t="n">
        <v>42</v>
      </c>
      <c r="O544" s="5" t="inlineStr">
        <is>
          <t>bank</t>
        </is>
      </c>
      <c r="P544" s="5" t="inlineStr">
        <is>
          <t>for free</t>
        </is>
      </c>
      <c r="Q544" s="5" t="n">
        <v>1</v>
      </c>
      <c r="R544" s="5" t="inlineStr">
        <is>
          <t>high qualif/self emp/mgmt</t>
        </is>
      </c>
      <c r="S544" s="5" t="n">
        <v>1</v>
      </c>
      <c r="T544" s="5" t="inlineStr">
        <is>
          <t>none</t>
        </is>
      </c>
      <c r="U544" s="5" t="inlineStr">
        <is>
          <t>yes</t>
        </is>
      </c>
      <c r="V544" s="5" t="inlineStr">
        <is>
          <t>bad</t>
        </is>
      </c>
    </row>
    <row r="545">
      <c r="A545" s="5" t="n">
        <v>540</v>
      </c>
      <c r="B545" s="5" t="inlineStr">
        <is>
          <t>&gt;=200</t>
        </is>
      </c>
      <c r="C545" s="5" t="n">
        <v>18</v>
      </c>
      <c r="D545" s="5" t="inlineStr">
        <is>
          <t>existing paid</t>
        </is>
      </c>
      <c r="E545" s="5" t="inlineStr">
        <is>
          <t>furniture/equipment</t>
        </is>
      </c>
      <c r="F545" s="5" t="n">
        <v>3049</v>
      </c>
      <c r="G545" s="5" t="inlineStr">
        <is>
          <t>&lt;100</t>
        </is>
      </c>
      <c r="H545" s="5" t="inlineStr">
        <is>
          <t>&lt;1</t>
        </is>
      </c>
      <c r="I545" s="5" t="n">
        <v>1</v>
      </c>
      <c r="J545" s="5" t="inlineStr">
        <is>
          <t>female div/dep/mar</t>
        </is>
      </c>
      <c r="K545" s="5" t="inlineStr">
        <is>
          <t>none</t>
        </is>
      </c>
      <c r="L545" s="5" t="n">
        <v>1</v>
      </c>
      <c r="M545" s="5" t="inlineStr">
        <is>
          <t>life insurance</t>
        </is>
      </c>
      <c r="N545" s="5" t="n">
        <v>45</v>
      </c>
      <c r="O545" s="5" t="inlineStr">
        <is>
          <t>stores</t>
        </is>
      </c>
      <c r="P545" s="5" t="inlineStr">
        <is>
          <t>own</t>
        </is>
      </c>
      <c r="Q545" s="5" t="n">
        <v>1</v>
      </c>
      <c r="R545" s="5" t="inlineStr">
        <is>
          <t>unskilled resident</t>
        </is>
      </c>
      <c r="S545" s="5" t="n">
        <v>1</v>
      </c>
      <c r="T545" s="5" t="inlineStr">
        <is>
          <t>none</t>
        </is>
      </c>
      <c r="U545" s="5" t="inlineStr">
        <is>
          <t>yes</t>
        </is>
      </c>
      <c r="V545" s="5" t="inlineStr">
        <is>
          <t>good</t>
        </is>
      </c>
    </row>
    <row r="546">
      <c r="A546" s="5" t="n">
        <v>541</v>
      </c>
      <c r="B546" s="5" t="inlineStr">
        <is>
          <t>0&lt;=X&lt;200</t>
        </is>
      </c>
      <c r="C546" s="5" t="n">
        <v>12</v>
      </c>
      <c r="D546" s="5" t="inlineStr">
        <is>
          <t>existing paid</t>
        </is>
      </c>
      <c r="E546" s="5" t="inlineStr">
        <is>
          <t>radio/tv</t>
        </is>
      </c>
      <c r="F546" s="5" t="n">
        <v>1534</v>
      </c>
      <c r="G546" s="5" t="inlineStr">
        <is>
          <t>&lt;100</t>
        </is>
      </c>
      <c r="H546" s="5" t="inlineStr">
        <is>
          <t>&lt;1</t>
        </is>
      </c>
      <c r="I546" s="5" t="n">
        <v>1</v>
      </c>
      <c r="J546" s="5" t="inlineStr">
        <is>
          <t>male mar/wid</t>
        </is>
      </c>
      <c r="K546" s="5" t="inlineStr">
        <is>
          <t>none</t>
        </is>
      </c>
      <c r="L546" s="5" t="n">
        <v>1</v>
      </c>
      <c r="M546" s="5" t="inlineStr">
        <is>
          <t>real estate</t>
        </is>
      </c>
      <c r="N546" s="5" t="n">
        <v>23</v>
      </c>
      <c r="O546" s="5" t="inlineStr">
        <is>
          <t>none</t>
        </is>
      </c>
      <c r="P546" s="5" t="inlineStr">
        <is>
          <t>rent</t>
        </is>
      </c>
      <c r="Q546" s="5" t="n">
        <v>1</v>
      </c>
      <c r="R546" s="5" t="inlineStr">
        <is>
          <t>skilled</t>
        </is>
      </c>
      <c r="S546" s="5" t="n">
        <v>1</v>
      </c>
      <c r="T546" s="5" t="inlineStr">
        <is>
          <t>none</t>
        </is>
      </c>
      <c r="U546" s="5" t="inlineStr">
        <is>
          <t>yes</t>
        </is>
      </c>
      <c r="V546" s="5" t="inlineStr">
        <is>
          <t>bad</t>
        </is>
      </c>
    </row>
    <row r="547">
      <c r="A547" s="5" t="n">
        <v>542</v>
      </c>
      <c r="B547" s="5" t="inlineStr">
        <is>
          <t>no checking</t>
        </is>
      </c>
      <c r="C547" s="5" t="n">
        <v>24</v>
      </c>
      <c r="D547" s="5" t="inlineStr">
        <is>
          <t>delayed previously</t>
        </is>
      </c>
      <c r="E547" s="5" t="inlineStr">
        <is>
          <t>new car</t>
        </is>
      </c>
      <c r="F547" s="5" t="n">
        <v>2032</v>
      </c>
      <c r="G547" s="5" t="inlineStr">
        <is>
          <t>&lt;100</t>
        </is>
      </c>
      <c r="H547" s="5" t="inlineStr">
        <is>
          <t>&gt;=7</t>
        </is>
      </c>
      <c r="I547" s="5" t="n">
        <v>4</v>
      </c>
      <c r="J547" s="5" t="inlineStr">
        <is>
          <t>male single</t>
        </is>
      </c>
      <c r="K547" s="5" t="inlineStr">
        <is>
          <t>none</t>
        </is>
      </c>
      <c r="L547" s="5" t="n">
        <v>4</v>
      </c>
      <c r="M547" s="5" t="inlineStr">
        <is>
          <t>no known property</t>
        </is>
      </c>
      <c r="N547" s="5" t="n">
        <v>60</v>
      </c>
      <c r="O547" s="5" t="inlineStr">
        <is>
          <t>none</t>
        </is>
      </c>
      <c r="P547" s="5" t="inlineStr">
        <is>
          <t>for free</t>
        </is>
      </c>
      <c r="Q547" s="5" t="n">
        <v>2</v>
      </c>
      <c r="R547" s="5" t="inlineStr">
        <is>
          <t>skilled</t>
        </is>
      </c>
      <c r="S547" s="5" t="n">
        <v>1</v>
      </c>
      <c r="T547" s="5" t="inlineStr">
        <is>
          <t>yes</t>
        </is>
      </c>
      <c r="U547" s="5" t="inlineStr">
        <is>
          <t>yes</t>
        </is>
      </c>
      <c r="V547" s="5" t="inlineStr">
        <is>
          <t>good</t>
        </is>
      </c>
    </row>
    <row r="548">
      <c r="A548" s="5" t="n">
        <v>543</v>
      </c>
      <c r="B548" s="5" t="inlineStr">
        <is>
          <t>&lt;0</t>
        </is>
      </c>
      <c r="C548" s="5" t="n">
        <v>30</v>
      </c>
      <c r="D548" s="5" t="inlineStr">
        <is>
          <t>existing paid</t>
        </is>
      </c>
      <c r="E548" s="5" t="inlineStr">
        <is>
          <t>furniture/equipment</t>
        </is>
      </c>
      <c r="F548" s="5" t="n">
        <v>6350</v>
      </c>
      <c r="G548" s="5" t="inlineStr">
        <is>
          <t>no known savings</t>
        </is>
      </c>
      <c r="H548" s="5" t="inlineStr">
        <is>
          <t>&gt;=7</t>
        </is>
      </c>
      <c r="I548" s="5" t="n">
        <v>4</v>
      </c>
      <c r="J548" s="5" t="inlineStr">
        <is>
          <t>male single</t>
        </is>
      </c>
      <c r="K548" s="5" t="inlineStr">
        <is>
          <t>none</t>
        </is>
      </c>
      <c r="L548" s="5" t="n">
        <v>4</v>
      </c>
      <c r="M548" s="5" t="inlineStr">
        <is>
          <t>life insurance</t>
        </is>
      </c>
      <c r="N548" s="5" t="n">
        <v>31</v>
      </c>
      <c r="O548" s="5" t="inlineStr">
        <is>
          <t>none</t>
        </is>
      </c>
      <c r="P548" s="5" t="inlineStr">
        <is>
          <t>own</t>
        </is>
      </c>
      <c r="Q548" s="5" t="n">
        <v>1</v>
      </c>
      <c r="R548" s="5" t="inlineStr">
        <is>
          <t>skilled</t>
        </is>
      </c>
      <c r="S548" s="5" t="n">
        <v>1</v>
      </c>
      <c r="T548" s="5" t="inlineStr">
        <is>
          <t>none</t>
        </is>
      </c>
      <c r="U548" s="5" t="inlineStr">
        <is>
          <t>yes</t>
        </is>
      </c>
      <c r="V548" s="5" t="inlineStr">
        <is>
          <t>bad</t>
        </is>
      </c>
    </row>
    <row r="549">
      <c r="A549" s="5" t="n">
        <v>544</v>
      </c>
      <c r="B549" s="5" t="inlineStr">
        <is>
          <t>&gt;=200</t>
        </is>
      </c>
      <c r="C549" s="5" t="n">
        <v>18</v>
      </c>
      <c r="D549" s="5" t="inlineStr">
        <is>
          <t>existing paid</t>
        </is>
      </c>
      <c r="E549" s="5" t="inlineStr">
        <is>
          <t>furniture/equipment</t>
        </is>
      </c>
      <c r="F549" s="5" t="n">
        <v>2864</v>
      </c>
      <c r="G549" s="5" t="inlineStr">
        <is>
          <t>&lt;100</t>
        </is>
      </c>
      <c r="H549" s="5" t="inlineStr">
        <is>
          <t>1&lt;=X&lt;4</t>
        </is>
      </c>
      <c r="I549" s="5" t="n">
        <v>2</v>
      </c>
      <c r="J549" s="5" t="inlineStr">
        <is>
          <t>male single</t>
        </is>
      </c>
      <c r="K549" s="5" t="inlineStr">
        <is>
          <t>none</t>
        </is>
      </c>
      <c r="L549" s="5" t="n">
        <v>1</v>
      </c>
      <c r="M549" s="5" t="inlineStr">
        <is>
          <t>real estate</t>
        </is>
      </c>
      <c r="N549" s="5" t="n">
        <v>34</v>
      </c>
      <c r="O549" s="5" t="inlineStr">
        <is>
          <t>none</t>
        </is>
      </c>
      <c r="P549" s="5" t="inlineStr">
        <is>
          <t>own</t>
        </is>
      </c>
      <c r="Q549" s="5" t="n">
        <v>1</v>
      </c>
      <c r="R549" s="5" t="inlineStr">
        <is>
          <t>unskilled resident</t>
        </is>
      </c>
      <c r="S549" s="5" t="n">
        <v>2</v>
      </c>
      <c r="T549" s="5" t="inlineStr">
        <is>
          <t>none</t>
        </is>
      </c>
      <c r="U549" s="5" t="inlineStr">
        <is>
          <t>yes</t>
        </is>
      </c>
      <c r="V549" s="5" t="inlineStr">
        <is>
          <t>bad</t>
        </is>
      </c>
    </row>
    <row r="550">
      <c r="A550" s="5" t="n">
        <v>545</v>
      </c>
      <c r="B550" s="5" t="inlineStr">
        <is>
          <t>no checking</t>
        </is>
      </c>
      <c r="C550" s="5" t="n">
        <v>12</v>
      </c>
      <c r="D550" s="5" t="inlineStr">
        <is>
          <t>critical/other existing credit</t>
        </is>
      </c>
      <c r="E550" s="5" t="inlineStr">
        <is>
          <t>new car</t>
        </is>
      </c>
      <c r="F550" s="5" t="n">
        <v>1255</v>
      </c>
      <c r="G550" s="5" t="inlineStr">
        <is>
          <t>&lt;100</t>
        </is>
      </c>
      <c r="H550" s="5" t="inlineStr">
        <is>
          <t>&gt;=7</t>
        </is>
      </c>
      <c r="I550" s="5" t="n">
        <v>4</v>
      </c>
      <c r="J550" s="5" t="inlineStr">
        <is>
          <t>male single</t>
        </is>
      </c>
      <c r="K550" s="5" t="inlineStr">
        <is>
          <t>none</t>
        </is>
      </c>
      <c r="L550" s="5" t="n">
        <v>4</v>
      </c>
      <c r="M550" s="5" t="inlineStr">
        <is>
          <t>real estate</t>
        </is>
      </c>
      <c r="N550" s="5" t="n">
        <v>61</v>
      </c>
      <c r="O550" s="5" t="inlineStr">
        <is>
          <t>none</t>
        </is>
      </c>
      <c r="P550" s="5" t="inlineStr">
        <is>
          <t>own</t>
        </is>
      </c>
      <c r="Q550" s="5" t="n">
        <v>2</v>
      </c>
      <c r="R550" s="5" t="inlineStr">
        <is>
          <t>unskilled resident</t>
        </is>
      </c>
      <c r="S550" s="5" t="n">
        <v>1</v>
      </c>
      <c r="T550" s="5" t="inlineStr">
        <is>
          <t>none</t>
        </is>
      </c>
      <c r="U550" s="5" t="inlineStr">
        <is>
          <t>yes</t>
        </is>
      </c>
      <c r="V550" s="5" t="inlineStr">
        <is>
          <t>good</t>
        </is>
      </c>
    </row>
    <row r="551">
      <c r="A551" s="5" t="n">
        <v>546</v>
      </c>
      <c r="B551" s="5" t="inlineStr">
        <is>
          <t>&lt;0</t>
        </is>
      </c>
      <c r="C551" s="5" t="n">
        <v>24</v>
      </c>
      <c r="D551" s="5" t="inlineStr">
        <is>
          <t>delayed previously</t>
        </is>
      </c>
      <c r="E551" s="5" t="inlineStr">
        <is>
          <t>new car</t>
        </is>
      </c>
      <c r="F551" s="5" t="n">
        <v>1333</v>
      </c>
      <c r="G551" s="5" t="inlineStr">
        <is>
          <t>&lt;100</t>
        </is>
      </c>
      <c r="H551" s="5" t="inlineStr">
        <is>
          <t>unemployed</t>
        </is>
      </c>
      <c r="I551" s="5" t="n">
        <v>4</v>
      </c>
      <c r="J551" s="5" t="inlineStr">
        <is>
          <t>male single</t>
        </is>
      </c>
      <c r="K551" s="5" t="inlineStr">
        <is>
          <t>none</t>
        </is>
      </c>
      <c r="L551" s="5" t="n">
        <v>2</v>
      </c>
      <c r="M551" s="5" t="inlineStr">
        <is>
          <t>real estate</t>
        </is>
      </c>
      <c r="N551" s="5" t="n">
        <v>43</v>
      </c>
      <c r="O551" s="5" t="inlineStr">
        <is>
          <t>none</t>
        </is>
      </c>
      <c r="P551" s="5" t="inlineStr">
        <is>
          <t>for free</t>
        </is>
      </c>
      <c r="Q551" s="5" t="n">
        <v>2</v>
      </c>
      <c r="R551" s="5" t="inlineStr">
        <is>
          <t>skilled</t>
        </is>
      </c>
      <c r="S551" s="5" t="n">
        <v>2</v>
      </c>
      <c r="T551" s="5" t="inlineStr">
        <is>
          <t>none</t>
        </is>
      </c>
      <c r="U551" s="5" t="inlineStr">
        <is>
          <t>yes</t>
        </is>
      </c>
      <c r="V551" s="5" t="inlineStr">
        <is>
          <t>bad</t>
        </is>
      </c>
    </row>
    <row r="552">
      <c r="A552" s="5" t="n">
        <v>547</v>
      </c>
      <c r="B552" s="5" t="inlineStr">
        <is>
          <t>no checking</t>
        </is>
      </c>
      <c r="C552" s="5" t="n">
        <v>24</v>
      </c>
      <c r="D552" s="5" t="inlineStr">
        <is>
          <t>critical/other existing credit</t>
        </is>
      </c>
      <c r="E552" s="5" t="inlineStr">
        <is>
          <t>new car</t>
        </is>
      </c>
      <c r="F552" s="5" t="n">
        <v>2022</v>
      </c>
      <c r="G552" s="5" t="inlineStr">
        <is>
          <t>&lt;100</t>
        </is>
      </c>
      <c r="H552" s="5" t="inlineStr">
        <is>
          <t>1&lt;=X&lt;4</t>
        </is>
      </c>
      <c r="I552" s="5" t="n">
        <v>4</v>
      </c>
      <c r="J552" s="5" t="inlineStr">
        <is>
          <t>female div/dep/mar</t>
        </is>
      </c>
      <c r="K552" s="5" t="inlineStr">
        <is>
          <t>none</t>
        </is>
      </c>
      <c r="L552" s="5" t="n">
        <v>4</v>
      </c>
      <c r="M552" s="5" t="inlineStr">
        <is>
          <t>car</t>
        </is>
      </c>
      <c r="N552" s="5" t="n">
        <v>37</v>
      </c>
      <c r="O552" s="5" t="inlineStr">
        <is>
          <t>none</t>
        </is>
      </c>
      <c r="P552" s="5" t="inlineStr">
        <is>
          <t>own</t>
        </is>
      </c>
      <c r="Q552" s="5" t="n">
        <v>1</v>
      </c>
      <c r="R552" s="5" t="inlineStr">
        <is>
          <t>skilled</t>
        </is>
      </c>
      <c r="S552" s="5" t="n">
        <v>1</v>
      </c>
      <c r="T552" s="5" t="inlineStr">
        <is>
          <t>yes</t>
        </is>
      </c>
      <c r="U552" s="5" t="inlineStr">
        <is>
          <t>yes</t>
        </is>
      </c>
      <c r="V552" s="5" t="inlineStr">
        <is>
          <t>good</t>
        </is>
      </c>
    </row>
    <row r="553">
      <c r="A553" s="5" t="n">
        <v>548</v>
      </c>
      <c r="B553" s="5" t="inlineStr">
        <is>
          <t>no checking</t>
        </is>
      </c>
      <c r="C553" s="5" t="n">
        <v>24</v>
      </c>
      <c r="D553" s="5" t="inlineStr">
        <is>
          <t>existing paid</t>
        </is>
      </c>
      <c r="E553" s="5" t="inlineStr">
        <is>
          <t>radio/tv</t>
        </is>
      </c>
      <c r="F553" s="5" t="n">
        <v>1552</v>
      </c>
      <c r="G553" s="5" t="inlineStr">
        <is>
          <t>&lt;100</t>
        </is>
      </c>
      <c r="H553" s="5" t="inlineStr">
        <is>
          <t>4&lt;=X&lt;7</t>
        </is>
      </c>
      <c r="I553" s="5" t="n">
        <v>3</v>
      </c>
      <c r="J553" s="5" t="inlineStr">
        <is>
          <t>male single</t>
        </is>
      </c>
      <c r="K553" s="5" t="inlineStr">
        <is>
          <t>none</t>
        </is>
      </c>
      <c r="L553" s="5" t="n">
        <v>1</v>
      </c>
      <c r="M553" s="5" t="inlineStr">
        <is>
          <t>car</t>
        </is>
      </c>
      <c r="N553" s="5" t="n">
        <v>32</v>
      </c>
      <c r="O553" s="5" t="inlineStr">
        <is>
          <t>bank</t>
        </is>
      </c>
      <c r="P553" s="5" t="inlineStr">
        <is>
          <t>own</t>
        </is>
      </c>
      <c r="Q553" s="5" t="n">
        <v>1</v>
      </c>
      <c r="R553" s="5" t="inlineStr">
        <is>
          <t>skilled</t>
        </is>
      </c>
      <c r="S553" s="5" t="n">
        <v>2</v>
      </c>
      <c r="T553" s="5" t="inlineStr">
        <is>
          <t>none</t>
        </is>
      </c>
      <c r="U553" s="5" t="inlineStr">
        <is>
          <t>yes</t>
        </is>
      </c>
      <c r="V553" s="5" t="inlineStr">
        <is>
          <t>good</t>
        </is>
      </c>
    </row>
    <row r="554">
      <c r="A554" s="5" t="n">
        <v>549</v>
      </c>
      <c r="B554" s="5" t="inlineStr">
        <is>
          <t>&lt;0</t>
        </is>
      </c>
      <c r="C554" s="5" t="n">
        <v>12</v>
      </c>
      <c r="D554" s="5" t="inlineStr">
        <is>
          <t>all paid</t>
        </is>
      </c>
      <c r="E554" s="5" t="inlineStr">
        <is>
          <t>radio/tv</t>
        </is>
      </c>
      <c r="F554" s="5" t="n">
        <v>626</v>
      </c>
      <c r="G554" s="5" t="inlineStr">
        <is>
          <t>&lt;100</t>
        </is>
      </c>
      <c r="H554" s="5" t="inlineStr">
        <is>
          <t>1&lt;=X&lt;4</t>
        </is>
      </c>
      <c r="I554" s="5" t="n">
        <v>4</v>
      </c>
      <c r="J554" s="5" t="inlineStr">
        <is>
          <t>female div/dep/mar</t>
        </is>
      </c>
      <c r="K554" s="5" t="inlineStr">
        <is>
          <t>none</t>
        </is>
      </c>
      <c r="L554" s="5" t="n">
        <v>4</v>
      </c>
      <c r="M554" s="5" t="inlineStr">
        <is>
          <t>real estate</t>
        </is>
      </c>
      <c r="N554" s="5" t="n">
        <v>24</v>
      </c>
      <c r="O554" s="5" t="inlineStr">
        <is>
          <t>bank</t>
        </is>
      </c>
      <c r="P554" s="5" t="inlineStr">
        <is>
          <t>own</t>
        </is>
      </c>
      <c r="Q554" s="5" t="n">
        <v>1</v>
      </c>
      <c r="R554" s="5" t="inlineStr">
        <is>
          <t>unskilled resident</t>
        </is>
      </c>
      <c r="S554" s="5" t="n">
        <v>1</v>
      </c>
      <c r="T554" s="5" t="inlineStr">
        <is>
          <t>none</t>
        </is>
      </c>
      <c r="U554" s="5" t="inlineStr">
        <is>
          <t>yes</t>
        </is>
      </c>
      <c r="V554" s="5" t="inlineStr">
        <is>
          <t>bad</t>
        </is>
      </c>
    </row>
    <row r="555">
      <c r="A555" s="5" t="n">
        <v>550</v>
      </c>
      <c r="B555" s="5" t="inlineStr">
        <is>
          <t>no checking</t>
        </is>
      </c>
      <c r="C555" s="5" t="n">
        <v>48</v>
      </c>
      <c r="D555" s="5" t="inlineStr">
        <is>
          <t>critical/other existing credit</t>
        </is>
      </c>
      <c r="E555" s="5" t="inlineStr">
        <is>
          <t>used car</t>
        </is>
      </c>
      <c r="F555" s="5" t="n">
        <v>8858</v>
      </c>
      <c r="G555" s="5" t="inlineStr">
        <is>
          <t>no known savings</t>
        </is>
      </c>
      <c r="H555" s="5" t="inlineStr">
        <is>
          <t>4&lt;=X&lt;7</t>
        </is>
      </c>
      <c r="I555" s="5" t="n">
        <v>2</v>
      </c>
      <c r="J555" s="5" t="inlineStr">
        <is>
          <t>male single</t>
        </is>
      </c>
      <c r="K555" s="5" t="inlineStr">
        <is>
          <t>none</t>
        </is>
      </c>
      <c r="L555" s="5" t="n">
        <v>1</v>
      </c>
      <c r="M555" s="5" t="inlineStr">
        <is>
          <t>no known property</t>
        </is>
      </c>
      <c r="N555" s="5" t="n">
        <v>35</v>
      </c>
      <c r="O555" s="5" t="inlineStr">
        <is>
          <t>none</t>
        </is>
      </c>
      <c r="P555" s="5" t="inlineStr">
        <is>
          <t>for free</t>
        </is>
      </c>
      <c r="Q555" s="5" t="n">
        <v>2</v>
      </c>
      <c r="R555" s="5" t="inlineStr">
        <is>
          <t>skilled</t>
        </is>
      </c>
      <c r="S555" s="5" t="n">
        <v>1</v>
      </c>
      <c r="T555" s="5" t="inlineStr">
        <is>
          <t>yes</t>
        </is>
      </c>
      <c r="U555" s="5" t="inlineStr">
        <is>
          <t>yes</t>
        </is>
      </c>
      <c r="V555" s="5" t="inlineStr">
        <is>
          <t>good</t>
        </is>
      </c>
    </row>
    <row r="556">
      <c r="A556" s="5" t="n">
        <v>551</v>
      </c>
      <c r="B556" s="5" t="inlineStr">
        <is>
          <t>no checking</t>
        </is>
      </c>
      <c r="C556" s="5" t="n">
        <v>12</v>
      </c>
      <c r="D556" s="5" t="inlineStr">
        <is>
          <t>critical/other existing credit</t>
        </is>
      </c>
      <c r="E556" s="5" t="inlineStr">
        <is>
          <t>repairs</t>
        </is>
      </c>
      <c r="F556" s="5" t="n">
        <v>996</v>
      </c>
      <c r="G556" s="5" t="inlineStr">
        <is>
          <t>no known savings</t>
        </is>
      </c>
      <c r="H556" s="5" t="inlineStr">
        <is>
          <t>4&lt;=X&lt;7</t>
        </is>
      </c>
      <c r="I556" s="5" t="n">
        <v>4</v>
      </c>
      <c r="J556" s="5" t="inlineStr">
        <is>
          <t>female div/dep/mar</t>
        </is>
      </c>
      <c r="K556" s="5" t="inlineStr">
        <is>
          <t>none</t>
        </is>
      </c>
      <c r="L556" s="5" t="n">
        <v>4</v>
      </c>
      <c r="M556" s="5" t="inlineStr">
        <is>
          <t>real estate</t>
        </is>
      </c>
      <c r="N556" s="5" t="n">
        <v>23</v>
      </c>
      <c r="O556" s="5" t="inlineStr">
        <is>
          <t>none</t>
        </is>
      </c>
      <c r="P556" s="5" t="inlineStr">
        <is>
          <t>own</t>
        </is>
      </c>
      <c r="Q556" s="5" t="n">
        <v>2</v>
      </c>
      <c r="R556" s="5" t="inlineStr">
        <is>
          <t>skilled</t>
        </is>
      </c>
      <c r="S556" s="5" t="n">
        <v>1</v>
      </c>
      <c r="T556" s="5" t="inlineStr">
        <is>
          <t>none</t>
        </is>
      </c>
      <c r="U556" s="5" t="inlineStr">
        <is>
          <t>yes</t>
        </is>
      </c>
      <c r="V556" s="5" t="inlineStr">
        <is>
          <t>good</t>
        </is>
      </c>
    </row>
    <row r="557">
      <c r="A557" s="5" t="n">
        <v>552</v>
      </c>
      <c r="B557" s="5" t="inlineStr">
        <is>
          <t>no checking</t>
        </is>
      </c>
      <c r="C557" s="5" t="n">
        <v>6</v>
      </c>
      <c r="D557" s="5" t="inlineStr">
        <is>
          <t>all paid</t>
        </is>
      </c>
      <c r="E557" s="5" t="inlineStr">
        <is>
          <t>radio/tv</t>
        </is>
      </c>
      <c r="F557" s="5" t="n">
        <v>1750</v>
      </c>
      <c r="G557" s="5" t="inlineStr">
        <is>
          <t>500&lt;=X&lt;1000</t>
        </is>
      </c>
      <c r="H557" s="5" t="inlineStr">
        <is>
          <t>&gt;=7</t>
        </is>
      </c>
      <c r="I557" s="5" t="n">
        <v>2</v>
      </c>
      <c r="J557" s="5" t="inlineStr">
        <is>
          <t>male single</t>
        </is>
      </c>
      <c r="K557" s="5" t="inlineStr">
        <is>
          <t>none</t>
        </is>
      </c>
      <c r="L557" s="5" t="n">
        <v>4</v>
      </c>
      <c r="M557" s="5" t="inlineStr">
        <is>
          <t>life insurance</t>
        </is>
      </c>
      <c r="N557" s="5" t="n">
        <v>45</v>
      </c>
      <c r="O557" s="5" t="inlineStr">
        <is>
          <t>bank</t>
        </is>
      </c>
      <c r="P557" s="5" t="inlineStr">
        <is>
          <t>own</t>
        </is>
      </c>
      <c r="Q557" s="5" t="n">
        <v>1</v>
      </c>
      <c r="R557" s="5" t="inlineStr">
        <is>
          <t>unskilled resident</t>
        </is>
      </c>
      <c r="S557" s="5" t="n">
        <v>2</v>
      </c>
      <c r="T557" s="5" t="inlineStr">
        <is>
          <t>none</t>
        </is>
      </c>
      <c r="U557" s="5" t="inlineStr">
        <is>
          <t>yes</t>
        </is>
      </c>
      <c r="V557" s="5" t="inlineStr">
        <is>
          <t>good</t>
        </is>
      </c>
    </row>
    <row r="558">
      <c r="A558" s="5" t="n">
        <v>553</v>
      </c>
      <c r="B558" s="5" t="inlineStr">
        <is>
          <t>&lt;0</t>
        </is>
      </c>
      <c r="C558" s="5" t="n">
        <v>48</v>
      </c>
      <c r="D558" s="5" t="inlineStr">
        <is>
          <t>existing paid</t>
        </is>
      </c>
      <c r="E558" s="5" t="inlineStr">
        <is>
          <t>radio/tv</t>
        </is>
      </c>
      <c r="F558" s="5" t="n">
        <v>6999</v>
      </c>
      <c r="G558" s="5" t="inlineStr">
        <is>
          <t>&lt;100</t>
        </is>
      </c>
      <c r="H558" s="5" t="inlineStr">
        <is>
          <t>4&lt;=X&lt;7</t>
        </is>
      </c>
      <c r="I558" s="5" t="n">
        <v>1</v>
      </c>
      <c r="J558" s="5" t="inlineStr">
        <is>
          <t>male mar/wid</t>
        </is>
      </c>
      <c r="K558" s="5" t="inlineStr">
        <is>
          <t>guarantor</t>
        </is>
      </c>
      <c r="L558" s="5" t="n">
        <v>1</v>
      </c>
      <c r="M558" s="5" t="inlineStr">
        <is>
          <t>real estate</t>
        </is>
      </c>
      <c r="N558" s="5" t="n">
        <v>34</v>
      </c>
      <c r="O558" s="5" t="inlineStr">
        <is>
          <t>none</t>
        </is>
      </c>
      <c r="P558" s="5" t="inlineStr">
        <is>
          <t>own</t>
        </is>
      </c>
      <c r="Q558" s="5" t="n">
        <v>2</v>
      </c>
      <c r="R558" s="5" t="inlineStr">
        <is>
          <t>skilled</t>
        </is>
      </c>
      <c r="S558" s="5" t="n">
        <v>1</v>
      </c>
      <c r="T558" s="5" t="inlineStr">
        <is>
          <t>yes</t>
        </is>
      </c>
      <c r="U558" s="5" t="inlineStr">
        <is>
          <t>yes</t>
        </is>
      </c>
      <c r="V558" s="5" t="inlineStr">
        <is>
          <t>bad</t>
        </is>
      </c>
    </row>
    <row r="559">
      <c r="A559" s="5" t="n">
        <v>554</v>
      </c>
      <c r="B559" s="5" t="inlineStr">
        <is>
          <t>0&lt;=X&lt;200</t>
        </is>
      </c>
      <c r="C559" s="5" t="n">
        <v>12</v>
      </c>
      <c r="D559" s="5" t="inlineStr">
        <is>
          <t>critical/other existing credit</t>
        </is>
      </c>
      <c r="E559" s="5" t="inlineStr">
        <is>
          <t>new car</t>
        </is>
      </c>
      <c r="F559" s="5" t="n">
        <v>1995</v>
      </c>
      <c r="G559" s="5" t="inlineStr">
        <is>
          <t>100&lt;=X&lt;500</t>
        </is>
      </c>
      <c r="H559" s="5" t="inlineStr">
        <is>
          <t>&lt;1</t>
        </is>
      </c>
      <c r="I559" s="5" t="n">
        <v>4</v>
      </c>
      <c r="J559" s="5" t="inlineStr">
        <is>
          <t>male single</t>
        </is>
      </c>
      <c r="K559" s="5" t="inlineStr">
        <is>
          <t>none</t>
        </is>
      </c>
      <c r="L559" s="5" t="n">
        <v>1</v>
      </c>
      <c r="M559" s="5" t="inlineStr">
        <is>
          <t>car</t>
        </is>
      </c>
      <c r="N559" s="5" t="n">
        <v>27</v>
      </c>
      <c r="O559" s="5" t="inlineStr">
        <is>
          <t>none</t>
        </is>
      </c>
      <c r="P559" s="5" t="inlineStr">
        <is>
          <t>own</t>
        </is>
      </c>
      <c r="Q559" s="5" t="n">
        <v>1</v>
      </c>
      <c r="R559" s="5" t="inlineStr">
        <is>
          <t>skilled</t>
        </is>
      </c>
      <c r="S559" s="5" t="n">
        <v>1</v>
      </c>
      <c r="T559" s="5" t="inlineStr">
        <is>
          <t>none</t>
        </is>
      </c>
      <c r="U559" s="5" t="inlineStr">
        <is>
          <t>yes</t>
        </is>
      </c>
      <c r="V559" s="5" t="inlineStr">
        <is>
          <t>good</t>
        </is>
      </c>
    </row>
    <row r="560">
      <c r="A560" s="5" t="n">
        <v>555</v>
      </c>
      <c r="B560" s="5" t="inlineStr">
        <is>
          <t>0&lt;=X&lt;200</t>
        </is>
      </c>
      <c r="C560" s="5" t="n">
        <v>9</v>
      </c>
      <c r="D560" s="5" t="inlineStr">
        <is>
          <t>existing paid</t>
        </is>
      </c>
      <c r="E560" s="5" t="inlineStr">
        <is>
          <t>education</t>
        </is>
      </c>
      <c r="F560" s="5" t="n">
        <v>1199</v>
      </c>
      <c r="G560" s="5" t="inlineStr">
        <is>
          <t>&lt;100</t>
        </is>
      </c>
      <c r="H560" s="5" t="inlineStr">
        <is>
          <t>4&lt;=X&lt;7</t>
        </is>
      </c>
      <c r="I560" s="5" t="n">
        <v>4</v>
      </c>
      <c r="J560" s="5" t="inlineStr">
        <is>
          <t>female div/dep/mar</t>
        </is>
      </c>
      <c r="K560" s="5" t="inlineStr">
        <is>
          <t>none</t>
        </is>
      </c>
      <c r="L560" s="5" t="n">
        <v>4</v>
      </c>
      <c r="M560" s="5" t="inlineStr">
        <is>
          <t>life insurance</t>
        </is>
      </c>
      <c r="N560" s="5" t="n">
        <v>67</v>
      </c>
      <c r="O560" s="5" t="inlineStr">
        <is>
          <t>none</t>
        </is>
      </c>
      <c r="P560" s="5" t="inlineStr">
        <is>
          <t>own</t>
        </is>
      </c>
      <c r="Q560" s="5" t="n">
        <v>2</v>
      </c>
      <c r="R560" s="5" t="inlineStr">
        <is>
          <t>high qualif/self emp/mgmt</t>
        </is>
      </c>
      <c r="S560" s="5" t="n">
        <v>1</v>
      </c>
      <c r="T560" s="5" t="inlineStr">
        <is>
          <t>yes</t>
        </is>
      </c>
      <c r="U560" s="5" t="inlineStr">
        <is>
          <t>yes</t>
        </is>
      </c>
      <c r="V560" s="5" t="inlineStr">
        <is>
          <t>good</t>
        </is>
      </c>
    </row>
    <row r="561">
      <c r="A561" s="5" t="n">
        <v>556</v>
      </c>
      <c r="B561" s="5" t="inlineStr">
        <is>
          <t>0&lt;=X&lt;200</t>
        </is>
      </c>
      <c r="C561" s="5" t="n">
        <v>12</v>
      </c>
      <c r="D561" s="5" t="inlineStr">
        <is>
          <t>existing paid</t>
        </is>
      </c>
      <c r="E561" s="5" t="inlineStr">
        <is>
          <t>radio/tv</t>
        </is>
      </c>
      <c r="F561" s="5" t="n">
        <v>1331</v>
      </c>
      <c r="G561" s="5" t="inlineStr">
        <is>
          <t>&lt;100</t>
        </is>
      </c>
      <c r="H561" s="5" t="inlineStr">
        <is>
          <t>&lt;1</t>
        </is>
      </c>
      <c r="I561" s="5" t="n">
        <v>2</v>
      </c>
      <c r="J561" s="5" t="inlineStr">
        <is>
          <t>male single</t>
        </is>
      </c>
      <c r="K561" s="5" t="inlineStr">
        <is>
          <t>none</t>
        </is>
      </c>
      <c r="L561" s="5" t="n">
        <v>1</v>
      </c>
      <c r="M561" s="5" t="inlineStr">
        <is>
          <t>car</t>
        </is>
      </c>
      <c r="N561" s="5" t="n">
        <v>22</v>
      </c>
      <c r="O561" s="5" t="inlineStr">
        <is>
          <t>stores</t>
        </is>
      </c>
      <c r="P561" s="5" t="inlineStr">
        <is>
          <t>own</t>
        </is>
      </c>
      <c r="Q561" s="5" t="n">
        <v>1</v>
      </c>
      <c r="R561" s="5" t="inlineStr">
        <is>
          <t>skilled</t>
        </is>
      </c>
      <c r="S561" s="5" t="n">
        <v>1</v>
      </c>
      <c r="T561" s="5" t="inlineStr">
        <is>
          <t>none</t>
        </is>
      </c>
      <c r="U561" s="5" t="inlineStr">
        <is>
          <t>yes</t>
        </is>
      </c>
      <c r="V561" s="5" t="inlineStr">
        <is>
          <t>bad</t>
        </is>
      </c>
    </row>
    <row r="562">
      <c r="A562" s="5" t="n">
        <v>557</v>
      </c>
      <c r="B562" s="5" t="inlineStr">
        <is>
          <t>0&lt;=X&lt;200</t>
        </is>
      </c>
      <c r="C562" s="5" t="n">
        <v>18</v>
      </c>
      <c r="D562" s="5" t="inlineStr">
        <is>
          <t>no credits/all paid</t>
        </is>
      </c>
      <c r="E562" s="5" t="inlineStr">
        <is>
          <t>new car</t>
        </is>
      </c>
      <c r="F562" s="5" t="n">
        <v>2278</v>
      </c>
      <c r="G562" s="5" t="inlineStr">
        <is>
          <t>100&lt;=X&lt;500</t>
        </is>
      </c>
      <c r="H562" s="5" t="inlineStr">
        <is>
          <t>&lt;1</t>
        </is>
      </c>
      <c r="I562" s="5" t="n">
        <v>3</v>
      </c>
      <c r="J562" s="5" t="inlineStr">
        <is>
          <t>female div/dep/mar</t>
        </is>
      </c>
      <c r="K562" s="5" t="inlineStr">
        <is>
          <t>none</t>
        </is>
      </c>
      <c r="L562" s="5" t="n">
        <v>3</v>
      </c>
      <c r="M562" s="5" t="inlineStr">
        <is>
          <t>car</t>
        </is>
      </c>
      <c r="N562" s="5" t="n">
        <v>28</v>
      </c>
      <c r="O562" s="5" t="inlineStr">
        <is>
          <t>none</t>
        </is>
      </c>
      <c r="P562" s="5" t="inlineStr">
        <is>
          <t>own</t>
        </is>
      </c>
      <c r="Q562" s="5" t="n">
        <v>2</v>
      </c>
      <c r="R562" s="5" t="inlineStr">
        <is>
          <t>skilled</t>
        </is>
      </c>
      <c r="S562" s="5" t="n">
        <v>1</v>
      </c>
      <c r="T562" s="5" t="inlineStr">
        <is>
          <t>none</t>
        </is>
      </c>
      <c r="U562" s="5" t="inlineStr">
        <is>
          <t>yes</t>
        </is>
      </c>
      <c r="V562" s="5" t="inlineStr">
        <is>
          <t>bad</t>
        </is>
      </c>
    </row>
    <row r="563">
      <c r="A563" s="5" t="n">
        <v>558</v>
      </c>
      <c r="B563" s="5" t="inlineStr">
        <is>
          <t>no checking</t>
        </is>
      </c>
      <c r="C563" s="5" t="n">
        <v>21</v>
      </c>
      <c r="D563" s="5" t="inlineStr">
        <is>
          <t>no credits/all paid</t>
        </is>
      </c>
      <c r="E563" s="5" t="inlineStr">
        <is>
          <t>new car</t>
        </is>
      </c>
      <c r="F563" s="5" t="n">
        <v>5003</v>
      </c>
      <c r="G563" s="5" t="inlineStr">
        <is>
          <t>no known savings</t>
        </is>
      </c>
      <c r="H563" s="5" t="inlineStr">
        <is>
          <t>1&lt;=X&lt;4</t>
        </is>
      </c>
      <c r="I563" s="5" t="n">
        <v>1</v>
      </c>
      <c r="J563" s="5" t="inlineStr">
        <is>
          <t>female div/dep/mar</t>
        </is>
      </c>
      <c r="K563" s="5" t="inlineStr">
        <is>
          <t>none</t>
        </is>
      </c>
      <c r="L563" s="5" t="n">
        <v>4</v>
      </c>
      <c r="M563" s="5" t="inlineStr">
        <is>
          <t>life insurance</t>
        </is>
      </c>
      <c r="N563" s="5" t="n">
        <v>29</v>
      </c>
      <c r="O563" s="5" t="inlineStr">
        <is>
          <t>bank</t>
        </is>
      </c>
      <c r="P563" s="5" t="inlineStr">
        <is>
          <t>own</t>
        </is>
      </c>
      <c r="Q563" s="5" t="n">
        <v>2</v>
      </c>
      <c r="R563" s="5" t="inlineStr">
        <is>
          <t>skilled</t>
        </is>
      </c>
      <c r="S563" s="5" t="n">
        <v>1</v>
      </c>
      <c r="T563" s="5" t="inlineStr">
        <is>
          <t>yes</t>
        </is>
      </c>
      <c r="U563" s="5" t="inlineStr">
        <is>
          <t>yes</t>
        </is>
      </c>
      <c r="V563" s="5" t="inlineStr">
        <is>
          <t>bad</t>
        </is>
      </c>
    </row>
    <row r="564">
      <c r="A564" s="5" t="n">
        <v>559</v>
      </c>
      <c r="B564" s="5" t="inlineStr">
        <is>
          <t>&lt;0</t>
        </is>
      </c>
      <c r="C564" s="5" t="n">
        <v>24</v>
      </c>
      <c r="D564" s="5" t="inlineStr">
        <is>
          <t>all paid</t>
        </is>
      </c>
      <c r="E564" s="5" t="inlineStr">
        <is>
          <t>furniture/equipment</t>
        </is>
      </c>
      <c r="F564" s="5" t="n">
        <v>3552</v>
      </c>
      <c r="G564" s="5" t="inlineStr">
        <is>
          <t>&lt;100</t>
        </is>
      </c>
      <c r="H564" s="5" t="inlineStr">
        <is>
          <t>4&lt;=X&lt;7</t>
        </is>
      </c>
      <c r="I564" s="5" t="n">
        <v>3</v>
      </c>
      <c r="J564" s="5" t="inlineStr">
        <is>
          <t>male single</t>
        </is>
      </c>
      <c r="K564" s="5" t="inlineStr">
        <is>
          <t>none</t>
        </is>
      </c>
      <c r="L564" s="5" t="n">
        <v>4</v>
      </c>
      <c r="M564" s="5" t="inlineStr">
        <is>
          <t>car</t>
        </is>
      </c>
      <c r="N564" s="5" t="n">
        <v>27</v>
      </c>
      <c r="O564" s="5" t="inlineStr">
        <is>
          <t>bank</t>
        </is>
      </c>
      <c r="P564" s="5" t="inlineStr">
        <is>
          <t>own</t>
        </is>
      </c>
      <c r="Q564" s="5" t="n">
        <v>1</v>
      </c>
      <c r="R564" s="5" t="inlineStr">
        <is>
          <t>skilled</t>
        </is>
      </c>
      <c r="S564" s="5" t="n">
        <v>1</v>
      </c>
      <c r="T564" s="5" t="inlineStr">
        <is>
          <t>none</t>
        </is>
      </c>
      <c r="U564" s="5" t="inlineStr">
        <is>
          <t>yes</t>
        </is>
      </c>
      <c r="V564" s="5" t="inlineStr">
        <is>
          <t>bad</t>
        </is>
      </c>
    </row>
    <row r="565">
      <c r="A565" s="5" t="n">
        <v>560</v>
      </c>
      <c r="B565" s="5" t="inlineStr">
        <is>
          <t>0&lt;=X&lt;200</t>
        </is>
      </c>
      <c r="C565" s="5" t="n">
        <v>18</v>
      </c>
      <c r="D565" s="5" t="inlineStr">
        <is>
          <t>critical/other existing credit</t>
        </is>
      </c>
      <c r="E565" s="5" t="inlineStr">
        <is>
          <t>furniture/equipment</t>
        </is>
      </c>
      <c r="F565" s="5" t="n">
        <v>1928</v>
      </c>
      <c r="G565" s="5" t="inlineStr">
        <is>
          <t>&lt;100</t>
        </is>
      </c>
      <c r="H565" s="5" t="inlineStr">
        <is>
          <t>&lt;1</t>
        </is>
      </c>
      <c r="I565" s="5" t="n">
        <v>2</v>
      </c>
      <c r="J565" s="5" t="inlineStr">
        <is>
          <t>male single</t>
        </is>
      </c>
      <c r="K565" s="5" t="inlineStr">
        <is>
          <t>none</t>
        </is>
      </c>
      <c r="L565" s="5" t="n">
        <v>2</v>
      </c>
      <c r="M565" s="5" t="inlineStr">
        <is>
          <t>real estate</t>
        </is>
      </c>
      <c r="N565" s="5" t="n">
        <v>31</v>
      </c>
      <c r="O565" s="5" t="inlineStr">
        <is>
          <t>none</t>
        </is>
      </c>
      <c r="P565" s="5" t="inlineStr">
        <is>
          <t>own</t>
        </is>
      </c>
      <c r="Q565" s="5" t="n">
        <v>2</v>
      </c>
      <c r="R565" s="5" t="inlineStr">
        <is>
          <t>unskilled resident</t>
        </is>
      </c>
      <c r="S565" s="5" t="n">
        <v>1</v>
      </c>
      <c r="T565" s="5" t="inlineStr">
        <is>
          <t>none</t>
        </is>
      </c>
      <c r="U565" s="5" t="inlineStr">
        <is>
          <t>yes</t>
        </is>
      </c>
      <c r="V565" s="5" t="inlineStr">
        <is>
          <t>bad</t>
        </is>
      </c>
    </row>
    <row r="566">
      <c r="A566" s="5" t="n">
        <v>561</v>
      </c>
      <c r="B566" s="5" t="inlineStr">
        <is>
          <t>&lt;0</t>
        </is>
      </c>
      <c r="C566" s="5" t="n">
        <v>24</v>
      </c>
      <c r="D566" s="5" t="inlineStr">
        <is>
          <t>existing paid</t>
        </is>
      </c>
      <c r="E566" s="5" t="inlineStr">
        <is>
          <t>used car</t>
        </is>
      </c>
      <c r="F566" s="5" t="n">
        <v>2964</v>
      </c>
      <c r="G566" s="5" t="inlineStr">
        <is>
          <t>no known savings</t>
        </is>
      </c>
      <c r="H566" s="5" t="inlineStr">
        <is>
          <t>&gt;=7</t>
        </is>
      </c>
      <c r="I566" s="5" t="n">
        <v>4</v>
      </c>
      <c r="J566" s="5" t="inlineStr">
        <is>
          <t>male single</t>
        </is>
      </c>
      <c r="K566" s="5" t="inlineStr">
        <is>
          <t>none</t>
        </is>
      </c>
      <c r="L566" s="5" t="n">
        <v>4</v>
      </c>
      <c r="M566" s="5" t="inlineStr">
        <is>
          <t>no known property</t>
        </is>
      </c>
      <c r="N566" s="5" t="n">
        <v>49</v>
      </c>
      <c r="O566" s="5" t="inlineStr">
        <is>
          <t>bank</t>
        </is>
      </c>
      <c r="P566" s="5" t="inlineStr">
        <is>
          <t>for free</t>
        </is>
      </c>
      <c r="Q566" s="5" t="n">
        <v>1</v>
      </c>
      <c r="R566" s="5" t="inlineStr">
        <is>
          <t>skilled</t>
        </is>
      </c>
      <c r="S566" s="5" t="n">
        <v>2</v>
      </c>
      <c r="T566" s="5" t="inlineStr">
        <is>
          <t>yes</t>
        </is>
      </c>
      <c r="U566" s="5" t="inlineStr">
        <is>
          <t>yes</t>
        </is>
      </c>
      <c r="V566" s="5" t="inlineStr">
        <is>
          <t>good</t>
        </is>
      </c>
    </row>
    <row r="567">
      <c r="A567" s="5" t="n">
        <v>562</v>
      </c>
      <c r="B567" s="5" t="inlineStr">
        <is>
          <t>&lt;0</t>
        </is>
      </c>
      <c r="C567" s="5" t="n">
        <v>24</v>
      </c>
      <c r="D567" s="5" t="inlineStr">
        <is>
          <t>all paid</t>
        </is>
      </c>
      <c r="E567" s="5" t="inlineStr">
        <is>
          <t>radio/tv</t>
        </is>
      </c>
      <c r="F567" s="5" t="n">
        <v>1546</v>
      </c>
      <c r="G567" s="5" t="inlineStr">
        <is>
          <t>&lt;100</t>
        </is>
      </c>
      <c r="H567" s="5" t="inlineStr">
        <is>
          <t>4&lt;=X&lt;7</t>
        </is>
      </c>
      <c r="I567" s="5" t="n">
        <v>4</v>
      </c>
      <c r="J567" s="5" t="inlineStr">
        <is>
          <t>male single</t>
        </is>
      </c>
      <c r="K567" s="5" t="inlineStr">
        <is>
          <t>guarantor</t>
        </is>
      </c>
      <c r="L567" s="5" t="n">
        <v>4</v>
      </c>
      <c r="M567" s="5" t="inlineStr">
        <is>
          <t>car</t>
        </is>
      </c>
      <c r="N567" s="5" t="n">
        <v>24</v>
      </c>
      <c r="O567" s="5" t="inlineStr">
        <is>
          <t>bank</t>
        </is>
      </c>
      <c r="P567" s="5" t="inlineStr">
        <is>
          <t>rent</t>
        </is>
      </c>
      <c r="Q567" s="5" t="n">
        <v>1</v>
      </c>
      <c r="R567" s="5" t="inlineStr">
        <is>
          <t>unskilled resident</t>
        </is>
      </c>
      <c r="S567" s="5" t="n">
        <v>1</v>
      </c>
      <c r="T567" s="5" t="inlineStr">
        <is>
          <t>none</t>
        </is>
      </c>
      <c r="U567" s="5" t="inlineStr">
        <is>
          <t>yes</t>
        </is>
      </c>
      <c r="V567" s="5" t="inlineStr">
        <is>
          <t>bad</t>
        </is>
      </c>
    </row>
    <row r="568">
      <c r="A568" s="5" t="n">
        <v>563</v>
      </c>
      <c r="B568" s="5" t="inlineStr">
        <is>
          <t>&gt;=200</t>
        </is>
      </c>
      <c r="C568" s="5" t="n">
        <v>6</v>
      </c>
      <c r="D568" s="5" t="inlineStr">
        <is>
          <t>delayed previously</t>
        </is>
      </c>
      <c r="E568" s="5" t="inlineStr">
        <is>
          <t>radio/tv</t>
        </is>
      </c>
      <c r="F568" s="5" t="n">
        <v>683</v>
      </c>
      <c r="G568" s="5" t="inlineStr">
        <is>
          <t>&lt;100</t>
        </is>
      </c>
      <c r="H568" s="5" t="inlineStr">
        <is>
          <t>&lt;1</t>
        </is>
      </c>
      <c r="I568" s="5" t="n">
        <v>2</v>
      </c>
      <c r="J568" s="5" t="inlineStr">
        <is>
          <t>female div/dep/mar</t>
        </is>
      </c>
      <c r="K568" s="5" t="inlineStr">
        <is>
          <t>none</t>
        </is>
      </c>
      <c r="L568" s="5" t="n">
        <v>1</v>
      </c>
      <c r="M568" s="5" t="inlineStr">
        <is>
          <t>life insurance</t>
        </is>
      </c>
      <c r="N568" s="5" t="n">
        <v>29</v>
      </c>
      <c r="O568" s="5" t="inlineStr">
        <is>
          <t>bank</t>
        </is>
      </c>
      <c r="P568" s="5" t="inlineStr">
        <is>
          <t>own</t>
        </is>
      </c>
      <c r="Q568" s="5" t="n">
        <v>1</v>
      </c>
      <c r="R568" s="5" t="inlineStr">
        <is>
          <t>skilled</t>
        </is>
      </c>
      <c r="S568" s="5" t="n">
        <v>1</v>
      </c>
      <c r="T568" s="5" t="inlineStr">
        <is>
          <t>none</t>
        </is>
      </c>
      <c r="U568" s="5" t="inlineStr">
        <is>
          <t>yes</t>
        </is>
      </c>
      <c r="V568" s="5" t="inlineStr">
        <is>
          <t>good</t>
        </is>
      </c>
    </row>
    <row r="569">
      <c r="A569" s="5" t="n">
        <v>564</v>
      </c>
      <c r="B569" s="5" t="inlineStr">
        <is>
          <t>0&lt;=X&lt;200</t>
        </is>
      </c>
      <c r="C569" s="5" t="n">
        <v>36</v>
      </c>
      <c r="D569" s="5" t="inlineStr">
        <is>
          <t>existing paid</t>
        </is>
      </c>
      <c r="E569" s="5" t="inlineStr">
        <is>
          <t>new car</t>
        </is>
      </c>
      <c r="F569" s="5" t="n">
        <v>12389</v>
      </c>
      <c r="G569" s="5" t="inlineStr">
        <is>
          <t>no known savings</t>
        </is>
      </c>
      <c r="H569" s="5" t="inlineStr">
        <is>
          <t>1&lt;=X&lt;4</t>
        </is>
      </c>
      <c r="I569" s="5" t="n">
        <v>1</v>
      </c>
      <c r="J569" s="5" t="inlineStr">
        <is>
          <t>male single</t>
        </is>
      </c>
      <c r="K569" s="5" t="inlineStr">
        <is>
          <t>none</t>
        </is>
      </c>
      <c r="L569" s="5" t="n">
        <v>4</v>
      </c>
      <c r="M569" s="5" t="inlineStr">
        <is>
          <t>no known property</t>
        </is>
      </c>
      <c r="N569" s="5" t="n">
        <v>37</v>
      </c>
      <c r="O569" s="5" t="inlineStr">
        <is>
          <t>none</t>
        </is>
      </c>
      <c r="P569" s="5" t="inlineStr">
        <is>
          <t>for free</t>
        </is>
      </c>
      <c r="Q569" s="5" t="n">
        <v>1</v>
      </c>
      <c r="R569" s="5" t="inlineStr">
        <is>
          <t>skilled</t>
        </is>
      </c>
      <c r="S569" s="5" t="n">
        <v>1</v>
      </c>
      <c r="T569" s="5" t="inlineStr">
        <is>
          <t>yes</t>
        </is>
      </c>
      <c r="U569" s="5" t="inlineStr">
        <is>
          <t>yes</t>
        </is>
      </c>
      <c r="V569" s="5" t="inlineStr">
        <is>
          <t>bad</t>
        </is>
      </c>
    </row>
    <row r="570">
      <c r="A570" s="5" t="n">
        <v>565</v>
      </c>
      <c r="B570" s="5" t="inlineStr">
        <is>
          <t>0&lt;=X&lt;200</t>
        </is>
      </c>
      <c r="C570" s="5" t="n">
        <v>24</v>
      </c>
      <c r="D570" s="5" t="inlineStr">
        <is>
          <t>delayed previously</t>
        </is>
      </c>
      <c r="E570" s="5" t="inlineStr">
        <is>
          <t>business</t>
        </is>
      </c>
      <c r="F570" s="5" t="n">
        <v>4712</v>
      </c>
      <c r="G570" s="5" t="inlineStr">
        <is>
          <t>no known savings</t>
        </is>
      </c>
      <c r="H570" s="5" t="inlineStr">
        <is>
          <t>1&lt;=X&lt;4</t>
        </is>
      </c>
      <c r="I570" s="5" t="n">
        <v>4</v>
      </c>
      <c r="J570" s="5" t="inlineStr">
        <is>
          <t>male single</t>
        </is>
      </c>
      <c r="K570" s="5" t="inlineStr">
        <is>
          <t>none</t>
        </is>
      </c>
      <c r="L570" s="5" t="n">
        <v>2</v>
      </c>
      <c r="M570" s="5" t="inlineStr">
        <is>
          <t>life insurance</t>
        </is>
      </c>
      <c r="N570" s="5" t="n">
        <v>37</v>
      </c>
      <c r="O570" s="5" t="inlineStr">
        <is>
          <t>bank</t>
        </is>
      </c>
      <c r="P570" s="5" t="inlineStr">
        <is>
          <t>own</t>
        </is>
      </c>
      <c r="Q570" s="5" t="n">
        <v>2</v>
      </c>
      <c r="R570" s="5" t="inlineStr">
        <is>
          <t>high qualif/self emp/mgmt</t>
        </is>
      </c>
      <c r="S570" s="5" t="n">
        <v>1</v>
      </c>
      <c r="T570" s="5" t="inlineStr">
        <is>
          <t>yes</t>
        </is>
      </c>
      <c r="U570" s="5" t="inlineStr">
        <is>
          <t>yes</t>
        </is>
      </c>
      <c r="V570" s="5" t="inlineStr">
        <is>
          <t>good</t>
        </is>
      </c>
    </row>
    <row r="571">
      <c r="A571" s="5" t="n">
        <v>566</v>
      </c>
      <c r="B571" s="5" t="inlineStr">
        <is>
          <t>0&lt;=X&lt;200</t>
        </is>
      </c>
      <c r="C571" s="5" t="n">
        <v>24</v>
      </c>
      <c r="D571" s="5" t="inlineStr">
        <is>
          <t>delayed previously</t>
        </is>
      </c>
      <c r="E571" s="5" t="inlineStr">
        <is>
          <t>radio/tv</t>
        </is>
      </c>
      <c r="F571" s="5" t="n">
        <v>1553</v>
      </c>
      <c r="G571" s="5" t="inlineStr">
        <is>
          <t>100&lt;=X&lt;500</t>
        </is>
      </c>
      <c r="H571" s="5" t="inlineStr">
        <is>
          <t>4&lt;=X&lt;7</t>
        </is>
      </c>
      <c r="I571" s="5" t="n">
        <v>3</v>
      </c>
      <c r="J571" s="5" t="inlineStr">
        <is>
          <t>female div/dep/mar</t>
        </is>
      </c>
      <c r="K571" s="5" t="inlineStr">
        <is>
          <t>none</t>
        </is>
      </c>
      <c r="L571" s="5" t="n">
        <v>2</v>
      </c>
      <c r="M571" s="5" t="inlineStr">
        <is>
          <t>life insurance</t>
        </is>
      </c>
      <c r="N571" s="5" t="n">
        <v>23</v>
      </c>
      <c r="O571" s="5" t="inlineStr">
        <is>
          <t>none</t>
        </is>
      </c>
      <c r="P571" s="5" t="inlineStr">
        <is>
          <t>rent</t>
        </is>
      </c>
      <c r="Q571" s="5" t="n">
        <v>2</v>
      </c>
      <c r="R571" s="5" t="inlineStr">
        <is>
          <t>skilled</t>
        </is>
      </c>
      <c r="S571" s="5" t="n">
        <v>1</v>
      </c>
      <c r="T571" s="5" t="inlineStr">
        <is>
          <t>yes</t>
        </is>
      </c>
      <c r="U571" s="5" t="inlineStr">
        <is>
          <t>yes</t>
        </is>
      </c>
      <c r="V571" s="5" t="inlineStr">
        <is>
          <t>good</t>
        </is>
      </c>
    </row>
    <row r="572">
      <c r="A572" s="5" t="n">
        <v>567</v>
      </c>
      <c r="B572" s="5" t="inlineStr">
        <is>
          <t>&lt;0</t>
        </is>
      </c>
      <c r="C572" s="5" t="n">
        <v>12</v>
      </c>
      <c r="D572" s="5" t="inlineStr">
        <is>
          <t>existing paid</t>
        </is>
      </c>
      <c r="E572" s="5" t="inlineStr">
        <is>
          <t>new car</t>
        </is>
      </c>
      <c r="F572" s="5" t="n">
        <v>1372</v>
      </c>
      <c r="G572" s="5" t="inlineStr">
        <is>
          <t>&lt;100</t>
        </is>
      </c>
      <c r="H572" s="5" t="inlineStr">
        <is>
          <t>4&lt;=X&lt;7</t>
        </is>
      </c>
      <c r="I572" s="5" t="n">
        <v>2</v>
      </c>
      <c r="J572" s="5" t="inlineStr">
        <is>
          <t>male div/sep</t>
        </is>
      </c>
      <c r="K572" s="5" t="inlineStr">
        <is>
          <t>none</t>
        </is>
      </c>
      <c r="L572" s="5" t="n">
        <v>3</v>
      </c>
      <c r="M572" s="5" t="inlineStr">
        <is>
          <t>car</t>
        </is>
      </c>
      <c r="N572" s="5" t="n">
        <v>36</v>
      </c>
      <c r="O572" s="5" t="inlineStr">
        <is>
          <t>none</t>
        </is>
      </c>
      <c r="P572" s="5" t="inlineStr">
        <is>
          <t>own</t>
        </is>
      </c>
      <c r="Q572" s="5" t="n">
        <v>1</v>
      </c>
      <c r="R572" s="5" t="inlineStr">
        <is>
          <t>skilled</t>
        </is>
      </c>
      <c r="S572" s="5" t="n">
        <v>1</v>
      </c>
      <c r="T572" s="5" t="inlineStr">
        <is>
          <t>none</t>
        </is>
      </c>
      <c r="U572" s="5" t="inlineStr">
        <is>
          <t>yes</t>
        </is>
      </c>
      <c r="V572" s="5" t="inlineStr">
        <is>
          <t>bad</t>
        </is>
      </c>
    </row>
    <row r="573">
      <c r="A573" s="5" t="n">
        <v>568</v>
      </c>
      <c r="B573" s="5" t="inlineStr">
        <is>
          <t>no checking</t>
        </is>
      </c>
      <c r="C573" s="5" t="n">
        <v>24</v>
      </c>
      <c r="D573" s="5" t="inlineStr">
        <is>
          <t>critical/other existing credit</t>
        </is>
      </c>
      <c r="E573" s="5" t="inlineStr">
        <is>
          <t>radio/tv</t>
        </is>
      </c>
      <c r="F573" s="5" t="n">
        <v>2578</v>
      </c>
      <c r="G573" s="5" t="inlineStr">
        <is>
          <t>&gt;=1000</t>
        </is>
      </c>
      <c r="H573" s="5" t="inlineStr">
        <is>
          <t>&gt;=7</t>
        </is>
      </c>
      <c r="I573" s="5" t="n">
        <v>2</v>
      </c>
      <c r="J573" s="5" t="inlineStr">
        <is>
          <t>male single</t>
        </is>
      </c>
      <c r="K573" s="5" t="inlineStr">
        <is>
          <t>none</t>
        </is>
      </c>
      <c r="L573" s="5" t="n">
        <v>2</v>
      </c>
      <c r="M573" s="5" t="inlineStr">
        <is>
          <t>car</t>
        </is>
      </c>
      <c r="N573" s="5" t="n">
        <v>34</v>
      </c>
      <c r="O573" s="5" t="inlineStr">
        <is>
          <t>none</t>
        </is>
      </c>
      <c r="P573" s="5" t="inlineStr">
        <is>
          <t>own</t>
        </is>
      </c>
      <c r="Q573" s="5" t="n">
        <v>1</v>
      </c>
      <c r="R573" s="5" t="inlineStr">
        <is>
          <t>skilled</t>
        </is>
      </c>
      <c r="S573" s="5" t="n">
        <v>1</v>
      </c>
      <c r="T573" s="5" t="inlineStr">
        <is>
          <t>none</t>
        </is>
      </c>
      <c r="U573" s="5" t="inlineStr">
        <is>
          <t>yes</t>
        </is>
      </c>
      <c r="V573" s="5" t="inlineStr">
        <is>
          <t>good</t>
        </is>
      </c>
    </row>
    <row r="574">
      <c r="A574" s="5" t="n">
        <v>569</v>
      </c>
      <c r="B574" s="5" t="inlineStr">
        <is>
          <t>0&lt;=X&lt;200</t>
        </is>
      </c>
      <c r="C574" s="5" t="n">
        <v>48</v>
      </c>
      <c r="D574" s="5" t="inlineStr">
        <is>
          <t>existing paid</t>
        </is>
      </c>
      <c r="E574" s="5" t="inlineStr">
        <is>
          <t>radio/tv</t>
        </is>
      </c>
      <c r="F574" s="5" t="n">
        <v>3979</v>
      </c>
      <c r="G574" s="5" t="inlineStr">
        <is>
          <t>no known savings</t>
        </is>
      </c>
      <c r="H574" s="5" t="inlineStr">
        <is>
          <t>4&lt;=X&lt;7</t>
        </is>
      </c>
      <c r="I574" s="5" t="n">
        <v>4</v>
      </c>
      <c r="J574" s="5" t="inlineStr">
        <is>
          <t>male single</t>
        </is>
      </c>
      <c r="K574" s="5" t="inlineStr">
        <is>
          <t>none</t>
        </is>
      </c>
      <c r="L574" s="5" t="n">
        <v>1</v>
      </c>
      <c r="M574" s="5" t="inlineStr">
        <is>
          <t>car</t>
        </is>
      </c>
      <c r="N574" s="5" t="n">
        <v>41</v>
      </c>
      <c r="O574" s="5" t="inlineStr">
        <is>
          <t>none</t>
        </is>
      </c>
      <c r="P574" s="5" t="inlineStr">
        <is>
          <t>own</t>
        </is>
      </c>
      <c r="Q574" s="5" t="n">
        <v>2</v>
      </c>
      <c r="R574" s="5" t="inlineStr">
        <is>
          <t>skilled</t>
        </is>
      </c>
      <c r="S574" s="5" t="n">
        <v>2</v>
      </c>
      <c r="T574" s="5" t="inlineStr">
        <is>
          <t>yes</t>
        </is>
      </c>
      <c r="U574" s="5" t="inlineStr">
        <is>
          <t>yes</t>
        </is>
      </c>
      <c r="V574" s="5" t="inlineStr">
        <is>
          <t>good</t>
        </is>
      </c>
    </row>
    <row r="575">
      <c r="A575" s="5" t="n">
        <v>570</v>
      </c>
      <c r="B575" s="5" t="inlineStr">
        <is>
          <t>&lt;0</t>
        </is>
      </c>
      <c r="C575" s="5" t="n">
        <v>48</v>
      </c>
      <c r="D575" s="5" t="inlineStr">
        <is>
          <t>existing paid</t>
        </is>
      </c>
      <c r="E575" s="5" t="inlineStr">
        <is>
          <t>radio/tv</t>
        </is>
      </c>
      <c r="F575" s="5" t="n">
        <v>6758</v>
      </c>
      <c r="G575" s="5" t="inlineStr">
        <is>
          <t>&lt;100</t>
        </is>
      </c>
      <c r="H575" s="5" t="inlineStr">
        <is>
          <t>1&lt;=X&lt;4</t>
        </is>
      </c>
      <c r="I575" s="5" t="n">
        <v>3</v>
      </c>
      <c r="J575" s="5" t="inlineStr">
        <is>
          <t>female div/dep/mar</t>
        </is>
      </c>
      <c r="K575" s="5" t="inlineStr">
        <is>
          <t>none</t>
        </is>
      </c>
      <c r="L575" s="5" t="n">
        <v>2</v>
      </c>
      <c r="M575" s="5" t="inlineStr">
        <is>
          <t>car</t>
        </is>
      </c>
      <c r="N575" s="5" t="n">
        <v>31</v>
      </c>
      <c r="O575" s="5" t="inlineStr">
        <is>
          <t>none</t>
        </is>
      </c>
      <c r="P575" s="5" t="inlineStr">
        <is>
          <t>own</t>
        </is>
      </c>
      <c r="Q575" s="5" t="n">
        <v>1</v>
      </c>
      <c r="R575" s="5" t="inlineStr">
        <is>
          <t>skilled</t>
        </is>
      </c>
      <c r="S575" s="5" t="n">
        <v>1</v>
      </c>
      <c r="T575" s="5" t="inlineStr">
        <is>
          <t>yes</t>
        </is>
      </c>
      <c r="U575" s="5" t="inlineStr">
        <is>
          <t>yes</t>
        </is>
      </c>
      <c r="V575" s="5" t="inlineStr">
        <is>
          <t>bad</t>
        </is>
      </c>
    </row>
    <row r="576">
      <c r="A576" s="5" t="n">
        <v>571</v>
      </c>
      <c r="B576" s="5" t="inlineStr">
        <is>
          <t>&lt;0</t>
        </is>
      </c>
      <c r="C576" s="5" t="n">
        <v>24</v>
      </c>
      <c r="D576" s="5" t="inlineStr">
        <is>
          <t>existing paid</t>
        </is>
      </c>
      <c r="E576" s="5" t="inlineStr">
        <is>
          <t>furniture/equipment</t>
        </is>
      </c>
      <c r="F576" s="5" t="n">
        <v>3234</v>
      </c>
      <c r="G576" s="5" t="inlineStr">
        <is>
          <t>&lt;100</t>
        </is>
      </c>
      <c r="H576" s="5" t="inlineStr">
        <is>
          <t>&lt;1</t>
        </is>
      </c>
      <c r="I576" s="5" t="n">
        <v>4</v>
      </c>
      <c r="J576" s="5" t="inlineStr">
        <is>
          <t>female div/dep/mar</t>
        </is>
      </c>
      <c r="K576" s="5" t="inlineStr">
        <is>
          <t>none</t>
        </is>
      </c>
      <c r="L576" s="5" t="n">
        <v>4</v>
      </c>
      <c r="M576" s="5" t="inlineStr">
        <is>
          <t>real estate</t>
        </is>
      </c>
      <c r="N576" s="5" t="n">
        <v>23</v>
      </c>
      <c r="O576" s="5" t="inlineStr">
        <is>
          <t>none</t>
        </is>
      </c>
      <c r="P576" s="5" t="inlineStr">
        <is>
          <t>rent</t>
        </is>
      </c>
      <c r="Q576" s="5" t="n">
        <v>1</v>
      </c>
      <c r="R576" s="5" t="inlineStr">
        <is>
          <t>unskilled resident</t>
        </is>
      </c>
      <c r="S576" s="5" t="n">
        <v>1</v>
      </c>
      <c r="T576" s="5" t="inlineStr">
        <is>
          <t>yes</t>
        </is>
      </c>
      <c r="U576" s="5" t="inlineStr">
        <is>
          <t>yes</t>
        </is>
      </c>
      <c r="V576" s="5" t="inlineStr">
        <is>
          <t>bad</t>
        </is>
      </c>
    </row>
    <row r="577">
      <c r="A577" s="5" t="n">
        <v>572</v>
      </c>
      <c r="B577" s="5" t="inlineStr">
        <is>
          <t>no checking</t>
        </is>
      </c>
      <c r="C577" s="5" t="n">
        <v>30</v>
      </c>
      <c r="D577" s="5" t="inlineStr">
        <is>
          <t>critical/other existing credit</t>
        </is>
      </c>
      <c r="E577" s="5" t="inlineStr">
        <is>
          <t>radio/tv</t>
        </is>
      </c>
      <c r="F577" s="5" t="n">
        <v>5954</v>
      </c>
      <c r="G577" s="5" t="inlineStr">
        <is>
          <t>&lt;100</t>
        </is>
      </c>
      <c r="H577" s="5" t="inlineStr">
        <is>
          <t>4&lt;=X&lt;7</t>
        </is>
      </c>
      <c r="I577" s="5" t="n">
        <v>3</v>
      </c>
      <c r="J577" s="5" t="inlineStr">
        <is>
          <t>male single</t>
        </is>
      </c>
      <c r="K577" s="5" t="inlineStr">
        <is>
          <t>co applicant</t>
        </is>
      </c>
      <c r="L577" s="5" t="n">
        <v>2</v>
      </c>
      <c r="M577" s="5" t="inlineStr">
        <is>
          <t>car</t>
        </is>
      </c>
      <c r="N577" s="5" t="n">
        <v>38</v>
      </c>
      <c r="O577" s="5" t="inlineStr">
        <is>
          <t>none</t>
        </is>
      </c>
      <c r="P577" s="5" t="inlineStr">
        <is>
          <t>own</t>
        </is>
      </c>
      <c r="Q577" s="5" t="n">
        <v>1</v>
      </c>
      <c r="R577" s="5" t="inlineStr">
        <is>
          <t>skilled</t>
        </is>
      </c>
      <c r="S577" s="5" t="n">
        <v>1</v>
      </c>
      <c r="T577" s="5" t="inlineStr">
        <is>
          <t>none</t>
        </is>
      </c>
      <c r="U577" s="5" t="inlineStr">
        <is>
          <t>yes</t>
        </is>
      </c>
      <c r="V577" s="5" t="inlineStr">
        <is>
          <t>good</t>
        </is>
      </c>
    </row>
    <row r="578">
      <c r="A578" s="5" t="n">
        <v>573</v>
      </c>
      <c r="B578" s="5" t="inlineStr">
        <is>
          <t>no checking</t>
        </is>
      </c>
      <c r="C578" s="5" t="n">
        <v>24</v>
      </c>
      <c r="D578" s="5" t="inlineStr">
        <is>
          <t>existing paid</t>
        </is>
      </c>
      <c r="E578" s="5" t="inlineStr">
        <is>
          <t>used car</t>
        </is>
      </c>
      <c r="F578" s="5" t="n">
        <v>5433</v>
      </c>
      <c r="G578" s="5" t="inlineStr">
        <is>
          <t>no known savings</t>
        </is>
      </c>
      <c r="H578" s="5" t="inlineStr">
        <is>
          <t>unemployed</t>
        </is>
      </c>
      <c r="I578" s="5" t="n">
        <v>2</v>
      </c>
      <c r="J578" s="5" t="inlineStr">
        <is>
          <t>female div/dep/mar</t>
        </is>
      </c>
      <c r="K578" s="5" t="inlineStr">
        <is>
          <t>none</t>
        </is>
      </c>
      <c r="L578" s="5" t="n">
        <v>4</v>
      </c>
      <c r="M578" s="5" t="inlineStr">
        <is>
          <t>life insurance</t>
        </is>
      </c>
      <c r="N578" s="5" t="n">
        <v>26</v>
      </c>
      <c r="O578" s="5" t="inlineStr">
        <is>
          <t>none</t>
        </is>
      </c>
      <c r="P578" s="5" t="inlineStr">
        <is>
          <t>rent</t>
        </is>
      </c>
      <c r="Q578" s="5" t="n">
        <v>1</v>
      </c>
      <c r="R578" s="5" t="inlineStr">
        <is>
          <t>high qualif/self emp/mgmt</t>
        </is>
      </c>
      <c r="S578" s="5" t="n">
        <v>1</v>
      </c>
      <c r="T578" s="5" t="inlineStr">
        <is>
          <t>yes</t>
        </is>
      </c>
      <c r="U578" s="5" t="inlineStr">
        <is>
          <t>yes</t>
        </is>
      </c>
      <c r="V578" s="5" t="inlineStr">
        <is>
          <t>good</t>
        </is>
      </c>
    </row>
    <row r="579">
      <c r="A579" s="5" t="n">
        <v>574</v>
      </c>
      <c r="B579" s="5" t="inlineStr">
        <is>
          <t>&lt;0</t>
        </is>
      </c>
      <c r="C579" s="5" t="n">
        <v>15</v>
      </c>
      <c r="D579" s="5" t="inlineStr">
        <is>
          <t>existing paid</t>
        </is>
      </c>
      <c r="E579" s="5" t="inlineStr">
        <is>
          <t>business</t>
        </is>
      </c>
      <c r="F579" s="5" t="n">
        <v>806</v>
      </c>
      <c r="G579" s="5" t="inlineStr">
        <is>
          <t>&lt;100</t>
        </is>
      </c>
      <c r="H579" s="5" t="inlineStr">
        <is>
          <t>1&lt;=X&lt;4</t>
        </is>
      </c>
      <c r="I579" s="5" t="n">
        <v>4</v>
      </c>
      <c r="J579" s="5" t="inlineStr">
        <is>
          <t>female div/dep/mar</t>
        </is>
      </c>
      <c r="K579" s="5" t="inlineStr">
        <is>
          <t>none</t>
        </is>
      </c>
      <c r="L579" s="5" t="n">
        <v>4</v>
      </c>
      <c r="M579" s="5" t="inlineStr">
        <is>
          <t>life insurance</t>
        </is>
      </c>
      <c r="N579" s="5" t="n">
        <v>22</v>
      </c>
      <c r="O579" s="5" t="inlineStr">
        <is>
          <t>none</t>
        </is>
      </c>
      <c r="P579" s="5" t="inlineStr">
        <is>
          <t>own</t>
        </is>
      </c>
      <c r="Q579" s="5" t="n">
        <v>1</v>
      </c>
      <c r="R579" s="5" t="inlineStr">
        <is>
          <t>unskilled resident</t>
        </is>
      </c>
      <c r="S579" s="5" t="n">
        <v>1</v>
      </c>
      <c r="T579" s="5" t="inlineStr">
        <is>
          <t>none</t>
        </is>
      </c>
      <c r="U579" s="5" t="inlineStr">
        <is>
          <t>yes</t>
        </is>
      </c>
      <c r="V579" s="5" t="inlineStr">
        <is>
          <t>good</t>
        </is>
      </c>
    </row>
    <row r="580">
      <c r="A580" s="5" t="n">
        <v>575</v>
      </c>
      <c r="B580" s="5" t="inlineStr">
        <is>
          <t>0&lt;=X&lt;200</t>
        </is>
      </c>
      <c r="C580" s="5" t="n">
        <v>9</v>
      </c>
      <c r="D580" s="5" t="inlineStr">
        <is>
          <t>existing paid</t>
        </is>
      </c>
      <c r="E580" s="5" t="inlineStr">
        <is>
          <t>radio/tv</t>
        </is>
      </c>
      <c r="F580" s="5" t="n">
        <v>1082</v>
      </c>
      <c r="G580" s="5" t="inlineStr">
        <is>
          <t>&lt;100</t>
        </is>
      </c>
      <c r="H580" s="5" t="inlineStr">
        <is>
          <t>&gt;=7</t>
        </is>
      </c>
      <c r="I580" s="5" t="n">
        <v>4</v>
      </c>
      <c r="J580" s="5" t="inlineStr">
        <is>
          <t>male single</t>
        </is>
      </c>
      <c r="K580" s="5" t="inlineStr">
        <is>
          <t>none</t>
        </is>
      </c>
      <c r="L580" s="5" t="n">
        <v>4</v>
      </c>
      <c r="M580" s="5" t="inlineStr">
        <is>
          <t>car</t>
        </is>
      </c>
      <c r="N580" s="5" t="n">
        <v>27</v>
      </c>
      <c r="O580" s="5" t="inlineStr">
        <is>
          <t>none</t>
        </is>
      </c>
      <c r="P580" s="5" t="inlineStr">
        <is>
          <t>own</t>
        </is>
      </c>
      <c r="Q580" s="5" t="n">
        <v>2</v>
      </c>
      <c r="R580" s="5" t="inlineStr">
        <is>
          <t>unskilled resident</t>
        </is>
      </c>
      <c r="S580" s="5" t="n">
        <v>1</v>
      </c>
      <c r="T580" s="5" t="inlineStr">
        <is>
          <t>none</t>
        </is>
      </c>
      <c r="U580" s="5" t="inlineStr">
        <is>
          <t>yes</t>
        </is>
      </c>
      <c r="V580" s="5" t="inlineStr">
        <is>
          <t>good</t>
        </is>
      </c>
    </row>
    <row r="581">
      <c r="A581" s="5" t="n">
        <v>576</v>
      </c>
      <c r="B581" s="5" t="inlineStr">
        <is>
          <t>no checking</t>
        </is>
      </c>
      <c r="C581" s="5" t="n">
        <v>15</v>
      </c>
      <c r="D581" s="5" t="inlineStr">
        <is>
          <t>critical/other existing credit</t>
        </is>
      </c>
      <c r="E581" s="5" t="inlineStr">
        <is>
          <t>furniture/equipment</t>
        </is>
      </c>
      <c r="F581" s="5" t="n">
        <v>2788</v>
      </c>
      <c r="G581" s="5" t="inlineStr">
        <is>
          <t>&lt;100</t>
        </is>
      </c>
      <c r="H581" s="5" t="inlineStr">
        <is>
          <t>4&lt;=X&lt;7</t>
        </is>
      </c>
      <c r="I581" s="5" t="n">
        <v>2</v>
      </c>
      <c r="J581" s="5" t="inlineStr">
        <is>
          <t>female div/dep/mar</t>
        </is>
      </c>
      <c r="K581" s="5" t="inlineStr">
        <is>
          <t>co applicant</t>
        </is>
      </c>
      <c r="L581" s="5" t="n">
        <v>3</v>
      </c>
      <c r="M581" s="5" t="inlineStr">
        <is>
          <t>car</t>
        </is>
      </c>
      <c r="N581" s="5" t="n">
        <v>24</v>
      </c>
      <c r="O581" s="5" t="inlineStr">
        <is>
          <t>bank</t>
        </is>
      </c>
      <c r="P581" s="5" t="inlineStr">
        <is>
          <t>own</t>
        </is>
      </c>
      <c r="Q581" s="5" t="n">
        <v>2</v>
      </c>
      <c r="R581" s="5" t="inlineStr">
        <is>
          <t>skilled</t>
        </is>
      </c>
      <c r="S581" s="5" t="n">
        <v>1</v>
      </c>
      <c r="T581" s="5" t="inlineStr">
        <is>
          <t>none</t>
        </is>
      </c>
      <c r="U581" s="5" t="inlineStr">
        <is>
          <t>yes</t>
        </is>
      </c>
      <c r="V581" s="5" t="inlineStr">
        <is>
          <t>good</t>
        </is>
      </c>
    </row>
    <row r="582">
      <c r="A582" s="5" t="n">
        <v>577</v>
      </c>
      <c r="B582" s="5" t="inlineStr">
        <is>
          <t>0&lt;=X&lt;200</t>
        </is>
      </c>
      <c r="C582" s="5" t="n">
        <v>12</v>
      </c>
      <c r="D582" s="5" t="inlineStr">
        <is>
          <t>existing paid</t>
        </is>
      </c>
      <c r="E582" s="5" t="inlineStr">
        <is>
          <t>radio/tv</t>
        </is>
      </c>
      <c r="F582" s="5" t="n">
        <v>2930</v>
      </c>
      <c r="G582" s="5" t="inlineStr">
        <is>
          <t>&lt;100</t>
        </is>
      </c>
      <c r="H582" s="5" t="inlineStr">
        <is>
          <t>4&lt;=X&lt;7</t>
        </is>
      </c>
      <c r="I582" s="5" t="n">
        <v>2</v>
      </c>
      <c r="J582" s="5" t="inlineStr">
        <is>
          <t>female div/dep/mar</t>
        </is>
      </c>
      <c r="K582" s="5" t="inlineStr">
        <is>
          <t>none</t>
        </is>
      </c>
      <c r="L582" s="5" t="n">
        <v>1</v>
      </c>
      <c r="M582" s="5" t="inlineStr">
        <is>
          <t>real estate</t>
        </is>
      </c>
      <c r="N582" s="5" t="n">
        <v>27</v>
      </c>
      <c r="O582" s="5" t="inlineStr">
        <is>
          <t>none</t>
        </is>
      </c>
      <c r="P582" s="5" t="inlineStr">
        <is>
          <t>own</t>
        </is>
      </c>
      <c r="Q582" s="5" t="n">
        <v>1</v>
      </c>
      <c r="R582" s="5" t="inlineStr">
        <is>
          <t>skilled</t>
        </is>
      </c>
      <c r="S582" s="5" t="n">
        <v>1</v>
      </c>
      <c r="T582" s="5" t="inlineStr">
        <is>
          <t>none</t>
        </is>
      </c>
      <c r="U582" s="5" t="inlineStr">
        <is>
          <t>yes</t>
        </is>
      </c>
      <c r="V582" s="5" t="inlineStr">
        <is>
          <t>good</t>
        </is>
      </c>
    </row>
    <row r="583">
      <c r="A583" s="5" t="n">
        <v>578</v>
      </c>
      <c r="B583" s="5" t="inlineStr">
        <is>
          <t>no checking</t>
        </is>
      </c>
      <c r="C583" s="5" t="n">
        <v>24</v>
      </c>
      <c r="D583" s="5" t="inlineStr">
        <is>
          <t>critical/other existing credit</t>
        </is>
      </c>
      <c r="E583" s="5" t="inlineStr">
        <is>
          <t>education</t>
        </is>
      </c>
      <c r="F583" s="5" t="n">
        <v>1927</v>
      </c>
      <c r="G583" s="5" t="inlineStr">
        <is>
          <t>no known savings</t>
        </is>
      </c>
      <c r="H583" s="5" t="inlineStr">
        <is>
          <t>1&lt;=X&lt;4</t>
        </is>
      </c>
      <c r="I583" s="5" t="n">
        <v>3</v>
      </c>
      <c r="J583" s="5" t="inlineStr">
        <is>
          <t>female div/dep/mar</t>
        </is>
      </c>
      <c r="K583" s="5" t="inlineStr">
        <is>
          <t>none</t>
        </is>
      </c>
      <c r="L583" s="5" t="n">
        <v>2</v>
      </c>
      <c r="M583" s="5" t="inlineStr">
        <is>
          <t>car</t>
        </is>
      </c>
      <c r="N583" s="5" t="n">
        <v>33</v>
      </c>
      <c r="O583" s="5" t="inlineStr">
        <is>
          <t>none</t>
        </is>
      </c>
      <c r="P583" s="5" t="inlineStr">
        <is>
          <t>own</t>
        </is>
      </c>
      <c r="Q583" s="5" t="n">
        <v>2</v>
      </c>
      <c r="R583" s="5" t="inlineStr">
        <is>
          <t>skilled</t>
        </is>
      </c>
      <c r="S583" s="5" t="n">
        <v>1</v>
      </c>
      <c r="T583" s="5" t="inlineStr">
        <is>
          <t>yes</t>
        </is>
      </c>
      <c r="U583" s="5" t="inlineStr">
        <is>
          <t>yes</t>
        </is>
      </c>
      <c r="V583" s="5" t="inlineStr">
        <is>
          <t>good</t>
        </is>
      </c>
    </row>
    <row r="584">
      <c r="A584" s="5" t="n">
        <v>579</v>
      </c>
      <c r="B584" s="5" t="inlineStr">
        <is>
          <t>0&lt;=X&lt;200</t>
        </is>
      </c>
      <c r="C584" s="5" t="n">
        <v>36</v>
      </c>
      <c r="D584" s="5" t="inlineStr">
        <is>
          <t>critical/other existing credit</t>
        </is>
      </c>
      <c r="E584" s="5" t="inlineStr">
        <is>
          <t>new car</t>
        </is>
      </c>
      <c r="F584" s="5" t="n">
        <v>2820</v>
      </c>
      <c r="G584" s="5" t="inlineStr">
        <is>
          <t>&lt;100</t>
        </is>
      </c>
      <c r="H584" s="5" t="inlineStr">
        <is>
          <t>&lt;1</t>
        </is>
      </c>
      <c r="I584" s="5" t="n">
        <v>4</v>
      </c>
      <c r="J584" s="5" t="inlineStr">
        <is>
          <t>male div/sep</t>
        </is>
      </c>
      <c r="K584" s="5" t="inlineStr">
        <is>
          <t>none</t>
        </is>
      </c>
      <c r="L584" s="5" t="n">
        <v>4</v>
      </c>
      <c r="M584" s="5" t="inlineStr">
        <is>
          <t>car</t>
        </is>
      </c>
      <c r="N584" s="5" t="n">
        <v>27</v>
      </c>
      <c r="O584" s="5" t="inlineStr">
        <is>
          <t>none</t>
        </is>
      </c>
      <c r="P584" s="5" t="inlineStr">
        <is>
          <t>own</t>
        </is>
      </c>
      <c r="Q584" s="5" t="n">
        <v>2</v>
      </c>
      <c r="R584" s="5" t="inlineStr">
        <is>
          <t>skilled</t>
        </is>
      </c>
      <c r="S584" s="5" t="n">
        <v>1</v>
      </c>
      <c r="T584" s="5" t="inlineStr">
        <is>
          <t>none</t>
        </is>
      </c>
      <c r="U584" s="5" t="inlineStr">
        <is>
          <t>yes</t>
        </is>
      </c>
      <c r="V584" s="5" t="inlineStr">
        <is>
          <t>bad</t>
        </is>
      </c>
    </row>
    <row r="585">
      <c r="A585" s="5" t="n">
        <v>580</v>
      </c>
      <c r="B585" s="5" t="inlineStr">
        <is>
          <t>no checking</t>
        </is>
      </c>
      <c r="C585" s="5" t="n">
        <v>24</v>
      </c>
      <c r="D585" s="5" t="inlineStr">
        <is>
          <t>existing paid</t>
        </is>
      </c>
      <c r="E585" s="5" t="inlineStr">
        <is>
          <t>retraining</t>
        </is>
      </c>
      <c r="F585" s="5" t="n">
        <v>937</v>
      </c>
      <c r="G585" s="5" t="inlineStr">
        <is>
          <t>&lt;100</t>
        </is>
      </c>
      <c r="H585" s="5" t="inlineStr">
        <is>
          <t>&lt;1</t>
        </is>
      </c>
      <c r="I585" s="5" t="n">
        <v>4</v>
      </c>
      <c r="J585" s="5" t="inlineStr">
        <is>
          <t>male mar/wid</t>
        </is>
      </c>
      <c r="K585" s="5" t="inlineStr">
        <is>
          <t>none</t>
        </is>
      </c>
      <c r="L585" s="5" t="n">
        <v>3</v>
      </c>
      <c r="M585" s="5" t="inlineStr">
        <is>
          <t>car</t>
        </is>
      </c>
      <c r="N585" s="5" t="n">
        <v>27</v>
      </c>
      <c r="O585" s="5" t="inlineStr">
        <is>
          <t>none</t>
        </is>
      </c>
      <c r="P585" s="5" t="inlineStr">
        <is>
          <t>own</t>
        </is>
      </c>
      <c r="Q585" s="5" t="n">
        <v>2</v>
      </c>
      <c r="R585" s="5" t="inlineStr">
        <is>
          <t>unskilled resident</t>
        </is>
      </c>
      <c r="S585" s="5" t="n">
        <v>1</v>
      </c>
      <c r="T585" s="5" t="inlineStr">
        <is>
          <t>none</t>
        </is>
      </c>
      <c r="U585" s="5" t="inlineStr">
        <is>
          <t>yes</t>
        </is>
      </c>
      <c r="V585" s="5" t="inlineStr">
        <is>
          <t>good</t>
        </is>
      </c>
    </row>
    <row r="586">
      <c r="A586" s="5" t="n">
        <v>581</v>
      </c>
      <c r="B586" s="5" t="inlineStr">
        <is>
          <t>0&lt;=X&lt;200</t>
        </is>
      </c>
      <c r="C586" s="5" t="n">
        <v>18</v>
      </c>
      <c r="D586" s="5" t="inlineStr">
        <is>
          <t>critical/other existing credit</t>
        </is>
      </c>
      <c r="E586" s="5" t="inlineStr">
        <is>
          <t>new car</t>
        </is>
      </c>
      <c r="F586" s="5" t="n">
        <v>1056</v>
      </c>
      <c r="G586" s="5" t="inlineStr">
        <is>
          <t>&lt;100</t>
        </is>
      </c>
      <c r="H586" s="5" t="inlineStr">
        <is>
          <t>&gt;=7</t>
        </is>
      </c>
      <c r="I586" s="5" t="n">
        <v>3</v>
      </c>
      <c r="J586" s="5" t="inlineStr">
        <is>
          <t>male single</t>
        </is>
      </c>
      <c r="K586" s="5" t="inlineStr">
        <is>
          <t>guarantor</t>
        </is>
      </c>
      <c r="L586" s="5" t="n">
        <v>3</v>
      </c>
      <c r="M586" s="5" t="inlineStr">
        <is>
          <t>real estate</t>
        </is>
      </c>
      <c r="N586" s="5" t="n">
        <v>30</v>
      </c>
      <c r="O586" s="5" t="inlineStr">
        <is>
          <t>bank</t>
        </is>
      </c>
      <c r="P586" s="5" t="inlineStr">
        <is>
          <t>own</t>
        </is>
      </c>
      <c r="Q586" s="5" t="n">
        <v>2</v>
      </c>
      <c r="R586" s="5" t="inlineStr">
        <is>
          <t>skilled</t>
        </is>
      </c>
      <c r="S586" s="5" t="n">
        <v>1</v>
      </c>
      <c r="T586" s="5" t="inlineStr">
        <is>
          <t>none</t>
        </is>
      </c>
      <c r="U586" s="5" t="inlineStr">
        <is>
          <t>yes</t>
        </is>
      </c>
      <c r="V586" s="5" t="inlineStr">
        <is>
          <t>bad</t>
        </is>
      </c>
    </row>
    <row r="587">
      <c r="A587" s="5" t="n">
        <v>582</v>
      </c>
      <c r="B587" s="5" t="inlineStr">
        <is>
          <t>0&lt;=X&lt;200</t>
        </is>
      </c>
      <c r="C587" s="5" t="n">
        <v>12</v>
      </c>
      <c r="D587" s="5" t="inlineStr">
        <is>
          <t>critical/other existing credit</t>
        </is>
      </c>
      <c r="E587" s="5" t="inlineStr">
        <is>
          <t>new car</t>
        </is>
      </c>
      <c r="F587" s="5" t="n">
        <v>3124</v>
      </c>
      <c r="G587" s="5" t="inlineStr">
        <is>
          <t>&lt;100</t>
        </is>
      </c>
      <c r="H587" s="5" t="inlineStr">
        <is>
          <t>&lt;1</t>
        </is>
      </c>
      <c r="I587" s="5" t="n">
        <v>1</v>
      </c>
      <c r="J587" s="5" t="inlineStr">
        <is>
          <t>male single</t>
        </is>
      </c>
      <c r="K587" s="5" t="inlineStr">
        <is>
          <t>none</t>
        </is>
      </c>
      <c r="L587" s="5" t="n">
        <v>3</v>
      </c>
      <c r="M587" s="5" t="inlineStr">
        <is>
          <t>real estate</t>
        </is>
      </c>
      <c r="N587" s="5" t="n">
        <v>49</v>
      </c>
      <c r="O587" s="5" t="inlineStr">
        <is>
          <t>bank</t>
        </is>
      </c>
      <c r="P587" s="5" t="inlineStr">
        <is>
          <t>own</t>
        </is>
      </c>
      <c r="Q587" s="5" t="n">
        <v>2</v>
      </c>
      <c r="R587" s="5" t="inlineStr">
        <is>
          <t>unskilled resident</t>
        </is>
      </c>
      <c r="S587" s="5" t="n">
        <v>2</v>
      </c>
      <c r="T587" s="5" t="inlineStr">
        <is>
          <t>none</t>
        </is>
      </c>
      <c r="U587" s="5" t="inlineStr">
        <is>
          <t>yes</t>
        </is>
      </c>
      <c r="V587" s="5" t="inlineStr">
        <is>
          <t>good</t>
        </is>
      </c>
    </row>
    <row r="588">
      <c r="A588" s="5" t="n">
        <v>583</v>
      </c>
      <c r="B588" s="5" t="inlineStr">
        <is>
          <t>no checking</t>
        </is>
      </c>
      <c r="C588" s="5" t="n">
        <v>9</v>
      </c>
      <c r="D588" s="5" t="inlineStr">
        <is>
          <t>existing paid</t>
        </is>
      </c>
      <c r="E588" s="5" t="inlineStr">
        <is>
          <t>furniture/equipment</t>
        </is>
      </c>
      <c r="F588" s="5" t="n">
        <v>1388</v>
      </c>
      <c r="G588" s="5" t="inlineStr">
        <is>
          <t>&lt;100</t>
        </is>
      </c>
      <c r="H588" s="5" t="inlineStr">
        <is>
          <t>1&lt;=X&lt;4</t>
        </is>
      </c>
      <c r="I588" s="5" t="n">
        <v>4</v>
      </c>
      <c r="J588" s="5" t="inlineStr">
        <is>
          <t>female div/dep/mar</t>
        </is>
      </c>
      <c r="K588" s="5" t="inlineStr">
        <is>
          <t>none</t>
        </is>
      </c>
      <c r="L588" s="5" t="n">
        <v>2</v>
      </c>
      <c r="M588" s="5" t="inlineStr">
        <is>
          <t>real estate</t>
        </is>
      </c>
      <c r="N588" s="5" t="n">
        <v>26</v>
      </c>
      <c r="O588" s="5" t="inlineStr">
        <is>
          <t>none</t>
        </is>
      </c>
      <c r="P588" s="5" t="inlineStr">
        <is>
          <t>rent</t>
        </is>
      </c>
      <c r="Q588" s="5" t="n">
        <v>1</v>
      </c>
      <c r="R588" s="5" t="inlineStr">
        <is>
          <t>skilled</t>
        </is>
      </c>
      <c r="S588" s="5" t="n">
        <v>1</v>
      </c>
      <c r="T588" s="5" t="inlineStr">
        <is>
          <t>none</t>
        </is>
      </c>
      <c r="U588" s="5" t="inlineStr">
        <is>
          <t>yes</t>
        </is>
      </c>
      <c r="V588" s="5" t="inlineStr">
        <is>
          <t>good</t>
        </is>
      </c>
    </row>
    <row r="589">
      <c r="A589" s="5" t="n">
        <v>584</v>
      </c>
      <c r="B589" s="5" t="inlineStr">
        <is>
          <t>0&lt;=X&lt;200</t>
        </is>
      </c>
      <c r="C589" s="5" t="n">
        <v>36</v>
      </c>
      <c r="D589" s="5" t="inlineStr">
        <is>
          <t>existing paid</t>
        </is>
      </c>
      <c r="E589" s="5" t="inlineStr">
        <is>
          <t>repairs</t>
        </is>
      </c>
      <c r="F589" s="5" t="n">
        <v>2384</v>
      </c>
      <c r="G589" s="5" t="inlineStr">
        <is>
          <t>&lt;100</t>
        </is>
      </c>
      <c r="H589" s="5" t="inlineStr">
        <is>
          <t>&lt;1</t>
        </is>
      </c>
      <c r="I589" s="5" t="n">
        <v>4</v>
      </c>
      <c r="J589" s="5" t="inlineStr">
        <is>
          <t>male single</t>
        </is>
      </c>
      <c r="K589" s="5" t="inlineStr">
        <is>
          <t>none</t>
        </is>
      </c>
      <c r="L589" s="5" t="n">
        <v>1</v>
      </c>
      <c r="M589" s="5" t="inlineStr">
        <is>
          <t>no known property</t>
        </is>
      </c>
      <c r="N589" s="5" t="n">
        <v>33</v>
      </c>
      <c r="O589" s="5" t="inlineStr">
        <is>
          <t>none</t>
        </is>
      </c>
      <c r="P589" s="5" t="inlineStr">
        <is>
          <t>rent</t>
        </is>
      </c>
      <c r="Q589" s="5" t="n">
        <v>1</v>
      </c>
      <c r="R589" s="5" t="inlineStr">
        <is>
          <t>unskilled resident</t>
        </is>
      </c>
      <c r="S589" s="5" t="n">
        <v>1</v>
      </c>
      <c r="T589" s="5" t="inlineStr">
        <is>
          <t>none</t>
        </is>
      </c>
      <c r="U589" s="5" t="inlineStr">
        <is>
          <t>yes</t>
        </is>
      </c>
      <c r="V589" s="5" t="inlineStr">
        <is>
          <t>bad</t>
        </is>
      </c>
    </row>
    <row r="590">
      <c r="A590" s="5" t="n">
        <v>585</v>
      </c>
      <c r="B590" s="5" t="inlineStr">
        <is>
          <t>no checking</t>
        </is>
      </c>
      <c r="C590" s="5" t="n">
        <v>12</v>
      </c>
      <c r="D590" s="5" t="inlineStr">
        <is>
          <t>existing paid</t>
        </is>
      </c>
      <c r="E590" s="5" t="inlineStr">
        <is>
          <t>new car</t>
        </is>
      </c>
      <c r="F590" s="5" t="n">
        <v>2133</v>
      </c>
      <c r="G590" s="5" t="inlineStr">
        <is>
          <t>no known savings</t>
        </is>
      </c>
      <c r="H590" s="5" t="inlineStr">
        <is>
          <t>&gt;=7</t>
        </is>
      </c>
      <c r="I590" s="5" t="n">
        <v>4</v>
      </c>
      <c r="J590" s="5" t="inlineStr">
        <is>
          <t>female div/dep/mar</t>
        </is>
      </c>
      <c r="K590" s="5" t="inlineStr">
        <is>
          <t>none</t>
        </is>
      </c>
      <c r="L590" s="5" t="n">
        <v>4</v>
      </c>
      <c r="M590" s="5" t="inlineStr">
        <is>
          <t>no known property</t>
        </is>
      </c>
      <c r="N590" s="5" t="n">
        <v>52</v>
      </c>
      <c r="O590" s="5" t="inlineStr">
        <is>
          <t>none</t>
        </is>
      </c>
      <c r="P590" s="5" t="inlineStr">
        <is>
          <t>for free</t>
        </is>
      </c>
      <c r="Q590" s="5" t="n">
        <v>1</v>
      </c>
      <c r="R590" s="5" t="inlineStr">
        <is>
          <t>high qualif/self emp/mgmt</t>
        </is>
      </c>
      <c r="S590" s="5" t="n">
        <v>1</v>
      </c>
      <c r="T590" s="5" t="inlineStr">
        <is>
          <t>yes</t>
        </is>
      </c>
      <c r="U590" s="5" t="inlineStr">
        <is>
          <t>yes</t>
        </is>
      </c>
      <c r="V590" s="5" t="inlineStr">
        <is>
          <t>good</t>
        </is>
      </c>
    </row>
    <row r="591">
      <c r="A591" s="5" t="n">
        <v>586</v>
      </c>
      <c r="B591" s="5" t="inlineStr">
        <is>
          <t>&lt;0</t>
        </is>
      </c>
      <c r="C591" s="5" t="n">
        <v>18</v>
      </c>
      <c r="D591" s="5" t="inlineStr">
        <is>
          <t>existing paid</t>
        </is>
      </c>
      <c r="E591" s="5" t="inlineStr">
        <is>
          <t>furniture/equipment</t>
        </is>
      </c>
      <c r="F591" s="5" t="n">
        <v>2039</v>
      </c>
      <c r="G591" s="5" t="inlineStr">
        <is>
          <t>&lt;100</t>
        </is>
      </c>
      <c r="H591" s="5" t="inlineStr">
        <is>
          <t>1&lt;=X&lt;4</t>
        </is>
      </c>
      <c r="I591" s="5" t="n">
        <v>1</v>
      </c>
      <c r="J591" s="5" t="inlineStr">
        <is>
          <t>female div/dep/mar</t>
        </is>
      </c>
      <c r="K591" s="5" t="inlineStr">
        <is>
          <t>none</t>
        </is>
      </c>
      <c r="L591" s="5" t="n">
        <v>4</v>
      </c>
      <c r="M591" s="5" t="inlineStr">
        <is>
          <t>real estate</t>
        </is>
      </c>
      <c r="N591" s="5" t="n">
        <v>20</v>
      </c>
      <c r="O591" s="5" t="inlineStr">
        <is>
          <t>bank</t>
        </is>
      </c>
      <c r="P591" s="5" t="inlineStr">
        <is>
          <t>rent</t>
        </is>
      </c>
      <c r="Q591" s="5" t="n">
        <v>1</v>
      </c>
      <c r="R591" s="5" t="inlineStr">
        <is>
          <t>skilled</t>
        </is>
      </c>
      <c r="S591" s="5" t="n">
        <v>1</v>
      </c>
      <c r="T591" s="5" t="inlineStr">
        <is>
          <t>none</t>
        </is>
      </c>
      <c r="U591" s="5" t="inlineStr">
        <is>
          <t>yes</t>
        </is>
      </c>
      <c r="V591" s="5" t="inlineStr">
        <is>
          <t>bad</t>
        </is>
      </c>
    </row>
    <row r="592">
      <c r="A592" s="5" t="n">
        <v>587</v>
      </c>
      <c r="B592" s="5" t="inlineStr">
        <is>
          <t>&lt;0</t>
        </is>
      </c>
      <c r="C592" s="5" t="n">
        <v>9</v>
      </c>
      <c r="D592" s="5" t="inlineStr">
        <is>
          <t>critical/other existing credit</t>
        </is>
      </c>
      <c r="E592" s="5" t="inlineStr">
        <is>
          <t>new car</t>
        </is>
      </c>
      <c r="F592" s="5" t="n">
        <v>2799</v>
      </c>
      <c r="G592" s="5" t="inlineStr">
        <is>
          <t>&lt;100</t>
        </is>
      </c>
      <c r="H592" s="5" t="inlineStr">
        <is>
          <t>1&lt;=X&lt;4</t>
        </is>
      </c>
      <c r="I592" s="5" t="n">
        <v>2</v>
      </c>
      <c r="J592" s="5" t="inlineStr">
        <is>
          <t>male single</t>
        </is>
      </c>
      <c r="K592" s="5" t="inlineStr">
        <is>
          <t>none</t>
        </is>
      </c>
      <c r="L592" s="5" t="n">
        <v>2</v>
      </c>
      <c r="M592" s="5" t="inlineStr">
        <is>
          <t>real estate</t>
        </is>
      </c>
      <c r="N592" s="5" t="n">
        <v>36</v>
      </c>
      <c r="O592" s="5" t="inlineStr">
        <is>
          <t>none</t>
        </is>
      </c>
      <c r="P592" s="5" t="inlineStr">
        <is>
          <t>rent</t>
        </is>
      </c>
      <c r="Q592" s="5" t="n">
        <v>2</v>
      </c>
      <c r="R592" s="5" t="inlineStr">
        <is>
          <t>skilled</t>
        </is>
      </c>
      <c r="S592" s="5" t="n">
        <v>2</v>
      </c>
      <c r="T592" s="5" t="inlineStr">
        <is>
          <t>none</t>
        </is>
      </c>
      <c r="U592" s="5" t="inlineStr">
        <is>
          <t>yes</t>
        </is>
      </c>
      <c r="V592" s="5" t="inlineStr">
        <is>
          <t>good</t>
        </is>
      </c>
    </row>
    <row r="593">
      <c r="A593" s="5" t="n">
        <v>588</v>
      </c>
      <c r="B593" s="5" t="inlineStr">
        <is>
          <t>&lt;0</t>
        </is>
      </c>
      <c r="C593" s="5" t="n">
        <v>12</v>
      </c>
      <c r="D593" s="5" t="inlineStr">
        <is>
          <t>existing paid</t>
        </is>
      </c>
      <c r="E593" s="5" t="inlineStr">
        <is>
          <t>furniture/equipment</t>
        </is>
      </c>
      <c r="F593" s="5" t="n">
        <v>1289</v>
      </c>
      <c r="G593" s="5" t="inlineStr">
        <is>
          <t>&lt;100</t>
        </is>
      </c>
      <c r="H593" s="5" t="inlineStr">
        <is>
          <t>1&lt;=X&lt;4</t>
        </is>
      </c>
      <c r="I593" s="5" t="n">
        <v>4</v>
      </c>
      <c r="J593" s="5" t="inlineStr">
        <is>
          <t>male single</t>
        </is>
      </c>
      <c r="K593" s="5" t="inlineStr">
        <is>
          <t>guarantor</t>
        </is>
      </c>
      <c r="L593" s="5" t="n">
        <v>1</v>
      </c>
      <c r="M593" s="5" t="inlineStr">
        <is>
          <t>life insurance</t>
        </is>
      </c>
      <c r="N593" s="5" t="n">
        <v>21</v>
      </c>
      <c r="O593" s="5" t="inlineStr">
        <is>
          <t>none</t>
        </is>
      </c>
      <c r="P593" s="5" t="inlineStr">
        <is>
          <t>own</t>
        </is>
      </c>
      <c r="Q593" s="5" t="n">
        <v>1</v>
      </c>
      <c r="R593" s="5" t="inlineStr">
        <is>
          <t>unskilled resident</t>
        </is>
      </c>
      <c r="S593" s="5" t="n">
        <v>1</v>
      </c>
      <c r="T593" s="5" t="inlineStr">
        <is>
          <t>none</t>
        </is>
      </c>
      <c r="U593" s="5" t="inlineStr">
        <is>
          <t>yes</t>
        </is>
      </c>
      <c r="V593" s="5" t="inlineStr">
        <is>
          <t>good</t>
        </is>
      </c>
    </row>
    <row r="594">
      <c r="A594" s="5" t="n">
        <v>589</v>
      </c>
      <c r="B594" s="5" t="inlineStr">
        <is>
          <t>&lt;0</t>
        </is>
      </c>
      <c r="C594" s="5" t="n">
        <v>18</v>
      </c>
      <c r="D594" s="5" t="inlineStr">
        <is>
          <t>existing paid</t>
        </is>
      </c>
      <c r="E594" s="5" t="inlineStr">
        <is>
          <t>domestic appliance</t>
        </is>
      </c>
      <c r="F594" s="5" t="n">
        <v>1217</v>
      </c>
      <c r="G594" s="5" t="inlineStr">
        <is>
          <t>&lt;100</t>
        </is>
      </c>
      <c r="H594" s="5" t="inlineStr">
        <is>
          <t>1&lt;=X&lt;4</t>
        </is>
      </c>
      <c r="I594" s="5" t="n">
        <v>4</v>
      </c>
      <c r="J594" s="5" t="inlineStr">
        <is>
          <t>male mar/wid</t>
        </is>
      </c>
      <c r="K594" s="5" t="inlineStr">
        <is>
          <t>none</t>
        </is>
      </c>
      <c r="L594" s="5" t="n">
        <v>3</v>
      </c>
      <c r="M594" s="5" t="inlineStr">
        <is>
          <t>real estate</t>
        </is>
      </c>
      <c r="N594" s="5" t="n">
        <v>47</v>
      </c>
      <c r="O594" s="5" t="inlineStr">
        <is>
          <t>none</t>
        </is>
      </c>
      <c r="P594" s="5" t="inlineStr">
        <is>
          <t>own</t>
        </is>
      </c>
      <c r="Q594" s="5" t="n">
        <v>1</v>
      </c>
      <c r="R594" s="5" t="inlineStr">
        <is>
          <t>unskilled resident</t>
        </is>
      </c>
      <c r="S594" s="5" t="n">
        <v>1</v>
      </c>
      <c r="T594" s="5" t="inlineStr">
        <is>
          <t>yes</t>
        </is>
      </c>
      <c r="U594" s="5" t="inlineStr">
        <is>
          <t>yes</t>
        </is>
      </c>
      <c r="V594" s="5" t="inlineStr">
        <is>
          <t>bad</t>
        </is>
      </c>
    </row>
    <row r="595">
      <c r="A595" s="5" t="n">
        <v>590</v>
      </c>
      <c r="B595" s="5" t="inlineStr">
        <is>
          <t>&lt;0</t>
        </is>
      </c>
      <c r="C595" s="5" t="n">
        <v>12</v>
      </c>
      <c r="D595" s="5" t="inlineStr">
        <is>
          <t>critical/other existing credit</t>
        </is>
      </c>
      <c r="E595" s="5" t="inlineStr">
        <is>
          <t>furniture/equipment</t>
        </is>
      </c>
      <c r="F595" s="5" t="n">
        <v>2246</v>
      </c>
      <c r="G595" s="5" t="inlineStr">
        <is>
          <t>&lt;100</t>
        </is>
      </c>
      <c r="H595" s="5" t="inlineStr">
        <is>
          <t>&gt;=7</t>
        </is>
      </c>
      <c r="I595" s="5" t="n">
        <v>3</v>
      </c>
      <c r="J595" s="5" t="inlineStr">
        <is>
          <t>male single</t>
        </is>
      </c>
      <c r="K595" s="5" t="inlineStr">
        <is>
          <t>none</t>
        </is>
      </c>
      <c r="L595" s="5" t="n">
        <v>3</v>
      </c>
      <c r="M595" s="5" t="inlineStr">
        <is>
          <t>life insurance</t>
        </is>
      </c>
      <c r="N595" s="5" t="n">
        <v>60</v>
      </c>
      <c r="O595" s="5" t="inlineStr">
        <is>
          <t>none</t>
        </is>
      </c>
      <c r="P595" s="5" t="inlineStr">
        <is>
          <t>own</t>
        </is>
      </c>
      <c r="Q595" s="5" t="n">
        <v>2</v>
      </c>
      <c r="R595" s="5" t="inlineStr">
        <is>
          <t>skilled</t>
        </is>
      </c>
      <c r="S595" s="5" t="n">
        <v>1</v>
      </c>
      <c r="T595" s="5" t="inlineStr">
        <is>
          <t>none</t>
        </is>
      </c>
      <c r="U595" s="5" t="inlineStr">
        <is>
          <t>yes</t>
        </is>
      </c>
      <c r="V595" s="5" t="inlineStr">
        <is>
          <t>bad</t>
        </is>
      </c>
    </row>
    <row r="596">
      <c r="A596" s="5" t="n">
        <v>591</v>
      </c>
      <c r="B596" s="5" t="inlineStr">
        <is>
          <t>&lt;0</t>
        </is>
      </c>
      <c r="C596" s="5" t="n">
        <v>12</v>
      </c>
      <c r="D596" s="5" t="inlineStr">
        <is>
          <t>critical/other existing credit</t>
        </is>
      </c>
      <c r="E596" s="5" t="inlineStr">
        <is>
          <t>radio/tv</t>
        </is>
      </c>
      <c r="F596" s="5" t="n">
        <v>385</v>
      </c>
      <c r="G596" s="5" t="inlineStr">
        <is>
          <t>&lt;100</t>
        </is>
      </c>
      <c r="H596" s="5" t="inlineStr">
        <is>
          <t>4&lt;=X&lt;7</t>
        </is>
      </c>
      <c r="I596" s="5" t="n">
        <v>4</v>
      </c>
      <c r="J596" s="5" t="inlineStr">
        <is>
          <t>female div/dep/mar</t>
        </is>
      </c>
      <c r="K596" s="5" t="inlineStr">
        <is>
          <t>none</t>
        </is>
      </c>
      <c r="L596" s="5" t="n">
        <v>3</v>
      </c>
      <c r="M596" s="5" t="inlineStr">
        <is>
          <t>real estate</t>
        </is>
      </c>
      <c r="N596" s="5" t="n">
        <v>58</v>
      </c>
      <c r="O596" s="5" t="inlineStr">
        <is>
          <t>none</t>
        </is>
      </c>
      <c r="P596" s="5" t="inlineStr">
        <is>
          <t>own</t>
        </is>
      </c>
      <c r="Q596" s="5" t="n">
        <v>4</v>
      </c>
      <c r="R596" s="5" t="inlineStr">
        <is>
          <t>unskilled resident</t>
        </is>
      </c>
      <c r="S596" s="5" t="n">
        <v>1</v>
      </c>
      <c r="T596" s="5" t="inlineStr">
        <is>
          <t>yes</t>
        </is>
      </c>
      <c r="U596" s="5" t="inlineStr">
        <is>
          <t>yes</t>
        </is>
      </c>
      <c r="V596" s="5" t="inlineStr">
        <is>
          <t>good</t>
        </is>
      </c>
    </row>
    <row r="597">
      <c r="A597" s="5" t="n">
        <v>592</v>
      </c>
      <c r="B597" s="5" t="inlineStr">
        <is>
          <t>0&lt;=X&lt;200</t>
        </is>
      </c>
      <c r="C597" s="5" t="n">
        <v>24</v>
      </c>
      <c r="D597" s="5" t="inlineStr">
        <is>
          <t>delayed previously</t>
        </is>
      </c>
      <c r="E597" s="5" t="inlineStr">
        <is>
          <t>new car</t>
        </is>
      </c>
      <c r="F597" s="5" t="n">
        <v>1965</v>
      </c>
      <c r="G597" s="5" t="inlineStr">
        <is>
          <t>no known savings</t>
        </is>
      </c>
      <c r="H597" s="5" t="inlineStr">
        <is>
          <t>1&lt;=X&lt;4</t>
        </is>
      </c>
      <c r="I597" s="5" t="n">
        <v>4</v>
      </c>
      <c r="J597" s="5" t="inlineStr">
        <is>
          <t>female div/dep/mar</t>
        </is>
      </c>
      <c r="K597" s="5" t="inlineStr">
        <is>
          <t>none</t>
        </is>
      </c>
      <c r="L597" s="5" t="n">
        <v>4</v>
      </c>
      <c r="M597" s="5" t="inlineStr">
        <is>
          <t>car</t>
        </is>
      </c>
      <c r="N597" s="5" t="n">
        <v>42</v>
      </c>
      <c r="O597" s="5" t="inlineStr">
        <is>
          <t>none</t>
        </is>
      </c>
      <c r="P597" s="5" t="inlineStr">
        <is>
          <t>rent</t>
        </is>
      </c>
      <c r="Q597" s="5" t="n">
        <v>2</v>
      </c>
      <c r="R597" s="5" t="inlineStr">
        <is>
          <t>skilled</t>
        </is>
      </c>
      <c r="S597" s="5" t="n">
        <v>1</v>
      </c>
      <c r="T597" s="5" t="inlineStr">
        <is>
          <t>yes</t>
        </is>
      </c>
      <c r="U597" s="5" t="inlineStr">
        <is>
          <t>yes</t>
        </is>
      </c>
      <c r="V597" s="5" t="inlineStr">
        <is>
          <t>good</t>
        </is>
      </c>
    </row>
    <row r="598">
      <c r="A598" s="5" t="n">
        <v>593</v>
      </c>
      <c r="B598" s="5" t="inlineStr">
        <is>
          <t>no checking</t>
        </is>
      </c>
      <c r="C598" s="5" t="n">
        <v>21</v>
      </c>
      <c r="D598" s="5" t="inlineStr">
        <is>
          <t>existing paid</t>
        </is>
      </c>
      <c r="E598" s="5" t="inlineStr">
        <is>
          <t>business</t>
        </is>
      </c>
      <c r="F598" s="5" t="n">
        <v>1572</v>
      </c>
      <c r="G598" s="5" t="inlineStr">
        <is>
          <t>&gt;=1000</t>
        </is>
      </c>
      <c r="H598" s="5" t="inlineStr">
        <is>
          <t>&gt;=7</t>
        </is>
      </c>
      <c r="I598" s="5" t="n">
        <v>4</v>
      </c>
      <c r="J598" s="5" t="inlineStr">
        <is>
          <t>female div/dep/mar</t>
        </is>
      </c>
      <c r="K598" s="5" t="inlineStr">
        <is>
          <t>none</t>
        </is>
      </c>
      <c r="L598" s="5" t="n">
        <v>4</v>
      </c>
      <c r="M598" s="5" t="inlineStr">
        <is>
          <t>real estate</t>
        </is>
      </c>
      <c r="N598" s="5" t="n">
        <v>36</v>
      </c>
      <c r="O598" s="5" t="inlineStr">
        <is>
          <t>bank</t>
        </is>
      </c>
      <c r="P598" s="5" t="inlineStr">
        <is>
          <t>own</t>
        </is>
      </c>
      <c r="Q598" s="5" t="n">
        <v>1</v>
      </c>
      <c r="R598" s="5" t="inlineStr">
        <is>
          <t>unskilled resident</t>
        </is>
      </c>
      <c r="S598" s="5" t="n">
        <v>1</v>
      </c>
      <c r="T598" s="5" t="inlineStr">
        <is>
          <t>none</t>
        </is>
      </c>
      <c r="U598" s="5" t="inlineStr">
        <is>
          <t>yes</t>
        </is>
      </c>
      <c r="V598" s="5" t="inlineStr">
        <is>
          <t>good</t>
        </is>
      </c>
    </row>
    <row r="599">
      <c r="A599" s="5" t="n">
        <v>594</v>
      </c>
      <c r="B599" s="5" t="inlineStr">
        <is>
          <t>0&lt;=X&lt;200</t>
        </is>
      </c>
      <c r="C599" s="5" t="n">
        <v>24</v>
      </c>
      <c r="D599" s="5" t="inlineStr">
        <is>
          <t>existing paid</t>
        </is>
      </c>
      <c r="E599" s="5" t="inlineStr">
        <is>
          <t>new car</t>
        </is>
      </c>
      <c r="F599" s="5" t="n">
        <v>2718</v>
      </c>
      <c r="G599" s="5" t="inlineStr">
        <is>
          <t>&lt;100</t>
        </is>
      </c>
      <c r="H599" s="5" t="inlineStr">
        <is>
          <t>1&lt;=X&lt;4</t>
        </is>
      </c>
      <c r="I599" s="5" t="n">
        <v>3</v>
      </c>
      <c r="J599" s="5" t="inlineStr">
        <is>
          <t>female div/dep/mar</t>
        </is>
      </c>
      <c r="K599" s="5" t="inlineStr">
        <is>
          <t>none</t>
        </is>
      </c>
      <c r="L599" s="5" t="n">
        <v>4</v>
      </c>
      <c r="M599" s="5" t="inlineStr">
        <is>
          <t>life insurance</t>
        </is>
      </c>
      <c r="N599" s="5" t="n">
        <v>20</v>
      </c>
      <c r="O599" s="5" t="inlineStr">
        <is>
          <t>none</t>
        </is>
      </c>
      <c r="P599" s="5" t="inlineStr">
        <is>
          <t>rent</t>
        </is>
      </c>
      <c r="Q599" s="5" t="n">
        <v>1</v>
      </c>
      <c r="R599" s="5" t="inlineStr">
        <is>
          <t>unskilled resident</t>
        </is>
      </c>
      <c r="S599" s="5" t="n">
        <v>1</v>
      </c>
      <c r="T599" s="5" t="inlineStr">
        <is>
          <t>yes</t>
        </is>
      </c>
      <c r="U599" s="5" t="inlineStr">
        <is>
          <t>yes</t>
        </is>
      </c>
      <c r="V599" s="5" t="inlineStr">
        <is>
          <t>bad</t>
        </is>
      </c>
    </row>
    <row r="600">
      <c r="A600" s="5" t="n">
        <v>595</v>
      </c>
      <c r="B600" s="5" t="inlineStr">
        <is>
          <t>&lt;0</t>
        </is>
      </c>
      <c r="C600" s="5" t="n">
        <v>24</v>
      </c>
      <c r="D600" s="5" t="inlineStr">
        <is>
          <t>all paid</t>
        </is>
      </c>
      <c r="E600" s="5" t="inlineStr">
        <is>
          <t>other</t>
        </is>
      </c>
      <c r="F600" s="5" t="n">
        <v>1358</v>
      </c>
      <c r="G600" s="5" t="inlineStr">
        <is>
          <t>no known savings</t>
        </is>
      </c>
      <c r="H600" s="5" t="inlineStr">
        <is>
          <t>&gt;=7</t>
        </is>
      </c>
      <c r="I600" s="5" t="n">
        <v>4</v>
      </c>
      <c r="J600" s="5" t="inlineStr">
        <is>
          <t>male single</t>
        </is>
      </c>
      <c r="K600" s="5" t="inlineStr">
        <is>
          <t>none</t>
        </is>
      </c>
      <c r="L600" s="5" t="n">
        <v>3</v>
      </c>
      <c r="M600" s="5" t="inlineStr">
        <is>
          <t>car</t>
        </is>
      </c>
      <c r="N600" s="5" t="n">
        <v>40</v>
      </c>
      <c r="O600" s="5" t="inlineStr">
        <is>
          <t>stores</t>
        </is>
      </c>
      <c r="P600" s="5" t="inlineStr">
        <is>
          <t>own</t>
        </is>
      </c>
      <c r="Q600" s="5" t="n">
        <v>1</v>
      </c>
      <c r="R600" s="5" t="inlineStr">
        <is>
          <t>high qualif/self emp/mgmt</t>
        </is>
      </c>
      <c r="S600" s="5" t="n">
        <v>1</v>
      </c>
      <c r="T600" s="5" t="inlineStr">
        <is>
          <t>yes</t>
        </is>
      </c>
      <c r="U600" s="5" t="inlineStr">
        <is>
          <t>yes</t>
        </is>
      </c>
      <c r="V600" s="5" t="inlineStr">
        <is>
          <t>bad</t>
        </is>
      </c>
    </row>
    <row r="601">
      <c r="A601" s="5" t="n">
        <v>596</v>
      </c>
      <c r="B601" s="5" t="inlineStr">
        <is>
          <t>0&lt;=X&lt;200</t>
        </is>
      </c>
      <c r="C601" s="5" t="n">
        <v>6</v>
      </c>
      <c r="D601" s="5" t="inlineStr">
        <is>
          <t>all paid</t>
        </is>
      </c>
      <c r="E601" s="5" t="inlineStr">
        <is>
          <t>new car</t>
        </is>
      </c>
      <c r="F601" s="5" t="n">
        <v>931</v>
      </c>
      <c r="G601" s="5" t="inlineStr">
        <is>
          <t>100&lt;=X&lt;500</t>
        </is>
      </c>
      <c r="H601" s="5" t="inlineStr">
        <is>
          <t>&lt;1</t>
        </is>
      </c>
      <c r="I601" s="5" t="n">
        <v>1</v>
      </c>
      <c r="J601" s="5" t="inlineStr">
        <is>
          <t>female div/dep/mar</t>
        </is>
      </c>
      <c r="K601" s="5" t="inlineStr">
        <is>
          <t>none</t>
        </is>
      </c>
      <c r="L601" s="5" t="n">
        <v>1</v>
      </c>
      <c r="M601" s="5" t="inlineStr">
        <is>
          <t>life insurance</t>
        </is>
      </c>
      <c r="N601" s="5" t="n">
        <v>32</v>
      </c>
      <c r="O601" s="5" t="inlineStr">
        <is>
          <t>stores</t>
        </is>
      </c>
      <c r="P601" s="5" t="inlineStr">
        <is>
          <t>own</t>
        </is>
      </c>
      <c r="Q601" s="5" t="n">
        <v>1</v>
      </c>
      <c r="R601" s="5" t="inlineStr">
        <is>
          <t>unskilled resident</t>
        </is>
      </c>
      <c r="S601" s="5" t="n">
        <v>1</v>
      </c>
      <c r="T601" s="5" t="inlineStr">
        <is>
          <t>none</t>
        </is>
      </c>
      <c r="U601" s="5" t="inlineStr">
        <is>
          <t>yes</t>
        </is>
      </c>
      <c r="V601" s="5" t="inlineStr">
        <is>
          <t>bad</t>
        </is>
      </c>
    </row>
    <row r="602">
      <c r="A602" s="5" t="n">
        <v>597</v>
      </c>
      <c r="B602" s="5" t="inlineStr">
        <is>
          <t>&lt;0</t>
        </is>
      </c>
      <c r="C602" s="5" t="n">
        <v>24</v>
      </c>
      <c r="D602" s="5" t="inlineStr">
        <is>
          <t>existing paid</t>
        </is>
      </c>
      <c r="E602" s="5" t="inlineStr">
        <is>
          <t>new car</t>
        </is>
      </c>
      <c r="F602" s="5" t="n">
        <v>1442</v>
      </c>
      <c r="G602" s="5" t="inlineStr">
        <is>
          <t>&lt;100</t>
        </is>
      </c>
      <c r="H602" s="5" t="inlineStr">
        <is>
          <t>4&lt;=X&lt;7</t>
        </is>
      </c>
      <c r="I602" s="5" t="n">
        <v>4</v>
      </c>
      <c r="J602" s="5" t="inlineStr">
        <is>
          <t>female div/dep/mar</t>
        </is>
      </c>
      <c r="K602" s="5" t="inlineStr">
        <is>
          <t>none</t>
        </is>
      </c>
      <c r="L602" s="5" t="n">
        <v>4</v>
      </c>
      <c r="M602" s="5" t="inlineStr">
        <is>
          <t>car</t>
        </is>
      </c>
      <c r="N602" s="5" t="n">
        <v>23</v>
      </c>
      <c r="O602" s="5" t="inlineStr">
        <is>
          <t>none</t>
        </is>
      </c>
      <c r="P602" s="5" t="inlineStr">
        <is>
          <t>rent</t>
        </is>
      </c>
      <c r="Q602" s="5" t="n">
        <v>2</v>
      </c>
      <c r="R602" s="5" t="inlineStr">
        <is>
          <t>skilled</t>
        </is>
      </c>
      <c r="S602" s="5" t="n">
        <v>1</v>
      </c>
      <c r="T602" s="5" t="inlineStr">
        <is>
          <t>none</t>
        </is>
      </c>
      <c r="U602" s="5" t="inlineStr">
        <is>
          <t>yes</t>
        </is>
      </c>
      <c r="V602" s="5" t="inlineStr">
        <is>
          <t>bad</t>
        </is>
      </c>
    </row>
    <row r="603">
      <c r="A603" s="5" t="n">
        <v>598</v>
      </c>
      <c r="B603" s="5" t="inlineStr">
        <is>
          <t>0&lt;=X&lt;200</t>
        </is>
      </c>
      <c r="C603" s="5" t="n">
        <v>24</v>
      </c>
      <c r="D603" s="5" t="inlineStr">
        <is>
          <t>no credits/all paid</t>
        </is>
      </c>
      <c r="E603" s="5" t="inlineStr">
        <is>
          <t>business</t>
        </is>
      </c>
      <c r="F603" s="5" t="n">
        <v>4241</v>
      </c>
      <c r="G603" s="5" t="inlineStr">
        <is>
          <t>&lt;100</t>
        </is>
      </c>
      <c r="H603" s="5" t="inlineStr">
        <is>
          <t>1&lt;=X&lt;4</t>
        </is>
      </c>
      <c r="I603" s="5" t="n">
        <v>1</v>
      </c>
      <c r="J603" s="5" t="inlineStr">
        <is>
          <t>male single</t>
        </is>
      </c>
      <c r="K603" s="5" t="inlineStr">
        <is>
          <t>none</t>
        </is>
      </c>
      <c r="L603" s="5" t="n">
        <v>4</v>
      </c>
      <c r="M603" s="5" t="inlineStr">
        <is>
          <t>real estate</t>
        </is>
      </c>
      <c r="N603" s="5" t="n">
        <v>36</v>
      </c>
      <c r="O603" s="5" t="inlineStr">
        <is>
          <t>none</t>
        </is>
      </c>
      <c r="P603" s="5" t="inlineStr">
        <is>
          <t>own</t>
        </is>
      </c>
      <c r="Q603" s="5" t="n">
        <v>3</v>
      </c>
      <c r="R603" s="5" t="inlineStr">
        <is>
          <t>unskilled resident</t>
        </is>
      </c>
      <c r="S603" s="5" t="n">
        <v>1</v>
      </c>
      <c r="T603" s="5" t="inlineStr">
        <is>
          <t>yes</t>
        </is>
      </c>
      <c r="U603" s="5" t="inlineStr">
        <is>
          <t>yes</t>
        </is>
      </c>
      <c r="V603" s="5" t="inlineStr">
        <is>
          <t>bad</t>
        </is>
      </c>
    </row>
    <row r="604">
      <c r="A604" s="5" t="n">
        <v>599</v>
      </c>
      <c r="B604" s="5" t="inlineStr">
        <is>
          <t>no checking</t>
        </is>
      </c>
      <c r="C604" s="5" t="n">
        <v>18</v>
      </c>
      <c r="D604" s="5" t="inlineStr">
        <is>
          <t>critical/other existing credit</t>
        </is>
      </c>
      <c r="E604" s="5" t="inlineStr">
        <is>
          <t>new car</t>
        </is>
      </c>
      <c r="F604" s="5" t="n">
        <v>2775</v>
      </c>
      <c r="G604" s="5" t="inlineStr">
        <is>
          <t>&lt;100</t>
        </is>
      </c>
      <c r="H604" s="5" t="inlineStr">
        <is>
          <t>4&lt;=X&lt;7</t>
        </is>
      </c>
      <c r="I604" s="5" t="n">
        <v>2</v>
      </c>
      <c r="J604" s="5" t="inlineStr">
        <is>
          <t>male single</t>
        </is>
      </c>
      <c r="K604" s="5" t="inlineStr">
        <is>
          <t>none</t>
        </is>
      </c>
      <c r="L604" s="5" t="n">
        <v>2</v>
      </c>
      <c r="M604" s="5" t="inlineStr">
        <is>
          <t>life insurance</t>
        </is>
      </c>
      <c r="N604" s="5" t="n">
        <v>31</v>
      </c>
      <c r="O604" s="5" t="inlineStr">
        <is>
          <t>bank</t>
        </is>
      </c>
      <c r="P604" s="5" t="inlineStr">
        <is>
          <t>own</t>
        </is>
      </c>
      <c r="Q604" s="5" t="n">
        <v>2</v>
      </c>
      <c r="R604" s="5" t="inlineStr">
        <is>
          <t>skilled</t>
        </is>
      </c>
      <c r="S604" s="5" t="n">
        <v>1</v>
      </c>
      <c r="T604" s="5" t="inlineStr">
        <is>
          <t>none</t>
        </is>
      </c>
      <c r="U604" s="5" t="inlineStr">
        <is>
          <t>yes</t>
        </is>
      </c>
      <c r="V604" s="5" t="inlineStr">
        <is>
          <t>bad</t>
        </is>
      </c>
    </row>
    <row r="605">
      <c r="A605" s="5" t="n">
        <v>600</v>
      </c>
      <c r="B605" s="5" t="inlineStr">
        <is>
          <t>no checking</t>
        </is>
      </c>
      <c r="C605" s="5" t="n">
        <v>24</v>
      </c>
      <c r="D605" s="5" t="inlineStr">
        <is>
          <t>delayed previously</t>
        </is>
      </c>
      <c r="E605" s="5" t="inlineStr">
        <is>
          <t>business</t>
        </is>
      </c>
      <c r="F605" s="5" t="n">
        <v>3863</v>
      </c>
      <c r="G605" s="5" t="inlineStr">
        <is>
          <t>&lt;100</t>
        </is>
      </c>
      <c r="H605" s="5" t="inlineStr">
        <is>
          <t>1&lt;=X&lt;4</t>
        </is>
      </c>
      <c r="I605" s="5" t="n">
        <v>1</v>
      </c>
      <c r="J605" s="5" t="inlineStr">
        <is>
          <t>male single</t>
        </is>
      </c>
      <c r="K605" s="5" t="inlineStr">
        <is>
          <t>none</t>
        </is>
      </c>
      <c r="L605" s="5" t="n">
        <v>2</v>
      </c>
      <c r="M605" s="5" t="inlineStr">
        <is>
          <t>no known property</t>
        </is>
      </c>
      <c r="N605" s="5" t="n">
        <v>32</v>
      </c>
      <c r="O605" s="5" t="inlineStr">
        <is>
          <t>none</t>
        </is>
      </c>
      <c r="P605" s="5" t="inlineStr">
        <is>
          <t>for free</t>
        </is>
      </c>
      <c r="Q605" s="5" t="n">
        <v>1</v>
      </c>
      <c r="R605" s="5" t="inlineStr">
        <is>
          <t>skilled</t>
        </is>
      </c>
      <c r="S605" s="5" t="n">
        <v>1</v>
      </c>
      <c r="T605" s="5" t="inlineStr">
        <is>
          <t>none</t>
        </is>
      </c>
      <c r="U605" s="5" t="inlineStr">
        <is>
          <t>yes</t>
        </is>
      </c>
      <c r="V605" s="5" t="inlineStr">
        <is>
          <t>good</t>
        </is>
      </c>
    </row>
    <row r="606">
      <c r="A606" s="5" t="n">
        <v>601</v>
      </c>
      <c r="B606" s="5" t="inlineStr">
        <is>
          <t>0&lt;=X&lt;200</t>
        </is>
      </c>
      <c r="C606" s="5" t="n">
        <v>7</v>
      </c>
      <c r="D606" s="5" t="inlineStr">
        <is>
          <t>existing paid</t>
        </is>
      </c>
      <c r="E606" s="5" t="inlineStr">
        <is>
          <t>radio/tv</t>
        </is>
      </c>
      <c r="F606" s="5" t="n">
        <v>2329</v>
      </c>
      <c r="G606" s="5" t="inlineStr">
        <is>
          <t>&lt;100</t>
        </is>
      </c>
      <c r="H606" s="5" t="inlineStr">
        <is>
          <t>&lt;1</t>
        </is>
      </c>
      <c r="I606" s="5" t="n">
        <v>1</v>
      </c>
      <c r="J606" s="5" t="inlineStr">
        <is>
          <t>female div/dep/mar</t>
        </is>
      </c>
      <c r="K606" s="5" t="inlineStr">
        <is>
          <t>guarantor</t>
        </is>
      </c>
      <c r="L606" s="5" t="n">
        <v>1</v>
      </c>
      <c r="M606" s="5" t="inlineStr">
        <is>
          <t>real estate</t>
        </is>
      </c>
      <c r="N606" s="5" t="n">
        <v>45</v>
      </c>
      <c r="O606" s="5" t="inlineStr">
        <is>
          <t>none</t>
        </is>
      </c>
      <c r="P606" s="5" t="inlineStr">
        <is>
          <t>own</t>
        </is>
      </c>
      <c r="Q606" s="5" t="n">
        <v>1</v>
      </c>
      <c r="R606" s="5" t="inlineStr">
        <is>
          <t>skilled</t>
        </is>
      </c>
      <c r="S606" s="5" t="n">
        <v>1</v>
      </c>
      <c r="T606" s="5" t="inlineStr">
        <is>
          <t>none</t>
        </is>
      </c>
      <c r="U606" s="5" t="inlineStr">
        <is>
          <t>yes</t>
        </is>
      </c>
      <c r="V606" s="5" t="inlineStr">
        <is>
          <t>good</t>
        </is>
      </c>
    </row>
    <row r="607">
      <c r="A607" s="5" t="n">
        <v>602</v>
      </c>
      <c r="B607" s="5" t="inlineStr">
        <is>
          <t>0&lt;=X&lt;200</t>
        </is>
      </c>
      <c r="C607" s="5" t="n">
        <v>9</v>
      </c>
      <c r="D607" s="5" t="inlineStr">
        <is>
          <t>existing paid</t>
        </is>
      </c>
      <c r="E607" s="5" t="inlineStr">
        <is>
          <t>furniture/equipment</t>
        </is>
      </c>
      <c r="F607" s="5" t="n">
        <v>918</v>
      </c>
      <c r="G607" s="5" t="inlineStr">
        <is>
          <t>&lt;100</t>
        </is>
      </c>
      <c r="H607" s="5" t="inlineStr">
        <is>
          <t>1&lt;=X&lt;4</t>
        </is>
      </c>
      <c r="I607" s="5" t="n">
        <v>4</v>
      </c>
      <c r="J607" s="5" t="inlineStr">
        <is>
          <t>female div/dep/mar</t>
        </is>
      </c>
      <c r="K607" s="5" t="inlineStr">
        <is>
          <t>none</t>
        </is>
      </c>
      <c r="L607" s="5" t="n">
        <v>1</v>
      </c>
      <c r="M607" s="5" t="inlineStr">
        <is>
          <t>life insurance</t>
        </is>
      </c>
      <c r="N607" s="5" t="n">
        <v>30</v>
      </c>
      <c r="O607" s="5" t="inlineStr">
        <is>
          <t>none</t>
        </is>
      </c>
      <c r="P607" s="5" t="inlineStr">
        <is>
          <t>own</t>
        </is>
      </c>
      <c r="Q607" s="5" t="n">
        <v>1</v>
      </c>
      <c r="R607" s="5" t="inlineStr">
        <is>
          <t>skilled</t>
        </is>
      </c>
      <c r="S607" s="5" t="n">
        <v>1</v>
      </c>
      <c r="T607" s="5" t="inlineStr">
        <is>
          <t>none</t>
        </is>
      </c>
      <c r="U607" s="5" t="inlineStr">
        <is>
          <t>yes</t>
        </is>
      </c>
      <c r="V607" s="5" t="inlineStr">
        <is>
          <t>bad</t>
        </is>
      </c>
    </row>
    <row r="608">
      <c r="A608" s="5" t="n">
        <v>603</v>
      </c>
      <c r="B608" s="5" t="inlineStr">
        <is>
          <t>0&lt;=X&lt;200</t>
        </is>
      </c>
      <c r="C608" s="5" t="n">
        <v>24</v>
      </c>
      <c r="D608" s="5" t="inlineStr">
        <is>
          <t>all paid</t>
        </is>
      </c>
      <c r="E608" s="5" t="inlineStr">
        <is>
          <t>education</t>
        </is>
      </c>
      <c r="F608" s="5" t="n">
        <v>1837</v>
      </c>
      <c r="G608" s="5" t="inlineStr">
        <is>
          <t>&lt;100</t>
        </is>
      </c>
      <c r="H608" s="5" t="inlineStr">
        <is>
          <t>4&lt;=X&lt;7</t>
        </is>
      </c>
      <c r="I608" s="5" t="n">
        <v>4</v>
      </c>
      <c r="J608" s="5" t="inlineStr">
        <is>
          <t>female div/dep/mar</t>
        </is>
      </c>
      <c r="K608" s="5" t="inlineStr">
        <is>
          <t>none</t>
        </is>
      </c>
      <c r="L608" s="5" t="n">
        <v>4</v>
      </c>
      <c r="M608" s="5" t="inlineStr">
        <is>
          <t>no known property</t>
        </is>
      </c>
      <c r="N608" s="5" t="n">
        <v>34</v>
      </c>
      <c r="O608" s="5" t="inlineStr">
        <is>
          <t>bank</t>
        </is>
      </c>
      <c r="P608" s="5" t="inlineStr">
        <is>
          <t>for free</t>
        </is>
      </c>
      <c r="Q608" s="5" t="n">
        <v>1</v>
      </c>
      <c r="R608" s="5" t="inlineStr">
        <is>
          <t>unskilled resident</t>
        </is>
      </c>
      <c r="S608" s="5" t="n">
        <v>1</v>
      </c>
      <c r="T608" s="5" t="inlineStr">
        <is>
          <t>none</t>
        </is>
      </c>
      <c r="U608" s="5" t="inlineStr">
        <is>
          <t>yes</t>
        </is>
      </c>
      <c r="V608" s="5" t="inlineStr">
        <is>
          <t>bad</t>
        </is>
      </c>
    </row>
    <row r="609">
      <c r="A609" s="5" t="n">
        <v>604</v>
      </c>
      <c r="B609" s="5" t="inlineStr">
        <is>
          <t>no checking</t>
        </is>
      </c>
      <c r="C609" s="5" t="n">
        <v>36</v>
      </c>
      <c r="D609" s="5" t="inlineStr">
        <is>
          <t>existing paid</t>
        </is>
      </c>
      <c r="E609" s="5" t="inlineStr">
        <is>
          <t>furniture/equipment</t>
        </is>
      </c>
      <c r="F609" s="5" t="n">
        <v>3349</v>
      </c>
      <c r="G609" s="5" t="inlineStr">
        <is>
          <t>&lt;100</t>
        </is>
      </c>
      <c r="H609" s="5" t="inlineStr">
        <is>
          <t>1&lt;=X&lt;4</t>
        </is>
      </c>
      <c r="I609" s="5" t="n">
        <v>4</v>
      </c>
      <c r="J609" s="5" t="inlineStr">
        <is>
          <t>female div/dep/mar</t>
        </is>
      </c>
      <c r="K609" s="5" t="inlineStr">
        <is>
          <t>none</t>
        </is>
      </c>
      <c r="L609" s="5" t="n">
        <v>2</v>
      </c>
      <c r="M609" s="5" t="inlineStr">
        <is>
          <t>car</t>
        </is>
      </c>
      <c r="N609" s="5" t="n">
        <v>28</v>
      </c>
      <c r="O609" s="5" t="inlineStr">
        <is>
          <t>none</t>
        </is>
      </c>
      <c r="P609" s="5" t="inlineStr">
        <is>
          <t>own</t>
        </is>
      </c>
      <c r="Q609" s="5" t="n">
        <v>1</v>
      </c>
      <c r="R609" s="5" t="inlineStr">
        <is>
          <t>high qualif/self emp/mgmt</t>
        </is>
      </c>
      <c r="S609" s="5" t="n">
        <v>1</v>
      </c>
      <c r="T609" s="5" t="inlineStr">
        <is>
          <t>yes</t>
        </is>
      </c>
      <c r="U609" s="5" t="inlineStr">
        <is>
          <t>yes</t>
        </is>
      </c>
      <c r="V609" s="5" t="inlineStr">
        <is>
          <t>bad</t>
        </is>
      </c>
    </row>
    <row r="610">
      <c r="A610" s="5" t="n">
        <v>605</v>
      </c>
      <c r="B610" s="5" t="inlineStr">
        <is>
          <t>&gt;=200</t>
        </is>
      </c>
      <c r="C610" s="5" t="n">
        <v>10</v>
      </c>
      <c r="D610" s="5" t="inlineStr">
        <is>
          <t>existing paid</t>
        </is>
      </c>
      <c r="E610" s="5" t="inlineStr">
        <is>
          <t>furniture/equipment</t>
        </is>
      </c>
      <c r="F610" s="5" t="n">
        <v>1275</v>
      </c>
      <c r="G610" s="5" t="inlineStr">
        <is>
          <t>&lt;100</t>
        </is>
      </c>
      <c r="H610" s="5" t="inlineStr">
        <is>
          <t>&lt;1</t>
        </is>
      </c>
      <c r="I610" s="5" t="n">
        <v>4</v>
      </c>
      <c r="J610" s="5" t="inlineStr">
        <is>
          <t>female div/dep/mar</t>
        </is>
      </c>
      <c r="K610" s="5" t="inlineStr">
        <is>
          <t>none</t>
        </is>
      </c>
      <c r="L610" s="5" t="n">
        <v>2</v>
      </c>
      <c r="M610" s="5" t="inlineStr">
        <is>
          <t>life insurance</t>
        </is>
      </c>
      <c r="N610" s="5" t="n">
        <v>23</v>
      </c>
      <c r="O610" s="5" t="inlineStr">
        <is>
          <t>none</t>
        </is>
      </c>
      <c r="P610" s="5" t="inlineStr">
        <is>
          <t>own</t>
        </is>
      </c>
      <c r="Q610" s="5" t="n">
        <v>1</v>
      </c>
      <c r="R610" s="5" t="inlineStr">
        <is>
          <t>skilled</t>
        </is>
      </c>
      <c r="S610" s="5" t="n">
        <v>1</v>
      </c>
      <c r="T610" s="5" t="inlineStr">
        <is>
          <t>none</t>
        </is>
      </c>
      <c r="U610" s="5" t="inlineStr">
        <is>
          <t>yes</t>
        </is>
      </c>
      <c r="V610" s="5" t="inlineStr">
        <is>
          <t>good</t>
        </is>
      </c>
    </row>
    <row r="611">
      <c r="A611" s="5" t="n">
        <v>606</v>
      </c>
      <c r="B611" s="5" t="inlineStr">
        <is>
          <t>&lt;0</t>
        </is>
      </c>
      <c r="C611" s="5" t="n">
        <v>24</v>
      </c>
      <c r="D611" s="5" t="inlineStr">
        <is>
          <t>all paid</t>
        </is>
      </c>
      <c r="E611" s="5" t="inlineStr">
        <is>
          <t>furniture/equipment</t>
        </is>
      </c>
      <c r="F611" s="5" t="n">
        <v>2828</v>
      </c>
      <c r="G611" s="5" t="inlineStr">
        <is>
          <t>500&lt;=X&lt;1000</t>
        </is>
      </c>
      <c r="H611" s="5" t="inlineStr">
        <is>
          <t>1&lt;=X&lt;4</t>
        </is>
      </c>
      <c r="I611" s="5" t="n">
        <v>4</v>
      </c>
      <c r="J611" s="5" t="inlineStr">
        <is>
          <t>male single</t>
        </is>
      </c>
      <c r="K611" s="5" t="inlineStr">
        <is>
          <t>none</t>
        </is>
      </c>
      <c r="L611" s="5" t="n">
        <v>4</v>
      </c>
      <c r="M611" s="5" t="inlineStr">
        <is>
          <t>real estate</t>
        </is>
      </c>
      <c r="N611" s="5" t="n">
        <v>22</v>
      </c>
      <c r="O611" s="5" t="inlineStr">
        <is>
          <t>stores</t>
        </is>
      </c>
      <c r="P611" s="5" t="inlineStr">
        <is>
          <t>own</t>
        </is>
      </c>
      <c r="Q611" s="5" t="n">
        <v>1</v>
      </c>
      <c r="R611" s="5" t="inlineStr">
        <is>
          <t>skilled</t>
        </is>
      </c>
      <c r="S611" s="5" t="n">
        <v>1</v>
      </c>
      <c r="T611" s="5" t="inlineStr">
        <is>
          <t>yes</t>
        </is>
      </c>
      <c r="U611" s="5" t="inlineStr">
        <is>
          <t>yes</t>
        </is>
      </c>
      <c r="V611" s="5" t="inlineStr">
        <is>
          <t>good</t>
        </is>
      </c>
    </row>
    <row r="612">
      <c r="A612" s="5" t="n">
        <v>607</v>
      </c>
      <c r="B612" s="5" t="inlineStr">
        <is>
          <t>no checking</t>
        </is>
      </c>
      <c r="C612" s="5" t="n">
        <v>24</v>
      </c>
      <c r="D612" s="5" t="inlineStr">
        <is>
          <t>critical/other existing credit</t>
        </is>
      </c>
      <c r="E612" s="5" t="inlineStr">
        <is>
          <t>business</t>
        </is>
      </c>
      <c r="F612" s="5" t="n">
        <v>4526</v>
      </c>
      <c r="G612" s="5" t="inlineStr">
        <is>
          <t>&lt;100</t>
        </is>
      </c>
      <c r="H612" s="5" t="inlineStr">
        <is>
          <t>1&lt;=X&lt;4</t>
        </is>
      </c>
      <c r="I612" s="5" t="n">
        <v>3</v>
      </c>
      <c r="J612" s="5" t="inlineStr">
        <is>
          <t>male single</t>
        </is>
      </c>
      <c r="K612" s="5" t="inlineStr">
        <is>
          <t>none</t>
        </is>
      </c>
      <c r="L612" s="5" t="n">
        <v>2</v>
      </c>
      <c r="M612" s="5" t="inlineStr">
        <is>
          <t>real estate</t>
        </is>
      </c>
      <c r="N612" s="5" t="n">
        <v>74</v>
      </c>
      <c r="O612" s="5" t="inlineStr">
        <is>
          <t>none</t>
        </is>
      </c>
      <c r="P612" s="5" t="inlineStr">
        <is>
          <t>own</t>
        </is>
      </c>
      <c r="Q612" s="5" t="n">
        <v>1</v>
      </c>
      <c r="R612" s="5" t="inlineStr">
        <is>
          <t>high qualif/self emp/mgmt</t>
        </is>
      </c>
      <c r="S612" s="5" t="n">
        <v>1</v>
      </c>
      <c r="T612" s="5" t="inlineStr">
        <is>
          <t>yes</t>
        </is>
      </c>
      <c r="U612" s="5" t="inlineStr">
        <is>
          <t>yes</t>
        </is>
      </c>
      <c r="V612" s="5" t="inlineStr">
        <is>
          <t>good</t>
        </is>
      </c>
    </row>
    <row r="613">
      <c r="A613" s="5" t="n">
        <v>608</v>
      </c>
      <c r="B613" s="5" t="inlineStr">
        <is>
          <t>0&lt;=X&lt;200</t>
        </is>
      </c>
      <c r="C613" s="5" t="n">
        <v>36</v>
      </c>
      <c r="D613" s="5" t="inlineStr">
        <is>
          <t>existing paid</t>
        </is>
      </c>
      <c r="E613" s="5" t="inlineStr">
        <is>
          <t>radio/tv</t>
        </is>
      </c>
      <c r="F613" s="5" t="n">
        <v>2671</v>
      </c>
      <c r="G613" s="5" t="inlineStr">
        <is>
          <t>100&lt;=X&lt;500</t>
        </is>
      </c>
      <c r="H613" s="5" t="inlineStr">
        <is>
          <t>1&lt;=X&lt;4</t>
        </is>
      </c>
      <c r="I613" s="5" t="n">
        <v>4</v>
      </c>
      <c r="J613" s="5" t="inlineStr">
        <is>
          <t>female div/dep/mar</t>
        </is>
      </c>
      <c r="K613" s="5" t="inlineStr">
        <is>
          <t>co applicant</t>
        </is>
      </c>
      <c r="L613" s="5" t="n">
        <v>4</v>
      </c>
      <c r="M613" s="5" t="inlineStr">
        <is>
          <t>no known property</t>
        </is>
      </c>
      <c r="N613" s="5" t="n">
        <v>50</v>
      </c>
      <c r="O613" s="5" t="inlineStr">
        <is>
          <t>none</t>
        </is>
      </c>
      <c r="P613" s="5" t="inlineStr">
        <is>
          <t>for free</t>
        </is>
      </c>
      <c r="Q613" s="5" t="n">
        <v>1</v>
      </c>
      <c r="R613" s="5" t="inlineStr">
        <is>
          <t>skilled</t>
        </is>
      </c>
      <c r="S613" s="5" t="n">
        <v>1</v>
      </c>
      <c r="T613" s="5" t="inlineStr">
        <is>
          <t>none</t>
        </is>
      </c>
      <c r="U613" s="5" t="inlineStr">
        <is>
          <t>yes</t>
        </is>
      </c>
      <c r="V613" s="5" t="inlineStr">
        <is>
          <t>bad</t>
        </is>
      </c>
    </row>
    <row r="614">
      <c r="A614" s="5" t="n">
        <v>609</v>
      </c>
      <c r="B614" s="5" t="inlineStr">
        <is>
          <t>no checking</t>
        </is>
      </c>
      <c r="C614" s="5" t="n">
        <v>18</v>
      </c>
      <c r="D614" s="5" t="inlineStr">
        <is>
          <t>existing paid</t>
        </is>
      </c>
      <c r="E614" s="5" t="inlineStr">
        <is>
          <t>radio/tv</t>
        </is>
      </c>
      <c r="F614" s="5" t="n">
        <v>2051</v>
      </c>
      <c r="G614" s="5" t="inlineStr">
        <is>
          <t>&lt;100</t>
        </is>
      </c>
      <c r="H614" s="5" t="inlineStr">
        <is>
          <t>&lt;1</t>
        </is>
      </c>
      <c r="I614" s="5" t="n">
        <v>4</v>
      </c>
      <c r="J614" s="5" t="inlineStr">
        <is>
          <t>male single</t>
        </is>
      </c>
      <c r="K614" s="5" t="inlineStr">
        <is>
          <t>none</t>
        </is>
      </c>
      <c r="L614" s="5" t="n">
        <v>1</v>
      </c>
      <c r="M614" s="5" t="inlineStr">
        <is>
          <t>real estate</t>
        </is>
      </c>
      <c r="N614" s="5" t="n">
        <v>33</v>
      </c>
      <c r="O614" s="5" t="inlineStr">
        <is>
          <t>none</t>
        </is>
      </c>
      <c r="P614" s="5" t="inlineStr">
        <is>
          <t>own</t>
        </is>
      </c>
      <c r="Q614" s="5" t="n">
        <v>1</v>
      </c>
      <c r="R614" s="5" t="inlineStr">
        <is>
          <t>skilled</t>
        </is>
      </c>
      <c r="S614" s="5" t="n">
        <v>1</v>
      </c>
      <c r="T614" s="5" t="inlineStr">
        <is>
          <t>none</t>
        </is>
      </c>
      <c r="U614" s="5" t="inlineStr">
        <is>
          <t>yes</t>
        </is>
      </c>
      <c r="V614" s="5" t="inlineStr">
        <is>
          <t>good</t>
        </is>
      </c>
    </row>
    <row r="615">
      <c r="A615" s="5" t="n">
        <v>610</v>
      </c>
      <c r="B615" s="5" t="inlineStr">
        <is>
          <t>no checking</t>
        </is>
      </c>
      <c r="C615" s="5" t="n">
        <v>15</v>
      </c>
      <c r="D615" s="5" t="inlineStr">
        <is>
          <t>existing paid</t>
        </is>
      </c>
      <c r="E615" s="5" t="inlineStr">
        <is>
          <t>used car</t>
        </is>
      </c>
      <c r="F615" s="5" t="n">
        <v>1300</v>
      </c>
      <c r="G615" s="5" t="inlineStr">
        <is>
          <t>no known savings</t>
        </is>
      </c>
      <c r="H615" s="5" t="inlineStr">
        <is>
          <t>&gt;=7</t>
        </is>
      </c>
      <c r="I615" s="5" t="n">
        <v>4</v>
      </c>
      <c r="J615" s="5" t="inlineStr">
        <is>
          <t>male single</t>
        </is>
      </c>
      <c r="K615" s="5" t="inlineStr">
        <is>
          <t>none</t>
        </is>
      </c>
      <c r="L615" s="5" t="n">
        <v>4</v>
      </c>
      <c r="M615" s="5" t="inlineStr">
        <is>
          <t>no known property</t>
        </is>
      </c>
      <c r="N615" s="5" t="n">
        <v>45</v>
      </c>
      <c r="O615" s="5" t="inlineStr">
        <is>
          <t>bank</t>
        </is>
      </c>
      <c r="P615" s="5" t="inlineStr">
        <is>
          <t>for free</t>
        </is>
      </c>
      <c r="Q615" s="5" t="n">
        <v>1</v>
      </c>
      <c r="R615" s="5" t="inlineStr">
        <is>
          <t>skilled</t>
        </is>
      </c>
      <c r="S615" s="5" t="n">
        <v>2</v>
      </c>
      <c r="T615" s="5" t="inlineStr">
        <is>
          <t>none</t>
        </is>
      </c>
      <c r="U615" s="5" t="inlineStr">
        <is>
          <t>yes</t>
        </is>
      </c>
      <c r="V615" s="5" t="inlineStr">
        <is>
          <t>good</t>
        </is>
      </c>
    </row>
    <row r="616">
      <c r="A616" s="5" t="n">
        <v>611</v>
      </c>
      <c r="B616" s="5" t="inlineStr">
        <is>
          <t>&lt;0</t>
        </is>
      </c>
      <c r="C616" s="5" t="n">
        <v>12</v>
      </c>
      <c r="D616" s="5" t="inlineStr">
        <is>
          <t>existing paid</t>
        </is>
      </c>
      <c r="E616" s="5" t="inlineStr">
        <is>
          <t>domestic appliance</t>
        </is>
      </c>
      <c r="F616" s="5" t="n">
        <v>741</v>
      </c>
      <c r="G616" s="5" t="inlineStr">
        <is>
          <t>100&lt;=X&lt;500</t>
        </is>
      </c>
      <c r="H616" s="5" t="inlineStr">
        <is>
          <t>unemployed</t>
        </is>
      </c>
      <c r="I616" s="5" t="n">
        <v>4</v>
      </c>
      <c r="J616" s="5" t="inlineStr">
        <is>
          <t>female div/dep/mar</t>
        </is>
      </c>
      <c r="K616" s="5" t="inlineStr">
        <is>
          <t>none</t>
        </is>
      </c>
      <c r="L616" s="5" t="n">
        <v>3</v>
      </c>
      <c r="M616" s="5" t="inlineStr">
        <is>
          <t>life insurance</t>
        </is>
      </c>
      <c r="N616" s="5" t="n">
        <v>22</v>
      </c>
      <c r="O616" s="5" t="inlineStr">
        <is>
          <t>none</t>
        </is>
      </c>
      <c r="P616" s="5" t="inlineStr">
        <is>
          <t>own</t>
        </is>
      </c>
      <c r="Q616" s="5" t="n">
        <v>1</v>
      </c>
      <c r="R616" s="5" t="inlineStr">
        <is>
          <t>skilled</t>
        </is>
      </c>
      <c r="S616" s="5" t="n">
        <v>1</v>
      </c>
      <c r="T616" s="5" t="inlineStr">
        <is>
          <t>none</t>
        </is>
      </c>
      <c r="U616" s="5" t="inlineStr">
        <is>
          <t>yes</t>
        </is>
      </c>
      <c r="V616" s="5" t="inlineStr">
        <is>
          <t>bad</t>
        </is>
      </c>
    </row>
    <row r="617">
      <c r="A617" s="5" t="n">
        <v>612</v>
      </c>
      <c r="B617" s="5" t="inlineStr">
        <is>
          <t>&gt;=200</t>
        </is>
      </c>
      <c r="C617" s="5" t="n">
        <v>10</v>
      </c>
      <c r="D617" s="5" t="inlineStr">
        <is>
          <t>existing paid</t>
        </is>
      </c>
      <c r="E617" s="5" t="inlineStr">
        <is>
          <t>new car</t>
        </is>
      </c>
      <c r="F617" s="5" t="n">
        <v>1240</v>
      </c>
      <c r="G617" s="5" t="inlineStr">
        <is>
          <t>100&lt;=X&lt;500</t>
        </is>
      </c>
      <c r="H617" s="5" t="inlineStr">
        <is>
          <t>&gt;=7</t>
        </is>
      </c>
      <c r="I617" s="5" t="n">
        <v>1</v>
      </c>
      <c r="J617" s="5" t="inlineStr">
        <is>
          <t>female div/dep/mar</t>
        </is>
      </c>
      <c r="K617" s="5" t="inlineStr">
        <is>
          <t>none</t>
        </is>
      </c>
      <c r="L617" s="5" t="n">
        <v>4</v>
      </c>
      <c r="M617" s="5" t="inlineStr">
        <is>
          <t>no known property</t>
        </is>
      </c>
      <c r="N617" s="5" t="n">
        <v>48</v>
      </c>
      <c r="O617" s="5" t="inlineStr">
        <is>
          <t>none</t>
        </is>
      </c>
      <c r="P617" s="5" t="inlineStr">
        <is>
          <t>for free</t>
        </is>
      </c>
      <c r="Q617" s="5" t="n">
        <v>1</v>
      </c>
      <c r="R617" s="5" t="inlineStr">
        <is>
          <t>unskilled resident</t>
        </is>
      </c>
      <c r="S617" s="5" t="n">
        <v>2</v>
      </c>
      <c r="T617" s="5" t="inlineStr">
        <is>
          <t>none</t>
        </is>
      </c>
      <c r="U617" s="5" t="inlineStr">
        <is>
          <t>yes</t>
        </is>
      </c>
      <c r="V617" s="5" t="inlineStr">
        <is>
          <t>bad</t>
        </is>
      </c>
    </row>
    <row r="618">
      <c r="A618" s="5" t="n">
        <v>613</v>
      </c>
      <c r="B618" s="5" t="inlineStr">
        <is>
          <t>&lt;0</t>
        </is>
      </c>
      <c r="C618" s="5" t="n">
        <v>21</v>
      </c>
      <c r="D618" s="5" t="inlineStr">
        <is>
          <t>existing paid</t>
        </is>
      </c>
      <c r="E618" s="5" t="inlineStr">
        <is>
          <t>radio/tv</t>
        </is>
      </c>
      <c r="F618" s="5" t="n">
        <v>3357</v>
      </c>
      <c r="G618" s="5" t="inlineStr">
        <is>
          <t>&gt;=1000</t>
        </is>
      </c>
      <c r="H618" s="5" t="inlineStr">
        <is>
          <t>&lt;1</t>
        </is>
      </c>
      <c r="I618" s="5" t="n">
        <v>4</v>
      </c>
      <c r="J618" s="5" t="inlineStr">
        <is>
          <t>female div/dep/mar</t>
        </is>
      </c>
      <c r="K618" s="5" t="inlineStr">
        <is>
          <t>none</t>
        </is>
      </c>
      <c r="L618" s="5" t="n">
        <v>2</v>
      </c>
      <c r="M618" s="5" t="inlineStr">
        <is>
          <t>car</t>
        </is>
      </c>
      <c r="N618" s="5" t="n">
        <v>29</v>
      </c>
      <c r="O618" s="5" t="inlineStr">
        <is>
          <t>bank</t>
        </is>
      </c>
      <c r="P618" s="5" t="inlineStr">
        <is>
          <t>own</t>
        </is>
      </c>
      <c r="Q618" s="5" t="n">
        <v>1</v>
      </c>
      <c r="R618" s="5" t="inlineStr">
        <is>
          <t>skilled</t>
        </is>
      </c>
      <c r="S618" s="5" t="n">
        <v>1</v>
      </c>
      <c r="T618" s="5" t="inlineStr">
        <is>
          <t>none</t>
        </is>
      </c>
      <c r="U618" s="5" t="inlineStr">
        <is>
          <t>yes</t>
        </is>
      </c>
      <c r="V618" s="5" t="inlineStr">
        <is>
          <t>good</t>
        </is>
      </c>
    </row>
    <row r="619">
      <c r="A619" s="5" t="n">
        <v>614</v>
      </c>
      <c r="B619" s="5" t="inlineStr">
        <is>
          <t>&lt;0</t>
        </is>
      </c>
      <c r="C619" s="5" t="n">
        <v>24</v>
      </c>
      <c r="D619" s="5" t="inlineStr">
        <is>
          <t>all paid</t>
        </is>
      </c>
      <c r="E619" s="5" t="inlineStr">
        <is>
          <t>used car</t>
        </is>
      </c>
      <c r="F619" s="5" t="n">
        <v>3632</v>
      </c>
      <c r="G619" s="5" t="inlineStr">
        <is>
          <t>&lt;100</t>
        </is>
      </c>
      <c r="H619" s="5" t="inlineStr">
        <is>
          <t>1&lt;=X&lt;4</t>
        </is>
      </c>
      <c r="I619" s="5" t="n">
        <v>1</v>
      </c>
      <c r="J619" s="5" t="inlineStr">
        <is>
          <t>female div/dep/mar</t>
        </is>
      </c>
      <c r="K619" s="5" t="inlineStr">
        <is>
          <t>guarantor</t>
        </is>
      </c>
      <c r="L619" s="5" t="n">
        <v>4</v>
      </c>
      <c r="M619" s="5" t="inlineStr">
        <is>
          <t>car</t>
        </is>
      </c>
      <c r="N619" s="5" t="n">
        <v>22</v>
      </c>
      <c r="O619" s="5" t="inlineStr">
        <is>
          <t>bank</t>
        </is>
      </c>
      <c r="P619" s="5" t="inlineStr">
        <is>
          <t>rent</t>
        </is>
      </c>
      <c r="Q619" s="5" t="n">
        <v>1</v>
      </c>
      <c r="R619" s="5" t="inlineStr">
        <is>
          <t>skilled</t>
        </is>
      </c>
      <c r="S619" s="5" t="n">
        <v>1</v>
      </c>
      <c r="T619" s="5" t="inlineStr">
        <is>
          <t>none</t>
        </is>
      </c>
      <c r="U619" s="5" t="inlineStr">
        <is>
          <t>no</t>
        </is>
      </c>
      <c r="V619" s="5" t="inlineStr">
        <is>
          <t>good</t>
        </is>
      </c>
    </row>
    <row r="620">
      <c r="A620" s="5" t="n">
        <v>615</v>
      </c>
      <c r="B620" s="5" t="inlineStr">
        <is>
          <t>no checking</t>
        </is>
      </c>
      <c r="C620" s="5" t="n">
        <v>18</v>
      </c>
      <c r="D620" s="5" t="inlineStr">
        <is>
          <t>delayed previously</t>
        </is>
      </c>
      <c r="E620" s="5" t="inlineStr">
        <is>
          <t>furniture/equipment</t>
        </is>
      </c>
      <c r="F620" s="5" t="n">
        <v>1808</v>
      </c>
      <c r="G620" s="5" t="inlineStr">
        <is>
          <t>&lt;100</t>
        </is>
      </c>
      <c r="H620" s="5" t="inlineStr">
        <is>
          <t>4&lt;=X&lt;7</t>
        </is>
      </c>
      <c r="I620" s="5" t="n">
        <v>4</v>
      </c>
      <c r="J620" s="5" t="inlineStr">
        <is>
          <t>female div/dep/mar</t>
        </is>
      </c>
      <c r="K620" s="5" t="inlineStr">
        <is>
          <t>none</t>
        </is>
      </c>
      <c r="L620" s="5" t="n">
        <v>1</v>
      </c>
      <c r="M620" s="5" t="inlineStr">
        <is>
          <t>real estate</t>
        </is>
      </c>
      <c r="N620" s="5" t="n">
        <v>22</v>
      </c>
      <c r="O620" s="5" t="inlineStr">
        <is>
          <t>none</t>
        </is>
      </c>
      <c r="P620" s="5" t="inlineStr">
        <is>
          <t>own</t>
        </is>
      </c>
      <c r="Q620" s="5" t="n">
        <v>1</v>
      </c>
      <c r="R620" s="5" t="inlineStr">
        <is>
          <t>skilled</t>
        </is>
      </c>
      <c r="S620" s="5" t="n">
        <v>1</v>
      </c>
      <c r="T620" s="5" t="inlineStr">
        <is>
          <t>none</t>
        </is>
      </c>
      <c r="U620" s="5" t="inlineStr">
        <is>
          <t>yes</t>
        </is>
      </c>
      <c r="V620" s="5" t="inlineStr">
        <is>
          <t>bad</t>
        </is>
      </c>
    </row>
    <row r="621">
      <c r="A621" s="5" t="n">
        <v>616</v>
      </c>
      <c r="B621" s="5" t="inlineStr">
        <is>
          <t>0&lt;=X&lt;200</t>
        </is>
      </c>
      <c r="C621" s="5" t="n">
        <v>48</v>
      </c>
      <c r="D621" s="5" t="inlineStr">
        <is>
          <t>no credits/all paid</t>
        </is>
      </c>
      <c r="E621" s="5" t="inlineStr">
        <is>
          <t>business</t>
        </is>
      </c>
      <c r="F621" s="5" t="n">
        <v>12204</v>
      </c>
      <c r="G621" s="5" t="inlineStr">
        <is>
          <t>no known savings</t>
        </is>
      </c>
      <c r="H621" s="5" t="inlineStr">
        <is>
          <t>1&lt;=X&lt;4</t>
        </is>
      </c>
      <c r="I621" s="5" t="n">
        <v>2</v>
      </c>
      <c r="J621" s="5" t="inlineStr">
        <is>
          <t>male single</t>
        </is>
      </c>
      <c r="K621" s="5" t="inlineStr">
        <is>
          <t>none</t>
        </is>
      </c>
      <c r="L621" s="5" t="n">
        <v>2</v>
      </c>
      <c r="M621" s="5" t="inlineStr">
        <is>
          <t>car</t>
        </is>
      </c>
      <c r="N621" s="5" t="n">
        <v>48</v>
      </c>
      <c r="O621" s="5" t="inlineStr">
        <is>
          <t>bank</t>
        </is>
      </c>
      <c r="P621" s="5" t="inlineStr">
        <is>
          <t>own</t>
        </is>
      </c>
      <c r="Q621" s="5" t="n">
        <v>1</v>
      </c>
      <c r="R621" s="5" t="inlineStr">
        <is>
          <t>high qualif/self emp/mgmt</t>
        </is>
      </c>
      <c r="S621" s="5" t="n">
        <v>1</v>
      </c>
      <c r="T621" s="5" t="inlineStr">
        <is>
          <t>yes</t>
        </is>
      </c>
      <c r="U621" s="5" t="inlineStr">
        <is>
          <t>yes</t>
        </is>
      </c>
      <c r="V621" s="5" t="inlineStr">
        <is>
          <t>good</t>
        </is>
      </c>
    </row>
    <row r="622">
      <c r="A622" s="5" t="n">
        <v>617</v>
      </c>
      <c r="B622" s="5" t="inlineStr">
        <is>
          <t>0&lt;=X&lt;200</t>
        </is>
      </c>
      <c r="C622" s="5" t="n">
        <v>60</v>
      </c>
      <c r="D622" s="5" t="inlineStr">
        <is>
          <t>delayed previously</t>
        </is>
      </c>
      <c r="E622" s="5" t="inlineStr">
        <is>
          <t>radio/tv</t>
        </is>
      </c>
      <c r="F622" s="5" t="n">
        <v>9157</v>
      </c>
      <c r="G622" s="5" t="inlineStr">
        <is>
          <t>no known savings</t>
        </is>
      </c>
      <c r="H622" s="5" t="inlineStr">
        <is>
          <t>1&lt;=X&lt;4</t>
        </is>
      </c>
      <c r="I622" s="5" t="n">
        <v>2</v>
      </c>
      <c r="J622" s="5" t="inlineStr">
        <is>
          <t>male single</t>
        </is>
      </c>
      <c r="K622" s="5" t="inlineStr">
        <is>
          <t>none</t>
        </is>
      </c>
      <c r="L622" s="5" t="n">
        <v>2</v>
      </c>
      <c r="M622" s="5" t="inlineStr">
        <is>
          <t>no known property</t>
        </is>
      </c>
      <c r="N622" s="5" t="n">
        <v>27</v>
      </c>
      <c r="O622" s="5" t="inlineStr">
        <is>
          <t>none</t>
        </is>
      </c>
      <c r="P622" s="5" t="inlineStr">
        <is>
          <t>for free</t>
        </is>
      </c>
      <c r="Q622" s="5" t="n">
        <v>1</v>
      </c>
      <c r="R622" s="5" t="inlineStr">
        <is>
          <t>high qualif/self emp/mgmt</t>
        </is>
      </c>
      <c r="S622" s="5" t="n">
        <v>1</v>
      </c>
      <c r="T622" s="5" t="inlineStr">
        <is>
          <t>none</t>
        </is>
      </c>
      <c r="U622" s="5" t="inlineStr">
        <is>
          <t>yes</t>
        </is>
      </c>
      <c r="V622" s="5" t="inlineStr">
        <is>
          <t>good</t>
        </is>
      </c>
    </row>
    <row r="623">
      <c r="A623" s="5" t="n">
        <v>618</v>
      </c>
      <c r="B623" s="5" t="inlineStr">
        <is>
          <t>&lt;0</t>
        </is>
      </c>
      <c r="C623" s="5" t="n">
        <v>6</v>
      </c>
      <c r="D623" s="5" t="inlineStr">
        <is>
          <t>critical/other existing credit</t>
        </is>
      </c>
      <c r="E623" s="5" t="inlineStr">
        <is>
          <t>new car</t>
        </is>
      </c>
      <c r="F623" s="5" t="n">
        <v>3676</v>
      </c>
      <c r="G623" s="5" t="inlineStr">
        <is>
          <t>&lt;100</t>
        </is>
      </c>
      <c r="H623" s="5" t="inlineStr">
        <is>
          <t>1&lt;=X&lt;4</t>
        </is>
      </c>
      <c r="I623" s="5" t="n">
        <v>1</v>
      </c>
      <c r="J623" s="5" t="inlineStr">
        <is>
          <t>male single</t>
        </is>
      </c>
      <c r="K623" s="5" t="inlineStr">
        <is>
          <t>none</t>
        </is>
      </c>
      <c r="L623" s="5" t="n">
        <v>3</v>
      </c>
      <c r="M623" s="5" t="inlineStr">
        <is>
          <t>real estate</t>
        </is>
      </c>
      <c r="N623" s="5" t="n">
        <v>37</v>
      </c>
      <c r="O623" s="5" t="inlineStr">
        <is>
          <t>none</t>
        </is>
      </c>
      <c r="P623" s="5" t="inlineStr">
        <is>
          <t>rent</t>
        </is>
      </c>
      <c r="Q623" s="5" t="n">
        <v>3</v>
      </c>
      <c r="R623" s="5" t="inlineStr">
        <is>
          <t>skilled</t>
        </is>
      </c>
      <c r="S623" s="5" t="n">
        <v>2</v>
      </c>
      <c r="T623" s="5" t="inlineStr">
        <is>
          <t>none</t>
        </is>
      </c>
      <c r="U623" s="5" t="inlineStr">
        <is>
          <t>yes</t>
        </is>
      </c>
      <c r="V623" s="5" t="inlineStr">
        <is>
          <t>good</t>
        </is>
      </c>
    </row>
    <row r="624">
      <c r="A624" s="5" t="n">
        <v>619</v>
      </c>
      <c r="B624" s="5" t="inlineStr">
        <is>
          <t>0&lt;=X&lt;200</t>
        </is>
      </c>
      <c r="C624" s="5" t="n">
        <v>30</v>
      </c>
      <c r="D624" s="5" t="inlineStr">
        <is>
          <t>existing paid</t>
        </is>
      </c>
      <c r="E624" s="5" t="inlineStr">
        <is>
          <t>furniture/equipment</t>
        </is>
      </c>
      <c r="F624" s="5" t="n">
        <v>3441</v>
      </c>
      <c r="G624" s="5" t="inlineStr">
        <is>
          <t>100&lt;=X&lt;500</t>
        </is>
      </c>
      <c r="H624" s="5" t="inlineStr">
        <is>
          <t>1&lt;=X&lt;4</t>
        </is>
      </c>
      <c r="I624" s="5" t="n">
        <v>2</v>
      </c>
      <c r="J624" s="5" t="inlineStr">
        <is>
          <t>female div/dep/mar</t>
        </is>
      </c>
      <c r="K624" s="5" t="inlineStr">
        <is>
          <t>co applicant</t>
        </is>
      </c>
      <c r="L624" s="5" t="n">
        <v>4</v>
      </c>
      <c r="M624" s="5" t="inlineStr">
        <is>
          <t>car</t>
        </is>
      </c>
      <c r="N624" s="5" t="n">
        <v>21</v>
      </c>
      <c r="O624" s="5" t="inlineStr">
        <is>
          <t>none</t>
        </is>
      </c>
      <c r="P624" s="5" t="inlineStr">
        <is>
          <t>rent</t>
        </is>
      </c>
      <c r="Q624" s="5" t="n">
        <v>1</v>
      </c>
      <c r="R624" s="5" t="inlineStr">
        <is>
          <t>skilled</t>
        </is>
      </c>
      <c r="S624" s="5" t="n">
        <v>1</v>
      </c>
      <c r="T624" s="5" t="inlineStr">
        <is>
          <t>none</t>
        </is>
      </c>
      <c r="U624" s="5" t="inlineStr">
        <is>
          <t>yes</t>
        </is>
      </c>
      <c r="V624" s="5" t="inlineStr">
        <is>
          <t>bad</t>
        </is>
      </c>
    </row>
    <row r="625">
      <c r="A625" s="5" t="n">
        <v>620</v>
      </c>
      <c r="B625" s="5" t="inlineStr">
        <is>
          <t>no checking</t>
        </is>
      </c>
      <c r="C625" s="5" t="n">
        <v>12</v>
      </c>
      <c r="D625" s="5" t="inlineStr">
        <is>
          <t>existing paid</t>
        </is>
      </c>
      <c r="E625" s="5" t="inlineStr">
        <is>
          <t>new car</t>
        </is>
      </c>
      <c r="F625" s="5" t="n">
        <v>640</v>
      </c>
      <c r="G625" s="5" t="inlineStr">
        <is>
          <t>&lt;100</t>
        </is>
      </c>
      <c r="H625" s="5" t="inlineStr">
        <is>
          <t>1&lt;=X&lt;4</t>
        </is>
      </c>
      <c r="I625" s="5" t="n">
        <v>4</v>
      </c>
      <c r="J625" s="5" t="inlineStr">
        <is>
          <t>male div/sep</t>
        </is>
      </c>
      <c r="K625" s="5" t="inlineStr">
        <is>
          <t>none</t>
        </is>
      </c>
      <c r="L625" s="5" t="n">
        <v>2</v>
      </c>
      <c r="M625" s="5" t="inlineStr">
        <is>
          <t>real estate</t>
        </is>
      </c>
      <c r="N625" s="5" t="n">
        <v>49</v>
      </c>
      <c r="O625" s="5" t="inlineStr">
        <is>
          <t>none</t>
        </is>
      </c>
      <c r="P625" s="5" t="inlineStr">
        <is>
          <t>own</t>
        </is>
      </c>
      <c r="Q625" s="5" t="n">
        <v>1</v>
      </c>
      <c r="R625" s="5" t="inlineStr">
        <is>
          <t>unskilled resident</t>
        </is>
      </c>
      <c r="S625" s="5" t="n">
        <v>1</v>
      </c>
      <c r="T625" s="5" t="inlineStr">
        <is>
          <t>none</t>
        </is>
      </c>
      <c r="U625" s="5" t="inlineStr">
        <is>
          <t>yes</t>
        </is>
      </c>
      <c r="V625" s="5" t="inlineStr">
        <is>
          <t>good</t>
        </is>
      </c>
    </row>
    <row r="626">
      <c r="A626" s="5" t="n">
        <v>621</v>
      </c>
      <c r="B626" s="5" t="inlineStr">
        <is>
          <t>0&lt;=X&lt;200</t>
        </is>
      </c>
      <c r="C626" s="5" t="n">
        <v>21</v>
      </c>
      <c r="D626" s="5" t="inlineStr">
        <is>
          <t>critical/other existing credit</t>
        </is>
      </c>
      <c r="E626" s="5" t="inlineStr">
        <is>
          <t>business</t>
        </is>
      </c>
      <c r="F626" s="5" t="n">
        <v>3652</v>
      </c>
      <c r="G626" s="5" t="inlineStr">
        <is>
          <t>&lt;100</t>
        </is>
      </c>
      <c r="H626" s="5" t="inlineStr">
        <is>
          <t>4&lt;=X&lt;7</t>
        </is>
      </c>
      <c r="I626" s="5" t="n">
        <v>2</v>
      </c>
      <c r="J626" s="5" t="inlineStr">
        <is>
          <t>male single</t>
        </is>
      </c>
      <c r="K626" s="5" t="inlineStr">
        <is>
          <t>none</t>
        </is>
      </c>
      <c r="L626" s="5" t="n">
        <v>3</v>
      </c>
      <c r="M626" s="5" t="inlineStr">
        <is>
          <t>life insurance</t>
        </is>
      </c>
      <c r="N626" s="5" t="n">
        <v>27</v>
      </c>
      <c r="O626" s="5" t="inlineStr">
        <is>
          <t>none</t>
        </is>
      </c>
      <c r="P626" s="5" t="inlineStr">
        <is>
          <t>own</t>
        </is>
      </c>
      <c r="Q626" s="5" t="n">
        <v>2</v>
      </c>
      <c r="R626" s="5" t="inlineStr">
        <is>
          <t>skilled</t>
        </is>
      </c>
      <c r="S626" s="5" t="n">
        <v>1</v>
      </c>
      <c r="T626" s="5" t="inlineStr">
        <is>
          <t>none</t>
        </is>
      </c>
      <c r="U626" s="5" t="inlineStr">
        <is>
          <t>yes</t>
        </is>
      </c>
      <c r="V626" s="5" t="inlineStr">
        <is>
          <t>good</t>
        </is>
      </c>
    </row>
    <row r="627">
      <c r="A627" s="5" t="n">
        <v>622</v>
      </c>
      <c r="B627" s="5" t="inlineStr">
        <is>
          <t>no checking</t>
        </is>
      </c>
      <c r="C627" s="5" t="n">
        <v>18</v>
      </c>
      <c r="D627" s="5" t="inlineStr">
        <is>
          <t>critical/other existing credit</t>
        </is>
      </c>
      <c r="E627" s="5" t="inlineStr">
        <is>
          <t>new car</t>
        </is>
      </c>
      <c r="F627" s="5" t="n">
        <v>1530</v>
      </c>
      <c r="G627" s="5" t="inlineStr">
        <is>
          <t>&lt;100</t>
        </is>
      </c>
      <c r="H627" s="5" t="inlineStr">
        <is>
          <t>1&lt;=X&lt;4</t>
        </is>
      </c>
      <c r="I627" s="5" t="n">
        <v>3</v>
      </c>
      <c r="J627" s="5" t="inlineStr">
        <is>
          <t>male single</t>
        </is>
      </c>
      <c r="K627" s="5" t="inlineStr">
        <is>
          <t>none</t>
        </is>
      </c>
      <c r="L627" s="5" t="n">
        <v>2</v>
      </c>
      <c r="M627" s="5" t="inlineStr">
        <is>
          <t>life insurance</t>
        </is>
      </c>
      <c r="N627" s="5" t="n">
        <v>32</v>
      </c>
      <c r="O627" s="5" t="inlineStr">
        <is>
          <t>bank</t>
        </is>
      </c>
      <c r="P627" s="5" t="inlineStr">
        <is>
          <t>own</t>
        </is>
      </c>
      <c r="Q627" s="5" t="n">
        <v>2</v>
      </c>
      <c r="R627" s="5" t="inlineStr">
        <is>
          <t>skilled</t>
        </is>
      </c>
      <c r="S627" s="5" t="n">
        <v>1</v>
      </c>
      <c r="T627" s="5" t="inlineStr">
        <is>
          <t>none</t>
        </is>
      </c>
      <c r="U627" s="5" t="inlineStr">
        <is>
          <t>yes</t>
        </is>
      </c>
      <c r="V627" s="5" t="inlineStr">
        <is>
          <t>bad</t>
        </is>
      </c>
    </row>
    <row r="628">
      <c r="A628" s="5" t="n">
        <v>623</v>
      </c>
      <c r="B628" s="5" t="inlineStr">
        <is>
          <t>no checking</t>
        </is>
      </c>
      <c r="C628" s="5" t="n">
        <v>48</v>
      </c>
      <c r="D628" s="5" t="inlineStr">
        <is>
          <t>existing paid</t>
        </is>
      </c>
      <c r="E628" s="5" t="inlineStr">
        <is>
          <t>business</t>
        </is>
      </c>
      <c r="F628" s="5" t="n">
        <v>3914</v>
      </c>
      <c r="G628" s="5" t="inlineStr">
        <is>
          <t>no known savings</t>
        </is>
      </c>
      <c r="H628" s="5" t="inlineStr">
        <is>
          <t>1&lt;=X&lt;4</t>
        </is>
      </c>
      <c r="I628" s="5" t="n">
        <v>4</v>
      </c>
      <c r="J628" s="5" t="inlineStr">
        <is>
          <t>male div/sep</t>
        </is>
      </c>
      <c r="K628" s="5" t="inlineStr">
        <is>
          <t>none</t>
        </is>
      </c>
      <c r="L628" s="5" t="n">
        <v>2</v>
      </c>
      <c r="M628" s="5" t="inlineStr">
        <is>
          <t>real estate</t>
        </is>
      </c>
      <c r="N628" s="5" t="n">
        <v>38</v>
      </c>
      <c r="O628" s="5" t="inlineStr">
        <is>
          <t>bank</t>
        </is>
      </c>
      <c r="P628" s="5" t="inlineStr">
        <is>
          <t>own</t>
        </is>
      </c>
      <c r="Q628" s="5" t="n">
        <v>1</v>
      </c>
      <c r="R628" s="5" t="inlineStr">
        <is>
          <t>skilled</t>
        </is>
      </c>
      <c r="S628" s="5" t="n">
        <v>1</v>
      </c>
      <c r="T628" s="5" t="inlineStr">
        <is>
          <t>none</t>
        </is>
      </c>
      <c r="U628" s="5" t="inlineStr">
        <is>
          <t>yes</t>
        </is>
      </c>
      <c r="V628" s="5" t="inlineStr">
        <is>
          <t>bad</t>
        </is>
      </c>
    </row>
    <row r="629">
      <c r="A629" s="5" t="n">
        <v>624</v>
      </c>
      <c r="B629" s="5" t="inlineStr">
        <is>
          <t>&lt;0</t>
        </is>
      </c>
      <c r="C629" s="5" t="n">
        <v>12</v>
      </c>
      <c r="D629" s="5" t="inlineStr">
        <is>
          <t>existing paid</t>
        </is>
      </c>
      <c r="E629" s="5" t="inlineStr">
        <is>
          <t>furniture/equipment</t>
        </is>
      </c>
      <c r="F629" s="5" t="n">
        <v>1858</v>
      </c>
      <c r="G629" s="5" t="inlineStr">
        <is>
          <t>&lt;100</t>
        </is>
      </c>
      <c r="H629" s="5" t="inlineStr">
        <is>
          <t>&lt;1</t>
        </is>
      </c>
      <c r="I629" s="5" t="n">
        <v>4</v>
      </c>
      <c r="J629" s="5" t="inlineStr">
        <is>
          <t>female div/dep/mar</t>
        </is>
      </c>
      <c r="K629" s="5" t="inlineStr">
        <is>
          <t>none</t>
        </is>
      </c>
      <c r="L629" s="5" t="n">
        <v>1</v>
      </c>
      <c r="M629" s="5" t="inlineStr">
        <is>
          <t>car</t>
        </is>
      </c>
      <c r="N629" s="5" t="n">
        <v>22</v>
      </c>
      <c r="O629" s="5" t="inlineStr">
        <is>
          <t>none</t>
        </is>
      </c>
      <c r="P629" s="5" t="inlineStr">
        <is>
          <t>rent</t>
        </is>
      </c>
      <c r="Q629" s="5" t="n">
        <v>1</v>
      </c>
      <c r="R629" s="5" t="inlineStr">
        <is>
          <t>skilled</t>
        </is>
      </c>
      <c r="S629" s="5" t="n">
        <v>1</v>
      </c>
      <c r="T629" s="5" t="inlineStr">
        <is>
          <t>none</t>
        </is>
      </c>
      <c r="U629" s="5" t="inlineStr">
        <is>
          <t>yes</t>
        </is>
      </c>
      <c r="V629" s="5" t="inlineStr">
        <is>
          <t>good</t>
        </is>
      </c>
    </row>
    <row r="630">
      <c r="A630" s="5" t="n">
        <v>625</v>
      </c>
      <c r="B630" s="5" t="inlineStr">
        <is>
          <t>&lt;0</t>
        </is>
      </c>
      <c r="C630" s="5" t="n">
        <v>18</v>
      </c>
      <c r="D630" s="5" t="inlineStr">
        <is>
          <t>existing paid</t>
        </is>
      </c>
      <c r="E630" s="5" t="inlineStr">
        <is>
          <t>radio/tv</t>
        </is>
      </c>
      <c r="F630" s="5" t="n">
        <v>2600</v>
      </c>
      <c r="G630" s="5" t="inlineStr">
        <is>
          <t>&lt;100</t>
        </is>
      </c>
      <c r="H630" s="5" t="inlineStr">
        <is>
          <t>1&lt;=X&lt;4</t>
        </is>
      </c>
      <c r="I630" s="5" t="n">
        <v>4</v>
      </c>
      <c r="J630" s="5" t="inlineStr">
        <is>
          <t>male single</t>
        </is>
      </c>
      <c r="K630" s="5" t="inlineStr">
        <is>
          <t>none</t>
        </is>
      </c>
      <c r="L630" s="5" t="n">
        <v>4</v>
      </c>
      <c r="M630" s="5" t="inlineStr">
        <is>
          <t>no known property</t>
        </is>
      </c>
      <c r="N630" s="5" t="n">
        <v>65</v>
      </c>
      <c r="O630" s="5" t="inlineStr">
        <is>
          <t>none</t>
        </is>
      </c>
      <c r="P630" s="5" t="inlineStr">
        <is>
          <t>for free</t>
        </is>
      </c>
      <c r="Q630" s="5" t="n">
        <v>2</v>
      </c>
      <c r="R630" s="5" t="inlineStr">
        <is>
          <t>skilled</t>
        </is>
      </c>
      <c r="S630" s="5" t="n">
        <v>1</v>
      </c>
      <c r="T630" s="5" t="inlineStr">
        <is>
          <t>none</t>
        </is>
      </c>
      <c r="U630" s="5" t="inlineStr">
        <is>
          <t>yes</t>
        </is>
      </c>
      <c r="V630" s="5" t="inlineStr">
        <is>
          <t>bad</t>
        </is>
      </c>
    </row>
    <row r="631">
      <c r="A631" s="5" t="n">
        <v>626</v>
      </c>
      <c r="B631" s="5" t="inlineStr">
        <is>
          <t>no checking</t>
        </is>
      </c>
      <c r="C631" s="5" t="n">
        <v>15</v>
      </c>
      <c r="D631" s="5" t="inlineStr">
        <is>
          <t>existing paid</t>
        </is>
      </c>
      <c r="E631" s="5" t="inlineStr">
        <is>
          <t>radio/tv</t>
        </is>
      </c>
      <c r="F631" s="5" t="n">
        <v>1979</v>
      </c>
      <c r="G631" s="5" t="inlineStr">
        <is>
          <t>no known savings</t>
        </is>
      </c>
      <c r="H631" s="5" t="inlineStr">
        <is>
          <t>&gt;=7</t>
        </is>
      </c>
      <c r="I631" s="5" t="n">
        <v>4</v>
      </c>
      <c r="J631" s="5" t="inlineStr">
        <is>
          <t>male single</t>
        </is>
      </c>
      <c r="K631" s="5" t="inlineStr">
        <is>
          <t>none</t>
        </is>
      </c>
      <c r="L631" s="5" t="n">
        <v>2</v>
      </c>
      <c r="M631" s="5" t="inlineStr">
        <is>
          <t>car</t>
        </is>
      </c>
      <c r="N631" s="5" t="n">
        <v>35</v>
      </c>
      <c r="O631" s="5" t="inlineStr">
        <is>
          <t>none</t>
        </is>
      </c>
      <c r="P631" s="5" t="inlineStr">
        <is>
          <t>own</t>
        </is>
      </c>
      <c r="Q631" s="5" t="n">
        <v>1</v>
      </c>
      <c r="R631" s="5" t="inlineStr">
        <is>
          <t>skilled</t>
        </is>
      </c>
      <c r="S631" s="5" t="n">
        <v>1</v>
      </c>
      <c r="T631" s="5" t="inlineStr">
        <is>
          <t>none</t>
        </is>
      </c>
      <c r="U631" s="5" t="inlineStr">
        <is>
          <t>yes</t>
        </is>
      </c>
      <c r="V631" s="5" t="inlineStr">
        <is>
          <t>good</t>
        </is>
      </c>
    </row>
    <row r="632">
      <c r="A632" s="5" t="n">
        <v>627</v>
      </c>
      <c r="B632" s="5" t="inlineStr">
        <is>
          <t>&gt;=200</t>
        </is>
      </c>
      <c r="C632" s="5" t="n">
        <v>6</v>
      </c>
      <c r="D632" s="5" t="inlineStr">
        <is>
          <t>existing paid</t>
        </is>
      </c>
      <c r="E632" s="5" t="inlineStr">
        <is>
          <t>furniture/equipment</t>
        </is>
      </c>
      <c r="F632" s="5" t="n">
        <v>2116</v>
      </c>
      <c r="G632" s="5" t="inlineStr">
        <is>
          <t>&lt;100</t>
        </is>
      </c>
      <c r="H632" s="5" t="inlineStr">
        <is>
          <t>1&lt;=X&lt;4</t>
        </is>
      </c>
      <c r="I632" s="5" t="n">
        <v>2</v>
      </c>
      <c r="J632" s="5" t="inlineStr">
        <is>
          <t>male single</t>
        </is>
      </c>
      <c r="K632" s="5" t="inlineStr">
        <is>
          <t>none</t>
        </is>
      </c>
      <c r="L632" s="5" t="n">
        <v>2</v>
      </c>
      <c r="M632" s="5" t="inlineStr">
        <is>
          <t>real estate</t>
        </is>
      </c>
      <c r="N632" s="5" t="n">
        <v>41</v>
      </c>
      <c r="O632" s="5" t="inlineStr">
        <is>
          <t>none</t>
        </is>
      </c>
      <c r="P632" s="5" t="inlineStr">
        <is>
          <t>own</t>
        </is>
      </c>
      <c r="Q632" s="5" t="n">
        <v>1</v>
      </c>
      <c r="R632" s="5" t="inlineStr">
        <is>
          <t>skilled</t>
        </is>
      </c>
      <c r="S632" s="5" t="n">
        <v>1</v>
      </c>
      <c r="T632" s="5" t="inlineStr">
        <is>
          <t>yes</t>
        </is>
      </c>
      <c r="U632" s="5" t="inlineStr">
        <is>
          <t>yes</t>
        </is>
      </c>
      <c r="V632" s="5" t="inlineStr">
        <is>
          <t>good</t>
        </is>
      </c>
    </row>
    <row r="633">
      <c r="A633" s="5" t="n">
        <v>628</v>
      </c>
      <c r="B633" s="5" t="inlineStr">
        <is>
          <t>0&lt;=X&lt;200</t>
        </is>
      </c>
      <c r="C633" s="5" t="n">
        <v>9</v>
      </c>
      <c r="D633" s="5" t="inlineStr">
        <is>
          <t>all paid</t>
        </is>
      </c>
      <c r="E633" s="5" t="inlineStr">
        <is>
          <t>new car</t>
        </is>
      </c>
      <c r="F633" s="5" t="n">
        <v>1437</v>
      </c>
      <c r="G633" s="5" t="inlineStr">
        <is>
          <t>100&lt;=X&lt;500</t>
        </is>
      </c>
      <c r="H633" s="5" t="inlineStr">
        <is>
          <t>4&lt;=X&lt;7</t>
        </is>
      </c>
      <c r="I633" s="5" t="n">
        <v>2</v>
      </c>
      <c r="J633" s="5" t="inlineStr">
        <is>
          <t>male single</t>
        </is>
      </c>
      <c r="K633" s="5" t="inlineStr">
        <is>
          <t>none</t>
        </is>
      </c>
      <c r="L633" s="5" t="n">
        <v>3</v>
      </c>
      <c r="M633" s="5" t="inlineStr">
        <is>
          <t>no known property</t>
        </is>
      </c>
      <c r="N633" s="5" t="n">
        <v>29</v>
      </c>
      <c r="O633" s="5" t="inlineStr">
        <is>
          <t>none</t>
        </is>
      </c>
      <c r="P633" s="5" t="inlineStr">
        <is>
          <t>own</t>
        </is>
      </c>
      <c r="Q633" s="5" t="n">
        <v>1</v>
      </c>
      <c r="R633" s="5" t="inlineStr">
        <is>
          <t>skilled</t>
        </is>
      </c>
      <c r="S633" s="5" t="n">
        <v>1</v>
      </c>
      <c r="T633" s="5" t="inlineStr">
        <is>
          <t>none</t>
        </is>
      </c>
      <c r="U633" s="5" t="inlineStr">
        <is>
          <t>yes</t>
        </is>
      </c>
      <c r="V633" s="5" t="inlineStr">
        <is>
          <t>bad</t>
        </is>
      </c>
    </row>
    <row r="634">
      <c r="A634" s="5" t="n">
        <v>629</v>
      </c>
      <c r="B634" s="5" t="inlineStr">
        <is>
          <t>no checking</t>
        </is>
      </c>
      <c r="C634" s="5" t="n">
        <v>42</v>
      </c>
      <c r="D634" s="5" t="inlineStr">
        <is>
          <t>critical/other existing credit</t>
        </is>
      </c>
      <c r="E634" s="5" t="inlineStr">
        <is>
          <t>furniture/equipment</t>
        </is>
      </c>
      <c r="F634" s="5" t="n">
        <v>4042</v>
      </c>
      <c r="G634" s="5" t="inlineStr">
        <is>
          <t>500&lt;=X&lt;1000</t>
        </is>
      </c>
      <c r="H634" s="5" t="inlineStr">
        <is>
          <t>1&lt;=X&lt;4</t>
        </is>
      </c>
      <c r="I634" s="5" t="n">
        <v>4</v>
      </c>
      <c r="J634" s="5" t="inlineStr">
        <is>
          <t>male single</t>
        </is>
      </c>
      <c r="K634" s="5" t="inlineStr">
        <is>
          <t>none</t>
        </is>
      </c>
      <c r="L634" s="5" t="n">
        <v>4</v>
      </c>
      <c r="M634" s="5" t="inlineStr">
        <is>
          <t>real estate</t>
        </is>
      </c>
      <c r="N634" s="5" t="n">
        <v>36</v>
      </c>
      <c r="O634" s="5" t="inlineStr">
        <is>
          <t>none</t>
        </is>
      </c>
      <c r="P634" s="5" t="inlineStr">
        <is>
          <t>own</t>
        </is>
      </c>
      <c r="Q634" s="5" t="n">
        <v>2</v>
      </c>
      <c r="R634" s="5" t="inlineStr">
        <is>
          <t>skilled</t>
        </is>
      </c>
      <c r="S634" s="5" t="n">
        <v>1</v>
      </c>
      <c r="T634" s="5" t="inlineStr">
        <is>
          <t>yes</t>
        </is>
      </c>
      <c r="U634" s="5" t="inlineStr">
        <is>
          <t>yes</t>
        </is>
      </c>
      <c r="V634" s="5" t="inlineStr">
        <is>
          <t>good</t>
        </is>
      </c>
    </row>
    <row r="635">
      <c r="A635" s="5" t="n">
        <v>630</v>
      </c>
      <c r="B635" s="5" t="inlineStr">
        <is>
          <t>no checking</t>
        </is>
      </c>
      <c r="C635" s="5" t="n">
        <v>9</v>
      </c>
      <c r="D635" s="5" t="inlineStr">
        <is>
          <t>existing paid</t>
        </is>
      </c>
      <c r="E635" s="5" t="inlineStr">
        <is>
          <t>education</t>
        </is>
      </c>
      <c r="F635" s="5" t="n">
        <v>3832</v>
      </c>
      <c r="G635" s="5" t="inlineStr">
        <is>
          <t>no known savings</t>
        </is>
      </c>
      <c r="H635" s="5" t="inlineStr">
        <is>
          <t>&gt;=7</t>
        </is>
      </c>
      <c r="I635" s="5" t="n">
        <v>1</v>
      </c>
      <c r="J635" s="5" t="inlineStr">
        <is>
          <t>male single</t>
        </is>
      </c>
      <c r="K635" s="5" t="inlineStr">
        <is>
          <t>none</t>
        </is>
      </c>
      <c r="L635" s="5" t="n">
        <v>4</v>
      </c>
      <c r="M635" s="5" t="inlineStr">
        <is>
          <t>real estate</t>
        </is>
      </c>
      <c r="N635" s="5" t="n">
        <v>64</v>
      </c>
      <c r="O635" s="5" t="inlineStr">
        <is>
          <t>none</t>
        </is>
      </c>
      <c r="P635" s="5" t="inlineStr">
        <is>
          <t>own</t>
        </is>
      </c>
      <c r="Q635" s="5" t="n">
        <v>1</v>
      </c>
      <c r="R635" s="5" t="inlineStr">
        <is>
          <t>unskilled resident</t>
        </is>
      </c>
      <c r="S635" s="5" t="n">
        <v>1</v>
      </c>
      <c r="T635" s="5" t="inlineStr">
        <is>
          <t>none</t>
        </is>
      </c>
      <c r="U635" s="5" t="inlineStr">
        <is>
          <t>yes</t>
        </is>
      </c>
      <c r="V635" s="5" t="inlineStr">
        <is>
          <t>good</t>
        </is>
      </c>
    </row>
    <row r="636">
      <c r="A636" s="5" t="n">
        <v>631</v>
      </c>
      <c r="B636" s="5" t="inlineStr">
        <is>
          <t>&lt;0</t>
        </is>
      </c>
      <c r="C636" s="5" t="n">
        <v>24</v>
      </c>
      <c r="D636" s="5" t="inlineStr">
        <is>
          <t>existing paid</t>
        </is>
      </c>
      <c r="E636" s="5" t="inlineStr">
        <is>
          <t>radio/tv</t>
        </is>
      </c>
      <c r="F636" s="5" t="n">
        <v>3660</v>
      </c>
      <c r="G636" s="5" t="inlineStr">
        <is>
          <t>&lt;100</t>
        </is>
      </c>
      <c r="H636" s="5" t="inlineStr">
        <is>
          <t>1&lt;=X&lt;4</t>
        </is>
      </c>
      <c r="I636" s="5" t="n">
        <v>2</v>
      </c>
      <c r="J636" s="5" t="inlineStr">
        <is>
          <t>female div/dep/mar</t>
        </is>
      </c>
      <c r="K636" s="5" t="inlineStr">
        <is>
          <t>none</t>
        </is>
      </c>
      <c r="L636" s="5" t="n">
        <v>4</v>
      </c>
      <c r="M636" s="5" t="inlineStr">
        <is>
          <t>car</t>
        </is>
      </c>
      <c r="N636" s="5" t="n">
        <v>28</v>
      </c>
      <c r="O636" s="5" t="inlineStr">
        <is>
          <t>none</t>
        </is>
      </c>
      <c r="P636" s="5" t="inlineStr">
        <is>
          <t>own</t>
        </is>
      </c>
      <c r="Q636" s="5" t="n">
        <v>1</v>
      </c>
      <c r="R636" s="5" t="inlineStr">
        <is>
          <t>skilled</t>
        </is>
      </c>
      <c r="S636" s="5" t="n">
        <v>1</v>
      </c>
      <c r="T636" s="5" t="inlineStr">
        <is>
          <t>none</t>
        </is>
      </c>
      <c r="U636" s="5" t="inlineStr">
        <is>
          <t>yes</t>
        </is>
      </c>
      <c r="V636" s="5" t="inlineStr">
        <is>
          <t>good</t>
        </is>
      </c>
    </row>
    <row r="637">
      <c r="A637" s="5" t="n">
        <v>632</v>
      </c>
      <c r="B637" s="5" t="inlineStr">
        <is>
          <t>&lt;0</t>
        </is>
      </c>
      <c r="C637" s="5" t="n">
        <v>18</v>
      </c>
      <c r="D637" s="5" t="inlineStr">
        <is>
          <t>all paid</t>
        </is>
      </c>
      <c r="E637" s="5" t="inlineStr">
        <is>
          <t>furniture/equipment</t>
        </is>
      </c>
      <c r="F637" s="5" t="n">
        <v>1553</v>
      </c>
      <c r="G637" s="5" t="inlineStr">
        <is>
          <t>&lt;100</t>
        </is>
      </c>
      <c r="H637" s="5" t="inlineStr">
        <is>
          <t>1&lt;=X&lt;4</t>
        </is>
      </c>
      <c r="I637" s="5" t="n">
        <v>4</v>
      </c>
      <c r="J637" s="5" t="inlineStr">
        <is>
          <t>male single</t>
        </is>
      </c>
      <c r="K637" s="5" t="inlineStr">
        <is>
          <t>none</t>
        </is>
      </c>
      <c r="L637" s="5" t="n">
        <v>3</v>
      </c>
      <c r="M637" s="5" t="inlineStr">
        <is>
          <t>car</t>
        </is>
      </c>
      <c r="N637" s="5" t="n">
        <v>44</v>
      </c>
      <c r="O637" s="5" t="inlineStr">
        <is>
          <t>bank</t>
        </is>
      </c>
      <c r="P637" s="5" t="inlineStr">
        <is>
          <t>own</t>
        </is>
      </c>
      <c r="Q637" s="5" t="n">
        <v>1</v>
      </c>
      <c r="R637" s="5" t="inlineStr">
        <is>
          <t>skilled</t>
        </is>
      </c>
      <c r="S637" s="5" t="n">
        <v>1</v>
      </c>
      <c r="T637" s="5" t="inlineStr">
        <is>
          <t>none</t>
        </is>
      </c>
      <c r="U637" s="5" t="inlineStr">
        <is>
          <t>yes</t>
        </is>
      </c>
      <c r="V637" s="5" t="inlineStr">
        <is>
          <t>bad</t>
        </is>
      </c>
    </row>
    <row r="638">
      <c r="A638" s="5" t="n">
        <v>633</v>
      </c>
      <c r="B638" s="5" t="inlineStr">
        <is>
          <t>0&lt;=X&lt;200</t>
        </is>
      </c>
      <c r="C638" s="5" t="n">
        <v>15</v>
      </c>
      <c r="D638" s="5" t="inlineStr">
        <is>
          <t>existing paid</t>
        </is>
      </c>
      <c r="E638" s="5" t="inlineStr">
        <is>
          <t>radio/tv</t>
        </is>
      </c>
      <c r="F638" s="5" t="n">
        <v>1444</v>
      </c>
      <c r="G638" s="5" t="inlineStr">
        <is>
          <t>no known savings</t>
        </is>
      </c>
      <c r="H638" s="5" t="inlineStr">
        <is>
          <t>&lt;1</t>
        </is>
      </c>
      <c r="I638" s="5" t="n">
        <v>4</v>
      </c>
      <c r="J638" s="5" t="inlineStr">
        <is>
          <t>male single</t>
        </is>
      </c>
      <c r="K638" s="5" t="inlineStr">
        <is>
          <t>none</t>
        </is>
      </c>
      <c r="L638" s="5" t="n">
        <v>1</v>
      </c>
      <c r="M638" s="5" t="inlineStr">
        <is>
          <t>life insurance</t>
        </is>
      </c>
      <c r="N638" s="5" t="n">
        <v>23</v>
      </c>
      <c r="O638" s="5" t="inlineStr">
        <is>
          <t>none</t>
        </is>
      </c>
      <c r="P638" s="5" t="inlineStr">
        <is>
          <t>own</t>
        </is>
      </c>
      <c r="Q638" s="5" t="n">
        <v>1</v>
      </c>
      <c r="R638" s="5" t="inlineStr">
        <is>
          <t>skilled</t>
        </is>
      </c>
      <c r="S638" s="5" t="n">
        <v>1</v>
      </c>
      <c r="T638" s="5" t="inlineStr">
        <is>
          <t>none</t>
        </is>
      </c>
      <c r="U638" s="5" t="inlineStr">
        <is>
          <t>yes</t>
        </is>
      </c>
      <c r="V638" s="5" t="inlineStr">
        <is>
          <t>good</t>
        </is>
      </c>
    </row>
    <row r="639">
      <c r="A639" s="5" t="n">
        <v>634</v>
      </c>
      <c r="B639" s="5" t="inlineStr">
        <is>
          <t>no checking</t>
        </is>
      </c>
      <c r="C639" s="5" t="n">
        <v>9</v>
      </c>
      <c r="D639" s="5" t="inlineStr">
        <is>
          <t>existing paid</t>
        </is>
      </c>
      <c r="E639" s="5" t="inlineStr">
        <is>
          <t>furniture/equipment</t>
        </is>
      </c>
      <c r="F639" s="5" t="n">
        <v>1980</v>
      </c>
      <c r="G639" s="5" t="inlineStr">
        <is>
          <t>&lt;100</t>
        </is>
      </c>
      <c r="H639" s="5" t="inlineStr">
        <is>
          <t>&lt;1</t>
        </is>
      </c>
      <c r="I639" s="5" t="n">
        <v>2</v>
      </c>
      <c r="J639" s="5" t="inlineStr">
        <is>
          <t>female div/dep/mar</t>
        </is>
      </c>
      <c r="K639" s="5" t="inlineStr">
        <is>
          <t>co applicant</t>
        </is>
      </c>
      <c r="L639" s="5" t="n">
        <v>2</v>
      </c>
      <c r="M639" s="5" t="inlineStr">
        <is>
          <t>car</t>
        </is>
      </c>
      <c r="N639" s="5" t="n">
        <v>19</v>
      </c>
      <c r="O639" s="5" t="inlineStr">
        <is>
          <t>none</t>
        </is>
      </c>
      <c r="P639" s="5" t="inlineStr">
        <is>
          <t>rent</t>
        </is>
      </c>
      <c r="Q639" s="5" t="n">
        <v>2</v>
      </c>
      <c r="R639" s="5" t="inlineStr">
        <is>
          <t>skilled</t>
        </is>
      </c>
      <c r="S639" s="5" t="n">
        <v>1</v>
      </c>
      <c r="T639" s="5" t="inlineStr">
        <is>
          <t>none</t>
        </is>
      </c>
      <c r="U639" s="5" t="inlineStr">
        <is>
          <t>yes</t>
        </is>
      </c>
      <c r="V639" s="5" t="inlineStr">
        <is>
          <t>bad</t>
        </is>
      </c>
    </row>
    <row r="640">
      <c r="A640" s="5" t="n">
        <v>635</v>
      </c>
      <c r="B640" s="5" t="inlineStr">
        <is>
          <t>0&lt;=X&lt;200</t>
        </is>
      </c>
      <c r="C640" s="5" t="n">
        <v>24</v>
      </c>
      <c r="D640" s="5" t="inlineStr">
        <is>
          <t>existing paid</t>
        </is>
      </c>
      <c r="E640" s="5" t="inlineStr">
        <is>
          <t>new car</t>
        </is>
      </c>
      <c r="F640" s="5" t="n">
        <v>1355</v>
      </c>
      <c r="G640" s="5" t="inlineStr">
        <is>
          <t>&lt;100</t>
        </is>
      </c>
      <c r="H640" s="5" t="inlineStr">
        <is>
          <t>&lt;1</t>
        </is>
      </c>
      <c r="I640" s="5" t="n">
        <v>3</v>
      </c>
      <c r="J640" s="5" t="inlineStr">
        <is>
          <t>female div/dep/mar</t>
        </is>
      </c>
      <c r="K640" s="5" t="inlineStr">
        <is>
          <t>none</t>
        </is>
      </c>
      <c r="L640" s="5" t="n">
        <v>4</v>
      </c>
      <c r="M640" s="5" t="inlineStr">
        <is>
          <t>car</t>
        </is>
      </c>
      <c r="N640" s="5" t="n">
        <v>25</v>
      </c>
      <c r="O640" s="5" t="inlineStr">
        <is>
          <t>none</t>
        </is>
      </c>
      <c r="P640" s="5" t="inlineStr">
        <is>
          <t>own</t>
        </is>
      </c>
      <c r="Q640" s="5" t="n">
        <v>1</v>
      </c>
      <c r="R640" s="5" t="inlineStr">
        <is>
          <t>unskilled resident</t>
        </is>
      </c>
      <c r="S640" s="5" t="n">
        <v>1</v>
      </c>
      <c r="T640" s="5" t="inlineStr">
        <is>
          <t>yes</t>
        </is>
      </c>
      <c r="U640" s="5" t="inlineStr">
        <is>
          <t>yes</t>
        </is>
      </c>
      <c r="V640" s="5" t="inlineStr">
        <is>
          <t>bad</t>
        </is>
      </c>
    </row>
    <row r="641">
      <c r="A641" s="5" t="n">
        <v>636</v>
      </c>
      <c r="B641" s="5" t="inlineStr">
        <is>
          <t>no checking</t>
        </is>
      </c>
      <c r="C641" s="5" t="n">
        <v>12</v>
      </c>
      <c r="D641" s="5" t="inlineStr">
        <is>
          <t>existing paid</t>
        </is>
      </c>
      <c r="E641" s="5" t="inlineStr">
        <is>
          <t>education</t>
        </is>
      </c>
      <c r="F641" s="5" t="n">
        <v>1393</v>
      </c>
      <c r="G641" s="5" t="inlineStr">
        <is>
          <t>&lt;100</t>
        </is>
      </c>
      <c r="H641" s="5" t="inlineStr">
        <is>
          <t>&gt;=7</t>
        </is>
      </c>
      <c r="I641" s="5" t="n">
        <v>4</v>
      </c>
      <c r="J641" s="5" t="inlineStr">
        <is>
          <t>male single</t>
        </is>
      </c>
      <c r="K641" s="5" t="inlineStr">
        <is>
          <t>none</t>
        </is>
      </c>
      <c r="L641" s="5" t="n">
        <v>4</v>
      </c>
      <c r="M641" s="5" t="inlineStr">
        <is>
          <t>life insurance</t>
        </is>
      </c>
      <c r="N641" s="5" t="n">
        <v>47</v>
      </c>
      <c r="O641" s="5" t="inlineStr">
        <is>
          <t>bank</t>
        </is>
      </c>
      <c r="P641" s="5" t="inlineStr">
        <is>
          <t>own</t>
        </is>
      </c>
      <c r="Q641" s="5" t="n">
        <v>3</v>
      </c>
      <c r="R641" s="5" t="inlineStr">
        <is>
          <t>skilled</t>
        </is>
      </c>
      <c r="S641" s="5" t="n">
        <v>2</v>
      </c>
      <c r="T641" s="5" t="inlineStr">
        <is>
          <t>yes</t>
        </is>
      </c>
      <c r="U641" s="5" t="inlineStr">
        <is>
          <t>yes</t>
        </is>
      </c>
      <c r="V641" s="5" t="inlineStr">
        <is>
          <t>good</t>
        </is>
      </c>
    </row>
    <row r="642">
      <c r="A642" s="5" t="n">
        <v>637</v>
      </c>
      <c r="B642" s="5" t="inlineStr">
        <is>
          <t>no checking</t>
        </is>
      </c>
      <c r="C642" s="5" t="n">
        <v>24</v>
      </c>
      <c r="D642" s="5" t="inlineStr">
        <is>
          <t>existing paid</t>
        </is>
      </c>
      <c r="E642" s="5" t="inlineStr">
        <is>
          <t>radio/tv</t>
        </is>
      </c>
      <c r="F642" s="5" t="n">
        <v>1376</v>
      </c>
      <c r="G642" s="5" t="inlineStr">
        <is>
          <t>500&lt;=X&lt;1000</t>
        </is>
      </c>
      <c r="H642" s="5" t="inlineStr">
        <is>
          <t>4&lt;=X&lt;7</t>
        </is>
      </c>
      <c r="I642" s="5" t="n">
        <v>4</v>
      </c>
      <c r="J642" s="5" t="inlineStr">
        <is>
          <t>female div/dep/mar</t>
        </is>
      </c>
      <c r="K642" s="5" t="inlineStr">
        <is>
          <t>none</t>
        </is>
      </c>
      <c r="L642" s="5" t="n">
        <v>1</v>
      </c>
      <c r="M642" s="5" t="inlineStr">
        <is>
          <t>car</t>
        </is>
      </c>
      <c r="N642" s="5" t="n">
        <v>28</v>
      </c>
      <c r="O642" s="5" t="inlineStr">
        <is>
          <t>none</t>
        </is>
      </c>
      <c r="P642" s="5" t="inlineStr">
        <is>
          <t>own</t>
        </is>
      </c>
      <c r="Q642" s="5" t="n">
        <v>1</v>
      </c>
      <c r="R642" s="5" t="inlineStr">
        <is>
          <t>skilled</t>
        </is>
      </c>
      <c r="S642" s="5" t="n">
        <v>1</v>
      </c>
      <c r="T642" s="5" t="inlineStr">
        <is>
          <t>none</t>
        </is>
      </c>
      <c r="U642" s="5" t="inlineStr">
        <is>
          <t>yes</t>
        </is>
      </c>
      <c r="V642" s="5" t="inlineStr">
        <is>
          <t>good</t>
        </is>
      </c>
    </row>
    <row r="643">
      <c r="A643" s="5" t="n">
        <v>638</v>
      </c>
      <c r="B643" s="5" t="inlineStr">
        <is>
          <t>no checking</t>
        </is>
      </c>
      <c r="C643" s="5" t="n">
        <v>60</v>
      </c>
      <c r="D643" s="5" t="inlineStr">
        <is>
          <t>delayed previously</t>
        </is>
      </c>
      <c r="E643" s="5" t="inlineStr">
        <is>
          <t>radio/tv</t>
        </is>
      </c>
      <c r="F643" s="5" t="n">
        <v>15653</v>
      </c>
      <c r="G643" s="5" t="inlineStr">
        <is>
          <t>&lt;100</t>
        </is>
      </c>
      <c r="H643" s="5" t="inlineStr">
        <is>
          <t>4&lt;=X&lt;7</t>
        </is>
      </c>
      <c r="I643" s="5" t="n">
        <v>2</v>
      </c>
      <c r="J643" s="5" t="inlineStr">
        <is>
          <t>male single</t>
        </is>
      </c>
      <c r="K643" s="5" t="inlineStr">
        <is>
          <t>none</t>
        </is>
      </c>
      <c r="L643" s="5" t="n">
        <v>4</v>
      </c>
      <c r="M643" s="5" t="inlineStr">
        <is>
          <t>car</t>
        </is>
      </c>
      <c r="N643" s="5" t="n">
        <v>21</v>
      </c>
      <c r="O643" s="5" t="inlineStr">
        <is>
          <t>none</t>
        </is>
      </c>
      <c r="P643" s="5" t="inlineStr">
        <is>
          <t>own</t>
        </is>
      </c>
      <c r="Q643" s="5" t="n">
        <v>2</v>
      </c>
      <c r="R643" s="5" t="inlineStr">
        <is>
          <t>skilled</t>
        </is>
      </c>
      <c r="S643" s="5" t="n">
        <v>1</v>
      </c>
      <c r="T643" s="5" t="inlineStr">
        <is>
          <t>yes</t>
        </is>
      </c>
      <c r="U643" s="5" t="inlineStr">
        <is>
          <t>yes</t>
        </is>
      </c>
      <c r="V643" s="5" t="inlineStr">
        <is>
          <t>good</t>
        </is>
      </c>
    </row>
    <row r="644">
      <c r="A644" s="5" t="n">
        <v>639</v>
      </c>
      <c r="B644" s="5" t="inlineStr">
        <is>
          <t>no checking</t>
        </is>
      </c>
      <c r="C644" s="5" t="n">
        <v>12</v>
      </c>
      <c r="D644" s="5" t="inlineStr">
        <is>
          <t>existing paid</t>
        </is>
      </c>
      <c r="E644" s="5" t="inlineStr">
        <is>
          <t>radio/tv</t>
        </is>
      </c>
      <c r="F644" s="5" t="n">
        <v>1493</v>
      </c>
      <c r="G644" s="5" t="inlineStr">
        <is>
          <t>&lt;100</t>
        </is>
      </c>
      <c r="H644" s="5" t="inlineStr">
        <is>
          <t>&lt;1</t>
        </is>
      </c>
      <c r="I644" s="5" t="n">
        <v>4</v>
      </c>
      <c r="J644" s="5" t="inlineStr">
        <is>
          <t>female div/dep/mar</t>
        </is>
      </c>
      <c r="K644" s="5" t="inlineStr">
        <is>
          <t>none</t>
        </is>
      </c>
      <c r="L644" s="5" t="n">
        <v>3</v>
      </c>
      <c r="M644" s="5" t="inlineStr">
        <is>
          <t>car</t>
        </is>
      </c>
      <c r="N644" s="5" t="n">
        <v>34</v>
      </c>
      <c r="O644" s="5" t="inlineStr">
        <is>
          <t>none</t>
        </is>
      </c>
      <c r="P644" s="5" t="inlineStr">
        <is>
          <t>own</t>
        </is>
      </c>
      <c r="Q644" s="5" t="n">
        <v>1</v>
      </c>
      <c r="R644" s="5" t="inlineStr">
        <is>
          <t>skilled</t>
        </is>
      </c>
      <c r="S644" s="5" t="n">
        <v>2</v>
      </c>
      <c r="T644" s="5" t="inlineStr">
        <is>
          <t>none</t>
        </is>
      </c>
      <c r="U644" s="5" t="inlineStr">
        <is>
          <t>yes</t>
        </is>
      </c>
      <c r="V644" s="5" t="inlineStr">
        <is>
          <t>good</t>
        </is>
      </c>
    </row>
    <row r="645">
      <c r="A645" s="5" t="n">
        <v>640</v>
      </c>
      <c r="B645" s="5" t="inlineStr">
        <is>
          <t>&lt;0</t>
        </is>
      </c>
      <c r="C645" s="5" t="n">
        <v>42</v>
      </c>
      <c r="D645" s="5" t="inlineStr">
        <is>
          <t>delayed previously</t>
        </is>
      </c>
      <c r="E645" s="5" t="inlineStr">
        <is>
          <t>radio/tv</t>
        </is>
      </c>
      <c r="F645" s="5" t="n">
        <v>4370</v>
      </c>
      <c r="G645" s="5" t="inlineStr">
        <is>
          <t>&lt;100</t>
        </is>
      </c>
      <c r="H645" s="5" t="inlineStr">
        <is>
          <t>4&lt;=X&lt;7</t>
        </is>
      </c>
      <c r="I645" s="5" t="n">
        <v>3</v>
      </c>
      <c r="J645" s="5" t="inlineStr">
        <is>
          <t>male single</t>
        </is>
      </c>
      <c r="K645" s="5" t="inlineStr">
        <is>
          <t>none</t>
        </is>
      </c>
      <c r="L645" s="5" t="n">
        <v>2</v>
      </c>
      <c r="M645" s="5" t="inlineStr">
        <is>
          <t>life insurance</t>
        </is>
      </c>
      <c r="N645" s="5" t="n">
        <v>26</v>
      </c>
      <c r="O645" s="5" t="inlineStr">
        <is>
          <t>bank</t>
        </is>
      </c>
      <c r="P645" s="5" t="inlineStr">
        <is>
          <t>own</t>
        </is>
      </c>
      <c r="Q645" s="5" t="n">
        <v>2</v>
      </c>
      <c r="R645" s="5" t="inlineStr">
        <is>
          <t>skilled</t>
        </is>
      </c>
      <c r="S645" s="5" t="n">
        <v>2</v>
      </c>
      <c r="T645" s="5" t="inlineStr">
        <is>
          <t>yes</t>
        </is>
      </c>
      <c r="U645" s="5" t="inlineStr">
        <is>
          <t>yes</t>
        </is>
      </c>
      <c r="V645" s="5" t="inlineStr">
        <is>
          <t>bad</t>
        </is>
      </c>
    </row>
    <row r="646">
      <c r="A646" s="5" t="n">
        <v>641</v>
      </c>
      <c r="B646" s="5" t="inlineStr">
        <is>
          <t>&lt;0</t>
        </is>
      </c>
      <c r="C646" s="5" t="n">
        <v>18</v>
      </c>
      <c r="D646" s="5" t="inlineStr">
        <is>
          <t>existing paid</t>
        </is>
      </c>
      <c r="E646" s="5" t="inlineStr">
        <is>
          <t>education</t>
        </is>
      </c>
      <c r="F646" s="5" t="n">
        <v>750</v>
      </c>
      <c r="G646" s="5" t="inlineStr">
        <is>
          <t>&lt;100</t>
        </is>
      </c>
      <c r="H646" s="5" t="inlineStr">
        <is>
          <t>unemployed</t>
        </is>
      </c>
      <c r="I646" s="5" t="n">
        <v>4</v>
      </c>
      <c r="J646" s="5" t="inlineStr">
        <is>
          <t>female div/dep/mar</t>
        </is>
      </c>
      <c r="K646" s="5" t="inlineStr">
        <is>
          <t>none</t>
        </is>
      </c>
      <c r="L646" s="5" t="n">
        <v>1</v>
      </c>
      <c r="M646" s="5" t="inlineStr">
        <is>
          <t>real estate</t>
        </is>
      </c>
      <c r="N646" s="5" t="n">
        <v>27</v>
      </c>
      <c r="O646" s="5" t="inlineStr">
        <is>
          <t>none</t>
        </is>
      </c>
      <c r="P646" s="5" t="inlineStr">
        <is>
          <t>own</t>
        </is>
      </c>
      <c r="Q646" s="5" t="n">
        <v>1</v>
      </c>
      <c r="R646" s="5" t="inlineStr">
        <is>
          <t>unemp/unskilled non res</t>
        </is>
      </c>
      <c r="S646" s="5" t="n">
        <v>1</v>
      </c>
      <c r="T646" s="5" t="inlineStr">
        <is>
          <t>none</t>
        </is>
      </c>
      <c r="U646" s="5" t="inlineStr">
        <is>
          <t>yes</t>
        </is>
      </c>
      <c r="V646" s="5" t="inlineStr">
        <is>
          <t>bad</t>
        </is>
      </c>
    </row>
    <row r="647">
      <c r="A647" s="5" t="n">
        <v>642</v>
      </c>
      <c r="B647" s="5" t="inlineStr">
        <is>
          <t>0&lt;=X&lt;200</t>
        </is>
      </c>
      <c r="C647" s="5" t="n">
        <v>15</v>
      </c>
      <c r="D647" s="5" t="inlineStr">
        <is>
          <t>existing paid</t>
        </is>
      </c>
      <c r="E647" s="5" t="inlineStr">
        <is>
          <t>repairs</t>
        </is>
      </c>
      <c r="F647" s="5" t="n">
        <v>1308</v>
      </c>
      <c r="G647" s="5" t="inlineStr">
        <is>
          <t>&lt;100</t>
        </is>
      </c>
      <c r="H647" s="5" t="inlineStr">
        <is>
          <t>&gt;=7</t>
        </is>
      </c>
      <c r="I647" s="5" t="n">
        <v>4</v>
      </c>
      <c r="J647" s="5" t="inlineStr">
        <is>
          <t>male single</t>
        </is>
      </c>
      <c r="K647" s="5" t="inlineStr">
        <is>
          <t>none</t>
        </is>
      </c>
      <c r="L647" s="5" t="n">
        <v>4</v>
      </c>
      <c r="M647" s="5" t="inlineStr">
        <is>
          <t>car</t>
        </is>
      </c>
      <c r="N647" s="5" t="n">
        <v>38</v>
      </c>
      <c r="O647" s="5" t="inlineStr">
        <is>
          <t>none</t>
        </is>
      </c>
      <c r="P647" s="5" t="inlineStr">
        <is>
          <t>own</t>
        </is>
      </c>
      <c r="Q647" s="5" t="n">
        <v>2</v>
      </c>
      <c r="R647" s="5" t="inlineStr">
        <is>
          <t>unskilled resident</t>
        </is>
      </c>
      <c r="S647" s="5" t="n">
        <v>1</v>
      </c>
      <c r="T647" s="5" t="inlineStr">
        <is>
          <t>none</t>
        </is>
      </c>
      <c r="U647" s="5" t="inlineStr">
        <is>
          <t>yes</t>
        </is>
      </c>
      <c r="V647" s="5" t="inlineStr">
        <is>
          <t>good</t>
        </is>
      </c>
    </row>
    <row r="648">
      <c r="A648" s="5" t="n">
        <v>643</v>
      </c>
      <c r="B648" s="5" t="inlineStr">
        <is>
          <t>no checking</t>
        </is>
      </c>
      <c r="C648" s="5" t="n">
        <v>15</v>
      </c>
      <c r="D648" s="5" t="inlineStr">
        <is>
          <t>existing paid</t>
        </is>
      </c>
      <c r="E648" s="5" t="inlineStr">
        <is>
          <t>education</t>
        </is>
      </c>
      <c r="F648" s="5" t="n">
        <v>4623</v>
      </c>
      <c r="G648" s="5" t="inlineStr">
        <is>
          <t>100&lt;=X&lt;500</t>
        </is>
      </c>
      <c r="H648" s="5" t="inlineStr">
        <is>
          <t>1&lt;=X&lt;4</t>
        </is>
      </c>
      <c r="I648" s="5" t="n">
        <v>3</v>
      </c>
      <c r="J648" s="5" t="inlineStr">
        <is>
          <t>male single</t>
        </is>
      </c>
      <c r="K648" s="5" t="inlineStr">
        <is>
          <t>none</t>
        </is>
      </c>
      <c r="L648" s="5" t="n">
        <v>2</v>
      </c>
      <c r="M648" s="5" t="inlineStr">
        <is>
          <t>life insurance</t>
        </is>
      </c>
      <c r="N648" s="5" t="n">
        <v>40</v>
      </c>
      <c r="O648" s="5" t="inlineStr">
        <is>
          <t>none</t>
        </is>
      </c>
      <c r="P648" s="5" t="inlineStr">
        <is>
          <t>own</t>
        </is>
      </c>
      <c r="Q648" s="5" t="n">
        <v>1</v>
      </c>
      <c r="R648" s="5" t="inlineStr">
        <is>
          <t>high qualif/self emp/mgmt</t>
        </is>
      </c>
      <c r="S648" s="5" t="n">
        <v>1</v>
      </c>
      <c r="T648" s="5" t="inlineStr">
        <is>
          <t>yes</t>
        </is>
      </c>
      <c r="U648" s="5" t="inlineStr">
        <is>
          <t>yes</t>
        </is>
      </c>
      <c r="V648" s="5" t="inlineStr">
        <is>
          <t>bad</t>
        </is>
      </c>
    </row>
    <row r="649">
      <c r="A649" s="5" t="n">
        <v>644</v>
      </c>
      <c r="B649" s="5" t="inlineStr">
        <is>
          <t>no checking</t>
        </is>
      </c>
      <c r="C649" s="5" t="n">
        <v>24</v>
      </c>
      <c r="D649" s="5" t="inlineStr">
        <is>
          <t>critical/other existing credit</t>
        </is>
      </c>
      <c r="E649" s="5" t="inlineStr">
        <is>
          <t>radio/tv</t>
        </is>
      </c>
      <c r="F649" s="5" t="n">
        <v>1851</v>
      </c>
      <c r="G649" s="5" t="inlineStr">
        <is>
          <t>&lt;100</t>
        </is>
      </c>
      <c r="H649" s="5" t="inlineStr">
        <is>
          <t>4&lt;=X&lt;7</t>
        </is>
      </c>
      <c r="I649" s="5" t="n">
        <v>4</v>
      </c>
      <c r="J649" s="5" t="inlineStr">
        <is>
          <t>male mar/wid</t>
        </is>
      </c>
      <c r="K649" s="5" t="inlineStr">
        <is>
          <t>guarantor</t>
        </is>
      </c>
      <c r="L649" s="5" t="n">
        <v>2</v>
      </c>
      <c r="M649" s="5" t="inlineStr">
        <is>
          <t>car</t>
        </is>
      </c>
      <c r="N649" s="5" t="n">
        <v>33</v>
      </c>
      <c r="O649" s="5" t="inlineStr">
        <is>
          <t>none</t>
        </is>
      </c>
      <c r="P649" s="5" t="inlineStr">
        <is>
          <t>own</t>
        </is>
      </c>
      <c r="Q649" s="5" t="n">
        <v>2</v>
      </c>
      <c r="R649" s="5" t="inlineStr">
        <is>
          <t>skilled</t>
        </is>
      </c>
      <c r="S649" s="5" t="n">
        <v>1</v>
      </c>
      <c r="T649" s="5" t="inlineStr">
        <is>
          <t>yes</t>
        </is>
      </c>
      <c r="U649" s="5" t="inlineStr">
        <is>
          <t>yes</t>
        </is>
      </c>
      <c r="V649" s="5" t="inlineStr">
        <is>
          <t>good</t>
        </is>
      </c>
    </row>
    <row r="650">
      <c r="A650" s="5" t="n">
        <v>645</v>
      </c>
      <c r="B650" s="5" t="inlineStr">
        <is>
          <t>&lt;0</t>
        </is>
      </c>
      <c r="C650" s="5" t="n">
        <v>18</v>
      </c>
      <c r="D650" s="5" t="inlineStr">
        <is>
          <t>critical/other existing credit</t>
        </is>
      </c>
      <c r="E650" s="5" t="inlineStr">
        <is>
          <t>radio/tv</t>
        </is>
      </c>
      <c r="F650" s="5" t="n">
        <v>1880</v>
      </c>
      <c r="G650" s="5" t="inlineStr">
        <is>
          <t>&lt;100</t>
        </is>
      </c>
      <c r="H650" s="5" t="inlineStr">
        <is>
          <t>4&lt;=X&lt;7</t>
        </is>
      </c>
      <c r="I650" s="5" t="n">
        <v>4</v>
      </c>
      <c r="J650" s="5" t="inlineStr">
        <is>
          <t>male mar/wid</t>
        </is>
      </c>
      <c r="K650" s="5" t="inlineStr">
        <is>
          <t>none</t>
        </is>
      </c>
      <c r="L650" s="5" t="n">
        <v>1</v>
      </c>
      <c r="M650" s="5" t="inlineStr">
        <is>
          <t>life insurance</t>
        </is>
      </c>
      <c r="N650" s="5" t="n">
        <v>32</v>
      </c>
      <c r="O650" s="5" t="inlineStr">
        <is>
          <t>none</t>
        </is>
      </c>
      <c r="P650" s="5" t="inlineStr">
        <is>
          <t>own</t>
        </is>
      </c>
      <c r="Q650" s="5" t="n">
        <v>2</v>
      </c>
      <c r="R650" s="5" t="inlineStr">
        <is>
          <t>high qualif/self emp/mgmt</t>
        </is>
      </c>
      <c r="S650" s="5" t="n">
        <v>1</v>
      </c>
      <c r="T650" s="5" t="inlineStr">
        <is>
          <t>yes</t>
        </is>
      </c>
      <c r="U650" s="5" t="inlineStr">
        <is>
          <t>yes</t>
        </is>
      </c>
      <c r="V650" s="5" t="inlineStr">
        <is>
          <t>good</t>
        </is>
      </c>
    </row>
    <row r="651">
      <c r="A651" s="5" t="n">
        <v>646</v>
      </c>
      <c r="B651" s="5" t="inlineStr">
        <is>
          <t>no checking</t>
        </is>
      </c>
      <c r="C651" s="5" t="n">
        <v>36</v>
      </c>
      <c r="D651" s="5" t="inlineStr">
        <is>
          <t>delayed previously</t>
        </is>
      </c>
      <c r="E651" s="5" t="inlineStr">
        <is>
          <t>business</t>
        </is>
      </c>
      <c r="F651" s="5" t="n">
        <v>7980</v>
      </c>
      <c r="G651" s="5" t="inlineStr">
        <is>
          <t>no known savings</t>
        </is>
      </c>
      <c r="H651" s="5" t="inlineStr">
        <is>
          <t>&lt;1</t>
        </is>
      </c>
      <c r="I651" s="5" t="n">
        <v>4</v>
      </c>
      <c r="J651" s="5" t="inlineStr">
        <is>
          <t>male single</t>
        </is>
      </c>
      <c r="K651" s="5" t="inlineStr">
        <is>
          <t>none</t>
        </is>
      </c>
      <c r="L651" s="5" t="n">
        <v>4</v>
      </c>
      <c r="M651" s="5" t="inlineStr">
        <is>
          <t>car</t>
        </is>
      </c>
      <c r="N651" s="5" t="n">
        <v>27</v>
      </c>
      <c r="O651" s="5" t="inlineStr">
        <is>
          <t>none</t>
        </is>
      </c>
      <c r="P651" s="5" t="inlineStr">
        <is>
          <t>rent</t>
        </is>
      </c>
      <c r="Q651" s="5" t="n">
        <v>2</v>
      </c>
      <c r="R651" s="5" t="inlineStr">
        <is>
          <t>skilled</t>
        </is>
      </c>
      <c r="S651" s="5" t="n">
        <v>1</v>
      </c>
      <c r="T651" s="5" t="inlineStr">
        <is>
          <t>yes</t>
        </is>
      </c>
      <c r="U651" s="5" t="inlineStr">
        <is>
          <t>yes</t>
        </is>
      </c>
      <c r="V651" s="5" t="inlineStr">
        <is>
          <t>bad</t>
        </is>
      </c>
    </row>
    <row r="652">
      <c r="A652" s="5" t="n">
        <v>647</v>
      </c>
      <c r="B652" s="5" t="inlineStr">
        <is>
          <t>&lt;0</t>
        </is>
      </c>
      <c r="C652" s="5" t="n">
        <v>30</v>
      </c>
      <c r="D652" s="5" t="inlineStr">
        <is>
          <t>no credits/all paid</t>
        </is>
      </c>
      <c r="E652" s="5" t="inlineStr">
        <is>
          <t>furniture/equipment</t>
        </is>
      </c>
      <c r="F652" s="5" t="n">
        <v>4583</v>
      </c>
      <c r="G652" s="5" t="inlineStr">
        <is>
          <t>&lt;100</t>
        </is>
      </c>
      <c r="H652" s="5" t="inlineStr">
        <is>
          <t>1&lt;=X&lt;4</t>
        </is>
      </c>
      <c r="I652" s="5" t="n">
        <v>2</v>
      </c>
      <c r="J652" s="5" t="inlineStr">
        <is>
          <t>male div/sep</t>
        </is>
      </c>
      <c r="K652" s="5" t="inlineStr">
        <is>
          <t>guarantor</t>
        </is>
      </c>
      <c r="L652" s="5" t="n">
        <v>2</v>
      </c>
      <c r="M652" s="5" t="inlineStr">
        <is>
          <t>real estate</t>
        </is>
      </c>
      <c r="N652" s="5" t="n">
        <v>32</v>
      </c>
      <c r="O652" s="5" t="inlineStr">
        <is>
          <t>none</t>
        </is>
      </c>
      <c r="P652" s="5" t="inlineStr">
        <is>
          <t>own</t>
        </is>
      </c>
      <c r="Q652" s="5" t="n">
        <v>2</v>
      </c>
      <c r="R652" s="5" t="inlineStr">
        <is>
          <t>skilled</t>
        </is>
      </c>
      <c r="S652" s="5" t="n">
        <v>1</v>
      </c>
      <c r="T652" s="5" t="inlineStr">
        <is>
          <t>none</t>
        </is>
      </c>
      <c r="U652" s="5" t="inlineStr">
        <is>
          <t>yes</t>
        </is>
      </c>
      <c r="V652" s="5" t="inlineStr">
        <is>
          <t>good</t>
        </is>
      </c>
    </row>
    <row r="653">
      <c r="A653" s="5" t="n">
        <v>648</v>
      </c>
      <c r="B653" s="5" t="inlineStr">
        <is>
          <t>no checking</t>
        </is>
      </c>
      <c r="C653" s="5" t="n">
        <v>12</v>
      </c>
      <c r="D653" s="5" t="inlineStr">
        <is>
          <t>existing paid</t>
        </is>
      </c>
      <c r="E653" s="5" t="inlineStr">
        <is>
          <t>new car</t>
        </is>
      </c>
      <c r="F653" s="5" t="n">
        <v>1386</v>
      </c>
      <c r="G653" s="5" t="inlineStr">
        <is>
          <t>500&lt;=X&lt;1000</t>
        </is>
      </c>
      <c r="H653" s="5" t="inlineStr">
        <is>
          <t>1&lt;=X&lt;4</t>
        </is>
      </c>
      <c r="I653" s="5" t="n">
        <v>2</v>
      </c>
      <c r="J653" s="5" t="inlineStr">
        <is>
          <t>female div/dep/mar</t>
        </is>
      </c>
      <c r="K653" s="5" t="inlineStr">
        <is>
          <t>none</t>
        </is>
      </c>
      <c r="L653" s="5" t="n">
        <v>2</v>
      </c>
      <c r="M653" s="5" t="inlineStr">
        <is>
          <t>life insurance</t>
        </is>
      </c>
      <c r="N653" s="5" t="n">
        <v>26</v>
      </c>
      <c r="O653" s="5" t="inlineStr">
        <is>
          <t>none</t>
        </is>
      </c>
      <c r="P653" s="5" t="inlineStr">
        <is>
          <t>own</t>
        </is>
      </c>
      <c r="Q653" s="5" t="n">
        <v>1</v>
      </c>
      <c r="R653" s="5" t="inlineStr">
        <is>
          <t>skilled</t>
        </is>
      </c>
      <c r="S653" s="5" t="n">
        <v>1</v>
      </c>
      <c r="T653" s="5" t="inlineStr">
        <is>
          <t>none</t>
        </is>
      </c>
      <c r="U653" s="5" t="inlineStr">
        <is>
          <t>yes</t>
        </is>
      </c>
      <c r="V653" s="5" t="inlineStr">
        <is>
          <t>bad</t>
        </is>
      </c>
    </row>
    <row r="654">
      <c r="A654" s="5" t="n">
        <v>649</v>
      </c>
      <c r="B654" s="5" t="inlineStr">
        <is>
          <t>&gt;=200</t>
        </is>
      </c>
      <c r="C654" s="5" t="n">
        <v>24</v>
      </c>
      <c r="D654" s="5" t="inlineStr">
        <is>
          <t>existing paid</t>
        </is>
      </c>
      <c r="E654" s="5" t="inlineStr">
        <is>
          <t>new car</t>
        </is>
      </c>
      <c r="F654" s="5" t="n">
        <v>947</v>
      </c>
      <c r="G654" s="5" t="inlineStr">
        <is>
          <t>&lt;100</t>
        </is>
      </c>
      <c r="H654" s="5" t="inlineStr">
        <is>
          <t>4&lt;=X&lt;7</t>
        </is>
      </c>
      <c r="I654" s="5" t="n">
        <v>4</v>
      </c>
      <c r="J654" s="5" t="inlineStr">
        <is>
          <t>male single</t>
        </is>
      </c>
      <c r="K654" s="5" t="inlineStr">
        <is>
          <t>none</t>
        </is>
      </c>
      <c r="L654" s="5" t="n">
        <v>3</v>
      </c>
      <c r="M654" s="5" t="inlineStr">
        <is>
          <t>no known property</t>
        </is>
      </c>
      <c r="N654" s="5" t="n">
        <v>38</v>
      </c>
      <c r="O654" s="5" t="inlineStr">
        <is>
          <t>bank</t>
        </is>
      </c>
      <c r="P654" s="5" t="inlineStr">
        <is>
          <t>for free</t>
        </is>
      </c>
      <c r="Q654" s="5" t="n">
        <v>1</v>
      </c>
      <c r="R654" s="5" t="inlineStr">
        <is>
          <t>skilled</t>
        </is>
      </c>
      <c r="S654" s="5" t="n">
        <v>2</v>
      </c>
      <c r="T654" s="5" t="inlineStr">
        <is>
          <t>none</t>
        </is>
      </c>
      <c r="U654" s="5" t="inlineStr">
        <is>
          <t>yes</t>
        </is>
      </c>
      <c r="V654" s="5" t="inlineStr">
        <is>
          <t>bad</t>
        </is>
      </c>
    </row>
    <row r="655">
      <c r="A655" s="5" t="n">
        <v>650</v>
      </c>
      <c r="B655" s="5" t="inlineStr">
        <is>
          <t>&lt;0</t>
        </is>
      </c>
      <c r="C655" s="5" t="n">
        <v>12</v>
      </c>
      <c r="D655" s="5" t="inlineStr">
        <is>
          <t>existing paid</t>
        </is>
      </c>
      <c r="E655" s="5" t="inlineStr">
        <is>
          <t>education</t>
        </is>
      </c>
      <c r="F655" s="5" t="n">
        <v>684</v>
      </c>
      <c r="G655" s="5" t="inlineStr">
        <is>
          <t>&lt;100</t>
        </is>
      </c>
      <c r="H655" s="5" t="inlineStr">
        <is>
          <t>1&lt;=X&lt;4</t>
        </is>
      </c>
      <c r="I655" s="5" t="n">
        <v>4</v>
      </c>
      <c r="J655" s="5" t="inlineStr">
        <is>
          <t>male single</t>
        </is>
      </c>
      <c r="K655" s="5" t="inlineStr">
        <is>
          <t>none</t>
        </is>
      </c>
      <c r="L655" s="5" t="n">
        <v>4</v>
      </c>
      <c r="M655" s="5" t="inlineStr">
        <is>
          <t>car</t>
        </is>
      </c>
      <c r="N655" s="5" t="n">
        <v>40</v>
      </c>
      <c r="O655" s="5" t="inlineStr">
        <is>
          <t>none</t>
        </is>
      </c>
      <c r="P655" s="5" t="inlineStr">
        <is>
          <t>rent</t>
        </is>
      </c>
      <c r="Q655" s="5" t="n">
        <v>1</v>
      </c>
      <c r="R655" s="5" t="inlineStr">
        <is>
          <t>unskilled resident</t>
        </is>
      </c>
      <c r="S655" s="5" t="n">
        <v>2</v>
      </c>
      <c r="T655" s="5" t="inlineStr">
        <is>
          <t>none</t>
        </is>
      </c>
      <c r="U655" s="5" t="inlineStr">
        <is>
          <t>yes</t>
        </is>
      </c>
      <c r="V655" s="5" t="inlineStr">
        <is>
          <t>bad</t>
        </is>
      </c>
    </row>
    <row r="656">
      <c r="A656" s="5" t="n">
        <v>651</v>
      </c>
      <c r="B656" s="5" t="inlineStr">
        <is>
          <t>&lt;0</t>
        </is>
      </c>
      <c r="C656" s="5" t="n">
        <v>48</v>
      </c>
      <c r="D656" s="5" t="inlineStr">
        <is>
          <t>existing paid</t>
        </is>
      </c>
      <c r="E656" s="5" t="inlineStr">
        <is>
          <t>education</t>
        </is>
      </c>
      <c r="F656" s="5" t="n">
        <v>7476</v>
      </c>
      <c r="G656" s="5" t="inlineStr">
        <is>
          <t>&lt;100</t>
        </is>
      </c>
      <c r="H656" s="5" t="inlineStr">
        <is>
          <t>4&lt;=X&lt;7</t>
        </is>
      </c>
      <c r="I656" s="5" t="n">
        <v>4</v>
      </c>
      <c r="J656" s="5" t="inlineStr">
        <is>
          <t>male single</t>
        </is>
      </c>
      <c r="K656" s="5" t="inlineStr">
        <is>
          <t>none</t>
        </is>
      </c>
      <c r="L656" s="5" t="n">
        <v>1</v>
      </c>
      <c r="M656" s="5" t="inlineStr">
        <is>
          <t>no known property</t>
        </is>
      </c>
      <c r="N656" s="5" t="n">
        <v>50</v>
      </c>
      <c r="O656" s="5" t="inlineStr">
        <is>
          <t>none</t>
        </is>
      </c>
      <c r="P656" s="5" t="inlineStr">
        <is>
          <t>for free</t>
        </is>
      </c>
      <c r="Q656" s="5" t="n">
        <v>1</v>
      </c>
      <c r="R656" s="5" t="inlineStr">
        <is>
          <t>high qualif/self emp/mgmt</t>
        </is>
      </c>
      <c r="S656" s="5" t="n">
        <v>1</v>
      </c>
      <c r="T656" s="5" t="inlineStr">
        <is>
          <t>yes</t>
        </is>
      </c>
      <c r="U656" s="5" t="inlineStr">
        <is>
          <t>yes</t>
        </is>
      </c>
      <c r="V656" s="5" t="inlineStr">
        <is>
          <t>good</t>
        </is>
      </c>
    </row>
    <row r="657">
      <c r="A657" s="5" t="n">
        <v>652</v>
      </c>
      <c r="B657" s="5" t="inlineStr">
        <is>
          <t>0&lt;=X&lt;200</t>
        </is>
      </c>
      <c r="C657" s="5" t="n">
        <v>12</v>
      </c>
      <c r="D657" s="5" t="inlineStr">
        <is>
          <t>existing paid</t>
        </is>
      </c>
      <c r="E657" s="5" t="inlineStr">
        <is>
          <t>furniture/equipment</t>
        </is>
      </c>
      <c r="F657" s="5" t="n">
        <v>1922</v>
      </c>
      <c r="G657" s="5" t="inlineStr">
        <is>
          <t>&lt;100</t>
        </is>
      </c>
      <c r="H657" s="5" t="inlineStr">
        <is>
          <t>1&lt;=X&lt;4</t>
        </is>
      </c>
      <c r="I657" s="5" t="n">
        <v>4</v>
      </c>
      <c r="J657" s="5" t="inlineStr">
        <is>
          <t>male single</t>
        </is>
      </c>
      <c r="K657" s="5" t="inlineStr">
        <is>
          <t>none</t>
        </is>
      </c>
      <c r="L657" s="5" t="n">
        <v>2</v>
      </c>
      <c r="M657" s="5" t="inlineStr">
        <is>
          <t>life insurance</t>
        </is>
      </c>
      <c r="N657" s="5" t="n">
        <v>37</v>
      </c>
      <c r="O657" s="5" t="inlineStr">
        <is>
          <t>none</t>
        </is>
      </c>
      <c r="P657" s="5" t="inlineStr">
        <is>
          <t>own</t>
        </is>
      </c>
      <c r="Q657" s="5" t="n">
        <v>1</v>
      </c>
      <c r="R657" s="5" t="inlineStr">
        <is>
          <t>unskilled resident</t>
        </is>
      </c>
      <c r="S657" s="5" t="n">
        <v>1</v>
      </c>
      <c r="T657" s="5" t="inlineStr">
        <is>
          <t>none</t>
        </is>
      </c>
      <c r="U657" s="5" t="inlineStr">
        <is>
          <t>yes</t>
        </is>
      </c>
      <c r="V657" s="5" t="inlineStr">
        <is>
          <t>bad</t>
        </is>
      </c>
    </row>
    <row r="658">
      <c r="A658" s="5" t="n">
        <v>653</v>
      </c>
      <c r="B658" s="5" t="inlineStr">
        <is>
          <t>&lt;0</t>
        </is>
      </c>
      <c r="C658" s="5" t="n">
        <v>24</v>
      </c>
      <c r="D658" s="5" t="inlineStr">
        <is>
          <t>existing paid</t>
        </is>
      </c>
      <c r="E658" s="5" t="inlineStr">
        <is>
          <t>new car</t>
        </is>
      </c>
      <c r="F658" s="5" t="n">
        <v>2303</v>
      </c>
      <c r="G658" s="5" t="inlineStr">
        <is>
          <t>&lt;100</t>
        </is>
      </c>
      <c r="H658" s="5" t="inlineStr">
        <is>
          <t>&gt;=7</t>
        </is>
      </c>
      <c r="I658" s="5" t="n">
        <v>4</v>
      </c>
      <c r="J658" s="5" t="inlineStr">
        <is>
          <t>male single</t>
        </is>
      </c>
      <c r="K658" s="5" t="inlineStr">
        <is>
          <t>co applicant</t>
        </is>
      </c>
      <c r="L658" s="5" t="n">
        <v>1</v>
      </c>
      <c r="M658" s="5" t="inlineStr">
        <is>
          <t>real estate</t>
        </is>
      </c>
      <c r="N658" s="5" t="n">
        <v>45</v>
      </c>
      <c r="O658" s="5" t="inlineStr">
        <is>
          <t>none</t>
        </is>
      </c>
      <c r="P658" s="5" t="inlineStr">
        <is>
          <t>own</t>
        </is>
      </c>
      <c r="Q658" s="5" t="n">
        <v>1</v>
      </c>
      <c r="R658" s="5" t="inlineStr">
        <is>
          <t>skilled</t>
        </is>
      </c>
      <c r="S658" s="5" t="n">
        <v>1</v>
      </c>
      <c r="T658" s="5" t="inlineStr">
        <is>
          <t>none</t>
        </is>
      </c>
      <c r="U658" s="5" t="inlineStr">
        <is>
          <t>yes</t>
        </is>
      </c>
      <c r="V658" s="5" t="inlineStr">
        <is>
          <t>bad</t>
        </is>
      </c>
    </row>
    <row r="659">
      <c r="A659" s="5" t="n">
        <v>654</v>
      </c>
      <c r="B659" s="5" t="inlineStr">
        <is>
          <t>0&lt;=X&lt;200</t>
        </is>
      </c>
      <c r="C659" s="5" t="n">
        <v>36</v>
      </c>
      <c r="D659" s="5" t="inlineStr">
        <is>
          <t>delayed previously</t>
        </is>
      </c>
      <c r="E659" s="5" t="inlineStr">
        <is>
          <t>new car</t>
        </is>
      </c>
      <c r="F659" s="5" t="n">
        <v>8086</v>
      </c>
      <c r="G659" s="5" t="inlineStr">
        <is>
          <t>100&lt;=X&lt;500</t>
        </is>
      </c>
      <c r="H659" s="5" t="inlineStr">
        <is>
          <t>&gt;=7</t>
        </is>
      </c>
      <c r="I659" s="5" t="n">
        <v>2</v>
      </c>
      <c r="J659" s="5" t="inlineStr">
        <is>
          <t>male single</t>
        </is>
      </c>
      <c r="K659" s="5" t="inlineStr">
        <is>
          <t>none</t>
        </is>
      </c>
      <c r="L659" s="5" t="n">
        <v>4</v>
      </c>
      <c r="M659" s="5" t="inlineStr">
        <is>
          <t>car</t>
        </is>
      </c>
      <c r="N659" s="5" t="n">
        <v>42</v>
      </c>
      <c r="O659" s="5" t="inlineStr">
        <is>
          <t>none</t>
        </is>
      </c>
      <c r="P659" s="5" t="inlineStr">
        <is>
          <t>own</t>
        </is>
      </c>
      <c r="Q659" s="5" t="n">
        <v>4</v>
      </c>
      <c r="R659" s="5" t="inlineStr">
        <is>
          <t>high qualif/self emp/mgmt</t>
        </is>
      </c>
      <c r="S659" s="5" t="n">
        <v>1</v>
      </c>
      <c r="T659" s="5" t="inlineStr">
        <is>
          <t>yes</t>
        </is>
      </c>
      <c r="U659" s="5" t="inlineStr">
        <is>
          <t>yes</t>
        </is>
      </c>
      <c r="V659" s="5" t="inlineStr">
        <is>
          <t>bad</t>
        </is>
      </c>
    </row>
    <row r="660">
      <c r="A660" s="5" t="n">
        <v>655</v>
      </c>
      <c r="B660" s="5" t="inlineStr">
        <is>
          <t>no checking</t>
        </is>
      </c>
      <c r="C660" s="5" t="n">
        <v>24</v>
      </c>
      <c r="D660" s="5" t="inlineStr">
        <is>
          <t>critical/other existing credit</t>
        </is>
      </c>
      <c r="E660" s="5" t="inlineStr">
        <is>
          <t>used car</t>
        </is>
      </c>
      <c r="F660" s="5" t="n">
        <v>2346</v>
      </c>
      <c r="G660" s="5" t="inlineStr">
        <is>
          <t>&lt;100</t>
        </is>
      </c>
      <c r="H660" s="5" t="inlineStr">
        <is>
          <t>4&lt;=X&lt;7</t>
        </is>
      </c>
      <c r="I660" s="5" t="n">
        <v>4</v>
      </c>
      <c r="J660" s="5" t="inlineStr">
        <is>
          <t>male single</t>
        </is>
      </c>
      <c r="K660" s="5" t="inlineStr">
        <is>
          <t>none</t>
        </is>
      </c>
      <c r="L660" s="5" t="n">
        <v>3</v>
      </c>
      <c r="M660" s="5" t="inlineStr">
        <is>
          <t>car</t>
        </is>
      </c>
      <c r="N660" s="5" t="n">
        <v>35</v>
      </c>
      <c r="O660" s="5" t="inlineStr">
        <is>
          <t>none</t>
        </is>
      </c>
      <c r="P660" s="5" t="inlineStr">
        <is>
          <t>own</t>
        </is>
      </c>
      <c r="Q660" s="5" t="n">
        <v>2</v>
      </c>
      <c r="R660" s="5" t="inlineStr">
        <is>
          <t>skilled</t>
        </is>
      </c>
      <c r="S660" s="5" t="n">
        <v>1</v>
      </c>
      <c r="T660" s="5" t="inlineStr">
        <is>
          <t>yes</t>
        </is>
      </c>
      <c r="U660" s="5" t="inlineStr">
        <is>
          <t>yes</t>
        </is>
      </c>
      <c r="V660" s="5" t="inlineStr">
        <is>
          <t>good</t>
        </is>
      </c>
    </row>
    <row r="661">
      <c r="A661" s="5" t="n">
        <v>656</v>
      </c>
      <c r="B661" s="5" t="inlineStr">
        <is>
          <t>&lt;0</t>
        </is>
      </c>
      <c r="C661" s="5" t="n">
        <v>14</v>
      </c>
      <c r="D661" s="5" t="inlineStr">
        <is>
          <t>existing paid</t>
        </is>
      </c>
      <c r="E661" s="5" t="inlineStr">
        <is>
          <t>new car</t>
        </is>
      </c>
      <c r="F661" s="5" t="n">
        <v>3973</v>
      </c>
      <c r="G661" s="5" t="inlineStr">
        <is>
          <t>&lt;100</t>
        </is>
      </c>
      <c r="H661" s="5" t="inlineStr">
        <is>
          <t>unemployed</t>
        </is>
      </c>
      <c r="I661" s="5" t="n">
        <v>1</v>
      </c>
      <c r="J661" s="5" t="inlineStr">
        <is>
          <t>male single</t>
        </is>
      </c>
      <c r="K661" s="5" t="inlineStr">
        <is>
          <t>none</t>
        </is>
      </c>
      <c r="L661" s="5" t="n">
        <v>4</v>
      </c>
      <c r="M661" s="5" t="inlineStr">
        <is>
          <t>no known property</t>
        </is>
      </c>
      <c r="N661" s="5" t="n">
        <v>22</v>
      </c>
      <c r="O661" s="5" t="inlineStr">
        <is>
          <t>none</t>
        </is>
      </c>
      <c r="P661" s="5" t="inlineStr">
        <is>
          <t>for free</t>
        </is>
      </c>
      <c r="Q661" s="5" t="n">
        <v>1</v>
      </c>
      <c r="R661" s="5" t="inlineStr">
        <is>
          <t>skilled</t>
        </is>
      </c>
      <c r="S661" s="5" t="n">
        <v>1</v>
      </c>
      <c r="T661" s="5" t="inlineStr">
        <is>
          <t>none</t>
        </is>
      </c>
      <c r="U661" s="5" t="inlineStr">
        <is>
          <t>yes</t>
        </is>
      </c>
      <c r="V661" s="5" t="inlineStr">
        <is>
          <t>good</t>
        </is>
      </c>
    </row>
    <row r="662">
      <c r="A662" s="5" t="n">
        <v>657</v>
      </c>
      <c r="B662" s="5" t="inlineStr">
        <is>
          <t>0&lt;=X&lt;200</t>
        </is>
      </c>
      <c r="C662" s="5" t="n">
        <v>12</v>
      </c>
      <c r="D662" s="5" t="inlineStr">
        <is>
          <t>existing paid</t>
        </is>
      </c>
      <c r="E662" s="5" t="inlineStr">
        <is>
          <t>new car</t>
        </is>
      </c>
      <c r="F662" s="5" t="n">
        <v>888</v>
      </c>
      <c r="G662" s="5" t="inlineStr">
        <is>
          <t>&lt;100</t>
        </is>
      </c>
      <c r="H662" s="5" t="inlineStr">
        <is>
          <t>&gt;=7</t>
        </is>
      </c>
      <c r="I662" s="5" t="n">
        <v>4</v>
      </c>
      <c r="J662" s="5" t="inlineStr">
        <is>
          <t>male single</t>
        </is>
      </c>
      <c r="K662" s="5" t="inlineStr">
        <is>
          <t>none</t>
        </is>
      </c>
      <c r="L662" s="5" t="n">
        <v>4</v>
      </c>
      <c r="M662" s="5" t="inlineStr">
        <is>
          <t>car</t>
        </is>
      </c>
      <c r="N662" s="5" t="n">
        <v>41</v>
      </c>
      <c r="O662" s="5" t="inlineStr">
        <is>
          <t>bank</t>
        </is>
      </c>
      <c r="P662" s="5" t="inlineStr">
        <is>
          <t>own</t>
        </is>
      </c>
      <c r="Q662" s="5" t="n">
        <v>1</v>
      </c>
      <c r="R662" s="5" t="inlineStr">
        <is>
          <t>unskilled resident</t>
        </is>
      </c>
      <c r="S662" s="5" t="n">
        <v>2</v>
      </c>
      <c r="T662" s="5" t="inlineStr">
        <is>
          <t>none</t>
        </is>
      </c>
      <c r="U662" s="5" t="inlineStr">
        <is>
          <t>yes</t>
        </is>
      </c>
      <c r="V662" s="5" t="inlineStr">
        <is>
          <t>bad</t>
        </is>
      </c>
    </row>
    <row r="663">
      <c r="A663" s="5" t="n">
        <v>658</v>
      </c>
      <c r="B663" s="5" t="inlineStr">
        <is>
          <t>no checking</t>
        </is>
      </c>
      <c r="C663" s="5" t="n">
        <v>48</v>
      </c>
      <c r="D663" s="5" t="inlineStr">
        <is>
          <t>existing paid</t>
        </is>
      </c>
      <c r="E663" s="5" t="inlineStr">
        <is>
          <t>radio/tv</t>
        </is>
      </c>
      <c r="F663" s="5" t="n">
        <v>10222</v>
      </c>
      <c r="G663" s="5" t="inlineStr">
        <is>
          <t>no known savings</t>
        </is>
      </c>
      <c r="H663" s="5" t="inlineStr">
        <is>
          <t>4&lt;=X&lt;7</t>
        </is>
      </c>
      <c r="I663" s="5" t="n">
        <v>4</v>
      </c>
      <c r="J663" s="5" t="inlineStr">
        <is>
          <t>male single</t>
        </is>
      </c>
      <c r="K663" s="5" t="inlineStr">
        <is>
          <t>none</t>
        </is>
      </c>
      <c r="L663" s="5" t="n">
        <v>3</v>
      </c>
      <c r="M663" s="5" t="inlineStr">
        <is>
          <t>car</t>
        </is>
      </c>
      <c r="N663" s="5" t="n">
        <v>37</v>
      </c>
      <c r="O663" s="5" t="inlineStr">
        <is>
          <t>stores</t>
        </is>
      </c>
      <c r="P663" s="5" t="inlineStr">
        <is>
          <t>own</t>
        </is>
      </c>
      <c r="Q663" s="5" t="n">
        <v>1</v>
      </c>
      <c r="R663" s="5" t="inlineStr">
        <is>
          <t>skilled</t>
        </is>
      </c>
      <c r="S663" s="5" t="n">
        <v>1</v>
      </c>
      <c r="T663" s="5" t="inlineStr">
        <is>
          <t>yes</t>
        </is>
      </c>
      <c r="U663" s="5" t="inlineStr">
        <is>
          <t>yes</t>
        </is>
      </c>
      <c r="V663" s="5" t="inlineStr">
        <is>
          <t>good</t>
        </is>
      </c>
    </row>
    <row r="664">
      <c r="A664" s="5" t="n">
        <v>659</v>
      </c>
      <c r="B664" s="5" t="inlineStr">
        <is>
          <t>0&lt;=X&lt;200</t>
        </is>
      </c>
      <c r="C664" s="5" t="n">
        <v>30</v>
      </c>
      <c r="D664" s="5" t="inlineStr">
        <is>
          <t>no credits/all paid</t>
        </is>
      </c>
      <c r="E664" s="5" t="inlineStr">
        <is>
          <t>business</t>
        </is>
      </c>
      <c r="F664" s="5" t="n">
        <v>4221</v>
      </c>
      <c r="G664" s="5" t="inlineStr">
        <is>
          <t>&lt;100</t>
        </is>
      </c>
      <c r="H664" s="5" t="inlineStr">
        <is>
          <t>1&lt;=X&lt;4</t>
        </is>
      </c>
      <c r="I664" s="5" t="n">
        <v>2</v>
      </c>
      <c r="J664" s="5" t="inlineStr">
        <is>
          <t>female div/dep/mar</t>
        </is>
      </c>
      <c r="K664" s="5" t="inlineStr">
        <is>
          <t>none</t>
        </is>
      </c>
      <c r="L664" s="5" t="n">
        <v>1</v>
      </c>
      <c r="M664" s="5" t="inlineStr">
        <is>
          <t>car</t>
        </is>
      </c>
      <c r="N664" s="5" t="n">
        <v>28</v>
      </c>
      <c r="O664" s="5" t="inlineStr">
        <is>
          <t>none</t>
        </is>
      </c>
      <c r="P664" s="5" t="inlineStr">
        <is>
          <t>own</t>
        </is>
      </c>
      <c r="Q664" s="5" t="n">
        <v>2</v>
      </c>
      <c r="R664" s="5" t="inlineStr">
        <is>
          <t>skilled</t>
        </is>
      </c>
      <c r="S664" s="5" t="n">
        <v>1</v>
      </c>
      <c r="T664" s="5" t="inlineStr">
        <is>
          <t>none</t>
        </is>
      </c>
      <c r="U664" s="5" t="inlineStr">
        <is>
          <t>yes</t>
        </is>
      </c>
      <c r="V664" s="5" t="inlineStr">
        <is>
          <t>good</t>
        </is>
      </c>
    </row>
    <row r="665">
      <c r="A665" s="5" t="n">
        <v>660</v>
      </c>
      <c r="B665" s="5" t="inlineStr">
        <is>
          <t>0&lt;=X&lt;200</t>
        </is>
      </c>
      <c r="C665" s="5" t="n">
        <v>18</v>
      </c>
      <c r="D665" s="5" t="inlineStr">
        <is>
          <t>critical/other existing credit</t>
        </is>
      </c>
      <c r="E665" s="5" t="inlineStr">
        <is>
          <t>furniture/equipment</t>
        </is>
      </c>
      <c r="F665" s="5" t="n">
        <v>6361</v>
      </c>
      <c r="G665" s="5" t="inlineStr">
        <is>
          <t>&lt;100</t>
        </is>
      </c>
      <c r="H665" s="5" t="inlineStr">
        <is>
          <t>&gt;=7</t>
        </is>
      </c>
      <c r="I665" s="5" t="n">
        <v>2</v>
      </c>
      <c r="J665" s="5" t="inlineStr">
        <is>
          <t>male single</t>
        </is>
      </c>
      <c r="K665" s="5" t="inlineStr">
        <is>
          <t>none</t>
        </is>
      </c>
      <c r="L665" s="5" t="n">
        <v>1</v>
      </c>
      <c r="M665" s="5" t="inlineStr">
        <is>
          <t>no known property</t>
        </is>
      </c>
      <c r="N665" s="5" t="n">
        <v>41</v>
      </c>
      <c r="O665" s="5" t="inlineStr">
        <is>
          <t>none</t>
        </is>
      </c>
      <c r="P665" s="5" t="inlineStr">
        <is>
          <t>own</t>
        </is>
      </c>
      <c r="Q665" s="5" t="n">
        <v>1</v>
      </c>
      <c r="R665" s="5" t="inlineStr">
        <is>
          <t>skilled</t>
        </is>
      </c>
      <c r="S665" s="5" t="n">
        <v>1</v>
      </c>
      <c r="T665" s="5" t="inlineStr">
        <is>
          <t>yes</t>
        </is>
      </c>
      <c r="U665" s="5" t="inlineStr">
        <is>
          <t>yes</t>
        </is>
      </c>
      <c r="V665" s="5" t="inlineStr">
        <is>
          <t>good</t>
        </is>
      </c>
    </row>
    <row r="666">
      <c r="A666" s="5" t="n">
        <v>661</v>
      </c>
      <c r="B666" s="5" t="inlineStr">
        <is>
          <t>&gt;=200</t>
        </is>
      </c>
      <c r="C666" s="5" t="n">
        <v>12</v>
      </c>
      <c r="D666" s="5" t="inlineStr">
        <is>
          <t>existing paid</t>
        </is>
      </c>
      <c r="E666" s="5" t="inlineStr">
        <is>
          <t>radio/tv</t>
        </is>
      </c>
      <c r="F666" s="5" t="n">
        <v>1297</v>
      </c>
      <c r="G666" s="5" t="inlineStr">
        <is>
          <t>&lt;100</t>
        </is>
      </c>
      <c r="H666" s="5" t="inlineStr">
        <is>
          <t>1&lt;=X&lt;4</t>
        </is>
      </c>
      <c r="I666" s="5" t="n">
        <v>3</v>
      </c>
      <c r="J666" s="5" t="inlineStr">
        <is>
          <t>male mar/wid</t>
        </is>
      </c>
      <c r="K666" s="5" t="inlineStr">
        <is>
          <t>none</t>
        </is>
      </c>
      <c r="L666" s="5" t="n">
        <v>4</v>
      </c>
      <c r="M666" s="5" t="inlineStr">
        <is>
          <t>real estate</t>
        </is>
      </c>
      <c r="N666" s="5" t="n">
        <v>23</v>
      </c>
      <c r="O666" s="5" t="inlineStr">
        <is>
          <t>none</t>
        </is>
      </c>
      <c r="P666" s="5" t="inlineStr">
        <is>
          <t>rent</t>
        </is>
      </c>
      <c r="Q666" s="5" t="n">
        <v>1</v>
      </c>
      <c r="R666" s="5" t="inlineStr">
        <is>
          <t>skilled</t>
        </is>
      </c>
      <c r="S666" s="5" t="n">
        <v>1</v>
      </c>
      <c r="T666" s="5" t="inlineStr">
        <is>
          <t>none</t>
        </is>
      </c>
      <c r="U666" s="5" t="inlineStr">
        <is>
          <t>yes</t>
        </is>
      </c>
      <c r="V666" s="5" t="inlineStr">
        <is>
          <t>good</t>
        </is>
      </c>
    </row>
    <row r="667">
      <c r="A667" s="5" t="n">
        <v>662</v>
      </c>
      <c r="B667" s="5" t="inlineStr">
        <is>
          <t>&lt;0</t>
        </is>
      </c>
      <c r="C667" s="5" t="n">
        <v>12</v>
      </c>
      <c r="D667" s="5" t="inlineStr">
        <is>
          <t>existing paid</t>
        </is>
      </c>
      <c r="E667" s="5" t="inlineStr">
        <is>
          <t>new car</t>
        </is>
      </c>
      <c r="F667" s="5" t="n">
        <v>900</v>
      </c>
      <c r="G667" s="5" t="inlineStr">
        <is>
          <t>no known savings</t>
        </is>
      </c>
      <c r="H667" s="5" t="inlineStr">
        <is>
          <t>1&lt;=X&lt;4</t>
        </is>
      </c>
      <c r="I667" s="5" t="n">
        <v>4</v>
      </c>
      <c r="J667" s="5" t="inlineStr">
        <is>
          <t>male mar/wid</t>
        </is>
      </c>
      <c r="K667" s="5" t="inlineStr">
        <is>
          <t>none</t>
        </is>
      </c>
      <c r="L667" s="5" t="n">
        <v>2</v>
      </c>
      <c r="M667" s="5" t="inlineStr">
        <is>
          <t>car</t>
        </is>
      </c>
      <c r="N667" s="5" t="n">
        <v>23</v>
      </c>
      <c r="O667" s="5" t="inlineStr">
        <is>
          <t>none</t>
        </is>
      </c>
      <c r="P667" s="5" t="inlineStr">
        <is>
          <t>own</t>
        </is>
      </c>
      <c r="Q667" s="5" t="n">
        <v>1</v>
      </c>
      <c r="R667" s="5" t="inlineStr">
        <is>
          <t>skilled</t>
        </is>
      </c>
      <c r="S667" s="5" t="n">
        <v>1</v>
      </c>
      <c r="T667" s="5" t="inlineStr">
        <is>
          <t>none</t>
        </is>
      </c>
      <c r="U667" s="5" t="inlineStr">
        <is>
          <t>yes</t>
        </is>
      </c>
      <c r="V667" s="5" t="inlineStr">
        <is>
          <t>bad</t>
        </is>
      </c>
    </row>
    <row r="668">
      <c r="A668" s="5" t="n">
        <v>663</v>
      </c>
      <c r="B668" s="5" t="inlineStr">
        <is>
          <t>no checking</t>
        </is>
      </c>
      <c r="C668" s="5" t="n">
        <v>21</v>
      </c>
      <c r="D668" s="5" t="inlineStr">
        <is>
          <t>existing paid</t>
        </is>
      </c>
      <c r="E668" s="5" t="inlineStr">
        <is>
          <t>furniture/equipment</t>
        </is>
      </c>
      <c r="F668" s="5" t="n">
        <v>2241</v>
      </c>
      <c r="G668" s="5" t="inlineStr">
        <is>
          <t>&lt;100</t>
        </is>
      </c>
      <c r="H668" s="5" t="inlineStr">
        <is>
          <t>&gt;=7</t>
        </is>
      </c>
      <c r="I668" s="5" t="n">
        <v>4</v>
      </c>
      <c r="J668" s="5" t="inlineStr">
        <is>
          <t>male single</t>
        </is>
      </c>
      <c r="K668" s="5" t="inlineStr">
        <is>
          <t>none</t>
        </is>
      </c>
      <c r="L668" s="5" t="n">
        <v>2</v>
      </c>
      <c r="M668" s="5" t="inlineStr">
        <is>
          <t>real estate</t>
        </is>
      </c>
      <c r="N668" s="5" t="n">
        <v>50</v>
      </c>
      <c r="O668" s="5" t="inlineStr">
        <is>
          <t>none</t>
        </is>
      </c>
      <c r="P668" s="5" t="inlineStr">
        <is>
          <t>own</t>
        </is>
      </c>
      <c r="Q668" s="5" t="n">
        <v>2</v>
      </c>
      <c r="R668" s="5" t="inlineStr">
        <is>
          <t>skilled</t>
        </is>
      </c>
      <c r="S668" s="5" t="n">
        <v>1</v>
      </c>
      <c r="T668" s="5" t="inlineStr">
        <is>
          <t>none</t>
        </is>
      </c>
      <c r="U668" s="5" t="inlineStr">
        <is>
          <t>yes</t>
        </is>
      </c>
      <c r="V668" s="5" t="inlineStr">
        <is>
          <t>good</t>
        </is>
      </c>
    </row>
    <row r="669">
      <c r="A669" s="5" t="n">
        <v>664</v>
      </c>
      <c r="B669" s="5" t="inlineStr">
        <is>
          <t>0&lt;=X&lt;200</t>
        </is>
      </c>
      <c r="C669" s="5" t="n">
        <v>6</v>
      </c>
      <c r="D669" s="5" t="inlineStr">
        <is>
          <t>delayed previously</t>
        </is>
      </c>
      <c r="E669" s="5" t="inlineStr">
        <is>
          <t>furniture/equipment</t>
        </is>
      </c>
      <c r="F669" s="5" t="n">
        <v>1050</v>
      </c>
      <c r="G669" s="5" t="inlineStr">
        <is>
          <t>&lt;100</t>
        </is>
      </c>
      <c r="H669" s="5" t="inlineStr">
        <is>
          <t>unemployed</t>
        </is>
      </c>
      <c r="I669" s="5" t="n">
        <v>4</v>
      </c>
      <c r="J669" s="5" t="inlineStr">
        <is>
          <t>male single</t>
        </is>
      </c>
      <c r="K669" s="5" t="inlineStr">
        <is>
          <t>none</t>
        </is>
      </c>
      <c r="L669" s="5" t="n">
        <v>1</v>
      </c>
      <c r="M669" s="5" t="inlineStr">
        <is>
          <t>life insurance</t>
        </is>
      </c>
      <c r="N669" s="5" t="n">
        <v>35</v>
      </c>
      <c r="O669" s="5" t="inlineStr">
        <is>
          <t>stores</t>
        </is>
      </c>
      <c r="P669" s="5" t="inlineStr">
        <is>
          <t>own</t>
        </is>
      </c>
      <c r="Q669" s="5" t="n">
        <v>2</v>
      </c>
      <c r="R669" s="5" t="inlineStr">
        <is>
          <t>high qualif/self emp/mgmt</t>
        </is>
      </c>
      <c r="S669" s="5" t="n">
        <v>1</v>
      </c>
      <c r="T669" s="5" t="inlineStr">
        <is>
          <t>yes</t>
        </is>
      </c>
      <c r="U669" s="5" t="inlineStr">
        <is>
          <t>yes</t>
        </is>
      </c>
      <c r="V669" s="5" t="inlineStr">
        <is>
          <t>good</t>
        </is>
      </c>
    </row>
    <row r="670">
      <c r="A670" s="5" t="n">
        <v>665</v>
      </c>
      <c r="B670" s="5" t="inlineStr">
        <is>
          <t>&gt;=200</t>
        </is>
      </c>
      <c r="C670" s="5" t="n">
        <v>6</v>
      </c>
      <c r="D670" s="5" t="inlineStr">
        <is>
          <t>critical/other existing credit</t>
        </is>
      </c>
      <c r="E670" s="5" t="inlineStr">
        <is>
          <t>education</t>
        </is>
      </c>
      <c r="F670" s="5" t="n">
        <v>1047</v>
      </c>
      <c r="G670" s="5" t="inlineStr">
        <is>
          <t>&lt;100</t>
        </is>
      </c>
      <c r="H670" s="5" t="inlineStr">
        <is>
          <t>1&lt;=X&lt;4</t>
        </is>
      </c>
      <c r="I670" s="5" t="n">
        <v>2</v>
      </c>
      <c r="J670" s="5" t="inlineStr">
        <is>
          <t>female div/dep/mar</t>
        </is>
      </c>
      <c r="K670" s="5" t="inlineStr">
        <is>
          <t>none</t>
        </is>
      </c>
      <c r="L670" s="5" t="n">
        <v>4</v>
      </c>
      <c r="M670" s="5" t="inlineStr">
        <is>
          <t>life insurance</t>
        </is>
      </c>
      <c r="N670" s="5" t="n">
        <v>50</v>
      </c>
      <c r="O670" s="5" t="inlineStr">
        <is>
          <t>none</t>
        </is>
      </c>
      <c r="P670" s="5" t="inlineStr">
        <is>
          <t>own</t>
        </is>
      </c>
      <c r="Q670" s="5" t="n">
        <v>1</v>
      </c>
      <c r="R670" s="5" t="inlineStr">
        <is>
          <t>unskilled resident</t>
        </is>
      </c>
      <c r="S670" s="5" t="n">
        <v>1</v>
      </c>
      <c r="T670" s="5" t="inlineStr">
        <is>
          <t>none</t>
        </is>
      </c>
      <c r="U670" s="5" t="inlineStr">
        <is>
          <t>yes</t>
        </is>
      </c>
      <c r="V670" s="5" t="inlineStr">
        <is>
          <t>good</t>
        </is>
      </c>
    </row>
    <row r="671">
      <c r="A671" s="5" t="n">
        <v>666</v>
      </c>
      <c r="B671" s="5" t="inlineStr">
        <is>
          <t>no checking</t>
        </is>
      </c>
      <c r="C671" s="5" t="n">
        <v>24</v>
      </c>
      <c r="D671" s="5" t="inlineStr">
        <is>
          <t>critical/other existing credit</t>
        </is>
      </c>
      <c r="E671" s="5" t="inlineStr">
        <is>
          <t>other</t>
        </is>
      </c>
      <c r="F671" s="5" t="n">
        <v>6314</v>
      </c>
      <c r="G671" s="5" t="inlineStr">
        <is>
          <t>&lt;100</t>
        </is>
      </c>
      <c r="H671" s="5" t="inlineStr">
        <is>
          <t>unemployed</t>
        </is>
      </c>
      <c r="I671" s="5" t="n">
        <v>4</v>
      </c>
      <c r="J671" s="5" t="inlineStr">
        <is>
          <t>male single</t>
        </is>
      </c>
      <c r="K671" s="5" t="inlineStr">
        <is>
          <t>co applicant</t>
        </is>
      </c>
      <c r="L671" s="5" t="n">
        <v>2</v>
      </c>
      <c r="M671" s="5" t="inlineStr">
        <is>
          <t>no known property</t>
        </is>
      </c>
      <c r="N671" s="5" t="n">
        <v>27</v>
      </c>
      <c r="O671" s="5" t="inlineStr">
        <is>
          <t>bank</t>
        </is>
      </c>
      <c r="P671" s="5" t="inlineStr">
        <is>
          <t>own</t>
        </is>
      </c>
      <c r="Q671" s="5" t="n">
        <v>2</v>
      </c>
      <c r="R671" s="5" t="inlineStr">
        <is>
          <t>high qualif/self emp/mgmt</t>
        </is>
      </c>
      <c r="S671" s="5" t="n">
        <v>1</v>
      </c>
      <c r="T671" s="5" t="inlineStr">
        <is>
          <t>yes</t>
        </is>
      </c>
      <c r="U671" s="5" t="inlineStr">
        <is>
          <t>yes</t>
        </is>
      </c>
      <c r="V671" s="5" t="inlineStr">
        <is>
          <t>good</t>
        </is>
      </c>
    </row>
    <row r="672">
      <c r="A672" s="5" t="n">
        <v>667</v>
      </c>
      <c r="B672" s="5" t="inlineStr">
        <is>
          <t>0&lt;=X&lt;200</t>
        </is>
      </c>
      <c r="C672" s="5" t="n">
        <v>30</v>
      </c>
      <c r="D672" s="5" t="inlineStr">
        <is>
          <t>all paid</t>
        </is>
      </c>
      <c r="E672" s="5" t="inlineStr">
        <is>
          <t>furniture/equipment</t>
        </is>
      </c>
      <c r="F672" s="5" t="n">
        <v>3496</v>
      </c>
      <c r="G672" s="5" t="inlineStr">
        <is>
          <t>&gt;=1000</t>
        </is>
      </c>
      <c r="H672" s="5" t="inlineStr">
        <is>
          <t>1&lt;=X&lt;4</t>
        </is>
      </c>
      <c r="I672" s="5" t="n">
        <v>4</v>
      </c>
      <c r="J672" s="5" t="inlineStr">
        <is>
          <t>male single</t>
        </is>
      </c>
      <c r="K672" s="5" t="inlineStr">
        <is>
          <t>none</t>
        </is>
      </c>
      <c r="L672" s="5" t="n">
        <v>2</v>
      </c>
      <c r="M672" s="5" t="inlineStr">
        <is>
          <t>car</t>
        </is>
      </c>
      <c r="N672" s="5" t="n">
        <v>34</v>
      </c>
      <c r="O672" s="5" t="inlineStr">
        <is>
          <t>stores</t>
        </is>
      </c>
      <c r="P672" s="5" t="inlineStr">
        <is>
          <t>own</t>
        </is>
      </c>
      <c r="Q672" s="5" t="n">
        <v>1</v>
      </c>
      <c r="R672" s="5" t="inlineStr">
        <is>
          <t>skilled</t>
        </is>
      </c>
      <c r="S672" s="5" t="n">
        <v>2</v>
      </c>
      <c r="T672" s="5" t="inlineStr">
        <is>
          <t>yes</t>
        </is>
      </c>
      <c r="U672" s="5" t="inlineStr">
        <is>
          <t>yes</t>
        </is>
      </c>
      <c r="V672" s="5" t="inlineStr">
        <is>
          <t>good</t>
        </is>
      </c>
    </row>
    <row r="673">
      <c r="A673" s="5" t="n">
        <v>668</v>
      </c>
      <c r="B673" s="5" t="inlineStr">
        <is>
          <t>no checking</t>
        </is>
      </c>
      <c r="C673" s="5" t="n">
        <v>48</v>
      </c>
      <c r="D673" s="5" t="inlineStr">
        <is>
          <t>all paid</t>
        </is>
      </c>
      <c r="E673" s="5" t="inlineStr">
        <is>
          <t>business</t>
        </is>
      </c>
      <c r="F673" s="5" t="n">
        <v>3609</v>
      </c>
      <c r="G673" s="5" t="inlineStr">
        <is>
          <t>&lt;100</t>
        </is>
      </c>
      <c r="H673" s="5" t="inlineStr">
        <is>
          <t>1&lt;=X&lt;4</t>
        </is>
      </c>
      <c r="I673" s="5" t="n">
        <v>1</v>
      </c>
      <c r="J673" s="5" t="inlineStr">
        <is>
          <t>female div/dep/mar</t>
        </is>
      </c>
      <c r="K673" s="5" t="inlineStr">
        <is>
          <t>none</t>
        </is>
      </c>
      <c r="L673" s="5" t="n">
        <v>1</v>
      </c>
      <c r="M673" s="5" t="inlineStr">
        <is>
          <t>real estate</t>
        </is>
      </c>
      <c r="N673" s="5" t="n">
        <v>27</v>
      </c>
      <c r="O673" s="5" t="inlineStr">
        <is>
          <t>stores</t>
        </is>
      </c>
      <c r="P673" s="5" t="inlineStr">
        <is>
          <t>own</t>
        </is>
      </c>
      <c r="Q673" s="5" t="n">
        <v>1</v>
      </c>
      <c r="R673" s="5" t="inlineStr">
        <is>
          <t>skilled</t>
        </is>
      </c>
      <c r="S673" s="5" t="n">
        <v>1</v>
      </c>
      <c r="T673" s="5" t="inlineStr">
        <is>
          <t>none</t>
        </is>
      </c>
      <c r="U673" s="5" t="inlineStr">
        <is>
          <t>yes</t>
        </is>
      </c>
      <c r="V673" s="5" t="inlineStr">
        <is>
          <t>good</t>
        </is>
      </c>
    </row>
    <row r="674">
      <c r="A674" s="5" t="n">
        <v>669</v>
      </c>
      <c r="B674" s="5" t="inlineStr">
        <is>
          <t>&lt;0</t>
        </is>
      </c>
      <c r="C674" s="5" t="n">
        <v>12</v>
      </c>
      <c r="D674" s="5" t="inlineStr">
        <is>
          <t>critical/other existing credit</t>
        </is>
      </c>
      <c r="E674" s="5" t="inlineStr">
        <is>
          <t>new car</t>
        </is>
      </c>
      <c r="F674" s="5" t="n">
        <v>4843</v>
      </c>
      <c r="G674" s="5" t="inlineStr">
        <is>
          <t>&lt;100</t>
        </is>
      </c>
      <c r="H674" s="5" t="inlineStr">
        <is>
          <t>&gt;=7</t>
        </is>
      </c>
      <c r="I674" s="5" t="n">
        <v>3</v>
      </c>
      <c r="J674" s="5" t="inlineStr">
        <is>
          <t>male single</t>
        </is>
      </c>
      <c r="K674" s="5" t="inlineStr">
        <is>
          <t>co applicant</t>
        </is>
      </c>
      <c r="L674" s="5" t="n">
        <v>4</v>
      </c>
      <c r="M674" s="5" t="inlineStr">
        <is>
          <t>life insurance</t>
        </is>
      </c>
      <c r="N674" s="5" t="n">
        <v>43</v>
      </c>
      <c r="O674" s="5" t="inlineStr">
        <is>
          <t>none</t>
        </is>
      </c>
      <c r="P674" s="5" t="inlineStr">
        <is>
          <t>rent</t>
        </is>
      </c>
      <c r="Q674" s="5" t="n">
        <v>2</v>
      </c>
      <c r="R674" s="5" t="inlineStr">
        <is>
          <t>skilled</t>
        </is>
      </c>
      <c r="S674" s="5" t="n">
        <v>1</v>
      </c>
      <c r="T674" s="5" t="inlineStr">
        <is>
          <t>yes</t>
        </is>
      </c>
      <c r="U674" s="5" t="inlineStr">
        <is>
          <t>yes</t>
        </is>
      </c>
      <c r="V674" s="5" t="inlineStr">
        <is>
          <t>bad</t>
        </is>
      </c>
    </row>
    <row r="675">
      <c r="A675" s="5" t="n">
        <v>670</v>
      </c>
      <c r="B675" s="5" t="inlineStr">
        <is>
          <t>&gt;=200</t>
        </is>
      </c>
      <c r="C675" s="5" t="n">
        <v>30</v>
      </c>
      <c r="D675" s="5" t="inlineStr">
        <is>
          <t>critical/other existing credit</t>
        </is>
      </c>
      <c r="E675" s="5" t="inlineStr">
        <is>
          <t>radio/tv</t>
        </is>
      </c>
      <c r="F675" s="5" t="n">
        <v>3017</v>
      </c>
      <c r="G675" s="5" t="inlineStr">
        <is>
          <t>&lt;100</t>
        </is>
      </c>
      <c r="H675" s="5" t="inlineStr">
        <is>
          <t>&gt;=7</t>
        </is>
      </c>
      <c r="I675" s="5" t="n">
        <v>4</v>
      </c>
      <c r="J675" s="5" t="inlineStr">
        <is>
          <t>male single</t>
        </is>
      </c>
      <c r="K675" s="5" t="inlineStr">
        <is>
          <t>none</t>
        </is>
      </c>
      <c r="L675" s="5" t="n">
        <v>4</v>
      </c>
      <c r="M675" s="5" t="inlineStr">
        <is>
          <t>life insurance</t>
        </is>
      </c>
      <c r="N675" s="5" t="n">
        <v>47</v>
      </c>
      <c r="O675" s="5" t="inlineStr">
        <is>
          <t>none</t>
        </is>
      </c>
      <c r="P675" s="5" t="inlineStr">
        <is>
          <t>own</t>
        </is>
      </c>
      <c r="Q675" s="5" t="n">
        <v>1</v>
      </c>
      <c r="R675" s="5" t="inlineStr">
        <is>
          <t>skilled</t>
        </is>
      </c>
      <c r="S675" s="5" t="n">
        <v>1</v>
      </c>
      <c r="T675" s="5" t="inlineStr">
        <is>
          <t>none</t>
        </is>
      </c>
      <c r="U675" s="5" t="inlineStr">
        <is>
          <t>yes</t>
        </is>
      </c>
      <c r="V675" s="5" t="inlineStr">
        <is>
          <t>good</t>
        </is>
      </c>
    </row>
    <row r="676">
      <c r="A676" s="5" t="n">
        <v>671</v>
      </c>
      <c r="B676" s="5" t="inlineStr">
        <is>
          <t>no checking</t>
        </is>
      </c>
      <c r="C676" s="5" t="n">
        <v>24</v>
      </c>
      <c r="D676" s="5" t="inlineStr">
        <is>
          <t>critical/other existing credit</t>
        </is>
      </c>
      <c r="E676" s="5" t="inlineStr">
        <is>
          <t>business</t>
        </is>
      </c>
      <c r="F676" s="5" t="n">
        <v>4139</v>
      </c>
      <c r="G676" s="5" t="inlineStr">
        <is>
          <t>100&lt;=X&lt;500</t>
        </is>
      </c>
      <c r="H676" s="5" t="inlineStr">
        <is>
          <t>1&lt;=X&lt;4</t>
        </is>
      </c>
      <c r="I676" s="5" t="n">
        <v>3</v>
      </c>
      <c r="J676" s="5" t="inlineStr">
        <is>
          <t>male single</t>
        </is>
      </c>
      <c r="K676" s="5" t="inlineStr">
        <is>
          <t>none</t>
        </is>
      </c>
      <c r="L676" s="5" t="n">
        <v>3</v>
      </c>
      <c r="M676" s="5" t="inlineStr">
        <is>
          <t>life insurance</t>
        </is>
      </c>
      <c r="N676" s="5" t="n">
        <v>27</v>
      </c>
      <c r="O676" s="5" t="inlineStr">
        <is>
          <t>none</t>
        </is>
      </c>
      <c r="P676" s="5" t="inlineStr">
        <is>
          <t>own</t>
        </is>
      </c>
      <c r="Q676" s="5" t="n">
        <v>2</v>
      </c>
      <c r="R676" s="5" t="inlineStr">
        <is>
          <t>unskilled resident</t>
        </is>
      </c>
      <c r="S676" s="5" t="n">
        <v>1</v>
      </c>
      <c r="T676" s="5" t="inlineStr">
        <is>
          <t>yes</t>
        </is>
      </c>
      <c r="U676" s="5" t="inlineStr">
        <is>
          <t>yes</t>
        </is>
      </c>
      <c r="V676" s="5" t="inlineStr">
        <is>
          <t>good</t>
        </is>
      </c>
    </row>
    <row r="677">
      <c r="A677" s="5" t="n">
        <v>672</v>
      </c>
      <c r="B677" s="5" t="inlineStr">
        <is>
          <t>no checking</t>
        </is>
      </c>
      <c r="C677" s="5" t="n">
        <v>36</v>
      </c>
      <c r="D677" s="5" t="inlineStr">
        <is>
          <t>existing paid</t>
        </is>
      </c>
      <c r="E677" s="5" t="inlineStr">
        <is>
          <t>business</t>
        </is>
      </c>
      <c r="F677" s="5" t="n">
        <v>5742</v>
      </c>
      <c r="G677" s="5" t="inlineStr">
        <is>
          <t>100&lt;=X&lt;500</t>
        </is>
      </c>
      <c r="H677" s="5" t="inlineStr">
        <is>
          <t>4&lt;=X&lt;7</t>
        </is>
      </c>
      <c r="I677" s="5" t="n">
        <v>2</v>
      </c>
      <c r="J677" s="5" t="inlineStr">
        <is>
          <t>male single</t>
        </is>
      </c>
      <c r="K677" s="5" t="inlineStr">
        <is>
          <t>none</t>
        </is>
      </c>
      <c r="L677" s="5" t="n">
        <v>2</v>
      </c>
      <c r="M677" s="5" t="inlineStr">
        <is>
          <t>car</t>
        </is>
      </c>
      <c r="N677" s="5" t="n">
        <v>31</v>
      </c>
      <c r="O677" s="5" t="inlineStr">
        <is>
          <t>none</t>
        </is>
      </c>
      <c r="P677" s="5" t="inlineStr">
        <is>
          <t>own</t>
        </is>
      </c>
      <c r="Q677" s="5" t="n">
        <v>2</v>
      </c>
      <c r="R677" s="5" t="inlineStr">
        <is>
          <t>skilled</t>
        </is>
      </c>
      <c r="S677" s="5" t="n">
        <v>1</v>
      </c>
      <c r="T677" s="5" t="inlineStr">
        <is>
          <t>yes</t>
        </is>
      </c>
      <c r="U677" s="5" t="inlineStr">
        <is>
          <t>yes</t>
        </is>
      </c>
      <c r="V677" s="5" t="inlineStr">
        <is>
          <t>good</t>
        </is>
      </c>
    </row>
    <row r="678">
      <c r="A678" s="5" t="n">
        <v>673</v>
      </c>
      <c r="B678" s="5" t="inlineStr">
        <is>
          <t>no checking</t>
        </is>
      </c>
      <c r="C678" s="5" t="n">
        <v>60</v>
      </c>
      <c r="D678" s="5" t="inlineStr">
        <is>
          <t>existing paid</t>
        </is>
      </c>
      <c r="E678" s="5" t="inlineStr">
        <is>
          <t>new car</t>
        </is>
      </c>
      <c r="F678" s="5" t="n">
        <v>10366</v>
      </c>
      <c r="G678" s="5" t="inlineStr">
        <is>
          <t>&lt;100</t>
        </is>
      </c>
      <c r="H678" s="5" t="inlineStr">
        <is>
          <t>&gt;=7</t>
        </is>
      </c>
      <c r="I678" s="5" t="n">
        <v>2</v>
      </c>
      <c r="J678" s="5" t="inlineStr">
        <is>
          <t>male single</t>
        </is>
      </c>
      <c r="K678" s="5" t="inlineStr">
        <is>
          <t>none</t>
        </is>
      </c>
      <c r="L678" s="5" t="n">
        <v>4</v>
      </c>
      <c r="M678" s="5" t="inlineStr">
        <is>
          <t>life insurance</t>
        </is>
      </c>
      <c r="N678" s="5" t="n">
        <v>42</v>
      </c>
      <c r="O678" s="5" t="inlineStr">
        <is>
          <t>none</t>
        </is>
      </c>
      <c r="P678" s="5" t="inlineStr">
        <is>
          <t>own</t>
        </is>
      </c>
      <c r="Q678" s="5" t="n">
        <v>1</v>
      </c>
      <c r="R678" s="5" t="inlineStr">
        <is>
          <t>high qualif/self emp/mgmt</t>
        </is>
      </c>
      <c r="S678" s="5" t="n">
        <v>1</v>
      </c>
      <c r="T678" s="5" t="inlineStr">
        <is>
          <t>yes</t>
        </is>
      </c>
      <c r="U678" s="5" t="inlineStr">
        <is>
          <t>yes</t>
        </is>
      </c>
      <c r="V678" s="5" t="inlineStr">
        <is>
          <t>good</t>
        </is>
      </c>
    </row>
    <row r="679">
      <c r="A679" s="5" t="n">
        <v>674</v>
      </c>
      <c r="B679" s="5" t="inlineStr">
        <is>
          <t>no checking</t>
        </is>
      </c>
      <c r="C679" s="5" t="n">
        <v>6</v>
      </c>
      <c r="D679" s="5" t="inlineStr">
        <is>
          <t>critical/other existing credit</t>
        </is>
      </c>
      <c r="E679" s="5" t="inlineStr">
        <is>
          <t>new car</t>
        </is>
      </c>
      <c r="F679" s="5" t="n">
        <v>2080</v>
      </c>
      <c r="G679" s="5" t="inlineStr">
        <is>
          <t>500&lt;=X&lt;1000</t>
        </is>
      </c>
      <c r="H679" s="5" t="inlineStr">
        <is>
          <t>1&lt;=X&lt;4</t>
        </is>
      </c>
      <c r="I679" s="5" t="n">
        <v>1</v>
      </c>
      <c r="J679" s="5" t="inlineStr">
        <is>
          <t>male mar/wid</t>
        </is>
      </c>
      <c r="K679" s="5" t="inlineStr">
        <is>
          <t>none</t>
        </is>
      </c>
      <c r="L679" s="5" t="n">
        <v>2</v>
      </c>
      <c r="M679" s="5" t="inlineStr">
        <is>
          <t>car</t>
        </is>
      </c>
      <c r="N679" s="5" t="n">
        <v>24</v>
      </c>
      <c r="O679" s="5" t="inlineStr">
        <is>
          <t>none</t>
        </is>
      </c>
      <c r="P679" s="5" t="inlineStr">
        <is>
          <t>own</t>
        </is>
      </c>
      <c r="Q679" s="5" t="n">
        <v>1</v>
      </c>
      <c r="R679" s="5" t="inlineStr">
        <is>
          <t>skilled</t>
        </is>
      </c>
      <c r="S679" s="5" t="n">
        <v>1</v>
      </c>
      <c r="T679" s="5" t="inlineStr">
        <is>
          <t>none</t>
        </is>
      </c>
      <c r="U679" s="5" t="inlineStr">
        <is>
          <t>yes</t>
        </is>
      </c>
      <c r="V679" s="5" t="inlineStr">
        <is>
          <t>good</t>
        </is>
      </c>
    </row>
    <row r="680">
      <c r="A680" s="5" t="n">
        <v>675</v>
      </c>
      <c r="B680" s="5" t="inlineStr">
        <is>
          <t>no checking</t>
        </is>
      </c>
      <c r="C680" s="5" t="n">
        <v>21</v>
      </c>
      <c r="D680" s="5" t="inlineStr">
        <is>
          <t>delayed previously</t>
        </is>
      </c>
      <c r="E680" s="5" t="inlineStr">
        <is>
          <t>business</t>
        </is>
      </c>
      <c r="F680" s="5" t="n">
        <v>2580</v>
      </c>
      <c r="G680" s="5" t="inlineStr">
        <is>
          <t>500&lt;=X&lt;1000</t>
        </is>
      </c>
      <c r="H680" s="5" t="inlineStr">
        <is>
          <t>&lt;1</t>
        </is>
      </c>
      <c r="I680" s="5" t="n">
        <v>4</v>
      </c>
      <c r="J680" s="5" t="inlineStr">
        <is>
          <t>male single</t>
        </is>
      </c>
      <c r="K680" s="5" t="inlineStr">
        <is>
          <t>none</t>
        </is>
      </c>
      <c r="L680" s="5" t="n">
        <v>2</v>
      </c>
      <c r="M680" s="5" t="inlineStr">
        <is>
          <t>real estate</t>
        </is>
      </c>
      <c r="N680" s="5" t="n">
        <v>41</v>
      </c>
      <c r="O680" s="5" t="inlineStr">
        <is>
          <t>bank</t>
        </is>
      </c>
      <c r="P680" s="5" t="inlineStr">
        <is>
          <t>own</t>
        </is>
      </c>
      <c r="Q680" s="5" t="n">
        <v>1</v>
      </c>
      <c r="R680" s="5" t="inlineStr">
        <is>
          <t>unskilled resident</t>
        </is>
      </c>
      <c r="S680" s="5" t="n">
        <v>2</v>
      </c>
      <c r="T680" s="5" t="inlineStr">
        <is>
          <t>none</t>
        </is>
      </c>
      <c r="U680" s="5" t="inlineStr">
        <is>
          <t>yes</t>
        </is>
      </c>
      <c r="V680" s="5" t="inlineStr">
        <is>
          <t>bad</t>
        </is>
      </c>
    </row>
    <row r="681">
      <c r="A681" s="5" t="n">
        <v>676</v>
      </c>
      <c r="B681" s="5" t="inlineStr">
        <is>
          <t>no checking</t>
        </is>
      </c>
      <c r="C681" s="5" t="n">
        <v>30</v>
      </c>
      <c r="D681" s="5" t="inlineStr">
        <is>
          <t>critical/other existing credit</t>
        </is>
      </c>
      <c r="E681" s="5" t="inlineStr">
        <is>
          <t>radio/tv</t>
        </is>
      </c>
      <c r="F681" s="5" t="n">
        <v>4530</v>
      </c>
      <c r="G681" s="5" t="inlineStr">
        <is>
          <t>&lt;100</t>
        </is>
      </c>
      <c r="H681" s="5" t="inlineStr">
        <is>
          <t>4&lt;=X&lt;7</t>
        </is>
      </c>
      <c r="I681" s="5" t="n">
        <v>4</v>
      </c>
      <c r="J681" s="5" t="inlineStr">
        <is>
          <t>female div/dep/mar</t>
        </is>
      </c>
      <c r="K681" s="5" t="inlineStr">
        <is>
          <t>none</t>
        </is>
      </c>
      <c r="L681" s="5" t="n">
        <v>4</v>
      </c>
      <c r="M681" s="5" t="inlineStr">
        <is>
          <t>car</t>
        </is>
      </c>
      <c r="N681" s="5" t="n">
        <v>26</v>
      </c>
      <c r="O681" s="5" t="inlineStr">
        <is>
          <t>none</t>
        </is>
      </c>
      <c r="P681" s="5" t="inlineStr">
        <is>
          <t>rent</t>
        </is>
      </c>
      <c r="Q681" s="5" t="n">
        <v>1</v>
      </c>
      <c r="R681" s="5" t="inlineStr">
        <is>
          <t>high qualif/self emp/mgmt</t>
        </is>
      </c>
      <c r="S681" s="5" t="n">
        <v>1</v>
      </c>
      <c r="T681" s="5" t="inlineStr">
        <is>
          <t>yes</t>
        </is>
      </c>
      <c r="U681" s="5" t="inlineStr">
        <is>
          <t>yes</t>
        </is>
      </c>
      <c r="V681" s="5" t="inlineStr">
        <is>
          <t>good</t>
        </is>
      </c>
    </row>
    <row r="682">
      <c r="A682" s="5" t="n">
        <v>677</v>
      </c>
      <c r="B682" s="5" t="inlineStr">
        <is>
          <t>no checking</t>
        </is>
      </c>
      <c r="C682" s="5" t="n">
        <v>24</v>
      </c>
      <c r="D682" s="5" t="inlineStr">
        <is>
          <t>critical/other existing credit</t>
        </is>
      </c>
      <c r="E682" s="5" t="inlineStr">
        <is>
          <t>furniture/equipment</t>
        </is>
      </c>
      <c r="F682" s="5" t="n">
        <v>5150</v>
      </c>
      <c r="G682" s="5" t="inlineStr">
        <is>
          <t>&lt;100</t>
        </is>
      </c>
      <c r="H682" s="5" t="inlineStr">
        <is>
          <t>&gt;=7</t>
        </is>
      </c>
      <c r="I682" s="5" t="n">
        <v>4</v>
      </c>
      <c r="J682" s="5" t="inlineStr">
        <is>
          <t>male single</t>
        </is>
      </c>
      <c r="K682" s="5" t="inlineStr">
        <is>
          <t>none</t>
        </is>
      </c>
      <c r="L682" s="5" t="n">
        <v>4</v>
      </c>
      <c r="M682" s="5" t="inlineStr">
        <is>
          <t>car</t>
        </is>
      </c>
      <c r="N682" s="5" t="n">
        <v>33</v>
      </c>
      <c r="O682" s="5" t="inlineStr">
        <is>
          <t>none</t>
        </is>
      </c>
      <c r="P682" s="5" t="inlineStr">
        <is>
          <t>own</t>
        </is>
      </c>
      <c r="Q682" s="5" t="n">
        <v>1</v>
      </c>
      <c r="R682" s="5" t="inlineStr">
        <is>
          <t>skilled</t>
        </is>
      </c>
      <c r="S682" s="5" t="n">
        <v>1</v>
      </c>
      <c r="T682" s="5" t="inlineStr">
        <is>
          <t>yes</t>
        </is>
      </c>
      <c r="U682" s="5" t="inlineStr">
        <is>
          <t>yes</t>
        </is>
      </c>
      <c r="V682" s="5" t="inlineStr">
        <is>
          <t>good</t>
        </is>
      </c>
    </row>
    <row r="683">
      <c r="A683" s="5" t="n">
        <v>678</v>
      </c>
      <c r="B683" s="5" t="inlineStr">
        <is>
          <t>0&lt;=X&lt;200</t>
        </is>
      </c>
      <c r="C683" s="5" t="n">
        <v>72</v>
      </c>
      <c r="D683" s="5" t="inlineStr">
        <is>
          <t>existing paid</t>
        </is>
      </c>
      <c r="E683" s="5" t="inlineStr">
        <is>
          <t>radio/tv</t>
        </is>
      </c>
      <c r="F683" s="5" t="n">
        <v>5595</v>
      </c>
      <c r="G683" s="5" t="inlineStr">
        <is>
          <t>100&lt;=X&lt;500</t>
        </is>
      </c>
      <c r="H683" s="5" t="inlineStr">
        <is>
          <t>1&lt;=X&lt;4</t>
        </is>
      </c>
      <c r="I683" s="5" t="n">
        <v>2</v>
      </c>
      <c r="J683" s="5" t="inlineStr">
        <is>
          <t>male mar/wid</t>
        </is>
      </c>
      <c r="K683" s="5" t="inlineStr">
        <is>
          <t>none</t>
        </is>
      </c>
      <c r="L683" s="5" t="n">
        <v>2</v>
      </c>
      <c r="M683" s="5" t="inlineStr">
        <is>
          <t>car</t>
        </is>
      </c>
      <c r="N683" s="5" t="n">
        <v>24</v>
      </c>
      <c r="O683" s="5" t="inlineStr">
        <is>
          <t>none</t>
        </is>
      </c>
      <c r="P683" s="5" t="inlineStr">
        <is>
          <t>own</t>
        </is>
      </c>
      <c r="Q683" s="5" t="n">
        <v>1</v>
      </c>
      <c r="R683" s="5" t="inlineStr">
        <is>
          <t>skilled</t>
        </is>
      </c>
      <c r="S683" s="5" t="n">
        <v>1</v>
      </c>
      <c r="T683" s="5" t="inlineStr">
        <is>
          <t>none</t>
        </is>
      </c>
      <c r="U683" s="5" t="inlineStr">
        <is>
          <t>yes</t>
        </is>
      </c>
      <c r="V683" s="5" t="inlineStr">
        <is>
          <t>bad</t>
        </is>
      </c>
    </row>
    <row r="684">
      <c r="A684" s="5" t="n">
        <v>679</v>
      </c>
      <c r="B684" s="5" t="inlineStr">
        <is>
          <t>&lt;0</t>
        </is>
      </c>
      <c r="C684" s="5" t="n">
        <v>24</v>
      </c>
      <c r="D684" s="5" t="inlineStr">
        <is>
          <t>existing paid</t>
        </is>
      </c>
      <c r="E684" s="5" t="inlineStr">
        <is>
          <t>radio/tv</t>
        </is>
      </c>
      <c r="F684" s="5" t="n">
        <v>2384</v>
      </c>
      <c r="G684" s="5" t="inlineStr">
        <is>
          <t>&lt;100</t>
        </is>
      </c>
      <c r="H684" s="5" t="inlineStr">
        <is>
          <t>&gt;=7</t>
        </is>
      </c>
      <c r="I684" s="5" t="n">
        <v>4</v>
      </c>
      <c r="J684" s="5" t="inlineStr">
        <is>
          <t>male single</t>
        </is>
      </c>
      <c r="K684" s="5" t="inlineStr">
        <is>
          <t>none</t>
        </is>
      </c>
      <c r="L684" s="5" t="n">
        <v>4</v>
      </c>
      <c r="M684" s="5" t="inlineStr">
        <is>
          <t>real estate</t>
        </is>
      </c>
      <c r="N684" s="5" t="n">
        <v>64</v>
      </c>
      <c r="O684" s="5" t="inlineStr">
        <is>
          <t>bank</t>
        </is>
      </c>
      <c r="P684" s="5" t="inlineStr">
        <is>
          <t>rent</t>
        </is>
      </c>
      <c r="Q684" s="5" t="n">
        <v>1</v>
      </c>
      <c r="R684" s="5" t="inlineStr">
        <is>
          <t>unskilled resident</t>
        </is>
      </c>
      <c r="S684" s="5" t="n">
        <v>1</v>
      </c>
      <c r="T684" s="5" t="inlineStr">
        <is>
          <t>none</t>
        </is>
      </c>
      <c r="U684" s="5" t="inlineStr">
        <is>
          <t>yes</t>
        </is>
      </c>
      <c r="V684" s="5" t="inlineStr">
        <is>
          <t>good</t>
        </is>
      </c>
    </row>
    <row r="685">
      <c r="A685" s="5" t="n">
        <v>680</v>
      </c>
      <c r="B685" s="5" t="inlineStr">
        <is>
          <t>no checking</t>
        </is>
      </c>
      <c r="C685" s="5" t="n">
        <v>18</v>
      </c>
      <c r="D685" s="5" t="inlineStr">
        <is>
          <t>existing paid</t>
        </is>
      </c>
      <c r="E685" s="5" t="inlineStr">
        <is>
          <t>radio/tv</t>
        </is>
      </c>
      <c r="F685" s="5" t="n">
        <v>1453</v>
      </c>
      <c r="G685" s="5" t="inlineStr">
        <is>
          <t>&lt;100</t>
        </is>
      </c>
      <c r="H685" s="5" t="inlineStr">
        <is>
          <t>&lt;1</t>
        </is>
      </c>
      <c r="I685" s="5" t="n">
        <v>3</v>
      </c>
      <c r="J685" s="5" t="inlineStr">
        <is>
          <t>female div/dep/mar</t>
        </is>
      </c>
      <c r="K685" s="5" t="inlineStr">
        <is>
          <t>none</t>
        </is>
      </c>
      <c r="L685" s="5" t="n">
        <v>1</v>
      </c>
      <c r="M685" s="5" t="inlineStr">
        <is>
          <t>real estate</t>
        </is>
      </c>
      <c r="N685" s="5" t="n">
        <v>26</v>
      </c>
      <c r="O685" s="5" t="inlineStr">
        <is>
          <t>none</t>
        </is>
      </c>
      <c r="P685" s="5" t="inlineStr">
        <is>
          <t>own</t>
        </is>
      </c>
      <c r="Q685" s="5" t="n">
        <v>1</v>
      </c>
      <c r="R685" s="5" t="inlineStr">
        <is>
          <t>skilled</t>
        </is>
      </c>
      <c r="S685" s="5" t="n">
        <v>1</v>
      </c>
      <c r="T685" s="5" t="inlineStr">
        <is>
          <t>none</t>
        </is>
      </c>
      <c r="U685" s="5" t="inlineStr">
        <is>
          <t>yes</t>
        </is>
      </c>
      <c r="V685" s="5" t="inlineStr">
        <is>
          <t>good</t>
        </is>
      </c>
    </row>
    <row r="686">
      <c r="A686" s="5" t="n">
        <v>681</v>
      </c>
      <c r="B686" s="5" t="inlineStr">
        <is>
          <t>no checking</t>
        </is>
      </c>
      <c r="C686" s="5" t="n">
        <v>6</v>
      </c>
      <c r="D686" s="5" t="inlineStr">
        <is>
          <t>existing paid</t>
        </is>
      </c>
      <c r="E686" s="5" t="inlineStr">
        <is>
          <t>education</t>
        </is>
      </c>
      <c r="F686" s="5" t="n">
        <v>1538</v>
      </c>
      <c r="G686" s="5" t="inlineStr">
        <is>
          <t>&lt;100</t>
        </is>
      </c>
      <c r="H686" s="5" t="inlineStr">
        <is>
          <t>&lt;1</t>
        </is>
      </c>
      <c r="I686" s="5" t="n">
        <v>1</v>
      </c>
      <c r="J686" s="5" t="inlineStr">
        <is>
          <t>female div/dep/mar</t>
        </is>
      </c>
      <c r="K686" s="5" t="inlineStr">
        <is>
          <t>none</t>
        </is>
      </c>
      <c r="L686" s="5" t="n">
        <v>2</v>
      </c>
      <c r="M686" s="5" t="inlineStr">
        <is>
          <t>no known property</t>
        </is>
      </c>
      <c r="N686" s="5" t="n">
        <v>56</v>
      </c>
      <c r="O686" s="5" t="inlineStr">
        <is>
          <t>none</t>
        </is>
      </c>
      <c r="P686" s="5" t="inlineStr">
        <is>
          <t>own</t>
        </is>
      </c>
      <c r="Q686" s="5" t="n">
        <v>1</v>
      </c>
      <c r="R686" s="5" t="inlineStr">
        <is>
          <t>skilled</t>
        </is>
      </c>
      <c r="S686" s="5" t="n">
        <v>1</v>
      </c>
      <c r="T686" s="5" t="inlineStr">
        <is>
          <t>none</t>
        </is>
      </c>
      <c r="U686" s="5" t="inlineStr">
        <is>
          <t>yes</t>
        </is>
      </c>
      <c r="V686" s="5" t="inlineStr">
        <is>
          <t>good</t>
        </is>
      </c>
    </row>
    <row r="687">
      <c r="A687" s="5" t="n">
        <v>682</v>
      </c>
      <c r="B687" s="5" t="inlineStr">
        <is>
          <t>no checking</t>
        </is>
      </c>
      <c r="C687" s="5" t="n">
        <v>12</v>
      </c>
      <c r="D687" s="5" t="inlineStr">
        <is>
          <t>existing paid</t>
        </is>
      </c>
      <c r="E687" s="5" t="inlineStr">
        <is>
          <t>radio/tv</t>
        </is>
      </c>
      <c r="F687" s="5" t="n">
        <v>2279</v>
      </c>
      <c r="G687" s="5" t="inlineStr">
        <is>
          <t>no known savings</t>
        </is>
      </c>
      <c r="H687" s="5" t="inlineStr">
        <is>
          <t>1&lt;=X&lt;4</t>
        </is>
      </c>
      <c r="I687" s="5" t="n">
        <v>4</v>
      </c>
      <c r="J687" s="5" t="inlineStr">
        <is>
          <t>male single</t>
        </is>
      </c>
      <c r="K687" s="5" t="inlineStr">
        <is>
          <t>none</t>
        </is>
      </c>
      <c r="L687" s="5" t="n">
        <v>4</v>
      </c>
      <c r="M687" s="5" t="inlineStr">
        <is>
          <t>no known property</t>
        </is>
      </c>
      <c r="N687" s="5" t="n">
        <v>37</v>
      </c>
      <c r="O687" s="5" t="inlineStr">
        <is>
          <t>none</t>
        </is>
      </c>
      <c r="P687" s="5" t="inlineStr">
        <is>
          <t>for free</t>
        </is>
      </c>
      <c r="Q687" s="5" t="n">
        <v>1</v>
      </c>
      <c r="R687" s="5" t="inlineStr">
        <is>
          <t>skilled</t>
        </is>
      </c>
      <c r="S687" s="5" t="n">
        <v>1</v>
      </c>
      <c r="T687" s="5" t="inlineStr">
        <is>
          <t>yes</t>
        </is>
      </c>
      <c r="U687" s="5" t="inlineStr">
        <is>
          <t>yes</t>
        </is>
      </c>
      <c r="V687" s="5" t="inlineStr">
        <is>
          <t>good</t>
        </is>
      </c>
    </row>
    <row r="688">
      <c r="A688" s="5" t="n">
        <v>683</v>
      </c>
      <c r="B688" s="5" t="inlineStr">
        <is>
          <t>no checking</t>
        </is>
      </c>
      <c r="C688" s="5" t="n">
        <v>15</v>
      </c>
      <c r="D688" s="5" t="inlineStr">
        <is>
          <t>delayed previously</t>
        </is>
      </c>
      <c r="E688" s="5" t="inlineStr">
        <is>
          <t>radio/tv</t>
        </is>
      </c>
      <c r="F688" s="5" t="n">
        <v>1478</v>
      </c>
      <c r="G688" s="5" t="inlineStr">
        <is>
          <t>&lt;100</t>
        </is>
      </c>
      <c r="H688" s="5" t="inlineStr">
        <is>
          <t>1&lt;=X&lt;4</t>
        </is>
      </c>
      <c r="I688" s="5" t="n">
        <v>4</v>
      </c>
      <c r="J688" s="5" t="inlineStr">
        <is>
          <t>male mar/wid</t>
        </is>
      </c>
      <c r="K688" s="5" t="inlineStr">
        <is>
          <t>none</t>
        </is>
      </c>
      <c r="L688" s="5" t="n">
        <v>3</v>
      </c>
      <c r="M688" s="5" t="inlineStr">
        <is>
          <t>real estate</t>
        </is>
      </c>
      <c r="N688" s="5" t="n">
        <v>33</v>
      </c>
      <c r="O688" s="5" t="inlineStr">
        <is>
          <t>bank</t>
        </is>
      </c>
      <c r="P688" s="5" t="inlineStr">
        <is>
          <t>own</t>
        </is>
      </c>
      <c r="Q688" s="5" t="n">
        <v>2</v>
      </c>
      <c r="R688" s="5" t="inlineStr">
        <is>
          <t>skilled</t>
        </is>
      </c>
      <c r="S688" s="5" t="n">
        <v>1</v>
      </c>
      <c r="T688" s="5" t="inlineStr">
        <is>
          <t>none</t>
        </is>
      </c>
      <c r="U688" s="5" t="inlineStr">
        <is>
          <t>yes</t>
        </is>
      </c>
      <c r="V688" s="5" t="inlineStr">
        <is>
          <t>good</t>
        </is>
      </c>
    </row>
    <row r="689">
      <c r="A689" s="5" t="n">
        <v>684</v>
      </c>
      <c r="B689" s="5" t="inlineStr">
        <is>
          <t>no checking</t>
        </is>
      </c>
      <c r="C689" s="5" t="n">
        <v>24</v>
      </c>
      <c r="D689" s="5" t="inlineStr">
        <is>
          <t>critical/other existing credit</t>
        </is>
      </c>
      <c r="E689" s="5" t="inlineStr">
        <is>
          <t>radio/tv</t>
        </is>
      </c>
      <c r="F689" s="5" t="n">
        <v>5103</v>
      </c>
      <c r="G689" s="5" t="inlineStr">
        <is>
          <t>&lt;100</t>
        </is>
      </c>
      <c r="H689" s="5" t="inlineStr">
        <is>
          <t>&lt;1</t>
        </is>
      </c>
      <c r="I689" s="5" t="n">
        <v>3</v>
      </c>
      <c r="J689" s="5" t="inlineStr">
        <is>
          <t>male mar/wid</t>
        </is>
      </c>
      <c r="K689" s="5" t="inlineStr">
        <is>
          <t>none</t>
        </is>
      </c>
      <c r="L689" s="5" t="n">
        <v>3</v>
      </c>
      <c r="M689" s="5" t="inlineStr">
        <is>
          <t>no known property</t>
        </is>
      </c>
      <c r="N689" s="5" t="n">
        <v>47</v>
      </c>
      <c r="O689" s="5" t="inlineStr">
        <is>
          <t>none</t>
        </is>
      </c>
      <c r="P689" s="5" t="inlineStr">
        <is>
          <t>for free</t>
        </is>
      </c>
      <c r="Q689" s="5" t="n">
        <v>3</v>
      </c>
      <c r="R689" s="5" t="inlineStr">
        <is>
          <t>skilled</t>
        </is>
      </c>
      <c r="S689" s="5" t="n">
        <v>1</v>
      </c>
      <c r="T689" s="5" t="inlineStr">
        <is>
          <t>yes</t>
        </is>
      </c>
      <c r="U689" s="5" t="inlineStr">
        <is>
          <t>yes</t>
        </is>
      </c>
      <c r="V689" s="5" t="inlineStr">
        <is>
          <t>good</t>
        </is>
      </c>
    </row>
    <row r="690">
      <c r="A690" s="5" t="n">
        <v>685</v>
      </c>
      <c r="B690" s="5" t="inlineStr">
        <is>
          <t>0&lt;=X&lt;200</t>
        </is>
      </c>
      <c r="C690" s="5" t="n">
        <v>36</v>
      </c>
      <c r="D690" s="5" t="inlineStr">
        <is>
          <t>delayed previously</t>
        </is>
      </c>
      <c r="E690" s="5" t="inlineStr">
        <is>
          <t>business</t>
        </is>
      </c>
      <c r="F690" s="5" t="n">
        <v>9857</v>
      </c>
      <c r="G690" s="5" t="inlineStr">
        <is>
          <t>100&lt;=X&lt;500</t>
        </is>
      </c>
      <c r="H690" s="5" t="inlineStr">
        <is>
          <t>4&lt;=X&lt;7</t>
        </is>
      </c>
      <c r="I690" s="5" t="n">
        <v>1</v>
      </c>
      <c r="J690" s="5" t="inlineStr">
        <is>
          <t>male single</t>
        </is>
      </c>
      <c r="K690" s="5" t="inlineStr">
        <is>
          <t>none</t>
        </is>
      </c>
      <c r="L690" s="5" t="n">
        <v>3</v>
      </c>
      <c r="M690" s="5" t="inlineStr">
        <is>
          <t>life insurance</t>
        </is>
      </c>
      <c r="N690" s="5" t="n">
        <v>31</v>
      </c>
      <c r="O690" s="5" t="inlineStr">
        <is>
          <t>none</t>
        </is>
      </c>
      <c r="P690" s="5" t="inlineStr">
        <is>
          <t>own</t>
        </is>
      </c>
      <c r="Q690" s="5" t="n">
        <v>2</v>
      </c>
      <c r="R690" s="5" t="inlineStr">
        <is>
          <t>unskilled resident</t>
        </is>
      </c>
      <c r="S690" s="5" t="n">
        <v>2</v>
      </c>
      <c r="T690" s="5" t="inlineStr">
        <is>
          <t>yes</t>
        </is>
      </c>
      <c r="U690" s="5" t="inlineStr">
        <is>
          <t>yes</t>
        </is>
      </c>
      <c r="V690" s="5" t="inlineStr">
        <is>
          <t>good</t>
        </is>
      </c>
    </row>
    <row r="691">
      <c r="A691" s="5" t="n">
        <v>686</v>
      </c>
      <c r="B691" s="5" t="inlineStr">
        <is>
          <t>no checking</t>
        </is>
      </c>
      <c r="C691" s="5" t="n">
        <v>60</v>
      </c>
      <c r="D691" s="5" t="inlineStr">
        <is>
          <t>existing paid</t>
        </is>
      </c>
      <c r="E691" s="5" t="inlineStr">
        <is>
          <t>new car</t>
        </is>
      </c>
      <c r="F691" s="5" t="n">
        <v>6527</v>
      </c>
      <c r="G691" s="5" t="inlineStr">
        <is>
          <t>no known savings</t>
        </is>
      </c>
      <c r="H691" s="5" t="inlineStr">
        <is>
          <t>1&lt;=X&lt;4</t>
        </is>
      </c>
      <c r="I691" s="5" t="n">
        <v>4</v>
      </c>
      <c r="J691" s="5" t="inlineStr">
        <is>
          <t>male single</t>
        </is>
      </c>
      <c r="K691" s="5" t="inlineStr">
        <is>
          <t>none</t>
        </is>
      </c>
      <c r="L691" s="5" t="n">
        <v>4</v>
      </c>
      <c r="M691" s="5" t="inlineStr">
        <is>
          <t>no known property</t>
        </is>
      </c>
      <c r="N691" s="5" t="n">
        <v>34</v>
      </c>
      <c r="O691" s="5" t="inlineStr">
        <is>
          <t>none</t>
        </is>
      </c>
      <c r="P691" s="5" t="inlineStr">
        <is>
          <t>for free</t>
        </is>
      </c>
      <c r="Q691" s="5" t="n">
        <v>1</v>
      </c>
      <c r="R691" s="5" t="inlineStr">
        <is>
          <t>skilled</t>
        </is>
      </c>
      <c r="S691" s="5" t="n">
        <v>2</v>
      </c>
      <c r="T691" s="5" t="inlineStr">
        <is>
          <t>yes</t>
        </is>
      </c>
      <c r="U691" s="5" t="inlineStr">
        <is>
          <t>yes</t>
        </is>
      </c>
      <c r="V691" s="5" t="inlineStr">
        <is>
          <t>good</t>
        </is>
      </c>
    </row>
    <row r="692">
      <c r="A692" s="5" t="n">
        <v>687</v>
      </c>
      <c r="B692" s="5" t="inlineStr">
        <is>
          <t>&gt;=200</t>
        </is>
      </c>
      <c r="C692" s="5" t="n">
        <v>10</v>
      </c>
      <c r="D692" s="5" t="inlineStr">
        <is>
          <t>critical/other existing credit</t>
        </is>
      </c>
      <c r="E692" s="5" t="inlineStr">
        <is>
          <t>radio/tv</t>
        </is>
      </c>
      <c r="F692" s="5" t="n">
        <v>1347</v>
      </c>
      <c r="G692" s="5" t="inlineStr">
        <is>
          <t>no known savings</t>
        </is>
      </c>
      <c r="H692" s="5" t="inlineStr">
        <is>
          <t>4&lt;=X&lt;7</t>
        </is>
      </c>
      <c r="I692" s="5" t="n">
        <v>4</v>
      </c>
      <c r="J692" s="5" t="inlineStr">
        <is>
          <t>male single</t>
        </is>
      </c>
      <c r="K692" s="5" t="inlineStr">
        <is>
          <t>none</t>
        </is>
      </c>
      <c r="L692" s="5" t="n">
        <v>2</v>
      </c>
      <c r="M692" s="5" t="inlineStr">
        <is>
          <t>life insurance</t>
        </is>
      </c>
      <c r="N692" s="5" t="n">
        <v>27</v>
      </c>
      <c r="O692" s="5" t="inlineStr">
        <is>
          <t>none</t>
        </is>
      </c>
      <c r="P692" s="5" t="inlineStr">
        <is>
          <t>own</t>
        </is>
      </c>
      <c r="Q692" s="5" t="n">
        <v>2</v>
      </c>
      <c r="R692" s="5" t="inlineStr">
        <is>
          <t>skilled</t>
        </is>
      </c>
      <c r="S692" s="5" t="n">
        <v>1</v>
      </c>
      <c r="T692" s="5" t="inlineStr">
        <is>
          <t>yes</t>
        </is>
      </c>
      <c r="U692" s="5" t="inlineStr">
        <is>
          <t>yes</t>
        </is>
      </c>
      <c r="V692" s="5" t="inlineStr">
        <is>
          <t>good</t>
        </is>
      </c>
    </row>
    <row r="693">
      <c r="A693" s="5" t="n">
        <v>688</v>
      </c>
      <c r="B693" s="5" t="inlineStr">
        <is>
          <t>0&lt;=X&lt;200</t>
        </is>
      </c>
      <c r="C693" s="5" t="n">
        <v>36</v>
      </c>
      <c r="D693" s="5" t="inlineStr">
        <is>
          <t>delayed previously</t>
        </is>
      </c>
      <c r="E693" s="5" t="inlineStr">
        <is>
          <t>new car</t>
        </is>
      </c>
      <c r="F693" s="5" t="n">
        <v>2862</v>
      </c>
      <c r="G693" s="5" t="inlineStr">
        <is>
          <t>100&lt;=X&lt;500</t>
        </is>
      </c>
      <c r="H693" s="5" t="inlineStr">
        <is>
          <t>&gt;=7</t>
        </is>
      </c>
      <c r="I693" s="5" t="n">
        <v>4</v>
      </c>
      <c r="J693" s="5" t="inlineStr">
        <is>
          <t>male single</t>
        </is>
      </c>
      <c r="K693" s="5" t="inlineStr">
        <is>
          <t>none</t>
        </is>
      </c>
      <c r="L693" s="5" t="n">
        <v>3</v>
      </c>
      <c r="M693" s="5" t="inlineStr">
        <is>
          <t>no known property</t>
        </is>
      </c>
      <c r="N693" s="5" t="n">
        <v>30</v>
      </c>
      <c r="O693" s="5" t="inlineStr">
        <is>
          <t>none</t>
        </is>
      </c>
      <c r="P693" s="5" t="inlineStr">
        <is>
          <t>for free</t>
        </is>
      </c>
      <c r="Q693" s="5" t="n">
        <v>1</v>
      </c>
      <c r="R693" s="5" t="inlineStr">
        <is>
          <t>skilled</t>
        </is>
      </c>
      <c r="S693" s="5" t="n">
        <v>1</v>
      </c>
      <c r="T693" s="5" t="inlineStr">
        <is>
          <t>none</t>
        </is>
      </c>
      <c r="U693" s="5" t="inlineStr">
        <is>
          <t>yes</t>
        </is>
      </c>
      <c r="V693" s="5" t="inlineStr">
        <is>
          <t>good</t>
        </is>
      </c>
    </row>
    <row r="694">
      <c r="A694" s="5" t="n">
        <v>689</v>
      </c>
      <c r="B694" s="5" t="inlineStr">
        <is>
          <t>no checking</t>
        </is>
      </c>
      <c r="C694" s="5" t="n">
        <v>9</v>
      </c>
      <c r="D694" s="5" t="inlineStr">
        <is>
          <t>existing paid</t>
        </is>
      </c>
      <c r="E694" s="5" t="inlineStr">
        <is>
          <t>radio/tv</t>
        </is>
      </c>
      <c r="F694" s="5" t="n">
        <v>2753</v>
      </c>
      <c r="G694" s="5" t="inlineStr">
        <is>
          <t>100&lt;=X&lt;500</t>
        </is>
      </c>
      <c r="H694" s="5" t="inlineStr">
        <is>
          <t>&gt;=7</t>
        </is>
      </c>
      <c r="I694" s="5" t="n">
        <v>3</v>
      </c>
      <c r="J694" s="5" t="inlineStr">
        <is>
          <t>male single</t>
        </is>
      </c>
      <c r="K694" s="5" t="inlineStr">
        <is>
          <t>co applicant</t>
        </is>
      </c>
      <c r="L694" s="5" t="n">
        <v>4</v>
      </c>
      <c r="M694" s="5" t="inlineStr">
        <is>
          <t>car</t>
        </is>
      </c>
      <c r="N694" s="5" t="n">
        <v>35</v>
      </c>
      <c r="O694" s="5" t="inlineStr">
        <is>
          <t>none</t>
        </is>
      </c>
      <c r="P694" s="5" t="inlineStr">
        <is>
          <t>own</t>
        </is>
      </c>
      <c r="Q694" s="5" t="n">
        <v>1</v>
      </c>
      <c r="R694" s="5" t="inlineStr">
        <is>
          <t>skilled</t>
        </is>
      </c>
      <c r="S694" s="5" t="n">
        <v>1</v>
      </c>
      <c r="T694" s="5" t="inlineStr">
        <is>
          <t>yes</t>
        </is>
      </c>
      <c r="U694" s="5" t="inlineStr">
        <is>
          <t>yes</t>
        </is>
      </c>
      <c r="V694" s="5" t="inlineStr">
        <is>
          <t>good</t>
        </is>
      </c>
    </row>
    <row r="695">
      <c r="A695" s="5" t="n">
        <v>690</v>
      </c>
      <c r="B695" s="5" t="inlineStr">
        <is>
          <t>&lt;0</t>
        </is>
      </c>
      <c r="C695" s="5" t="n">
        <v>12</v>
      </c>
      <c r="D695" s="5" t="inlineStr">
        <is>
          <t>existing paid</t>
        </is>
      </c>
      <c r="E695" s="5" t="inlineStr">
        <is>
          <t>new car</t>
        </is>
      </c>
      <c r="F695" s="5" t="n">
        <v>3651</v>
      </c>
      <c r="G695" s="5" t="inlineStr">
        <is>
          <t>&gt;=1000</t>
        </is>
      </c>
      <c r="H695" s="5" t="inlineStr">
        <is>
          <t>1&lt;=X&lt;4</t>
        </is>
      </c>
      <c r="I695" s="5" t="n">
        <v>1</v>
      </c>
      <c r="J695" s="5" t="inlineStr">
        <is>
          <t>male single</t>
        </is>
      </c>
      <c r="K695" s="5" t="inlineStr">
        <is>
          <t>none</t>
        </is>
      </c>
      <c r="L695" s="5" t="n">
        <v>3</v>
      </c>
      <c r="M695" s="5" t="inlineStr">
        <is>
          <t>life insurance</t>
        </is>
      </c>
      <c r="N695" s="5" t="n">
        <v>31</v>
      </c>
      <c r="O695" s="5" t="inlineStr">
        <is>
          <t>none</t>
        </is>
      </c>
      <c r="P695" s="5" t="inlineStr">
        <is>
          <t>own</t>
        </is>
      </c>
      <c r="Q695" s="5" t="n">
        <v>1</v>
      </c>
      <c r="R695" s="5" t="inlineStr">
        <is>
          <t>skilled</t>
        </is>
      </c>
      <c r="S695" s="5" t="n">
        <v>2</v>
      </c>
      <c r="T695" s="5" t="inlineStr">
        <is>
          <t>none</t>
        </is>
      </c>
      <c r="U695" s="5" t="inlineStr">
        <is>
          <t>yes</t>
        </is>
      </c>
      <c r="V695" s="5" t="inlineStr">
        <is>
          <t>good</t>
        </is>
      </c>
    </row>
    <row r="696">
      <c r="A696" s="5" t="n">
        <v>691</v>
      </c>
      <c r="B696" s="5" t="inlineStr">
        <is>
          <t>&lt;0</t>
        </is>
      </c>
      <c r="C696" s="5" t="n">
        <v>15</v>
      </c>
      <c r="D696" s="5" t="inlineStr">
        <is>
          <t>critical/other existing credit</t>
        </is>
      </c>
      <c r="E696" s="5" t="inlineStr">
        <is>
          <t>furniture/equipment</t>
        </is>
      </c>
      <c r="F696" s="5" t="n">
        <v>975</v>
      </c>
      <c r="G696" s="5" t="inlineStr">
        <is>
          <t>&lt;100</t>
        </is>
      </c>
      <c r="H696" s="5" t="inlineStr">
        <is>
          <t>1&lt;=X&lt;4</t>
        </is>
      </c>
      <c r="I696" s="5" t="n">
        <v>2</v>
      </c>
      <c r="J696" s="5" t="inlineStr">
        <is>
          <t>male div/sep</t>
        </is>
      </c>
      <c r="K696" s="5" t="inlineStr">
        <is>
          <t>none</t>
        </is>
      </c>
      <c r="L696" s="5" t="n">
        <v>3</v>
      </c>
      <c r="M696" s="5" t="inlineStr">
        <is>
          <t>life insurance</t>
        </is>
      </c>
      <c r="N696" s="5" t="n">
        <v>25</v>
      </c>
      <c r="O696" s="5" t="inlineStr">
        <is>
          <t>none</t>
        </is>
      </c>
      <c r="P696" s="5" t="inlineStr">
        <is>
          <t>own</t>
        </is>
      </c>
      <c r="Q696" s="5" t="n">
        <v>2</v>
      </c>
      <c r="R696" s="5" t="inlineStr">
        <is>
          <t>skilled</t>
        </is>
      </c>
      <c r="S696" s="5" t="n">
        <v>1</v>
      </c>
      <c r="T696" s="5" t="inlineStr">
        <is>
          <t>none</t>
        </is>
      </c>
      <c r="U696" s="5" t="inlineStr">
        <is>
          <t>yes</t>
        </is>
      </c>
      <c r="V696" s="5" t="inlineStr">
        <is>
          <t>good</t>
        </is>
      </c>
    </row>
    <row r="697">
      <c r="A697" s="5" t="n">
        <v>692</v>
      </c>
      <c r="B697" s="5" t="inlineStr">
        <is>
          <t>0&lt;=X&lt;200</t>
        </is>
      </c>
      <c r="C697" s="5" t="n">
        <v>15</v>
      </c>
      <c r="D697" s="5" t="inlineStr">
        <is>
          <t>existing paid</t>
        </is>
      </c>
      <c r="E697" s="5" t="inlineStr">
        <is>
          <t>repairs</t>
        </is>
      </c>
      <c r="F697" s="5" t="n">
        <v>2631</v>
      </c>
      <c r="G697" s="5" t="inlineStr">
        <is>
          <t>100&lt;=X&lt;500</t>
        </is>
      </c>
      <c r="H697" s="5" t="inlineStr">
        <is>
          <t>1&lt;=X&lt;4</t>
        </is>
      </c>
      <c r="I697" s="5" t="n">
        <v>3</v>
      </c>
      <c r="J697" s="5" t="inlineStr">
        <is>
          <t>female div/dep/mar</t>
        </is>
      </c>
      <c r="K697" s="5" t="inlineStr">
        <is>
          <t>none</t>
        </is>
      </c>
      <c r="L697" s="5" t="n">
        <v>2</v>
      </c>
      <c r="M697" s="5" t="inlineStr">
        <is>
          <t>real estate</t>
        </is>
      </c>
      <c r="N697" s="5" t="n">
        <v>25</v>
      </c>
      <c r="O697" s="5" t="inlineStr">
        <is>
          <t>none</t>
        </is>
      </c>
      <c r="P697" s="5" t="inlineStr">
        <is>
          <t>own</t>
        </is>
      </c>
      <c r="Q697" s="5" t="n">
        <v>1</v>
      </c>
      <c r="R697" s="5" t="inlineStr">
        <is>
          <t>unskilled resident</t>
        </is>
      </c>
      <c r="S697" s="5" t="n">
        <v>1</v>
      </c>
      <c r="T697" s="5" t="inlineStr">
        <is>
          <t>none</t>
        </is>
      </c>
      <c r="U697" s="5" t="inlineStr">
        <is>
          <t>yes</t>
        </is>
      </c>
      <c r="V697" s="5" t="inlineStr">
        <is>
          <t>good</t>
        </is>
      </c>
    </row>
    <row r="698">
      <c r="A698" s="5" t="n">
        <v>693</v>
      </c>
      <c r="B698" s="5" t="inlineStr">
        <is>
          <t>0&lt;=X&lt;200</t>
        </is>
      </c>
      <c r="C698" s="5" t="n">
        <v>24</v>
      </c>
      <c r="D698" s="5" t="inlineStr">
        <is>
          <t>existing paid</t>
        </is>
      </c>
      <c r="E698" s="5" t="inlineStr">
        <is>
          <t>radio/tv</t>
        </is>
      </c>
      <c r="F698" s="5" t="n">
        <v>2896</v>
      </c>
      <c r="G698" s="5" t="inlineStr">
        <is>
          <t>100&lt;=X&lt;500</t>
        </is>
      </c>
      <c r="H698" s="5" t="inlineStr">
        <is>
          <t>&lt;1</t>
        </is>
      </c>
      <c r="I698" s="5" t="n">
        <v>2</v>
      </c>
      <c r="J698" s="5" t="inlineStr">
        <is>
          <t>male single</t>
        </is>
      </c>
      <c r="K698" s="5" t="inlineStr">
        <is>
          <t>none</t>
        </is>
      </c>
      <c r="L698" s="5" t="n">
        <v>1</v>
      </c>
      <c r="M698" s="5" t="inlineStr">
        <is>
          <t>car</t>
        </is>
      </c>
      <c r="N698" s="5" t="n">
        <v>29</v>
      </c>
      <c r="O698" s="5" t="inlineStr">
        <is>
          <t>none</t>
        </is>
      </c>
      <c r="P698" s="5" t="inlineStr">
        <is>
          <t>own</t>
        </is>
      </c>
      <c r="Q698" s="5" t="n">
        <v>1</v>
      </c>
      <c r="R698" s="5" t="inlineStr">
        <is>
          <t>skilled</t>
        </is>
      </c>
      <c r="S698" s="5" t="n">
        <v>1</v>
      </c>
      <c r="T698" s="5" t="inlineStr">
        <is>
          <t>none</t>
        </is>
      </c>
      <c r="U698" s="5" t="inlineStr">
        <is>
          <t>yes</t>
        </is>
      </c>
      <c r="V698" s="5" t="inlineStr">
        <is>
          <t>good</t>
        </is>
      </c>
    </row>
    <row r="699">
      <c r="A699" s="5" t="n">
        <v>694</v>
      </c>
      <c r="B699" s="5" t="inlineStr">
        <is>
          <t>&lt;0</t>
        </is>
      </c>
      <c r="C699" s="5" t="n">
        <v>6</v>
      </c>
      <c r="D699" s="5" t="inlineStr">
        <is>
          <t>critical/other existing credit</t>
        </is>
      </c>
      <c r="E699" s="5" t="inlineStr">
        <is>
          <t>new car</t>
        </is>
      </c>
      <c r="F699" s="5" t="n">
        <v>4716</v>
      </c>
      <c r="G699" s="5" t="inlineStr">
        <is>
          <t>no known savings</t>
        </is>
      </c>
      <c r="H699" s="5" t="inlineStr">
        <is>
          <t>&lt;1</t>
        </is>
      </c>
      <c r="I699" s="5" t="n">
        <v>1</v>
      </c>
      <c r="J699" s="5" t="inlineStr">
        <is>
          <t>male single</t>
        </is>
      </c>
      <c r="K699" s="5" t="inlineStr">
        <is>
          <t>none</t>
        </is>
      </c>
      <c r="L699" s="5" t="n">
        <v>3</v>
      </c>
      <c r="M699" s="5" t="inlineStr">
        <is>
          <t>real estate</t>
        </is>
      </c>
      <c r="N699" s="5" t="n">
        <v>44</v>
      </c>
      <c r="O699" s="5" t="inlineStr">
        <is>
          <t>none</t>
        </is>
      </c>
      <c r="P699" s="5" t="inlineStr">
        <is>
          <t>own</t>
        </is>
      </c>
      <c r="Q699" s="5" t="n">
        <v>2</v>
      </c>
      <c r="R699" s="5" t="inlineStr">
        <is>
          <t>unskilled resident</t>
        </is>
      </c>
      <c r="S699" s="5" t="n">
        <v>2</v>
      </c>
      <c r="T699" s="5" t="inlineStr">
        <is>
          <t>none</t>
        </is>
      </c>
      <c r="U699" s="5" t="inlineStr">
        <is>
          <t>yes</t>
        </is>
      </c>
      <c r="V699" s="5" t="inlineStr">
        <is>
          <t>good</t>
        </is>
      </c>
    </row>
    <row r="700">
      <c r="A700" s="5" t="n">
        <v>695</v>
      </c>
      <c r="B700" s="5" t="inlineStr">
        <is>
          <t>no checking</t>
        </is>
      </c>
      <c r="C700" s="5" t="n">
        <v>24</v>
      </c>
      <c r="D700" s="5" t="inlineStr">
        <is>
          <t>existing paid</t>
        </is>
      </c>
      <c r="E700" s="5" t="inlineStr">
        <is>
          <t>radio/tv</t>
        </is>
      </c>
      <c r="F700" s="5" t="n">
        <v>2284</v>
      </c>
      <c r="G700" s="5" t="inlineStr">
        <is>
          <t>&lt;100</t>
        </is>
      </c>
      <c r="H700" s="5" t="inlineStr">
        <is>
          <t>4&lt;=X&lt;7</t>
        </is>
      </c>
      <c r="I700" s="5" t="n">
        <v>4</v>
      </c>
      <c r="J700" s="5" t="inlineStr">
        <is>
          <t>male single</t>
        </is>
      </c>
      <c r="K700" s="5" t="inlineStr">
        <is>
          <t>none</t>
        </is>
      </c>
      <c r="L700" s="5" t="n">
        <v>2</v>
      </c>
      <c r="M700" s="5" t="inlineStr">
        <is>
          <t>car</t>
        </is>
      </c>
      <c r="N700" s="5" t="n">
        <v>28</v>
      </c>
      <c r="O700" s="5" t="inlineStr">
        <is>
          <t>none</t>
        </is>
      </c>
      <c r="P700" s="5" t="inlineStr">
        <is>
          <t>own</t>
        </is>
      </c>
      <c r="Q700" s="5" t="n">
        <v>1</v>
      </c>
      <c r="R700" s="5" t="inlineStr">
        <is>
          <t>skilled</t>
        </is>
      </c>
      <c r="S700" s="5" t="n">
        <v>1</v>
      </c>
      <c r="T700" s="5" t="inlineStr">
        <is>
          <t>yes</t>
        </is>
      </c>
      <c r="U700" s="5" t="inlineStr">
        <is>
          <t>yes</t>
        </is>
      </c>
      <c r="V700" s="5" t="inlineStr">
        <is>
          <t>good</t>
        </is>
      </c>
    </row>
    <row r="701">
      <c r="A701" s="5" t="n">
        <v>696</v>
      </c>
      <c r="B701" s="5" t="inlineStr">
        <is>
          <t>no checking</t>
        </is>
      </c>
      <c r="C701" s="5" t="n">
        <v>6</v>
      </c>
      <c r="D701" s="5" t="inlineStr">
        <is>
          <t>existing paid</t>
        </is>
      </c>
      <c r="E701" s="5" t="inlineStr">
        <is>
          <t>used car</t>
        </is>
      </c>
      <c r="F701" s="5" t="n">
        <v>1236</v>
      </c>
      <c r="G701" s="5" t="inlineStr">
        <is>
          <t>500&lt;=X&lt;1000</t>
        </is>
      </c>
      <c r="H701" s="5" t="inlineStr">
        <is>
          <t>1&lt;=X&lt;4</t>
        </is>
      </c>
      <c r="I701" s="5" t="n">
        <v>2</v>
      </c>
      <c r="J701" s="5" t="inlineStr">
        <is>
          <t>male single</t>
        </is>
      </c>
      <c r="K701" s="5" t="inlineStr">
        <is>
          <t>none</t>
        </is>
      </c>
      <c r="L701" s="5" t="n">
        <v>4</v>
      </c>
      <c r="M701" s="5" t="inlineStr">
        <is>
          <t>life insurance</t>
        </is>
      </c>
      <c r="N701" s="5" t="n">
        <v>50</v>
      </c>
      <c r="O701" s="5" t="inlineStr">
        <is>
          <t>none</t>
        </is>
      </c>
      <c r="P701" s="5" t="inlineStr">
        <is>
          <t>rent</t>
        </is>
      </c>
      <c r="Q701" s="5" t="n">
        <v>1</v>
      </c>
      <c r="R701" s="5" t="inlineStr">
        <is>
          <t>skilled</t>
        </is>
      </c>
      <c r="S701" s="5" t="n">
        <v>1</v>
      </c>
      <c r="T701" s="5" t="inlineStr">
        <is>
          <t>none</t>
        </is>
      </c>
      <c r="U701" s="5" t="inlineStr">
        <is>
          <t>yes</t>
        </is>
      </c>
      <c r="V701" s="5" t="inlineStr">
        <is>
          <t>good</t>
        </is>
      </c>
    </row>
    <row r="702">
      <c r="A702" s="5" t="n">
        <v>697</v>
      </c>
      <c r="B702" s="5" t="inlineStr">
        <is>
          <t>0&lt;=X&lt;200</t>
        </is>
      </c>
      <c r="C702" s="5" t="n">
        <v>12</v>
      </c>
      <c r="D702" s="5" t="inlineStr">
        <is>
          <t>existing paid</t>
        </is>
      </c>
      <c r="E702" s="5" t="inlineStr">
        <is>
          <t>radio/tv</t>
        </is>
      </c>
      <c r="F702" s="5" t="n">
        <v>1103</v>
      </c>
      <c r="G702" s="5" t="inlineStr">
        <is>
          <t>&lt;100</t>
        </is>
      </c>
      <c r="H702" s="5" t="inlineStr">
        <is>
          <t>4&lt;=X&lt;7</t>
        </is>
      </c>
      <c r="I702" s="5" t="n">
        <v>4</v>
      </c>
      <c r="J702" s="5" t="inlineStr">
        <is>
          <t>male single</t>
        </is>
      </c>
      <c r="K702" s="5" t="inlineStr">
        <is>
          <t>guarantor</t>
        </is>
      </c>
      <c r="L702" s="5" t="n">
        <v>3</v>
      </c>
      <c r="M702" s="5" t="inlineStr">
        <is>
          <t>real estate</t>
        </is>
      </c>
      <c r="N702" s="5" t="n">
        <v>29</v>
      </c>
      <c r="O702" s="5" t="inlineStr">
        <is>
          <t>none</t>
        </is>
      </c>
      <c r="P702" s="5" t="inlineStr">
        <is>
          <t>own</t>
        </is>
      </c>
      <c r="Q702" s="5" t="n">
        <v>2</v>
      </c>
      <c r="R702" s="5" t="inlineStr">
        <is>
          <t>skilled</t>
        </is>
      </c>
      <c r="S702" s="5" t="n">
        <v>1</v>
      </c>
      <c r="T702" s="5" t="inlineStr">
        <is>
          <t>none</t>
        </is>
      </c>
      <c r="U702" s="5" t="inlineStr">
        <is>
          <t>no</t>
        </is>
      </c>
      <c r="V702" s="5" t="inlineStr">
        <is>
          <t>good</t>
        </is>
      </c>
    </row>
    <row r="703">
      <c r="A703" s="5" t="n">
        <v>698</v>
      </c>
      <c r="B703" s="5" t="inlineStr">
        <is>
          <t>no checking</t>
        </is>
      </c>
      <c r="C703" s="5" t="n">
        <v>12</v>
      </c>
      <c r="D703" s="5" t="inlineStr">
        <is>
          <t>critical/other existing credit</t>
        </is>
      </c>
      <c r="E703" s="5" t="inlineStr">
        <is>
          <t>new car</t>
        </is>
      </c>
      <c r="F703" s="5" t="n">
        <v>926</v>
      </c>
      <c r="G703" s="5" t="inlineStr">
        <is>
          <t>&lt;100</t>
        </is>
      </c>
      <c r="H703" s="5" t="inlineStr">
        <is>
          <t>unemployed</t>
        </is>
      </c>
      <c r="I703" s="5" t="n">
        <v>1</v>
      </c>
      <c r="J703" s="5" t="inlineStr">
        <is>
          <t>female div/dep/mar</t>
        </is>
      </c>
      <c r="K703" s="5" t="inlineStr">
        <is>
          <t>none</t>
        </is>
      </c>
      <c r="L703" s="5" t="n">
        <v>2</v>
      </c>
      <c r="M703" s="5" t="inlineStr">
        <is>
          <t>life insurance</t>
        </is>
      </c>
      <c r="N703" s="5" t="n">
        <v>38</v>
      </c>
      <c r="O703" s="5" t="inlineStr">
        <is>
          <t>none</t>
        </is>
      </c>
      <c r="P703" s="5" t="inlineStr">
        <is>
          <t>own</t>
        </is>
      </c>
      <c r="Q703" s="5" t="n">
        <v>1</v>
      </c>
      <c r="R703" s="5" t="inlineStr">
        <is>
          <t>unemp/unskilled non res</t>
        </is>
      </c>
      <c r="S703" s="5" t="n">
        <v>1</v>
      </c>
      <c r="T703" s="5" t="inlineStr">
        <is>
          <t>none</t>
        </is>
      </c>
      <c r="U703" s="5" t="inlineStr">
        <is>
          <t>yes</t>
        </is>
      </c>
      <c r="V703" s="5" t="inlineStr">
        <is>
          <t>good</t>
        </is>
      </c>
    </row>
    <row r="704">
      <c r="A704" s="5" t="n">
        <v>699</v>
      </c>
      <c r="B704" s="5" t="inlineStr">
        <is>
          <t>no checking</t>
        </is>
      </c>
      <c r="C704" s="5" t="n">
        <v>18</v>
      </c>
      <c r="D704" s="5" t="inlineStr">
        <is>
          <t>critical/other existing credit</t>
        </is>
      </c>
      <c r="E704" s="5" t="inlineStr">
        <is>
          <t>radio/tv</t>
        </is>
      </c>
      <c r="F704" s="5" t="n">
        <v>1800</v>
      </c>
      <c r="G704" s="5" t="inlineStr">
        <is>
          <t>&lt;100</t>
        </is>
      </c>
      <c r="H704" s="5" t="inlineStr">
        <is>
          <t>1&lt;=X&lt;4</t>
        </is>
      </c>
      <c r="I704" s="5" t="n">
        <v>4</v>
      </c>
      <c r="J704" s="5" t="inlineStr">
        <is>
          <t>male single</t>
        </is>
      </c>
      <c r="K704" s="5" t="inlineStr">
        <is>
          <t>none</t>
        </is>
      </c>
      <c r="L704" s="5" t="n">
        <v>2</v>
      </c>
      <c r="M704" s="5" t="inlineStr">
        <is>
          <t>car</t>
        </is>
      </c>
      <c r="N704" s="5" t="n">
        <v>24</v>
      </c>
      <c r="O704" s="5" t="inlineStr">
        <is>
          <t>none</t>
        </is>
      </c>
      <c r="P704" s="5" t="inlineStr">
        <is>
          <t>own</t>
        </is>
      </c>
      <c r="Q704" s="5" t="n">
        <v>2</v>
      </c>
      <c r="R704" s="5" t="inlineStr">
        <is>
          <t>skilled</t>
        </is>
      </c>
      <c r="S704" s="5" t="n">
        <v>1</v>
      </c>
      <c r="T704" s="5" t="inlineStr">
        <is>
          <t>none</t>
        </is>
      </c>
      <c r="U704" s="5" t="inlineStr">
        <is>
          <t>yes</t>
        </is>
      </c>
      <c r="V704" s="5" t="inlineStr">
        <is>
          <t>good</t>
        </is>
      </c>
    </row>
    <row r="705">
      <c r="A705" s="5" t="n">
        <v>700</v>
      </c>
      <c r="B705" s="5" t="inlineStr">
        <is>
          <t>&gt;=200</t>
        </is>
      </c>
      <c r="C705" s="5" t="n">
        <v>15</v>
      </c>
      <c r="D705" s="5" t="inlineStr">
        <is>
          <t>existing paid</t>
        </is>
      </c>
      <c r="E705" s="5" t="inlineStr">
        <is>
          <t>education</t>
        </is>
      </c>
      <c r="F705" s="5" t="n">
        <v>1905</v>
      </c>
      <c r="G705" s="5" t="inlineStr">
        <is>
          <t>&lt;100</t>
        </is>
      </c>
      <c r="H705" s="5" t="inlineStr">
        <is>
          <t>&gt;=7</t>
        </is>
      </c>
      <c r="I705" s="5" t="n">
        <v>4</v>
      </c>
      <c r="J705" s="5" t="inlineStr">
        <is>
          <t>male single</t>
        </is>
      </c>
      <c r="K705" s="5" t="inlineStr">
        <is>
          <t>none</t>
        </is>
      </c>
      <c r="L705" s="5" t="n">
        <v>4</v>
      </c>
      <c r="M705" s="5" t="inlineStr">
        <is>
          <t>car</t>
        </is>
      </c>
      <c r="N705" s="5" t="n">
        <v>40</v>
      </c>
      <c r="O705" s="5" t="inlineStr">
        <is>
          <t>none</t>
        </is>
      </c>
      <c r="P705" s="5" t="inlineStr">
        <is>
          <t>rent</t>
        </is>
      </c>
      <c r="Q705" s="5" t="n">
        <v>1</v>
      </c>
      <c r="R705" s="5" t="inlineStr">
        <is>
          <t>high qualif/self emp/mgmt</t>
        </is>
      </c>
      <c r="S705" s="5" t="n">
        <v>1</v>
      </c>
      <c r="T705" s="5" t="inlineStr">
        <is>
          <t>yes</t>
        </is>
      </c>
      <c r="U705" s="5" t="inlineStr">
        <is>
          <t>yes</t>
        </is>
      </c>
      <c r="V705" s="5" t="inlineStr">
        <is>
          <t>good</t>
        </is>
      </c>
    </row>
    <row r="706">
      <c r="A706" s="5" t="n">
        <v>701</v>
      </c>
      <c r="B706" s="5" t="inlineStr">
        <is>
          <t>no checking</t>
        </is>
      </c>
      <c r="C706" s="5" t="n">
        <v>12</v>
      </c>
      <c r="D706" s="5" t="inlineStr">
        <is>
          <t>existing paid</t>
        </is>
      </c>
      <c r="E706" s="5" t="inlineStr">
        <is>
          <t>furniture/equipment</t>
        </is>
      </c>
      <c r="F706" s="5" t="n">
        <v>1123</v>
      </c>
      <c r="G706" s="5" t="inlineStr">
        <is>
          <t>500&lt;=X&lt;1000</t>
        </is>
      </c>
      <c r="H706" s="5" t="inlineStr">
        <is>
          <t>1&lt;=X&lt;4</t>
        </is>
      </c>
      <c r="I706" s="5" t="n">
        <v>4</v>
      </c>
      <c r="J706" s="5" t="inlineStr">
        <is>
          <t>female div/dep/mar</t>
        </is>
      </c>
      <c r="K706" s="5" t="inlineStr">
        <is>
          <t>none</t>
        </is>
      </c>
      <c r="L706" s="5" t="n">
        <v>4</v>
      </c>
      <c r="M706" s="5" t="inlineStr">
        <is>
          <t>car</t>
        </is>
      </c>
      <c r="N706" s="5" t="n">
        <v>29</v>
      </c>
      <c r="O706" s="5" t="inlineStr">
        <is>
          <t>none</t>
        </is>
      </c>
      <c r="P706" s="5" t="inlineStr">
        <is>
          <t>rent</t>
        </is>
      </c>
      <c r="Q706" s="5" t="n">
        <v>1</v>
      </c>
      <c r="R706" s="5" t="inlineStr">
        <is>
          <t>unskilled resident</t>
        </is>
      </c>
      <c r="S706" s="5" t="n">
        <v>1</v>
      </c>
      <c r="T706" s="5" t="inlineStr">
        <is>
          <t>none</t>
        </is>
      </c>
      <c r="U706" s="5" t="inlineStr">
        <is>
          <t>yes</t>
        </is>
      </c>
      <c r="V706" s="5" t="inlineStr">
        <is>
          <t>bad</t>
        </is>
      </c>
    </row>
    <row r="707">
      <c r="A707" s="5" t="n">
        <v>702</v>
      </c>
      <c r="B707" s="5" t="inlineStr">
        <is>
          <t>&lt;0</t>
        </is>
      </c>
      <c r="C707" s="5" t="n">
        <v>48</v>
      </c>
      <c r="D707" s="5" t="inlineStr">
        <is>
          <t>critical/other existing credit</t>
        </is>
      </c>
      <c r="E707" s="5" t="inlineStr">
        <is>
          <t>used car</t>
        </is>
      </c>
      <c r="F707" s="5" t="n">
        <v>6331</v>
      </c>
      <c r="G707" s="5" t="inlineStr">
        <is>
          <t>&lt;100</t>
        </is>
      </c>
      <c r="H707" s="5" t="inlineStr">
        <is>
          <t>&gt;=7</t>
        </is>
      </c>
      <c r="I707" s="5" t="n">
        <v>4</v>
      </c>
      <c r="J707" s="5" t="inlineStr">
        <is>
          <t>male single</t>
        </is>
      </c>
      <c r="K707" s="5" t="inlineStr">
        <is>
          <t>none</t>
        </is>
      </c>
      <c r="L707" s="5" t="n">
        <v>4</v>
      </c>
      <c r="M707" s="5" t="inlineStr">
        <is>
          <t>no known property</t>
        </is>
      </c>
      <c r="N707" s="5" t="n">
        <v>46</v>
      </c>
      <c r="O707" s="5" t="inlineStr">
        <is>
          <t>none</t>
        </is>
      </c>
      <c r="P707" s="5" t="inlineStr">
        <is>
          <t>for free</t>
        </is>
      </c>
      <c r="Q707" s="5" t="n">
        <v>2</v>
      </c>
      <c r="R707" s="5" t="inlineStr">
        <is>
          <t>skilled</t>
        </is>
      </c>
      <c r="S707" s="5" t="n">
        <v>1</v>
      </c>
      <c r="T707" s="5" t="inlineStr">
        <is>
          <t>yes</t>
        </is>
      </c>
      <c r="U707" s="5" t="inlineStr">
        <is>
          <t>yes</t>
        </is>
      </c>
      <c r="V707" s="5" t="inlineStr">
        <is>
          <t>bad</t>
        </is>
      </c>
    </row>
    <row r="708">
      <c r="A708" s="5" t="n">
        <v>703</v>
      </c>
      <c r="B708" s="5" t="inlineStr">
        <is>
          <t>&gt;=200</t>
        </is>
      </c>
      <c r="C708" s="5" t="n">
        <v>24</v>
      </c>
      <c r="D708" s="5" t="inlineStr">
        <is>
          <t>existing paid</t>
        </is>
      </c>
      <c r="E708" s="5" t="inlineStr">
        <is>
          <t>radio/tv</t>
        </is>
      </c>
      <c r="F708" s="5" t="n">
        <v>1377</v>
      </c>
      <c r="G708" s="5" t="inlineStr">
        <is>
          <t>100&lt;=X&lt;500</t>
        </is>
      </c>
      <c r="H708" s="5" t="inlineStr">
        <is>
          <t>&gt;=7</t>
        </is>
      </c>
      <c r="I708" s="5" t="n">
        <v>4</v>
      </c>
      <c r="J708" s="5" t="inlineStr">
        <is>
          <t>female div/dep/mar</t>
        </is>
      </c>
      <c r="K708" s="5" t="inlineStr">
        <is>
          <t>none</t>
        </is>
      </c>
      <c r="L708" s="5" t="n">
        <v>2</v>
      </c>
      <c r="M708" s="5" t="inlineStr">
        <is>
          <t>no known property</t>
        </is>
      </c>
      <c r="N708" s="5" t="n">
        <v>47</v>
      </c>
      <c r="O708" s="5" t="inlineStr">
        <is>
          <t>none</t>
        </is>
      </c>
      <c r="P708" s="5" t="inlineStr">
        <is>
          <t>for free</t>
        </is>
      </c>
      <c r="Q708" s="5" t="n">
        <v>1</v>
      </c>
      <c r="R708" s="5" t="inlineStr">
        <is>
          <t>skilled</t>
        </is>
      </c>
      <c r="S708" s="5" t="n">
        <v>1</v>
      </c>
      <c r="T708" s="5" t="inlineStr">
        <is>
          <t>yes</t>
        </is>
      </c>
      <c r="U708" s="5" t="inlineStr">
        <is>
          <t>yes</t>
        </is>
      </c>
      <c r="V708" s="5" t="inlineStr">
        <is>
          <t>good</t>
        </is>
      </c>
    </row>
    <row r="709">
      <c r="A709" s="5" t="n">
        <v>704</v>
      </c>
      <c r="B709" s="5" t="inlineStr">
        <is>
          <t>0&lt;=X&lt;200</t>
        </is>
      </c>
      <c r="C709" s="5" t="n">
        <v>30</v>
      </c>
      <c r="D709" s="5" t="inlineStr">
        <is>
          <t>delayed previously</t>
        </is>
      </c>
      <c r="E709" s="5" t="inlineStr">
        <is>
          <t>business</t>
        </is>
      </c>
      <c r="F709" s="5" t="n">
        <v>2503</v>
      </c>
      <c r="G709" s="5" t="inlineStr">
        <is>
          <t>100&lt;=X&lt;500</t>
        </is>
      </c>
      <c r="H709" s="5" t="inlineStr">
        <is>
          <t>&gt;=7</t>
        </is>
      </c>
      <c r="I709" s="5" t="n">
        <v>4</v>
      </c>
      <c r="J709" s="5" t="inlineStr">
        <is>
          <t>male single</t>
        </is>
      </c>
      <c r="K709" s="5" t="inlineStr">
        <is>
          <t>none</t>
        </is>
      </c>
      <c r="L709" s="5" t="n">
        <v>2</v>
      </c>
      <c r="M709" s="5" t="inlineStr">
        <is>
          <t>life insurance</t>
        </is>
      </c>
      <c r="N709" s="5" t="n">
        <v>41</v>
      </c>
      <c r="O709" s="5" t="inlineStr">
        <is>
          <t>stores</t>
        </is>
      </c>
      <c r="P709" s="5" t="inlineStr">
        <is>
          <t>own</t>
        </is>
      </c>
      <c r="Q709" s="5" t="n">
        <v>2</v>
      </c>
      <c r="R709" s="5" t="inlineStr">
        <is>
          <t>skilled</t>
        </is>
      </c>
      <c r="S709" s="5" t="n">
        <v>1</v>
      </c>
      <c r="T709" s="5" t="inlineStr">
        <is>
          <t>none</t>
        </is>
      </c>
      <c r="U709" s="5" t="inlineStr">
        <is>
          <t>yes</t>
        </is>
      </c>
      <c r="V709" s="5" t="inlineStr">
        <is>
          <t>good</t>
        </is>
      </c>
    </row>
    <row r="710">
      <c r="A710" s="5" t="n">
        <v>705</v>
      </c>
      <c r="B710" s="5" t="inlineStr">
        <is>
          <t>0&lt;=X&lt;200</t>
        </is>
      </c>
      <c r="C710" s="5" t="n">
        <v>27</v>
      </c>
      <c r="D710" s="5" t="inlineStr">
        <is>
          <t>existing paid</t>
        </is>
      </c>
      <c r="E710" s="5" t="inlineStr">
        <is>
          <t>business</t>
        </is>
      </c>
      <c r="F710" s="5" t="n">
        <v>2528</v>
      </c>
      <c r="G710" s="5" t="inlineStr">
        <is>
          <t>&lt;100</t>
        </is>
      </c>
      <c r="H710" s="5" t="inlineStr">
        <is>
          <t>&lt;1</t>
        </is>
      </c>
      <c r="I710" s="5" t="n">
        <v>4</v>
      </c>
      <c r="J710" s="5" t="inlineStr">
        <is>
          <t>female div/dep/mar</t>
        </is>
      </c>
      <c r="K710" s="5" t="inlineStr">
        <is>
          <t>none</t>
        </is>
      </c>
      <c r="L710" s="5" t="n">
        <v>1</v>
      </c>
      <c r="M710" s="5" t="inlineStr">
        <is>
          <t>life insurance</t>
        </is>
      </c>
      <c r="N710" s="5" t="n">
        <v>32</v>
      </c>
      <c r="O710" s="5" t="inlineStr">
        <is>
          <t>none</t>
        </is>
      </c>
      <c r="P710" s="5" t="inlineStr">
        <is>
          <t>own</t>
        </is>
      </c>
      <c r="Q710" s="5" t="n">
        <v>1</v>
      </c>
      <c r="R710" s="5" t="inlineStr">
        <is>
          <t>skilled</t>
        </is>
      </c>
      <c r="S710" s="5" t="n">
        <v>2</v>
      </c>
      <c r="T710" s="5" t="inlineStr">
        <is>
          <t>yes</t>
        </is>
      </c>
      <c r="U710" s="5" t="inlineStr">
        <is>
          <t>yes</t>
        </is>
      </c>
      <c r="V710" s="5" t="inlineStr">
        <is>
          <t>good</t>
        </is>
      </c>
    </row>
    <row r="711">
      <c r="A711" s="5" t="n">
        <v>706</v>
      </c>
      <c r="B711" s="5" t="inlineStr">
        <is>
          <t>no checking</t>
        </is>
      </c>
      <c r="C711" s="5" t="n">
        <v>15</v>
      </c>
      <c r="D711" s="5" t="inlineStr">
        <is>
          <t>existing paid</t>
        </is>
      </c>
      <c r="E711" s="5" t="inlineStr">
        <is>
          <t>new car</t>
        </is>
      </c>
      <c r="F711" s="5" t="n">
        <v>5324</v>
      </c>
      <c r="G711" s="5" t="inlineStr">
        <is>
          <t>500&lt;=X&lt;1000</t>
        </is>
      </c>
      <c r="H711" s="5" t="inlineStr">
        <is>
          <t>&gt;=7</t>
        </is>
      </c>
      <c r="I711" s="5" t="n">
        <v>1</v>
      </c>
      <c r="J711" s="5" t="inlineStr">
        <is>
          <t>female div/dep/mar</t>
        </is>
      </c>
      <c r="K711" s="5" t="inlineStr">
        <is>
          <t>none</t>
        </is>
      </c>
      <c r="L711" s="5" t="n">
        <v>4</v>
      </c>
      <c r="M711" s="5" t="inlineStr">
        <is>
          <t>no known property</t>
        </is>
      </c>
      <c r="N711" s="5" t="n">
        <v>35</v>
      </c>
      <c r="O711" s="5" t="inlineStr">
        <is>
          <t>none</t>
        </is>
      </c>
      <c r="P711" s="5" t="inlineStr">
        <is>
          <t>for free</t>
        </is>
      </c>
      <c r="Q711" s="5" t="n">
        <v>1</v>
      </c>
      <c r="R711" s="5" t="inlineStr">
        <is>
          <t>skilled</t>
        </is>
      </c>
      <c r="S711" s="5" t="n">
        <v>1</v>
      </c>
      <c r="T711" s="5" t="inlineStr">
        <is>
          <t>none</t>
        </is>
      </c>
      <c r="U711" s="5" t="inlineStr">
        <is>
          <t>yes</t>
        </is>
      </c>
      <c r="V711" s="5" t="inlineStr">
        <is>
          <t>good</t>
        </is>
      </c>
    </row>
    <row r="712">
      <c r="A712" s="5" t="n">
        <v>707</v>
      </c>
      <c r="B712" s="5" t="inlineStr">
        <is>
          <t>0&lt;=X&lt;200</t>
        </is>
      </c>
      <c r="C712" s="5" t="n">
        <v>48</v>
      </c>
      <c r="D712" s="5" t="inlineStr">
        <is>
          <t>existing paid</t>
        </is>
      </c>
      <c r="E712" s="5" t="inlineStr">
        <is>
          <t>new car</t>
        </is>
      </c>
      <c r="F712" s="5" t="n">
        <v>6560</v>
      </c>
      <c r="G712" s="5" t="inlineStr">
        <is>
          <t>100&lt;=X&lt;500</t>
        </is>
      </c>
      <c r="H712" s="5" t="inlineStr">
        <is>
          <t>4&lt;=X&lt;7</t>
        </is>
      </c>
      <c r="I712" s="5" t="n">
        <v>3</v>
      </c>
      <c r="J712" s="5" t="inlineStr">
        <is>
          <t>male single</t>
        </is>
      </c>
      <c r="K712" s="5" t="inlineStr">
        <is>
          <t>none</t>
        </is>
      </c>
      <c r="L712" s="5" t="n">
        <v>2</v>
      </c>
      <c r="M712" s="5" t="inlineStr">
        <is>
          <t>life insurance</t>
        </is>
      </c>
      <c r="N712" s="5" t="n">
        <v>24</v>
      </c>
      <c r="O712" s="5" t="inlineStr">
        <is>
          <t>none</t>
        </is>
      </c>
      <c r="P712" s="5" t="inlineStr">
        <is>
          <t>own</t>
        </is>
      </c>
      <c r="Q712" s="5" t="n">
        <v>1</v>
      </c>
      <c r="R712" s="5" t="inlineStr">
        <is>
          <t>skilled</t>
        </is>
      </c>
      <c r="S712" s="5" t="n">
        <v>1</v>
      </c>
      <c r="T712" s="5" t="inlineStr">
        <is>
          <t>none</t>
        </is>
      </c>
      <c r="U712" s="5" t="inlineStr">
        <is>
          <t>yes</t>
        </is>
      </c>
      <c r="V712" s="5" t="inlineStr">
        <is>
          <t>bad</t>
        </is>
      </c>
    </row>
    <row r="713">
      <c r="A713" s="5" t="n">
        <v>708</v>
      </c>
      <c r="B713" s="5" t="inlineStr">
        <is>
          <t>0&lt;=X&lt;200</t>
        </is>
      </c>
      <c r="C713" s="5" t="n">
        <v>12</v>
      </c>
      <c r="D713" s="5" t="inlineStr">
        <is>
          <t>no credits/all paid</t>
        </is>
      </c>
      <c r="E713" s="5" t="inlineStr">
        <is>
          <t>furniture/equipment</t>
        </is>
      </c>
      <c r="F713" s="5" t="n">
        <v>2969</v>
      </c>
      <c r="G713" s="5" t="inlineStr">
        <is>
          <t>&lt;100</t>
        </is>
      </c>
      <c r="H713" s="5" t="inlineStr">
        <is>
          <t>&lt;1</t>
        </is>
      </c>
      <c r="I713" s="5" t="n">
        <v>4</v>
      </c>
      <c r="J713" s="5" t="inlineStr">
        <is>
          <t>female div/dep/mar</t>
        </is>
      </c>
      <c r="K713" s="5" t="inlineStr">
        <is>
          <t>none</t>
        </is>
      </c>
      <c r="L713" s="5" t="n">
        <v>3</v>
      </c>
      <c r="M713" s="5" t="inlineStr">
        <is>
          <t>life insurance</t>
        </is>
      </c>
      <c r="N713" s="5" t="n">
        <v>25</v>
      </c>
      <c r="O713" s="5" t="inlineStr">
        <is>
          <t>none</t>
        </is>
      </c>
      <c r="P713" s="5" t="inlineStr">
        <is>
          <t>rent</t>
        </is>
      </c>
      <c r="Q713" s="5" t="n">
        <v>2</v>
      </c>
      <c r="R713" s="5" t="inlineStr">
        <is>
          <t>skilled</t>
        </is>
      </c>
      <c r="S713" s="5" t="n">
        <v>1</v>
      </c>
      <c r="T713" s="5" t="inlineStr">
        <is>
          <t>none</t>
        </is>
      </c>
      <c r="U713" s="5" t="inlineStr">
        <is>
          <t>yes</t>
        </is>
      </c>
      <c r="V713" s="5" t="inlineStr">
        <is>
          <t>bad</t>
        </is>
      </c>
    </row>
    <row r="714">
      <c r="A714" s="5" t="n">
        <v>709</v>
      </c>
      <c r="B714" s="5" t="inlineStr">
        <is>
          <t>0&lt;=X&lt;200</t>
        </is>
      </c>
      <c r="C714" s="5" t="n">
        <v>9</v>
      </c>
      <c r="D714" s="5" t="inlineStr">
        <is>
          <t>existing paid</t>
        </is>
      </c>
      <c r="E714" s="5" t="inlineStr">
        <is>
          <t>radio/tv</t>
        </is>
      </c>
      <c r="F714" s="5" t="n">
        <v>1206</v>
      </c>
      <c r="G714" s="5" t="inlineStr">
        <is>
          <t>&lt;100</t>
        </is>
      </c>
      <c r="H714" s="5" t="inlineStr">
        <is>
          <t>&gt;=7</t>
        </is>
      </c>
      <c r="I714" s="5" t="n">
        <v>4</v>
      </c>
      <c r="J714" s="5" t="inlineStr">
        <is>
          <t>female div/dep/mar</t>
        </is>
      </c>
      <c r="K714" s="5" t="inlineStr">
        <is>
          <t>none</t>
        </is>
      </c>
      <c r="L714" s="5" t="n">
        <v>4</v>
      </c>
      <c r="M714" s="5" t="inlineStr">
        <is>
          <t>real estate</t>
        </is>
      </c>
      <c r="N714" s="5" t="n">
        <v>25</v>
      </c>
      <c r="O714" s="5" t="inlineStr">
        <is>
          <t>none</t>
        </is>
      </c>
      <c r="P714" s="5" t="inlineStr">
        <is>
          <t>own</t>
        </is>
      </c>
      <c r="Q714" s="5" t="n">
        <v>1</v>
      </c>
      <c r="R714" s="5" t="inlineStr">
        <is>
          <t>skilled</t>
        </is>
      </c>
      <c r="S714" s="5" t="n">
        <v>1</v>
      </c>
      <c r="T714" s="5" t="inlineStr">
        <is>
          <t>none</t>
        </is>
      </c>
      <c r="U714" s="5" t="inlineStr">
        <is>
          <t>yes</t>
        </is>
      </c>
      <c r="V714" s="5" t="inlineStr">
        <is>
          <t>good</t>
        </is>
      </c>
    </row>
    <row r="715">
      <c r="A715" s="5" t="n">
        <v>710</v>
      </c>
      <c r="B715" s="5" t="inlineStr">
        <is>
          <t>0&lt;=X&lt;200</t>
        </is>
      </c>
      <c r="C715" s="5" t="n">
        <v>9</v>
      </c>
      <c r="D715" s="5" t="inlineStr">
        <is>
          <t>existing paid</t>
        </is>
      </c>
      <c r="E715" s="5" t="inlineStr">
        <is>
          <t>radio/tv</t>
        </is>
      </c>
      <c r="F715" s="5" t="n">
        <v>2118</v>
      </c>
      <c r="G715" s="5" t="inlineStr">
        <is>
          <t>&lt;100</t>
        </is>
      </c>
      <c r="H715" s="5" t="inlineStr">
        <is>
          <t>1&lt;=X&lt;4</t>
        </is>
      </c>
      <c r="I715" s="5" t="n">
        <v>2</v>
      </c>
      <c r="J715" s="5" t="inlineStr">
        <is>
          <t>male single</t>
        </is>
      </c>
      <c r="K715" s="5" t="inlineStr">
        <is>
          <t>none</t>
        </is>
      </c>
      <c r="L715" s="5" t="n">
        <v>2</v>
      </c>
      <c r="M715" s="5" t="inlineStr">
        <is>
          <t>real estate</t>
        </is>
      </c>
      <c r="N715" s="5" t="n">
        <v>37</v>
      </c>
      <c r="O715" s="5" t="inlineStr">
        <is>
          <t>none</t>
        </is>
      </c>
      <c r="P715" s="5" t="inlineStr">
        <is>
          <t>own</t>
        </is>
      </c>
      <c r="Q715" s="5" t="n">
        <v>1</v>
      </c>
      <c r="R715" s="5" t="inlineStr">
        <is>
          <t>unskilled resident</t>
        </is>
      </c>
      <c r="S715" s="5" t="n">
        <v>2</v>
      </c>
      <c r="T715" s="5" t="inlineStr">
        <is>
          <t>none</t>
        </is>
      </c>
      <c r="U715" s="5" t="inlineStr">
        <is>
          <t>yes</t>
        </is>
      </c>
      <c r="V715" s="5" t="inlineStr">
        <is>
          <t>good</t>
        </is>
      </c>
    </row>
    <row r="716">
      <c r="A716" s="5" t="n">
        <v>711</v>
      </c>
      <c r="B716" s="5" t="inlineStr">
        <is>
          <t>no checking</t>
        </is>
      </c>
      <c r="C716" s="5" t="n">
        <v>18</v>
      </c>
      <c r="D716" s="5" t="inlineStr">
        <is>
          <t>critical/other existing credit</t>
        </is>
      </c>
      <c r="E716" s="5" t="inlineStr">
        <is>
          <t>radio/tv</t>
        </is>
      </c>
      <c r="F716" s="5" t="n">
        <v>629</v>
      </c>
      <c r="G716" s="5" t="inlineStr">
        <is>
          <t>500&lt;=X&lt;1000</t>
        </is>
      </c>
      <c r="H716" s="5" t="inlineStr">
        <is>
          <t>&gt;=7</t>
        </is>
      </c>
      <c r="I716" s="5" t="n">
        <v>4</v>
      </c>
      <c r="J716" s="5" t="inlineStr">
        <is>
          <t>male single</t>
        </is>
      </c>
      <c r="K716" s="5" t="inlineStr">
        <is>
          <t>none</t>
        </is>
      </c>
      <c r="L716" s="5" t="n">
        <v>3</v>
      </c>
      <c r="M716" s="5" t="inlineStr">
        <is>
          <t>life insurance</t>
        </is>
      </c>
      <c r="N716" s="5" t="n">
        <v>32</v>
      </c>
      <c r="O716" s="5" t="inlineStr">
        <is>
          <t>bank</t>
        </is>
      </c>
      <c r="P716" s="5" t="inlineStr">
        <is>
          <t>own</t>
        </is>
      </c>
      <c r="Q716" s="5" t="n">
        <v>2</v>
      </c>
      <c r="R716" s="5" t="inlineStr">
        <is>
          <t>high qualif/self emp/mgmt</t>
        </is>
      </c>
      <c r="S716" s="5" t="n">
        <v>1</v>
      </c>
      <c r="T716" s="5" t="inlineStr">
        <is>
          <t>yes</t>
        </is>
      </c>
      <c r="U716" s="5" t="inlineStr">
        <is>
          <t>yes</t>
        </is>
      </c>
      <c r="V716" s="5" t="inlineStr">
        <is>
          <t>good</t>
        </is>
      </c>
    </row>
    <row r="717">
      <c r="A717" s="5" t="n">
        <v>712</v>
      </c>
      <c r="B717" s="5" t="inlineStr">
        <is>
          <t>&lt;0</t>
        </is>
      </c>
      <c r="C717" s="5" t="n">
        <v>6</v>
      </c>
      <c r="D717" s="5" t="inlineStr">
        <is>
          <t>all paid</t>
        </is>
      </c>
      <c r="E717" s="5" t="inlineStr">
        <is>
          <t>education</t>
        </is>
      </c>
      <c r="F717" s="5" t="n">
        <v>1198</v>
      </c>
      <c r="G717" s="5" t="inlineStr">
        <is>
          <t>&lt;100</t>
        </is>
      </c>
      <c r="H717" s="5" t="inlineStr">
        <is>
          <t>&gt;=7</t>
        </is>
      </c>
      <c r="I717" s="5" t="n">
        <v>4</v>
      </c>
      <c r="J717" s="5" t="inlineStr">
        <is>
          <t>female div/dep/mar</t>
        </is>
      </c>
      <c r="K717" s="5" t="inlineStr">
        <is>
          <t>none</t>
        </is>
      </c>
      <c r="L717" s="5" t="n">
        <v>4</v>
      </c>
      <c r="M717" s="5" t="inlineStr">
        <is>
          <t>no known property</t>
        </is>
      </c>
      <c r="N717" s="5" t="n">
        <v>35</v>
      </c>
      <c r="O717" s="5" t="inlineStr">
        <is>
          <t>none</t>
        </is>
      </c>
      <c r="P717" s="5" t="inlineStr">
        <is>
          <t>for free</t>
        </is>
      </c>
      <c r="Q717" s="5" t="n">
        <v>1</v>
      </c>
      <c r="R717" s="5" t="inlineStr">
        <is>
          <t>skilled</t>
        </is>
      </c>
      <c r="S717" s="5" t="n">
        <v>1</v>
      </c>
      <c r="T717" s="5" t="inlineStr">
        <is>
          <t>none</t>
        </is>
      </c>
      <c r="U717" s="5" t="inlineStr">
        <is>
          <t>yes</t>
        </is>
      </c>
      <c r="V717" s="5" t="inlineStr">
        <is>
          <t>bad</t>
        </is>
      </c>
    </row>
    <row r="718">
      <c r="A718" s="5" t="n">
        <v>713</v>
      </c>
      <c r="B718" s="5" t="inlineStr">
        <is>
          <t>no checking</t>
        </is>
      </c>
      <c r="C718" s="5" t="n">
        <v>21</v>
      </c>
      <c r="D718" s="5" t="inlineStr">
        <is>
          <t>existing paid</t>
        </is>
      </c>
      <c r="E718" s="5" t="inlineStr">
        <is>
          <t>used car</t>
        </is>
      </c>
      <c r="F718" s="5" t="n">
        <v>2476</v>
      </c>
      <c r="G718" s="5" t="inlineStr">
        <is>
          <t>no known savings</t>
        </is>
      </c>
      <c r="H718" s="5" t="inlineStr">
        <is>
          <t>&gt;=7</t>
        </is>
      </c>
      <c r="I718" s="5" t="n">
        <v>4</v>
      </c>
      <c r="J718" s="5" t="inlineStr">
        <is>
          <t>male single</t>
        </is>
      </c>
      <c r="K718" s="5" t="inlineStr">
        <is>
          <t>none</t>
        </is>
      </c>
      <c r="L718" s="5" t="n">
        <v>4</v>
      </c>
      <c r="M718" s="5" t="inlineStr">
        <is>
          <t>real estate</t>
        </is>
      </c>
      <c r="N718" s="5" t="n">
        <v>46</v>
      </c>
      <c r="O718" s="5" t="inlineStr">
        <is>
          <t>none</t>
        </is>
      </c>
      <c r="P718" s="5" t="inlineStr">
        <is>
          <t>own</t>
        </is>
      </c>
      <c r="Q718" s="5" t="n">
        <v>1</v>
      </c>
      <c r="R718" s="5" t="inlineStr">
        <is>
          <t>high qualif/self emp/mgmt</t>
        </is>
      </c>
      <c r="S718" s="5" t="n">
        <v>1</v>
      </c>
      <c r="T718" s="5" t="inlineStr">
        <is>
          <t>yes</t>
        </is>
      </c>
      <c r="U718" s="5" t="inlineStr">
        <is>
          <t>yes</t>
        </is>
      </c>
      <c r="V718" s="5" t="inlineStr">
        <is>
          <t>good</t>
        </is>
      </c>
    </row>
    <row r="719">
      <c r="A719" s="5" t="n">
        <v>714</v>
      </c>
      <c r="B719" s="5" t="inlineStr">
        <is>
          <t>&lt;0</t>
        </is>
      </c>
      <c r="C719" s="5" t="n">
        <v>9</v>
      </c>
      <c r="D719" s="5" t="inlineStr">
        <is>
          <t>critical/other existing credit</t>
        </is>
      </c>
      <c r="E719" s="5" t="inlineStr">
        <is>
          <t>radio/tv</t>
        </is>
      </c>
      <c r="F719" s="5" t="n">
        <v>1138</v>
      </c>
      <c r="G719" s="5" t="inlineStr">
        <is>
          <t>&lt;100</t>
        </is>
      </c>
      <c r="H719" s="5" t="inlineStr">
        <is>
          <t>1&lt;=X&lt;4</t>
        </is>
      </c>
      <c r="I719" s="5" t="n">
        <v>4</v>
      </c>
      <c r="J719" s="5" t="inlineStr">
        <is>
          <t>male single</t>
        </is>
      </c>
      <c r="K719" s="5" t="inlineStr">
        <is>
          <t>none</t>
        </is>
      </c>
      <c r="L719" s="5" t="n">
        <v>4</v>
      </c>
      <c r="M719" s="5" t="inlineStr">
        <is>
          <t>real estate</t>
        </is>
      </c>
      <c r="N719" s="5" t="n">
        <v>25</v>
      </c>
      <c r="O719" s="5" t="inlineStr">
        <is>
          <t>none</t>
        </is>
      </c>
      <c r="P719" s="5" t="inlineStr">
        <is>
          <t>own</t>
        </is>
      </c>
      <c r="Q719" s="5" t="n">
        <v>2</v>
      </c>
      <c r="R719" s="5" t="inlineStr">
        <is>
          <t>unskilled resident</t>
        </is>
      </c>
      <c r="S719" s="5" t="n">
        <v>1</v>
      </c>
      <c r="T719" s="5" t="inlineStr">
        <is>
          <t>none</t>
        </is>
      </c>
      <c r="U719" s="5" t="inlineStr">
        <is>
          <t>yes</t>
        </is>
      </c>
      <c r="V719" s="5" t="inlineStr">
        <is>
          <t>good</t>
        </is>
      </c>
    </row>
    <row r="720">
      <c r="A720" s="5" t="n">
        <v>715</v>
      </c>
      <c r="B720" s="5" t="inlineStr">
        <is>
          <t>0&lt;=X&lt;200</t>
        </is>
      </c>
      <c r="C720" s="5" t="n">
        <v>60</v>
      </c>
      <c r="D720" s="5" t="inlineStr">
        <is>
          <t>existing paid</t>
        </is>
      </c>
      <c r="E720" s="5" t="inlineStr">
        <is>
          <t>new car</t>
        </is>
      </c>
      <c r="F720" s="5" t="n">
        <v>14027</v>
      </c>
      <c r="G720" s="5" t="inlineStr">
        <is>
          <t>&lt;100</t>
        </is>
      </c>
      <c r="H720" s="5" t="inlineStr">
        <is>
          <t>4&lt;=X&lt;7</t>
        </is>
      </c>
      <c r="I720" s="5" t="n">
        <v>4</v>
      </c>
      <c r="J720" s="5" t="inlineStr">
        <is>
          <t>male single</t>
        </is>
      </c>
      <c r="K720" s="5" t="inlineStr">
        <is>
          <t>none</t>
        </is>
      </c>
      <c r="L720" s="5" t="n">
        <v>2</v>
      </c>
      <c r="M720" s="5" t="inlineStr">
        <is>
          <t>no known property</t>
        </is>
      </c>
      <c r="N720" s="5" t="n">
        <v>27</v>
      </c>
      <c r="O720" s="5" t="inlineStr">
        <is>
          <t>none</t>
        </is>
      </c>
      <c r="P720" s="5" t="inlineStr">
        <is>
          <t>own</t>
        </is>
      </c>
      <c r="Q720" s="5" t="n">
        <v>1</v>
      </c>
      <c r="R720" s="5" t="inlineStr">
        <is>
          <t>high qualif/self emp/mgmt</t>
        </is>
      </c>
      <c r="S720" s="5" t="n">
        <v>1</v>
      </c>
      <c r="T720" s="5" t="inlineStr">
        <is>
          <t>yes</t>
        </is>
      </c>
      <c r="U720" s="5" t="inlineStr">
        <is>
          <t>yes</t>
        </is>
      </c>
      <c r="V720" s="5" t="inlineStr">
        <is>
          <t>bad</t>
        </is>
      </c>
    </row>
    <row r="721">
      <c r="A721" s="5" t="n">
        <v>716</v>
      </c>
      <c r="B721" s="5" t="inlineStr">
        <is>
          <t>no checking</t>
        </is>
      </c>
      <c r="C721" s="5" t="n">
        <v>30</v>
      </c>
      <c r="D721" s="5" t="inlineStr">
        <is>
          <t>critical/other existing credit</t>
        </is>
      </c>
      <c r="E721" s="5" t="inlineStr">
        <is>
          <t>used car</t>
        </is>
      </c>
      <c r="F721" s="5" t="n">
        <v>7596</v>
      </c>
      <c r="G721" s="5" t="inlineStr">
        <is>
          <t>no known savings</t>
        </is>
      </c>
      <c r="H721" s="5" t="inlineStr">
        <is>
          <t>&gt;=7</t>
        </is>
      </c>
      <c r="I721" s="5" t="n">
        <v>1</v>
      </c>
      <c r="J721" s="5" t="inlineStr">
        <is>
          <t>male single</t>
        </is>
      </c>
      <c r="K721" s="5" t="inlineStr">
        <is>
          <t>none</t>
        </is>
      </c>
      <c r="L721" s="5" t="n">
        <v>4</v>
      </c>
      <c r="M721" s="5" t="inlineStr">
        <is>
          <t>car</t>
        </is>
      </c>
      <c r="N721" s="5" t="n">
        <v>63</v>
      </c>
      <c r="O721" s="5" t="inlineStr">
        <is>
          <t>none</t>
        </is>
      </c>
      <c r="P721" s="5" t="inlineStr">
        <is>
          <t>own</t>
        </is>
      </c>
      <c r="Q721" s="5" t="n">
        <v>2</v>
      </c>
      <c r="R721" s="5" t="inlineStr">
        <is>
          <t>skilled</t>
        </is>
      </c>
      <c r="S721" s="5" t="n">
        <v>1</v>
      </c>
      <c r="T721" s="5" t="inlineStr">
        <is>
          <t>none</t>
        </is>
      </c>
      <c r="U721" s="5" t="inlineStr">
        <is>
          <t>yes</t>
        </is>
      </c>
      <c r="V721" s="5" t="inlineStr">
        <is>
          <t>good</t>
        </is>
      </c>
    </row>
    <row r="722">
      <c r="A722" s="5" t="n">
        <v>717</v>
      </c>
      <c r="B722" s="5" t="inlineStr">
        <is>
          <t>no checking</t>
        </is>
      </c>
      <c r="C722" s="5" t="n">
        <v>30</v>
      </c>
      <c r="D722" s="5" t="inlineStr">
        <is>
          <t>critical/other existing credit</t>
        </is>
      </c>
      <c r="E722" s="5" t="inlineStr">
        <is>
          <t>radio/tv</t>
        </is>
      </c>
      <c r="F722" s="5" t="n">
        <v>3077</v>
      </c>
      <c r="G722" s="5" t="inlineStr">
        <is>
          <t>no known savings</t>
        </is>
      </c>
      <c r="H722" s="5" t="inlineStr">
        <is>
          <t>&gt;=7</t>
        </is>
      </c>
      <c r="I722" s="5" t="n">
        <v>3</v>
      </c>
      <c r="J722" s="5" t="inlineStr">
        <is>
          <t>male single</t>
        </is>
      </c>
      <c r="K722" s="5" t="inlineStr">
        <is>
          <t>none</t>
        </is>
      </c>
      <c r="L722" s="5" t="n">
        <v>2</v>
      </c>
      <c r="M722" s="5" t="inlineStr">
        <is>
          <t>car</t>
        </is>
      </c>
      <c r="N722" s="5" t="n">
        <v>40</v>
      </c>
      <c r="O722" s="5" t="inlineStr">
        <is>
          <t>none</t>
        </is>
      </c>
      <c r="P722" s="5" t="inlineStr">
        <is>
          <t>own</t>
        </is>
      </c>
      <c r="Q722" s="5" t="n">
        <v>2</v>
      </c>
      <c r="R722" s="5" t="inlineStr">
        <is>
          <t>skilled</t>
        </is>
      </c>
      <c r="S722" s="5" t="n">
        <v>2</v>
      </c>
      <c r="T722" s="5" t="inlineStr">
        <is>
          <t>yes</t>
        </is>
      </c>
      <c r="U722" s="5" t="inlineStr">
        <is>
          <t>yes</t>
        </is>
      </c>
      <c r="V722" s="5" t="inlineStr">
        <is>
          <t>good</t>
        </is>
      </c>
    </row>
    <row r="723">
      <c r="A723" s="5" t="n">
        <v>718</v>
      </c>
      <c r="B723" s="5" t="inlineStr">
        <is>
          <t>no checking</t>
        </is>
      </c>
      <c r="C723" s="5" t="n">
        <v>18</v>
      </c>
      <c r="D723" s="5" t="inlineStr">
        <is>
          <t>existing paid</t>
        </is>
      </c>
      <c r="E723" s="5" t="inlineStr">
        <is>
          <t>radio/tv</t>
        </is>
      </c>
      <c r="F723" s="5" t="n">
        <v>1505</v>
      </c>
      <c r="G723" s="5" t="inlineStr">
        <is>
          <t>&lt;100</t>
        </is>
      </c>
      <c r="H723" s="5" t="inlineStr">
        <is>
          <t>1&lt;=X&lt;4</t>
        </is>
      </c>
      <c r="I723" s="5" t="n">
        <v>4</v>
      </c>
      <c r="J723" s="5" t="inlineStr">
        <is>
          <t>male single</t>
        </is>
      </c>
      <c r="K723" s="5" t="inlineStr">
        <is>
          <t>none</t>
        </is>
      </c>
      <c r="L723" s="5" t="n">
        <v>2</v>
      </c>
      <c r="M723" s="5" t="inlineStr">
        <is>
          <t>no known property</t>
        </is>
      </c>
      <c r="N723" s="5" t="n">
        <v>32</v>
      </c>
      <c r="O723" s="5" t="inlineStr">
        <is>
          <t>none</t>
        </is>
      </c>
      <c r="P723" s="5" t="inlineStr">
        <is>
          <t>for free</t>
        </is>
      </c>
      <c r="Q723" s="5" t="n">
        <v>1</v>
      </c>
      <c r="R723" s="5" t="inlineStr">
        <is>
          <t>high qualif/self emp/mgmt</t>
        </is>
      </c>
      <c r="S723" s="5" t="n">
        <v>1</v>
      </c>
      <c r="T723" s="5" t="inlineStr">
        <is>
          <t>yes</t>
        </is>
      </c>
      <c r="U723" s="5" t="inlineStr">
        <is>
          <t>yes</t>
        </is>
      </c>
      <c r="V723" s="5" t="inlineStr">
        <is>
          <t>good</t>
        </is>
      </c>
    </row>
    <row r="724">
      <c r="A724" s="5" t="n">
        <v>719</v>
      </c>
      <c r="B724" s="5" t="inlineStr">
        <is>
          <t>&gt;=200</t>
        </is>
      </c>
      <c r="C724" s="5" t="n">
        <v>24</v>
      </c>
      <c r="D724" s="5" t="inlineStr">
        <is>
          <t>critical/other existing credit</t>
        </is>
      </c>
      <c r="E724" s="5" t="inlineStr">
        <is>
          <t>radio/tv</t>
        </is>
      </c>
      <c r="F724" s="5" t="n">
        <v>3148</v>
      </c>
      <c r="G724" s="5" t="inlineStr">
        <is>
          <t>no known savings</t>
        </is>
      </c>
      <c r="H724" s="5" t="inlineStr">
        <is>
          <t>1&lt;=X&lt;4</t>
        </is>
      </c>
      <c r="I724" s="5" t="n">
        <v>3</v>
      </c>
      <c r="J724" s="5" t="inlineStr">
        <is>
          <t>male single</t>
        </is>
      </c>
      <c r="K724" s="5" t="inlineStr">
        <is>
          <t>none</t>
        </is>
      </c>
      <c r="L724" s="5" t="n">
        <v>2</v>
      </c>
      <c r="M724" s="5" t="inlineStr">
        <is>
          <t>car</t>
        </is>
      </c>
      <c r="N724" s="5" t="n">
        <v>31</v>
      </c>
      <c r="O724" s="5" t="inlineStr">
        <is>
          <t>none</t>
        </is>
      </c>
      <c r="P724" s="5" t="inlineStr">
        <is>
          <t>own</t>
        </is>
      </c>
      <c r="Q724" s="5" t="n">
        <v>2</v>
      </c>
      <c r="R724" s="5" t="inlineStr">
        <is>
          <t>skilled</t>
        </is>
      </c>
      <c r="S724" s="5" t="n">
        <v>1</v>
      </c>
      <c r="T724" s="5" t="inlineStr">
        <is>
          <t>yes</t>
        </is>
      </c>
      <c r="U724" s="5" t="inlineStr">
        <is>
          <t>yes</t>
        </is>
      </c>
      <c r="V724" s="5" t="inlineStr">
        <is>
          <t>good</t>
        </is>
      </c>
    </row>
    <row r="725">
      <c r="A725" s="5" t="n">
        <v>720</v>
      </c>
      <c r="B725" s="5" t="inlineStr">
        <is>
          <t>0&lt;=X&lt;200</t>
        </is>
      </c>
      <c r="C725" s="5" t="n">
        <v>20</v>
      </c>
      <c r="D725" s="5" t="inlineStr">
        <is>
          <t>no credits/all paid</t>
        </is>
      </c>
      <c r="E725" s="5" t="inlineStr">
        <is>
          <t>used car</t>
        </is>
      </c>
      <c r="F725" s="5" t="n">
        <v>6148</v>
      </c>
      <c r="G725" s="5" t="inlineStr">
        <is>
          <t>100&lt;=X&lt;500</t>
        </is>
      </c>
      <c r="H725" s="5" t="inlineStr">
        <is>
          <t>&gt;=7</t>
        </is>
      </c>
      <c r="I725" s="5" t="n">
        <v>3</v>
      </c>
      <c r="J725" s="5" t="inlineStr">
        <is>
          <t>male mar/wid</t>
        </is>
      </c>
      <c r="K725" s="5" t="inlineStr">
        <is>
          <t>none</t>
        </is>
      </c>
      <c r="L725" s="5" t="n">
        <v>4</v>
      </c>
      <c r="M725" s="5" t="inlineStr">
        <is>
          <t>car</t>
        </is>
      </c>
      <c r="N725" s="5" t="n">
        <v>31</v>
      </c>
      <c r="O725" s="5" t="inlineStr">
        <is>
          <t>bank</t>
        </is>
      </c>
      <c r="P725" s="5" t="inlineStr">
        <is>
          <t>own</t>
        </is>
      </c>
      <c r="Q725" s="5" t="n">
        <v>2</v>
      </c>
      <c r="R725" s="5" t="inlineStr">
        <is>
          <t>skilled</t>
        </is>
      </c>
      <c r="S725" s="5" t="n">
        <v>1</v>
      </c>
      <c r="T725" s="5" t="inlineStr">
        <is>
          <t>yes</t>
        </is>
      </c>
      <c r="U725" s="5" t="inlineStr">
        <is>
          <t>yes</t>
        </is>
      </c>
      <c r="V725" s="5" t="inlineStr">
        <is>
          <t>good</t>
        </is>
      </c>
    </row>
    <row r="726">
      <c r="A726" s="5" t="n">
        <v>721</v>
      </c>
      <c r="B726" s="5" t="inlineStr">
        <is>
          <t>&gt;=200</t>
        </is>
      </c>
      <c r="C726" s="5" t="n">
        <v>9</v>
      </c>
      <c r="D726" s="5" t="inlineStr">
        <is>
          <t>no credits/all paid</t>
        </is>
      </c>
      <c r="E726" s="5" t="inlineStr">
        <is>
          <t>radio/tv</t>
        </is>
      </c>
      <c r="F726" s="5" t="n">
        <v>1337</v>
      </c>
      <c r="G726" s="5" t="inlineStr">
        <is>
          <t>&lt;100</t>
        </is>
      </c>
      <c r="H726" s="5" t="inlineStr">
        <is>
          <t>&lt;1</t>
        </is>
      </c>
      <c r="I726" s="5" t="n">
        <v>4</v>
      </c>
      <c r="J726" s="5" t="inlineStr">
        <is>
          <t>male single</t>
        </is>
      </c>
      <c r="K726" s="5" t="inlineStr">
        <is>
          <t>none</t>
        </is>
      </c>
      <c r="L726" s="5" t="n">
        <v>2</v>
      </c>
      <c r="M726" s="5" t="inlineStr">
        <is>
          <t>car</t>
        </is>
      </c>
      <c r="N726" s="5" t="n">
        <v>34</v>
      </c>
      <c r="O726" s="5" t="inlineStr">
        <is>
          <t>none</t>
        </is>
      </c>
      <c r="P726" s="5" t="inlineStr">
        <is>
          <t>own</t>
        </is>
      </c>
      <c r="Q726" s="5" t="n">
        <v>2</v>
      </c>
      <c r="R726" s="5" t="inlineStr">
        <is>
          <t>high qualif/self emp/mgmt</t>
        </is>
      </c>
      <c r="S726" s="5" t="n">
        <v>1</v>
      </c>
      <c r="T726" s="5" t="inlineStr">
        <is>
          <t>yes</t>
        </is>
      </c>
      <c r="U726" s="5" t="inlineStr">
        <is>
          <t>yes</t>
        </is>
      </c>
      <c r="V726" s="5" t="inlineStr">
        <is>
          <t>bad</t>
        </is>
      </c>
    </row>
    <row r="727">
      <c r="A727" s="5" t="n">
        <v>722</v>
      </c>
      <c r="B727" s="5" t="inlineStr">
        <is>
          <t>0&lt;=X&lt;200</t>
        </is>
      </c>
      <c r="C727" s="5" t="n">
        <v>6</v>
      </c>
      <c r="D727" s="5" t="inlineStr">
        <is>
          <t>all paid</t>
        </is>
      </c>
      <c r="E727" s="5" t="inlineStr">
        <is>
          <t>education</t>
        </is>
      </c>
      <c r="F727" s="5" t="n">
        <v>433</v>
      </c>
      <c r="G727" s="5" t="inlineStr">
        <is>
          <t>&gt;=1000</t>
        </is>
      </c>
      <c r="H727" s="5" t="inlineStr">
        <is>
          <t>&lt;1</t>
        </is>
      </c>
      <c r="I727" s="5" t="n">
        <v>4</v>
      </c>
      <c r="J727" s="5" t="inlineStr">
        <is>
          <t>female div/dep/mar</t>
        </is>
      </c>
      <c r="K727" s="5" t="inlineStr">
        <is>
          <t>none</t>
        </is>
      </c>
      <c r="L727" s="5" t="n">
        <v>2</v>
      </c>
      <c r="M727" s="5" t="inlineStr">
        <is>
          <t>life insurance</t>
        </is>
      </c>
      <c r="N727" s="5" t="n">
        <v>24</v>
      </c>
      <c r="O727" s="5" t="inlineStr">
        <is>
          <t>bank</t>
        </is>
      </c>
      <c r="P727" s="5" t="inlineStr">
        <is>
          <t>rent</t>
        </is>
      </c>
      <c r="Q727" s="5" t="n">
        <v>1</v>
      </c>
      <c r="R727" s="5" t="inlineStr">
        <is>
          <t>skilled</t>
        </is>
      </c>
      <c r="S727" s="5" t="n">
        <v>2</v>
      </c>
      <c r="T727" s="5" t="inlineStr">
        <is>
          <t>none</t>
        </is>
      </c>
      <c r="U727" s="5" t="inlineStr">
        <is>
          <t>yes</t>
        </is>
      </c>
      <c r="V727" s="5" t="inlineStr">
        <is>
          <t>bad</t>
        </is>
      </c>
    </row>
    <row r="728">
      <c r="A728" s="5" t="n">
        <v>723</v>
      </c>
      <c r="B728" s="5" t="inlineStr">
        <is>
          <t>&lt;0</t>
        </is>
      </c>
      <c r="C728" s="5" t="n">
        <v>12</v>
      </c>
      <c r="D728" s="5" t="inlineStr">
        <is>
          <t>existing paid</t>
        </is>
      </c>
      <c r="E728" s="5" t="inlineStr">
        <is>
          <t>new car</t>
        </is>
      </c>
      <c r="F728" s="5" t="n">
        <v>1228</v>
      </c>
      <c r="G728" s="5" t="inlineStr">
        <is>
          <t>&lt;100</t>
        </is>
      </c>
      <c r="H728" s="5" t="inlineStr">
        <is>
          <t>1&lt;=X&lt;4</t>
        </is>
      </c>
      <c r="I728" s="5" t="n">
        <v>4</v>
      </c>
      <c r="J728" s="5" t="inlineStr">
        <is>
          <t>female div/dep/mar</t>
        </is>
      </c>
      <c r="K728" s="5" t="inlineStr">
        <is>
          <t>none</t>
        </is>
      </c>
      <c r="L728" s="5" t="n">
        <v>2</v>
      </c>
      <c r="M728" s="5" t="inlineStr">
        <is>
          <t>real estate</t>
        </is>
      </c>
      <c r="N728" s="5" t="n">
        <v>24</v>
      </c>
      <c r="O728" s="5" t="inlineStr">
        <is>
          <t>none</t>
        </is>
      </c>
      <c r="P728" s="5" t="inlineStr">
        <is>
          <t>own</t>
        </is>
      </c>
      <c r="Q728" s="5" t="n">
        <v>1</v>
      </c>
      <c r="R728" s="5" t="inlineStr">
        <is>
          <t>unskilled resident</t>
        </is>
      </c>
      <c r="S728" s="5" t="n">
        <v>1</v>
      </c>
      <c r="T728" s="5" t="inlineStr">
        <is>
          <t>none</t>
        </is>
      </c>
      <c r="U728" s="5" t="inlineStr">
        <is>
          <t>yes</t>
        </is>
      </c>
      <c r="V728" s="5" t="inlineStr">
        <is>
          <t>bad</t>
        </is>
      </c>
    </row>
    <row r="729">
      <c r="A729" s="5" t="n">
        <v>724</v>
      </c>
      <c r="B729" s="5" t="inlineStr">
        <is>
          <t>0&lt;=X&lt;200</t>
        </is>
      </c>
      <c r="C729" s="5" t="n">
        <v>9</v>
      </c>
      <c r="D729" s="5" t="inlineStr">
        <is>
          <t>existing paid</t>
        </is>
      </c>
      <c r="E729" s="5" t="inlineStr">
        <is>
          <t>radio/tv</t>
        </is>
      </c>
      <c r="F729" s="5" t="n">
        <v>790</v>
      </c>
      <c r="G729" s="5" t="inlineStr">
        <is>
          <t>500&lt;=X&lt;1000</t>
        </is>
      </c>
      <c r="H729" s="5" t="inlineStr">
        <is>
          <t>1&lt;=X&lt;4</t>
        </is>
      </c>
      <c r="I729" s="5" t="n">
        <v>4</v>
      </c>
      <c r="J729" s="5" t="inlineStr">
        <is>
          <t>female div/dep/mar</t>
        </is>
      </c>
      <c r="K729" s="5" t="inlineStr">
        <is>
          <t>none</t>
        </is>
      </c>
      <c r="L729" s="5" t="n">
        <v>3</v>
      </c>
      <c r="M729" s="5" t="inlineStr">
        <is>
          <t>real estate</t>
        </is>
      </c>
      <c r="N729" s="5" t="n">
        <v>66</v>
      </c>
      <c r="O729" s="5" t="inlineStr">
        <is>
          <t>none</t>
        </is>
      </c>
      <c r="P729" s="5" t="inlineStr">
        <is>
          <t>own</t>
        </is>
      </c>
      <c r="Q729" s="5" t="n">
        <v>1</v>
      </c>
      <c r="R729" s="5" t="inlineStr">
        <is>
          <t>unskilled resident</t>
        </is>
      </c>
      <c r="S729" s="5" t="n">
        <v>1</v>
      </c>
      <c r="T729" s="5" t="inlineStr">
        <is>
          <t>none</t>
        </is>
      </c>
      <c r="U729" s="5" t="inlineStr">
        <is>
          <t>yes</t>
        </is>
      </c>
      <c r="V729" s="5" t="inlineStr">
        <is>
          <t>good</t>
        </is>
      </c>
    </row>
    <row r="730">
      <c r="A730" s="5" t="n">
        <v>725</v>
      </c>
      <c r="B730" s="5" t="inlineStr">
        <is>
          <t>no checking</t>
        </is>
      </c>
      <c r="C730" s="5" t="n">
        <v>27</v>
      </c>
      <c r="D730" s="5" t="inlineStr">
        <is>
          <t>existing paid</t>
        </is>
      </c>
      <c r="E730" s="5" t="inlineStr">
        <is>
          <t>new car</t>
        </is>
      </c>
      <c r="F730" s="5" t="n">
        <v>2570</v>
      </c>
      <c r="G730" s="5" t="inlineStr">
        <is>
          <t>&lt;100</t>
        </is>
      </c>
      <c r="H730" s="5" t="inlineStr">
        <is>
          <t>1&lt;=X&lt;4</t>
        </is>
      </c>
      <c r="I730" s="5" t="n">
        <v>3</v>
      </c>
      <c r="J730" s="5" t="inlineStr">
        <is>
          <t>female div/dep/mar</t>
        </is>
      </c>
      <c r="K730" s="5" t="inlineStr">
        <is>
          <t>none</t>
        </is>
      </c>
      <c r="L730" s="5" t="n">
        <v>3</v>
      </c>
      <c r="M730" s="5" t="inlineStr">
        <is>
          <t>real estate</t>
        </is>
      </c>
      <c r="N730" s="5" t="n">
        <v>21</v>
      </c>
      <c r="O730" s="5" t="inlineStr">
        <is>
          <t>none</t>
        </is>
      </c>
      <c r="P730" s="5" t="inlineStr">
        <is>
          <t>rent</t>
        </is>
      </c>
      <c r="Q730" s="5" t="n">
        <v>1</v>
      </c>
      <c r="R730" s="5" t="inlineStr">
        <is>
          <t>skilled</t>
        </is>
      </c>
      <c r="S730" s="5" t="n">
        <v>1</v>
      </c>
      <c r="T730" s="5" t="inlineStr">
        <is>
          <t>none</t>
        </is>
      </c>
      <c r="U730" s="5" t="inlineStr">
        <is>
          <t>yes</t>
        </is>
      </c>
      <c r="V730" s="5" t="inlineStr">
        <is>
          <t>bad</t>
        </is>
      </c>
    </row>
    <row r="731">
      <c r="A731" s="5" t="n">
        <v>726</v>
      </c>
      <c r="B731" s="5" t="inlineStr">
        <is>
          <t>no checking</t>
        </is>
      </c>
      <c r="C731" s="5" t="n">
        <v>6</v>
      </c>
      <c r="D731" s="5" t="inlineStr">
        <is>
          <t>critical/other existing credit</t>
        </is>
      </c>
      <c r="E731" s="5" t="inlineStr">
        <is>
          <t>new car</t>
        </is>
      </c>
      <c r="F731" s="5" t="n">
        <v>250</v>
      </c>
      <c r="G731" s="5" t="inlineStr">
        <is>
          <t>&gt;=1000</t>
        </is>
      </c>
      <c r="H731" s="5" t="inlineStr">
        <is>
          <t>1&lt;=X&lt;4</t>
        </is>
      </c>
      <c r="I731" s="5" t="n">
        <v>2</v>
      </c>
      <c r="J731" s="5" t="inlineStr">
        <is>
          <t>female div/dep/mar</t>
        </is>
      </c>
      <c r="K731" s="5" t="inlineStr">
        <is>
          <t>none</t>
        </is>
      </c>
      <c r="L731" s="5" t="n">
        <v>2</v>
      </c>
      <c r="M731" s="5" t="inlineStr">
        <is>
          <t>real estate</t>
        </is>
      </c>
      <c r="N731" s="5" t="n">
        <v>41</v>
      </c>
      <c r="O731" s="5" t="inlineStr">
        <is>
          <t>bank</t>
        </is>
      </c>
      <c r="P731" s="5" t="inlineStr">
        <is>
          <t>own</t>
        </is>
      </c>
      <c r="Q731" s="5" t="n">
        <v>2</v>
      </c>
      <c r="R731" s="5" t="inlineStr">
        <is>
          <t>unskilled resident</t>
        </is>
      </c>
      <c r="S731" s="5" t="n">
        <v>1</v>
      </c>
      <c r="T731" s="5" t="inlineStr">
        <is>
          <t>none</t>
        </is>
      </c>
      <c r="U731" s="5" t="inlineStr">
        <is>
          <t>yes</t>
        </is>
      </c>
      <c r="V731" s="5" t="inlineStr">
        <is>
          <t>good</t>
        </is>
      </c>
    </row>
    <row r="732">
      <c r="A732" s="5" t="n">
        <v>727</v>
      </c>
      <c r="B732" s="5" t="inlineStr">
        <is>
          <t>no checking</t>
        </is>
      </c>
      <c r="C732" s="5" t="n">
        <v>15</v>
      </c>
      <c r="D732" s="5" t="inlineStr">
        <is>
          <t>critical/other existing credit</t>
        </is>
      </c>
      <c r="E732" s="5" t="inlineStr">
        <is>
          <t>radio/tv</t>
        </is>
      </c>
      <c r="F732" s="5" t="n">
        <v>1316</v>
      </c>
      <c r="G732" s="5" t="inlineStr">
        <is>
          <t>500&lt;=X&lt;1000</t>
        </is>
      </c>
      <c r="H732" s="5" t="inlineStr">
        <is>
          <t>1&lt;=X&lt;4</t>
        </is>
      </c>
      <c r="I732" s="5" t="n">
        <v>2</v>
      </c>
      <c r="J732" s="5" t="inlineStr">
        <is>
          <t>male mar/wid</t>
        </is>
      </c>
      <c r="K732" s="5" t="inlineStr">
        <is>
          <t>none</t>
        </is>
      </c>
      <c r="L732" s="5" t="n">
        <v>2</v>
      </c>
      <c r="M732" s="5" t="inlineStr">
        <is>
          <t>life insurance</t>
        </is>
      </c>
      <c r="N732" s="5" t="n">
        <v>47</v>
      </c>
      <c r="O732" s="5" t="inlineStr">
        <is>
          <t>none</t>
        </is>
      </c>
      <c r="P732" s="5" t="inlineStr">
        <is>
          <t>own</t>
        </is>
      </c>
      <c r="Q732" s="5" t="n">
        <v>2</v>
      </c>
      <c r="R732" s="5" t="inlineStr">
        <is>
          <t>unskilled resident</t>
        </is>
      </c>
      <c r="S732" s="5" t="n">
        <v>1</v>
      </c>
      <c r="T732" s="5" t="inlineStr">
        <is>
          <t>none</t>
        </is>
      </c>
      <c r="U732" s="5" t="inlineStr">
        <is>
          <t>yes</t>
        </is>
      </c>
      <c r="V732" s="5" t="inlineStr">
        <is>
          <t>good</t>
        </is>
      </c>
    </row>
    <row r="733">
      <c r="A733" s="5" t="n">
        <v>728</v>
      </c>
      <c r="B733" s="5" t="inlineStr">
        <is>
          <t>&lt;0</t>
        </is>
      </c>
      <c r="C733" s="5" t="n">
        <v>18</v>
      </c>
      <c r="D733" s="5" t="inlineStr">
        <is>
          <t>existing paid</t>
        </is>
      </c>
      <c r="E733" s="5" t="inlineStr">
        <is>
          <t>radio/tv</t>
        </is>
      </c>
      <c r="F733" s="5" t="n">
        <v>1882</v>
      </c>
      <c r="G733" s="5" t="inlineStr">
        <is>
          <t>&lt;100</t>
        </is>
      </c>
      <c r="H733" s="5" t="inlineStr">
        <is>
          <t>1&lt;=X&lt;4</t>
        </is>
      </c>
      <c r="I733" s="5" t="n">
        <v>4</v>
      </c>
      <c r="J733" s="5" t="inlineStr">
        <is>
          <t>female div/dep/mar</t>
        </is>
      </c>
      <c r="K733" s="5" t="inlineStr">
        <is>
          <t>none</t>
        </is>
      </c>
      <c r="L733" s="5" t="n">
        <v>4</v>
      </c>
      <c r="M733" s="5" t="inlineStr">
        <is>
          <t>car</t>
        </is>
      </c>
      <c r="N733" s="5" t="n">
        <v>25</v>
      </c>
      <c r="O733" s="5" t="inlineStr">
        <is>
          <t>bank</t>
        </is>
      </c>
      <c r="P733" s="5" t="inlineStr">
        <is>
          <t>rent</t>
        </is>
      </c>
      <c r="Q733" s="5" t="n">
        <v>2</v>
      </c>
      <c r="R733" s="5" t="inlineStr">
        <is>
          <t>skilled</t>
        </is>
      </c>
      <c r="S733" s="5" t="n">
        <v>1</v>
      </c>
      <c r="T733" s="5" t="inlineStr">
        <is>
          <t>none</t>
        </is>
      </c>
      <c r="U733" s="5" t="inlineStr">
        <is>
          <t>yes</t>
        </is>
      </c>
      <c r="V733" s="5" t="inlineStr">
        <is>
          <t>bad</t>
        </is>
      </c>
    </row>
    <row r="734">
      <c r="A734" s="5" t="n">
        <v>729</v>
      </c>
      <c r="B734" s="5" t="inlineStr">
        <is>
          <t>0&lt;=X&lt;200</t>
        </is>
      </c>
      <c r="C734" s="5" t="n">
        <v>48</v>
      </c>
      <c r="D734" s="5" t="inlineStr">
        <is>
          <t>all paid</t>
        </is>
      </c>
      <c r="E734" s="5" t="inlineStr">
        <is>
          <t>business</t>
        </is>
      </c>
      <c r="F734" s="5" t="n">
        <v>6416</v>
      </c>
      <c r="G734" s="5" t="inlineStr">
        <is>
          <t>&lt;100</t>
        </is>
      </c>
      <c r="H734" s="5" t="inlineStr">
        <is>
          <t>&gt;=7</t>
        </is>
      </c>
      <c r="I734" s="5" t="n">
        <v>4</v>
      </c>
      <c r="J734" s="5" t="inlineStr">
        <is>
          <t>female div/dep/mar</t>
        </is>
      </c>
      <c r="K734" s="5" t="inlineStr">
        <is>
          <t>none</t>
        </is>
      </c>
      <c r="L734" s="5" t="n">
        <v>3</v>
      </c>
      <c r="M734" s="5" t="inlineStr">
        <is>
          <t>no known property</t>
        </is>
      </c>
      <c r="N734" s="5" t="n">
        <v>59</v>
      </c>
      <c r="O734" s="5" t="inlineStr">
        <is>
          <t>none</t>
        </is>
      </c>
      <c r="P734" s="5" t="inlineStr">
        <is>
          <t>rent</t>
        </is>
      </c>
      <c r="Q734" s="5" t="n">
        <v>1</v>
      </c>
      <c r="R734" s="5" t="inlineStr">
        <is>
          <t>skilled</t>
        </is>
      </c>
      <c r="S734" s="5" t="n">
        <v>1</v>
      </c>
      <c r="T734" s="5" t="inlineStr">
        <is>
          <t>none</t>
        </is>
      </c>
      <c r="U734" s="5" t="inlineStr">
        <is>
          <t>yes</t>
        </is>
      </c>
      <c r="V734" s="5" t="inlineStr">
        <is>
          <t>bad</t>
        </is>
      </c>
    </row>
    <row r="735">
      <c r="A735" s="5" t="n">
        <v>730</v>
      </c>
      <c r="B735" s="5" t="inlineStr">
        <is>
          <t>&gt;=200</t>
        </is>
      </c>
      <c r="C735" s="5" t="n">
        <v>24</v>
      </c>
      <c r="D735" s="5" t="inlineStr">
        <is>
          <t>critical/other existing credit</t>
        </is>
      </c>
      <c r="E735" s="5" t="inlineStr">
        <is>
          <t>business</t>
        </is>
      </c>
      <c r="F735" s="5" t="n">
        <v>1275</v>
      </c>
      <c r="G735" s="5" t="inlineStr">
        <is>
          <t>&gt;=1000</t>
        </is>
      </c>
      <c r="H735" s="5" t="inlineStr">
        <is>
          <t>1&lt;=X&lt;4</t>
        </is>
      </c>
      <c r="I735" s="5" t="n">
        <v>2</v>
      </c>
      <c r="J735" s="5" t="inlineStr">
        <is>
          <t>male div/sep</t>
        </is>
      </c>
      <c r="K735" s="5" t="inlineStr">
        <is>
          <t>none</t>
        </is>
      </c>
      <c r="L735" s="5" t="n">
        <v>4</v>
      </c>
      <c r="M735" s="5" t="inlineStr">
        <is>
          <t>real estate</t>
        </is>
      </c>
      <c r="N735" s="5" t="n">
        <v>36</v>
      </c>
      <c r="O735" s="5" t="inlineStr">
        <is>
          <t>none</t>
        </is>
      </c>
      <c r="P735" s="5" t="inlineStr">
        <is>
          <t>own</t>
        </is>
      </c>
      <c r="Q735" s="5" t="n">
        <v>2</v>
      </c>
      <c r="R735" s="5" t="inlineStr">
        <is>
          <t>skilled</t>
        </is>
      </c>
      <c r="S735" s="5" t="n">
        <v>1</v>
      </c>
      <c r="T735" s="5" t="inlineStr">
        <is>
          <t>yes</t>
        </is>
      </c>
      <c r="U735" s="5" t="inlineStr">
        <is>
          <t>yes</t>
        </is>
      </c>
      <c r="V735" s="5" t="inlineStr">
        <is>
          <t>good</t>
        </is>
      </c>
    </row>
    <row r="736">
      <c r="A736" s="5" t="n">
        <v>731</v>
      </c>
      <c r="B736" s="5" t="inlineStr">
        <is>
          <t>0&lt;=X&lt;200</t>
        </is>
      </c>
      <c r="C736" s="5" t="n">
        <v>24</v>
      </c>
      <c r="D736" s="5" t="inlineStr">
        <is>
          <t>delayed previously</t>
        </is>
      </c>
      <c r="E736" s="5" t="inlineStr">
        <is>
          <t>radio/tv</t>
        </is>
      </c>
      <c r="F736" s="5" t="n">
        <v>6403</v>
      </c>
      <c r="G736" s="5" t="inlineStr">
        <is>
          <t>&lt;100</t>
        </is>
      </c>
      <c r="H736" s="5" t="inlineStr">
        <is>
          <t>&lt;1</t>
        </is>
      </c>
      <c r="I736" s="5" t="n">
        <v>1</v>
      </c>
      <c r="J736" s="5" t="inlineStr">
        <is>
          <t>male single</t>
        </is>
      </c>
      <c r="K736" s="5" t="inlineStr">
        <is>
          <t>none</t>
        </is>
      </c>
      <c r="L736" s="5" t="n">
        <v>2</v>
      </c>
      <c r="M736" s="5" t="inlineStr">
        <is>
          <t>car</t>
        </is>
      </c>
      <c r="N736" s="5" t="n">
        <v>33</v>
      </c>
      <c r="O736" s="5" t="inlineStr">
        <is>
          <t>none</t>
        </is>
      </c>
      <c r="P736" s="5" t="inlineStr">
        <is>
          <t>own</t>
        </is>
      </c>
      <c r="Q736" s="5" t="n">
        <v>1</v>
      </c>
      <c r="R736" s="5" t="inlineStr">
        <is>
          <t>skilled</t>
        </is>
      </c>
      <c r="S736" s="5" t="n">
        <v>1</v>
      </c>
      <c r="T736" s="5" t="inlineStr">
        <is>
          <t>none</t>
        </is>
      </c>
      <c r="U736" s="5" t="inlineStr">
        <is>
          <t>yes</t>
        </is>
      </c>
      <c r="V736" s="5" t="inlineStr">
        <is>
          <t>good</t>
        </is>
      </c>
    </row>
    <row r="737">
      <c r="A737" s="5" t="n">
        <v>732</v>
      </c>
      <c r="B737" s="5" t="inlineStr">
        <is>
          <t>&lt;0</t>
        </is>
      </c>
      <c r="C737" s="5" t="n">
        <v>24</v>
      </c>
      <c r="D737" s="5" t="inlineStr">
        <is>
          <t>existing paid</t>
        </is>
      </c>
      <c r="E737" s="5" t="inlineStr">
        <is>
          <t>radio/tv</t>
        </is>
      </c>
      <c r="F737" s="5" t="n">
        <v>1987</v>
      </c>
      <c r="G737" s="5" t="inlineStr">
        <is>
          <t>&lt;100</t>
        </is>
      </c>
      <c r="H737" s="5" t="inlineStr">
        <is>
          <t>1&lt;=X&lt;4</t>
        </is>
      </c>
      <c r="I737" s="5" t="n">
        <v>2</v>
      </c>
      <c r="J737" s="5" t="inlineStr">
        <is>
          <t>male single</t>
        </is>
      </c>
      <c r="K737" s="5" t="inlineStr">
        <is>
          <t>none</t>
        </is>
      </c>
      <c r="L737" s="5" t="n">
        <v>4</v>
      </c>
      <c r="M737" s="5" t="inlineStr">
        <is>
          <t>real estate</t>
        </is>
      </c>
      <c r="N737" s="5" t="n">
        <v>21</v>
      </c>
      <c r="O737" s="5" t="inlineStr">
        <is>
          <t>none</t>
        </is>
      </c>
      <c r="P737" s="5" t="inlineStr">
        <is>
          <t>rent</t>
        </is>
      </c>
      <c r="Q737" s="5" t="n">
        <v>1</v>
      </c>
      <c r="R737" s="5" t="inlineStr">
        <is>
          <t>unskilled resident</t>
        </is>
      </c>
      <c r="S737" s="5" t="n">
        <v>2</v>
      </c>
      <c r="T737" s="5" t="inlineStr">
        <is>
          <t>none</t>
        </is>
      </c>
      <c r="U737" s="5" t="inlineStr">
        <is>
          <t>yes</t>
        </is>
      </c>
      <c r="V737" s="5" t="inlineStr">
        <is>
          <t>bad</t>
        </is>
      </c>
    </row>
    <row r="738">
      <c r="A738" s="5" t="n">
        <v>733</v>
      </c>
      <c r="B738" s="5" t="inlineStr">
        <is>
          <t>0&lt;=X&lt;200</t>
        </is>
      </c>
      <c r="C738" s="5" t="n">
        <v>8</v>
      </c>
      <c r="D738" s="5" t="inlineStr">
        <is>
          <t>existing paid</t>
        </is>
      </c>
      <c r="E738" s="5" t="inlineStr">
        <is>
          <t>radio/tv</t>
        </is>
      </c>
      <c r="F738" s="5" t="n">
        <v>760</v>
      </c>
      <c r="G738" s="5" t="inlineStr">
        <is>
          <t>&lt;100</t>
        </is>
      </c>
      <c r="H738" s="5" t="inlineStr">
        <is>
          <t>4&lt;=X&lt;7</t>
        </is>
      </c>
      <c r="I738" s="5" t="n">
        <v>4</v>
      </c>
      <c r="J738" s="5" t="inlineStr">
        <is>
          <t>female div/dep/mar</t>
        </is>
      </c>
      <c r="K738" s="5" t="inlineStr">
        <is>
          <t>guarantor</t>
        </is>
      </c>
      <c r="L738" s="5" t="n">
        <v>2</v>
      </c>
      <c r="M738" s="5" t="inlineStr">
        <is>
          <t>real estate</t>
        </is>
      </c>
      <c r="N738" s="5" t="n">
        <v>44</v>
      </c>
      <c r="O738" s="5" t="inlineStr">
        <is>
          <t>none</t>
        </is>
      </c>
      <c r="P738" s="5" t="inlineStr">
        <is>
          <t>own</t>
        </is>
      </c>
      <c r="Q738" s="5" t="n">
        <v>1</v>
      </c>
      <c r="R738" s="5" t="inlineStr">
        <is>
          <t>unskilled resident</t>
        </is>
      </c>
      <c r="S738" s="5" t="n">
        <v>1</v>
      </c>
      <c r="T738" s="5" t="inlineStr">
        <is>
          <t>none</t>
        </is>
      </c>
      <c r="U738" s="5" t="inlineStr">
        <is>
          <t>yes</t>
        </is>
      </c>
      <c r="V738" s="5" t="inlineStr">
        <is>
          <t>good</t>
        </is>
      </c>
    </row>
    <row r="739">
      <c r="A739" s="5" t="n">
        <v>734</v>
      </c>
      <c r="B739" s="5" t="inlineStr">
        <is>
          <t>no checking</t>
        </is>
      </c>
      <c r="C739" s="5" t="n">
        <v>24</v>
      </c>
      <c r="D739" s="5" t="inlineStr">
        <is>
          <t>existing paid</t>
        </is>
      </c>
      <c r="E739" s="5" t="inlineStr">
        <is>
          <t>used car</t>
        </is>
      </c>
      <c r="F739" s="5" t="n">
        <v>2603</v>
      </c>
      <c r="G739" s="5" t="inlineStr">
        <is>
          <t>&gt;=1000</t>
        </is>
      </c>
      <c r="H739" s="5" t="inlineStr">
        <is>
          <t>1&lt;=X&lt;4</t>
        </is>
      </c>
      <c r="I739" s="5" t="n">
        <v>2</v>
      </c>
      <c r="J739" s="5" t="inlineStr">
        <is>
          <t>female div/dep/mar</t>
        </is>
      </c>
      <c r="K739" s="5" t="inlineStr">
        <is>
          <t>none</t>
        </is>
      </c>
      <c r="L739" s="5" t="n">
        <v>4</v>
      </c>
      <c r="M739" s="5" t="inlineStr">
        <is>
          <t>car</t>
        </is>
      </c>
      <c r="N739" s="5" t="n">
        <v>28</v>
      </c>
      <c r="O739" s="5" t="inlineStr">
        <is>
          <t>none</t>
        </is>
      </c>
      <c r="P739" s="5" t="inlineStr">
        <is>
          <t>rent</t>
        </is>
      </c>
      <c r="Q739" s="5" t="n">
        <v>1</v>
      </c>
      <c r="R739" s="5" t="inlineStr">
        <is>
          <t>skilled</t>
        </is>
      </c>
      <c r="S739" s="5" t="n">
        <v>1</v>
      </c>
      <c r="T739" s="5" t="inlineStr">
        <is>
          <t>yes</t>
        </is>
      </c>
      <c r="U739" s="5" t="inlineStr">
        <is>
          <t>yes</t>
        </is>
      </c>
      <c r="V739" s="5" t="inlineStr">
        <is>
          <t>good</t>
        </is>
      </c>
    </row>
    <row r="740">
      <c r="A740" s="5" t="n">
        <v>735</v>
      </c>
      <c r="B740" s="5" t="inlineStr">
        <is>
          <t>no checking</t>
        </is>
      </c>
      <c r="C740" s="5" t="n">
        <v>4</v>
      </c>
      <c r="D740" s="5" t="inlineStr">
        <is>
          <t>critical/other existing credit</t>
        </is>
      </c>
      <c r="E740" s="5" t="inlineStr">
        <is>
          <t>new car</t>
        </is>
      </c>
      <c r="F740" s="5" t="n">
        <v>3380</v>
      </c>
      <c r="G740" s="5" t="inlineStr">
        <is>
          <t>&lt;100</t>
        </is>
      </c>
      <c r="H740" s="5" t="inlineStr">
        <is>
          <t>4&lt;=X&lt;7</t>
        </is>
      </c>
      <c r="I740" s="5" t="n">
        <v>1</v>
      </c>
      <c r="J740" s="5" t="inlineStr">
        <is>
          <t>female div/dep/mar</t>
        </is>
      </c>
      <c r="K740" s="5" t="inlineStr">
        <is>
          <t>none</t>
        </is>
      </c>
      <c r="L740" s="5" t="n">
        <v>1</v>
      </c>
      <c r="M740" s="5" t="inlineStr">
        <is>
          <t>real estate</t>
        </is>
      </c>
      <c r="N740" s="5" t="n">
        <v>37</v>
      </c>
      <c r="O740" s="5" t="inlineStr">
        <is>
          <t>none</t>
        </is>
      </c>
      <c r="P740" s="5" t="inlineStr">
        <is>
          <t>own</t>
        </is>
      </c>
      <c r="Q740" s="5" t="n">
        <v>1</v>
      </c>
      <c r="R740" s="5" t="inlineStr">
        <is>
          <t>skilled</t>
        </is>
      </c>
      <c r="S740" s="5" t="n">
        <v>2</v>
      </c>
      <c r="T740" s="5" t="inlineStr">
        <is>
          <t>none</t>
        </is>
      </c>
      <c r="U740" s="5" t="inlineStr">
        <is>
          <t>yes</t>
        </is>
      </c>
      <c r="V740" s="5" t="inlineStr">
        <is>
          <t>good</t>
        </is>
      </c>
    </row>
    <row r="741">
      <c r="A741" s="5" t="n">
        <v>736</v>
      </c>
      <c r="B741" s="5" t="inlineStr">
        <is>
          <t>0&lt;=X&lt;200</t>
        </is>
      </c>
      <c r="C741" s="5" t="n">
        <v>36</v>
      </c>
      <c r="D741" s="5" t="inlineStr">
        <is>
          <t>all paid</t>
        </is>
      </c>
      <c r="E741" s="5" t="inlineStr">
        <is>
          <t>domestic appliance</t>
        </is>
      </c>
      <c r="F741" s="5" t="n">
        <v>3990</v>
      </c>
      <c r="G741" s="5" t="inlineStr">
        <is>
          <t>no known savings</t>
        </is>
      </c>
      <c r="H741" s="5" t="inlineStr">
        <is>
          <t>&lt;1</t>
        </is>
      </c>
      <c r="I741" s="5" t="n">
        <v>3</v>
      </c>
      <c r="J741" s="5" t="inlineStr">
        <is>
          <t>female div/dep/mar</t>
        </is>
      </c>
      <c r="K741" s="5" t="inlineStr">
        <is>
          <t>none</t>
        </is>
      </c>
      <c r="L741" s="5" t="n">
        <v>2</v>
      </c>
      <c r="M741" s="5" t="inlineStr">
        <is>
          <t>no known property</t>
        </is>
      </c>
      <c r="N741" s="5" t="n">
        <v>29</v>
      </c>
      <c r="O741" s="5" t="inlineStr">
        <is>
          <t>bank</t>
        </is>
      </c>
      <c r="P741" s="5" t="inlineStr">
        <is>
          <t>own</t>
        </is>
      </c>
      <c r="Q741" s="5" t="n">
        <v>1</v>
      </c>
      <c r="R741" s="5" t="inlineStr">
        <is>
          <t>unemp/unskilled non res</t>
        </is>
      </c>
      <c r="S741" s="5" t="n">
        <v>1</v>
      </c>
      <c r="T741" s="5" t="inlineStr">
        <is>
          <t>none</t>
        </is>
      </c>
      <c r="U741" s="5" t="inlineStr">
        <is>
          <t>yes</t>
        </is>
      </c>
      <c r="V741" s="5" t="inlineStr">
        <is>
          <t>good</t>
        </is>
      </c>
    </row>
    <row r="742">
      <c r="A742" s="5" t="n">
        <v>737</v>
      </c>
      <c r="B742" s="5" t="inlineStr">
        <is>
          <t>0&lt;=X&lt;200</t>
        </is>
      </c>
      <c r="C742" s="5" t="n">
        <v>24</v>
      </c>
      <c r="D742" s="5" t="inlineStr">
        <is>
          <t>existing paid</t>
        </is>
      </c>
      <c r="E742" s="5" t="inlineStr">
        <is>
          <t>used car</t>
        </is>
      </c>
      <c r="F742" s="5" t="n">
        <v>11560</v>
      </c>
      <c r="G742" s="5" t="inlineStr">
        <is>
          <t>&lt;100</t>
        </is>
      </c>
      <c r="H742" s="5" t="inlineStr">
        <is>
          <t>1&lt;=X&lt;4</t>
        </is>
      </c>
      <c r="I742" s="5" t="n">
        <v>1</v>
      </c>
      <c r="J742" s="5" t="inlineStr">
        <is>
          <t>female div/dep/mar</t>
        </is>
      </c>
      <c r="K742" s="5" t="inlineStr">
        <is>
          <t>none</t>
        </is>
      </c>
      <c r="L742" s="5" t="n">
        <v>4</v>
      </c>
      <c r="M742" s="5" t="inlineStr">
        <is>
          <t>car</t>
        </is>
      </c>
      <c r="N742" s="5" t="n">
        <v>23</v>
      </c>
      <c r="O742" s="5" t="inlineStr">
        <is>
          <t>none</t>
        </is>
      </c>
      <c r="P742" s="5" t="inlineStr">
        <is>
          <t>rent</t>
        </is>
      </c>
      <c r="Q742" s="5" t="n">
        <v>2</v>
      </c>
      <c r="R742" s="5" t="inlineStr">
        <is>
          <t>high qualif/self emp/mgmt</t>
        </is>
      </c>
      <c r="S742" s="5" t="n">
        <v>1</v>
      </c>
      <c r="T742" s="5" t="inlineStr">
        <is>
          <t>none</t>
        </is>
      </c>
      <c r="U742" s="5" t="inlineStr">
        <is>
          <t>yes</t>
        </is>
      </c>
      <c r="V742" s="5" t="inlineStr">
        <is>
          <t>bad</t>
        </is>
      </c>
    </row>
    <row r="743">
      <c r="A743" s="5" t="n">
        <v>738</v>
      </c>
      <c r="B743" s="5" t="inlineStr">
        <is>
          <t>&lt;0</t>
        </is>
      </c>
      <c r="C743" s="5" t="n">
        <v>18</v>
      </c>
      <c r="D743" s="5" t="inlineStr">
        <is>
          <t>existing paid</t>
        </is>
      </c>
      <c r="E743" s="5" t="inlineStr">
        <is>
          <t>new car</t>
        </is>
      </c>
      <c r="F743" s="5" t="n">
        <v>4380</v>
      </c>
      <c r="G743" s="5" t="inlineStr">
        <is>
          <t>100&lt;=X&lt;500</t>
        </is>
      </c>
      <c r="H743" s="5" t="inlineStr">
        <is>
          <t>1&lt;=X&lt;4</t>
        </is>
      </c>
      <c r="I743" s="5" t="n">
        <v>3</v>
      </c>
      <c r="J743" s="5" t="inlineStr">
        <is>
          <t>male single</t>
        </is>
      </c>
      <c r="K743" s="5" t="inlineStr">
        <is>
          <t>none</t>
        </is>
      </c>
      <c r="L743" s="5" t="n">
        <v>4</v>
      </c>
      <c r="M743" s="5" t="inlineStr">
        <is>
          <t>car</t>
        </is>
      </c>
      <c r="N743" s="5" t="n">
        <v>35</v>
      </c>
      <c r="O743" s="5" t="inlineStr">
        <is>
          <t>none</t>
        </is>
      </c>
      <c r="P743" s="5" t="inlineStr">
        <is>
          <t>own</t>
        </is>
      </c>
      <c r="Q743" s="5" t="n">
        <v>1</v>
      </c>
      <c r="R743" s="5" t="inlineStr">
        <is>
          <t>unskilled resident</t>
        </is>
      </c>
      <c r="S743" s="5" t="n">
        <v>2</v>
      </c>
      <c r="T743" s="5" t="inlineStr">
        <is>
          <t>yes</t>
        </is>
      </c>
      <c r="U743" s="5" t="inlineStr">
        <is>
          <t>yes</t>
        </is>
      </c>
      <c r="V743" s="5" t="inlineStr">
        <is>
          <t>good</t>
        </is>
      </c>
    </row>
    <row r="744">
      <c r="A744" s="5" t="n">
        <v>739</v>
      </c>
      <c r="B744" s="5" t="inlineStr">
        <is>
          <t>no checking</t>
        </is>
      </c>
      <c r="C744" s="5" t="n">
        <v>6</v>
      </c>
      <c r="D744" s="5" t="inlineStr">
        <is>
          <t>critical/other existing credit</t>
        </is>
      </c>
      <c r="E744" s="5" t="inlineStr">
        <is>
          <t>new car</t>
        </is>
      </c>
      <c r="F744" s="5" t="n">
        <v>6761</v>
      </c>
      <c r="G744" s="5" t="inlineStr">
        <is>
          <t>&lt;100</t>
        </is>
      </c>
      <c r="H744" s="5" t="inlineStr">
        <is>
          <t>4&lt;=X&lt;7</t>
        </is>
      </c>
      <c r="I744" s="5" t="n">
        <v>1</v>
      </c>
      <c r="J744" s="5" t="inlineStr">
        <is>
          <t>male single</t>
        </is>
      </c>
      <c r="K744" s="5" t="inlineStr">
        <is>
          <t>none</t>
        </is>
      </c>
      <c r="L744" s="5" t="n">
        <v>3</v>
      </c>
      <c r="M744" s="5" t="inlineStr">
        <is>
          <t>no known property</t>
        </is>
      </c>
      <c r="N744" s="5" t="n">
        <v>45</v>
      </c>
      <c r="O744" s="5" t="inlineStr">
        <is>
          <t>none</t>
        </is>
      </c>
      <c r="P744" s="5" t="inlineStr">
        <is>
          <t>own</t>
        </is>
      </c>
      <c r="Q744" s="5" t="n">
        <v>2</v>
      </c>
      <c r="R744" s="5" t="inlineStr">
        <is>
          <t>high qualif/self emp/mgmt</t>
        </is>
      </c>
      <c r="S744" s="5" t="n">
        <v>2</v>
      </c>
      <c r="T744" s="5" t="inlineStr">
        <is>
          <t>yes</t>
        </is>
      </c>
      <c r="U744" s="5" t="inlineStr">
        <is>
          <t>yes</t>
        </is>
      </c>
      <c r="V744" s="5" t="inlineStr">
        <is>
          <t>good</t>
        </is>
      </c>
    </row>
    <row r="745">
      <c r="A745" s="5" t="n">
        <v>740</v>
      </c>
      <c r="B745" s="5" t="inlineStr">
        <is>
          <t>0&lt;=X&lt;200</t>
        </is>
      </c>
      <c r="C745" s="5" t="n">
        <v>30</v>
      </c>
      <c r="D745" s="5" t="inlineStr">
        <is>
          <t>no credits/all paid</t>
        </is>
      </c>
      <c r="E745" s="5" t="inlineStr">
        <is>
          <t>business</t>
        </is>
      </c>
      <c r="F745" s="5" t="n">
        <v>4280</v>
      </c>
      <c r="G745" s="5" t="inlineStr">
        <is>
          <t>100&lt;=X&lt;500</t>
        </is>
      </c>
      <c r="H745" s="5" t="inlineStr">
        <is>
          <t>1&lt;=X&lt;4</t>
        </is>
      </c>
      <c r="I745" s="5" t="n">
        <v>4</v>
      </c>
      <c r="J745" s="5" t="inlineStr">
        <is>
          <t>female div/dep/mar</t>
        </is>
      </c>
      <c r="K745" s="5" t="inlineStr">
        <is>
          <t>none</t>
        </is>
      </c>
      <c r="L745" s="5" t="n">
        <v>4</v>
      </c>
      <c r="M745" s="5" t="inlineStr">
        <is>
          <t>car</t>
        </is>
      </c>
      <c r="N745" s="5" t="n">
        <v>26</v>
      </c>
      <c r="O745" s="5" t="inlineStr">
        <is>
          <t>none</t>
        </is>
      </c>
      <c r="P745" s="5" t="inlineStr">
        <is>
          <t>rent</t>
        </is>
      </c>
      <c r="Q745" s="5" t="n">
        <v>2</v>
      </c>
      <c r="R745" s="5" t="inlineStr">
        <is>
          <t>unskilled resident</t>
        </is>
      </c>
      <c r="S745" s="5" t="n">
        <v>1</v>
      </c>
      <c r="T745" s="5" t="inlineStr">
        <is>
          <t>none</t>
        </is>
      </c>
      <c r="U745" s="5" t="inlineStr">
        <is>
          <t>yes</t>
        </is>
      </c>
      <c r="V745" s="5" t="inlineStr">
        <is>
          <t>bad</t>
        </is>
      </c>
    </row>
    <row r="746">
      <c r="A746" s="5" t="n">
        <v>741</v>
      </c>
      <c r="B746" s="5" t="inlineStr">
        <is>
          <t>&lt;0</t>
        </is>
      </c>
      <c r="C746" s="5" t="n">
        <v>24</v>
      </c>
      <c r="D746" s="5" t="inlineStr">
        <is>
          <t>all paid</t>
        </is>
      </c>
      <c r="E746" s="5" t="inlineStr">
        <is>
          <t>new car</t>
        </is>
      </c>
      <c r="F746" s="5" t="n">
        <v>2325</v>
      </c>
      <c r="G746" s="5" t="inlineStr">
        <is>
          <t>100&lt;=X&lt;500</t>
        </is>
      </c>
      <c r="H746" s="5" t="inlineStr">
        <is>
          <t>4&lt;=X&lt;7</t>
        </is>
      </c>
      <c r="I746" s="5" t="n">
        <v>2</v>
      </c>
      <c r="J746" s="5" t="inlineStr">
        <is>
          <t>male single</t>
        </is>
      </c>
      <c r="K746" s="5" t="inlineStr">
        <is>
          <t>none</t>
        </is>
      </c>
      <c r="L746" s="5" t="n">
        <v>3</v>
      </c>
      <c r="M746" s="5" t="inlineStr">
        <is>
          <t>car</t>
        </is>
      </c>
      <c r="N746" s="5" t="n">
        <v>32</v>
      </c>
      <c r="O746" s="5" t="inlineStr">
        <is>
          <t>bank</t>
        </is>
      </c>
      <c r="P746" s="5" t="inlineStr">
        <is>
          <t>own</t>
        </is>
      </c>
      <c r="Q746" s="5" t="n">
        <v>1</v>
      </c>
      <c r="R746" s="5" t="inlineStr">
        <is>
          <t>skilled</t>
        </is>
      </c>
      <c r="S746" s="5" t="n">
        <v>1</v>
      </c>
      <c r="T746" s="5" t="inlineStr">
        <is>
          <t>none</t>
        </is>
      </c>
      <c r="U746" s="5" t="inlineStr">
        <is>
          <t>yes</t>
        </is>
      </c>
      <c r="V746" s="5" t="inlineStr">
        <is>
          <t>good</t>
        </is>
      </c>
    </row>
    <row r="747">
      <c r="A747" s="5" t="n">
        <v>742</v>
      </c>
      <c r="B747" s="5" t="inlineStr">
        <is>
          <t>0&lt;=X&lt;200</t>
        </is>
      </c>
      <c r="C747" s="5" t="n">
        <v>10</v>
      </c>
      <c r="D747" s="5" t="inlineStr">
        <is>
          <t>all paid</t>
        </is>
      </c>
      <c r="E747" s="5" t="inlineStr">
        <is>
          <t>radio/tv</t>
        </is>
      </c>
      <c r="F747" s="5" t="n">
        <v>1048</v>
      </c>
      <c r="G747" s="5" t="inlineStr">
        <is>
          <t>&lt;100</t>
        </is>
      </c>
      <c r="H747" s="5" t="inlineStr">
        <is>
          <t>1&lt;=X&lt;4</t>
        </is>
      </c>
      <c r="I747" s="5" t="n">
        <v>4</v>
      </c>
      <c r="J747" s="5" t="inlineStr">
        <is>
          <t>male single</t>
        </is>
      </c>
      <c r="K747" s="5" t="inlineStr">
        <is>
          <t>none</t>
        </is>
      </c>
      <c r="L747" s="5" t="n">
        <v>4</v>
      </c>
      <c r="M747" s="5" t="inlineStr">
        <is>
          <t>real estate</t>
        </is>
      </c>
      <c r="N747" s="5" t="n">
        <v>23</v>
      </c>
      <c r="O747" s="5" t="inlineStr">
        <is>
          <t>stores</t>
        </is>
      </c>
      <c r="P747" s="5" t="inlineStr">
        <is>
          <t>own</t>
        </is>
      </c>
      <c r="Q747" s="5" t="n">
        <v>1</v>
      </c>
      <c r="R747" s="5" t="inlineStr">
        <is>
          <t>unskilled resident</t>
        </is>
      </c>
      <c r="S747" s="5" t="n">
        <v>1</v>
      </c>
      <c r="T747" s="5" t="inlineStr">
        <is>
          <t>none</t>
        </is>
      </c>
      <c r="U747" s="5" t="inlineStr">
        <is>
          <t>yes</t>
        </is>
      </c>
      <c r="V747" s="5" t="inlineStr">
        <is>
          <t>good</t>
        </is>
      </c>
    </row>
    <row r="748">
      <c r="A748" s="5" t="n">
        <v>743</v>
      </c>
      <c r="B748" s="5" t="inlineStr">
        <is>
          <t>no checking</t>
        </is>
      </c>
      <c r="C748" s="5" t="n">
        <v>21</v>
      </c>
      <c r="D748" s="5" t="inlineStr">
        <is>
          <t>existing paid</t>
        </is>
      </c>
      <c r="E748" s="5" t="inlineStr">
        <is>
          <t>radio/tv</t>
        </is>
      </c>
      <c r="F748" s="5" t="n">
        <v>3160</v>
      </c>
      <c r="G748" s="5" t="inlineStr">
        <is>
          <t>no known savings</t>
        </is>
      </c>
      <c r="H748" s="5" t="inlineStr">
        <is>
          <t>&gt;=7</t>
        </is>
      </c>
      <c r="I748" s="5" t="n">
        <v>4</v>
      </c>
      <c r="J748" s="5" t="inlineStr">
        <is>
          <t>male single</t>
        </is>
      </c>
      <c r="K748" s="5" t="inlineStr">
        <is>
          <t>none</t>
        </is>
      </c>
      <c r="L748" s="5" t="n">
        <v>3</v>
      </c>
      <c r="M748" s="5" t="inlineStr">
        <is>
          <t>life insurance</t>
        </is>
      </c>
      <c r="N748" s="5" t="n">
        <v>41</v>
      </c>
      <c r="O748" s="5" t="inlineStr">
        <is>
          <t>none</t>
        </is>
      </c>
      <c r="P748" s="5" t="inlineStr">
        <is>
          <t>own</t>
        </is>
      </c>
      <c r="Q748" s="5" t="n">
        <v>1</v>
      </c>
      <c r="R748" s="5" t="inlineStr">
        <is>
          <t>skilled</t>
        </is>
      </c>
      <c r="S748" s="5" t="n">
        <v>1</v>
      </c>
      <c r="T748" s="5" t="inlineStr">
        <is>
          <t>yes</t>
        </is>
      </c>
      <c r="U748" s="5" t="inlineStr">
        <is>
          <t>yes</t>
        </is>
      </c>
      <c r="V748" s="5" t="inlineStr">
        <is>
          <t>good</t>
        </is>
      </c>
    </row>
    <row r="749">
      <c r="A749" s="5" t="n">
        <v>744</v>
      </c>
      <c r="B749" s="5" t="inlineStr">
        <is>
          <t>&lt;0</t>
        </is>
      </c>
      <c r="C749" s="5" t="n">
        <v>24</v>
      </c>
      <c r="D749" s="5" t="inlineStr">
        <is>
          <t>all paid</t>
        </is>
      </c>
      <c r="E749" s="5" t="inlineStr">
        <is>
          <t>furniture/equipment</t>
        </is>
      </c>
      <c r="F749" s="5" t="n">
        <v>2483</v>
      </c>
      <c r="G749" s="5" t="inlineStr">
        <is>
          <t>500&lt;=X&lt;1000</t>
        </is>
      </c>
      <c r="H749" s="5" t="inlineStr">
        <is>
          <t>1&lt;=X&lt;4</t>
        </is>
      </c>
      <c r="I749" s="5" t="n">
        <v>4</v>
      </c>
      <c r="J749" s="5" t="inlineStr">
        <is>
          <t>male single</t>
        </is>
      </c>
      <c r="K749" s="5" t="inlineStr">
        <is>
          <t>none</t>
        </is>
      </c>
      <c r="L749" s="5" t="n">
        <v>4</v>
      </c>
      <c r="M749" s="5" t="inlineStr">
        <is>
          <t>real estate</t>
        </is>
      </c>
      <c r="N749" s="5" t="n">
        <v>22</v>
      </c>
      <c r="O749" s="5" t="inlineStr">
        <is>
          <t>stores</t>
        </is>
      </c>
      <c r="P749" s="5" t="inlineStr">
        <is>
          <t>own</t>
        </is>
      </c>
      <c r="Q749" s="5" t="n">
        <v>1</v>
      </c>
      <c r="R749" s="5" t="inlineStr">
        <is>
          <t>skilled</t>
        </is>
      </c>
      <c r="S749" s="5" t="n">
        <v>1</v>
      </c>
      <c r="T749" s="5" t="inlineStr">
        <is>
          <t>yes</t>
        </is>
      </c>
      <c r="U749" s="5" t="inlineStr">
        <is>
          <t>yes</t>
        </is>
      </c>
      <c r="V749" s="5" t="inlineStr">
        <is>
          <t>good</t>
        </is>
      </c>
    </row>
    <row r="750">
      <c r="A750" s="5" t="n">
        <v>745</v>
      </c>
      <c r="B750" s="5" t="inlineStr">
        <is>
          <t>&lt;0</t>
        </is>
      </c>
      <c r="C750" s="5" t="n">
        <v>39</v>
      </c>
      <c r="D750" s="5" t="inlineStr">
        <is>
          <t>critical/other existing credit</t>
        </is>
      </c>
      <c r="E750" s="5" t="inlineStr">
        <is>
          <t>furniture/equipment</t>
        </is>
      </c>
      <c r="F750" s="5" t="n">
        <v>14179</v>
      </c>
      <c r="G750" s="5" t="inlineStr">
        <is>
          <t>no known savings</t>
        </is>
      </c>
      <c r="H750" s="5" t="inlineStr">
        <is>
          <t>4&lt;=X&lt;7</t>
        </is>
      </c>
      <c r="I750" s="5" t="n">
        <v>4</v>
      </c>
      <c r="J750" s="5" t="inlineStr">
        <is>
          <t>male single</t>
        </is>
      </c>
      <c r="K750" s="5" t="inlineStr">
        <is>
          <t>none</t>
        </is>
      </c>
      <c r="L750" s="5" t="n">
        <v>4</v>
      </c>
      <c r="M750" s="5" t="inlineStr">
        <is>
          <t>life insurance</t>
        </is>
      </c>
      <c r="N750" s="5" t="n">
        <v>30</v>
      </c>
      <c r="O750" s="5" t="inlineStr">
        <is>
          <t>none</t>
        </is>
      </c>
      <c r="P750" s="5" t="inlineStr">
        <is>
          <t>own</t>
        </is>
      </c>
      <c r="Q750" s="5" t="n">
        <v>2</v>
      </c>
      <c r="R750" s="5" t="inlineStr">
        <is>
          <t>high qualif/self emp/mgmt</t>
        </is>
      </c>
      <c r="S750" s="5" t="n">
        <v>1</v>
      </c>
      <c r="T750" s="5" t="inlineStr">
        <is>
          <t>yes</t>
        </is>
      </c>
      <c r="U750" s="5" t="inlineStr">
        <is>
          <t>yes</t>
        </is>
      </c>
      <c r="V750" s="5" t="inlineStr">
        <is>
          <t>good</t>
        </is>
      </c>
    </row>
    <row r="751">
      <c r="A751" s="5" t="n">
        <v>746</v>
      </c>
      <c r="B751" s="5" t="inlineStr">
        <is>
          <t>&lt;0</t>
        </is>
      </c>
      <c r="C751" s="5" t="n">
        <v>13</v>
      </c>
      <c r="D751" s="5" t="inlineStr">
        <is>
          <t>critical/other existing credit</t>
        </is>
      </c>
      <c r="E751" s="5" t="inlineStr">
        <is>
          <t>business</t>
        </is>
      </c>
      <c r="F751" s="5" t="n">
        <v>1797</v>
      </c>
      <c r="G751" s="5" t="inlineStr">
        <is>
          <t>&lt;100</t>
        </is>
      </c>
      <c r="H751" s="5" t="inlineStr">
        <is>
          <t>&lt;1</t>
        </is>
      </c>
      <c r="I751" s="5" t="n">
        <v>3</v>
      </c>
      <c r="J751" s="5" t="inlineStr">
        <is>
          <t>male single</t>
        </is>
      </c>
      <c r="K751" s="5" t="inlineStr">
        <is>
          <t>none</t>
        </is>
      </c>
      <c r="L751" s="5" t="n">
        <v>1</v>
      </c>
      <c r="M751" s="5" t="inlineStr">
        <is>
          <t>life insurance</t>
        </is>
      </c>
      <c r="N751" s="5" t="n">
        <v>28</v>
      </c>
      <c r="O751" s="5" t="inlineStr">
        <is>
          <t>bank</t>
        </is>
      </c>
      <c r="P751" s="5" t="inlineStr">
        <is>
          <t>own</t>
        </is>
      </c>
      <c r="Q751" s="5" t="n">
        <v>2</v>
      </c>
      <c r="R751" s="5" t="inlineStr">
        <is>
          <t>unskilled resident</t>
        </is>
      </c>
      <c r="S751" s="5" t="n">
        <v>1</v>
      </c>
      <c r="T751" s="5" t="inlineStr">
        <is>
          <t>none</t>
        </is>
      </c>
      <c r="U751" s="5" t="inlineStr">
        <is>
          <t>yes</t>
        </is>
      </c>
      <c r="V751" s="5" t="inlineStr">
        <is>
          <t>good</t>
        </is>
      </c>
    </row>
    <row r="752">
      <c r="A752" s="5" t="n">
        <v>747</v>
      </c>
      <c r="B752" s="5" t="inlineStr">
        <is>
          <t>&lt;0</t>
        </is>
      </c>
      <c r="C752" s="5" t="n">
        <v>15</v>
      </c>
      <c r="D752" s="5" t="inlineStr">
        <is>
          <t>existing paid</t>
        </is>
      </c>
      <c r="E752" s="5" t="inlineStr">
        <is>
          <t>new car</t>
        </is>
      </c>
      <c r="F752" s="5" t="n">
        <v>2511</v>
      </c>
      <c r="G752" s="5" t="inlineStr">
        <is>
          <t>&lt;100</t>
        </is>
      </c>
      <c r="H752" s="5" t="inlineStr">
        <is>
          <t>unemployed</t>
        </is>
      </c>
      <c r="I752" s="5" t="n">
        <v>1</v>
      </c>
      <c r="J752" s="5" t="inlineStr">
        <is>
          <t>female div/dep/mar</t>
        </is>
      </c>
      <c r="K752" s="5" t="inlineStr">
        <is>
          <t>none</t>
        </is>
      </c>
      <c r="L752" s="5" t="n">
        <v>4</v>
      </c>
      <c r="M752" s="5" t="inlineStr">
        <is>
          <t>car</t>
        </is>
      </c>
      <c r="N752" s="5" t="n">
        <v>23</v>
      </c>
      <c r="O752" s="5" t="inlineStr">
        <is>
          <t>none</t>
        </is>
      </c>
      <c r="P752" s="5" t="inlineStr">
        <is>
          <t>rent</t>
        </is>
      </c>
      <c r="Q752" s="5" t="n">
        <v>1</v>
      </c>
      <c r="R752" s="5" t="inlineStr">
        <is>
          <t>skilled</t>
        </is>
      </c>
      <c r="S752" s="5" t="n">
        <v>1</v>
      </c>
      <c r="T752" s="5" t="inlineStr">
        <is>
          <t>none</t>
        </is>
      </c>
      <c r="U752" s="5" t="inlineStr">
        <is>
          <t>yes</t>
        </is>
      </c>
      <c r="V752" s="5" t="inlineStr">
        <is>
          <t>good</t>
        </is>
      </c>
    </row>
    <row r="753">
      <c r="A753" s="5" t="n">
        <v>748</v>
      </c>
      <c r="B753" s="5" t="inlineStr">
        <is>
          <t>&lt;0</t>
        </is>
      </c>
      <c r="C753" s="5" t="n">
        <v>12</v>
      </c>
      <c r="D753" s="5" t="inlineStr">
        <is>
          <t>existing paid</t>
        </is>
      </c>
      <c r="E753" s="5" t="inlineStr">
        <is>
          <t>new car</t>
        </is>
      </c>
      <c r="F753" s="5" t="n">
        <v>1274</v>
      </c>
      <c r="G753" s="5" t="inlineStr">
        <is>
          <t>&lt;100</t>
        </is>
      </c>
      <c r="H753" s="5" t="inlineStr">
        <is>
          <t>&lt;1</t>
        </is>
      </c>
      <c r="I753" s="5" t="n">
        <v>3</v>
      </c>
      <c r="J753" s="5" t="inlineStr">
        <is>
          <t>female div/dep/mar</t>
        </is>
      </c>
      <c r="K753" s="5" t="inlineStr">
        <is>
          <t>none</t>
        </is>
      </c>
      <c r="L753" s="5" t="n">
        <v>1</v>
      </c>
      <c r="M753" s="5" t="inlineStr">
        <is>
          <t>real estate</t>
        </is>
      </c>
      <c r="N753" s="5" t="n">
        <v>37</v>
      </c>
      <c r="O753" s="5" t="inlineStr">
        <is>
          <t>none</t>
        </is>
      </c>
      <c r="P753" s="5" t="inlineStr">
        <is>
          <t>own</t>
        </is>
      </c>
      <c r="Q753" s="5" t="n">
        <v>1</v>
      </c>
      <c r="R753" s="5" t="inlineStr">
        <is>
          <t>unskilled resident</t>
        </is>
      </c>
      <c r="S753" s="5" t="n">
        <v>1</v>
      </c>
      <c r="T753" s="5" t="inlineStr">
        <is>
          <t>none</t>
        </is>
      </c>
      <c r="U753" s="5" t="inlineStr">
        <is>
          <t>yes</t>
        </is>
      </c>
      <c r="V753" s="5" t="inlineStr">
        <is>
          <t>bad</t>
        </is>
      </c>
    </row>
    <row r="754">
      <c r="A754" s="5" t="n">
        <v>749</v>
      </c>
      <c r="B754" s="5" t="inlineStr">
        <is>
          <t>no checking</t>
        </is>
      </c>
      <c r="C754" s="5" t="n">
        <v>21</v>
      </c>
      <c r="D754" s="5" t="inlineStr">
        <is>
          <t>existing paid</t>
        </is>
      </c>
      <c r="E754" s="5" t="inlineStr">
        <is>
          <t>used car</t>
        </is>
      </c>
      <c r="F754" s="5" t="n">
        <v>5248</v>
      </c>
      <c r="G754" s="5" t="inlineStr">
        <is>
          <t>no known savings</t>
        </is>
      </c>
      <c r="H754" s="5" t="inlineStr">
        <is>
          <t>1&lt;=X&lt;4</t>
        </is>
      </c>
      <c r="I754" s="5" t="n">
        <v>1</v>
      </c>
      <c r="J754" s="5" t="inlineStr">
        <is>
          <t>male single</t>
        </is>
      </c>
      <c r="K754" s="5" t="inlineStr">
        <is>
          <t>none</t>
        </is>
      </c>
      <c r="L754" s="5" t="n">
        <v>3</v>
      </c>
      <c r="M754" s="5" t="inlineStr">
        <is>
          <t>car</t>
        </is>
      </c>
      <c r="N754" s="5" t="n">
        <v>26</v>
      </c>
      <c r="O754" s="5" t="inlineStr">
        <is>
          <t>none</t>
        </is>
      </c>
      <c r="P754" s="5" t="inlineStr">
        <is>
          <t>own</t>
        </is>
      </c>
      <c r="Q754" s="5" t="n">
        <v>1</v>
      </c>
      <c r="R754" s="5" t="inlineStr">
        <is>
          <t>skilled</t>
        </is>
      </c>
      <c r="S754" s="5" t="n">
        <v>1</v>
      </c>
      <c r="T754" s="5" t="inlineStr">
        <is>
          <t>none</t>
        </is>
      </c>
      <c r="U754" s="5" t="inlineStr">
        <is>
          <t>yes</t>
        </is>
      </c>
      <c r="V754" s="5" t="inlineStr">
        <is>
          <t>good</t>
        </is>
      </c>
    </row>
    <row r="755">
      <c r="A755" s="5" t="n">
        <v>750</v>
      </c>
      <c r="B755" s="5" t="inlineStr">
        <is>
          <t>no checking</t>
        </is>
      </c>
      <c r="C755" s="5" t="n">
        <v>15</v>
      </c>
      <c r="D755" s="5" t="inlineStr">
        <is>
          <t>existing paid</t>
        </is>
      </c>
      <c r="E755" s="5" t="inlineStr">
        <is>
          <t>used car</t>
        </is>
      </c>
      <c r="F755" s="5" t="n">
        <v>3029</v>
      </c>
      <c r="G755" s="5" t="inlineStr">
        <is>
          <t>&lt;100</t>
        </is>
      </c>
      <c r="H755" s="5" t="inlineStr">
        <is>
          <t>4&lt;=X&lt;7</t>
        </is>
      </c>
      <c r="I755" s="5" t="n">
        <v>2</v>
      </c>
      <c r="J755" s="5" t="inlineStr">
        <is>
          <t>male single</t>
        </is>
      </c>
      <c r="K755" s="5" t="inlineStr">
        <is>
          <t>none</t>
        </is>
      </c>
      <c r="L755" s="5" t="n">
        <v>2</v>
      </c>
      <c r="M755" s="5" t="inlineStr">
        <is>
          <t>car</t>
        </is>
      </c>
      <c r="N755" s="5" t="n">
        <v>33</v>
      </c>
      <c r="O755" s="5" t="inlineStr">
        <is>
          <t>none</t>
        </is>
      </c>
      <c r="P755" s="5" t="inlineStr">
        <is>
          <t>own</t>
        </is>
      </c>
      <c r="Q755" s="5" t="n">
        <v>1</v>
      </c>
      <c r="R755" s="5" t="inlineStr">
        <is>
          <t>skilled</t>
        </is>
      </c>
      <c r="S755" s="5" t="n">
        <v>1</v>
      </c>
      <c r="T755" s="5" t="inlineStr">
        <is>
          <t>none</t>
        </is>
      </c>
      <c r="U755" s="5" t="inlineStr">
        <is>
          <t>yes</t>
        </is>
      </c>
      <c r="V755" s="5" t="inlineStr">
        <is>
          <t>good</t>
        </is>
      </c>
    </row>
    <row r="756">
      <c r="A756" s="5" t="n">
        <v>751</v>
      </c>
      <c r="B756" s="5" t="inlineStr">
        <is>
          <t>&lt;0</t>
        </is>
      </c>
      <c r="C756" s="5" t="n">
        <v>6</v>
      </c>
      <c r="D756" s="5" t="inlineStr">
        <is>
          <t>existing paid</t>
        </is>
      </c>
      <c r="E756" s="5" t="inlineStr">
        <is>
          <t>furniture/equipment</t>
        </is>
      </c>
      <c r="F756" s="5" t="n">
        <v>428</v>
      </c>
      <c r="G756" s="5" t="inlineStr">
        <is>
          <t>&lt;100</t>
        </is>
      </c>
      <c r="H756" s="5" t="inlineStr">
        <is>
          <t>&gt;=7</t>
        </is>
      </c>
      <c r="I756" s="5" t="n">
        <v>2</v>
      </c>
      <c r="J756" s="5" t="inlineStr">
        <is>
          <t>female div/dep/mar</t>
        </is>
      </c>
      <c r="K756" s="5" t="inlineStr">
        <is>
          <t>none</t>
        </is>
      </c>
      <c r="L756" s="5" t="n">
        <v>1</v>
      </c>
      <c r="M756" s="5" t="inlineStr">
        <is>
          <t>life insurance</t>
        </is>
      </c>
      <c r="N756" s="5" t="n">
        <v>49</v>
      </c>
      <c r="O756" s="5" t="inlineStr">
        <is>
          <t>bank</t>
        </is>
      </c>
      <c r="P756" s="5" t="inlineStr">
        <is>
          <t>own</t>
        </is>
      </c>
      <c r="Q756" s="5" t="n">
        <v>1</v>
      </c>
      <c r="R756" s="5" t="inlineStr">
        <is>
          <t>skilled</t>
        </is>
      </c>
      <c r="S756" s="5" t="n">
        <v>1</v>
      </c>
      <c r="T756" s="5" t="inlineStr">
        <is>
          <t>yes</t>
        </is>
      </c>
      <c r="U756" s="5" t="inlineStr">
        <is>
          <t>yes</t>
        </is>
      </c>
      <c r="V756" s="5" t="inlineStr">
        <is>
          <t>good</t>
        </is>
      </c>
    </row>
    <row r="757">
      <c r="A757" s="5" t="n">
        <v>752</v>
      </c>
      <c r="B757" s="5" t="inlineStr">
        <is>
          <t>&lt;0</t>
        </is>
      </c>
      <c r="C757" s="5" t="n">
        <v>18</v>
      </c>
      <c r="D757" s="5" t="inlineStr">
        <is>
          <t>existing paid</t>
        </is>
      </c>
      <c r="E757" s="5" t="inlineStr">
        <is>
          <t>new car</t>
        </is>
      </c>
      <c r="F757" s="5" t="n">
        <v>976</v>
      </c>
      <c r="G757" s="5" t="inlineStr">
        <is>
          <t>&lt;100</t>
        </is>
      </c>
      <c r="H757" s="5" t="inlineStr">
        <is>
          <t>&lt;1</t>
        </is>
      </c>
      <c r="I757" s="5" t="n">
        <v>1</v>
      </c>
      <c r="J757" s="5" t="inlineStr">
        <is>
          <t>female div/dep/mar</t>
        </is>
      </c>
      <c r="K757" s="5" t="inlineStr">
        <is>
          <t>none</t>
        </is>
      </c>
      <c r="L757" s="5" t="n">
        <v>2</v>
      </c>
      <c r="M757" s="5" t="inlineStr">
        <is>
          <t>car</t>
        </is>
      </c>
      <c r="N757" s="5" t="n">
        <v>23</v>
      </c>
      <c r="O757" s="5" t="inlineStr">
        <is>
          <t>none</t>
        </is>
      </c>
      <c r="P757" s="5" t="inlineStr">
        <is>
          <t>own</t>
        </is>
      </c>
      <c r="Q757" s="5" t="n">
        <v>1</v>
      </c>
      <c r="R757" s="5" t="inlineStr">
        <is>
          <t>unskilled resident</t>
        </is>
      </c>
      <c r="S757" s="5" t="n">
        <v>1</v>
      </c>
      <c r="T757" s="5" t="inlineStr">
        <is>
          <t>none</t>
        </is>
      </c>
      <c r="U757" s="5" t="inlineStr">
        <is>
          <t>yes</t>
        </is>
      </c>
      <c r="V757" s="5" t="inlineStr">
        <is>
          <t>bad</t>
        </is>
      </c>
    </row>
    <row r="758">
      <c r="A758" s="5" t="n">
        <v>753</v>
      </c>
      <c r="B758" s="5" t="inlineStr">
        <is>
          <t>0&lt;=X&lt;200</t>
        </is>
      </c>
      <c r="C758" s="5" t="n">
        <v>12</v>
      </c>
      <c r="D758" s="5" t="inlineStr">
        <is>
          <t>existing paid</t>
        </is>
      </c>
      <c r="E758" s="5" t="inlineStr">
        <is>
          <t>business</t>
        </is>
      </c>
      <c r="F758" s="5" t="n">
        <v>841</v>
      </c>
      <c r="G758" s="5" t="inlineStr">
        <is>
          <t>100&lt;=X&lt;500</t>
        </is>
      </c>
      <c r="H758" s="5" t="inlineStr">
        <is>
          <t>4&lt;=X&lt;7</t>
        </is>
      </c>
      <c r="I758" s="5" t="n">
        <v>2</v>
      </c>
      <c r="J758" s="5" t="inlineStr">
        <is>
          <t>female div/dep/mar</t>
        </is>
      </c>
      <c r="K758" s="5" t="inlineStr">
        <is>
          <t>none</t>
        </is>
      </c>
      <c r="L758" s="5" t="n">
        <v>4</v>
      </c>
      <c r="M758" s="5" t="inlineStr">
        <is>
          <t>real estate</t>
        </is>
      </c>
      <c r="N758" s="5" t="n">
        <v>23</v>
      </c>
      <c r="O758" s="5" t="inlineStr">
        <is>
          <t>none</t>
        </is>
      </c>
      <c r="P758" s="5" t="inlineStr">
        <is>
          <t>rent</t>
        </is>
      </c>
      <c r="Q758" s="5" t="n">
        <v>1</v>
      </c>
      <c r="R758" s="5" t="inlineStr">
        <is>
          <t>unskilled resident</t>
        </is>
      </c>
      <c r="S758" s="5" t="n">
        <v>1</v>
      </c>
      <c r="T758" s="5" t="inlineStr">
        <is>
          <t>none</t>
        </is>
      </c>
      <c r="U758" s="5" t="inlineStr">
        <is>
          <t>yes</t>
        </is>
      </c>
      <c r="V758" s="5" t="inlineStr">
        <is>
          <t>good</t>
        </is>
      </c>
    </row>
    <row r="759">
      <c r="A759" s="5" t="n">
        <v>754</v>
      </c>
      <c r="B759" s="5" t="inlineStr">
        <is>
          <t>no checking</t>
        </is>
      </c>
      <c r="C759" s="5" t="n">
        <v>30</v>
      </c>
      <c r="D759" s="5" t="inlineStr">
        <is>
          <t>critical/other existing credit</t>
        </is>
      </c>
      <c r="E759" s="5" t="inlineStr">
        <is>
          <t>radio/tv</t>
        </is>
      </c>
      <c r="F759" s="5" t="n">
        <v>5771</v>
      </c>
      <c r="G759" s="5" t="inlineStr">
        <is>
          <t>&lt;100</t>
        </is>
      </c>
      <c r="H759" s="5" t="inlineStr">
        <is>
          <t>4&lt;=X&lt;7</t>
        </is>
      </c>
      <c r="I759" s="5" t="n">
        <v>4</v>
      </c>
      <c r="J759" s="5" t="inlineStr">
        <is>
          <t>female div/dep/mar</t>
        </is>
      </c>
      <c r="K759" s="5" t="inlineStr">
        <is>
          <t>none</t>
        </is>
      </c>
      <c r="L759" s="5" t="n">
        <v>2</v>
      </c>
      <c r="M759" s="5" t="inlineStr">
        <is>
          <t>car</t>
        </is>
      </c>
      <c r="N759" s="5" t="n">
        <v>25</v>
      </c>
      <c r="O759" s="5" t="inlineStr">
        <is>
          <t>none</t>
        </is>
      </c>
      <c r="P759" s="5" t="inlineStr">
        <is>
          <t>own</t>
        </is>
      </c>
      <c r="Q759" s="5" t="n">
        <v>2</v>
      </c>
      <c r="R759" s="5" t="inlineStr">
        <is>
          <t>skilled</t>
        </is>
      </c>
      <c r="S759" s="5" t="n">
        <v>1</v>
      </c>
      <c r="T759" s="5" t="inlineStr">
        <is>
          <t>none</t>
        </is>
      </c>
      <c r="U759" s="5" t="inlineStr">
        <is>
          <t>yes</t>
        </is>
      </c>
      <c r="V759" s="5" t="inlineStr">
        <is>
          <t>good</t>
        </is>
      </c>
    </row>
    <row r="760">
      <c r="A760" s="5" t="n">
        <v>755</v>
      </c>
      <c r="B760" s="5" t="inlineStr">
        <is>
          <t>no checking</t>
        </is>
      </c>
      <c r="C760" s="5" t="n">
        <v>12</v>
      </c>
      <c r="D760" s="5" t="inlineStr">
        <is>
          <t>delayed previously</t>
        </is>
      </c>
      <c r="E760" s="5" t="inlineStr">
        <is>
          <t>repairs</t>
        </is>
      </c>
      <c r="F760" s="5" t="n">
        <v>1555</v>
      </c>
      <c r="G760" s="5" t="inlineStr">
        <is>
          <t>&gt;=1000</t>
        </is>
      </c>
      <c r="H760" s="5" t="inlineStr">
        <is>
          <t>&gt;=7</t>
        </is>
      </c>
      <c r="I760" s="5" t="n">
        <v>4</v>
      </c>
      <c r="J760" s="5" t="inlineStr">
        <is>
          <t>male single</t>
        </is>
      </c>
      <c r="K760" s="5" t="inlineStr">
        <is>
          <t>none</t>
        </is>
      </c>
      <c r="L760" s="5" t="n">
        <v>4</v>
      </c>
      <c r="M760" s="5" t="inlineStr">
        <is>
          <t>no known property</t>
        </is>
      </c>
      <c r="N760" s="5" t="n">
        <v>55</v>
      </c>
      <c r="O760" s="5" t="inlineStr">
        <is>
          <t>none</t>
        </is>
      </c>
      <c r="P760" s="5" t="inlineStr">
        <is>
          <t>for free</t>
        </is>
      </c>
      <c r="Q760" s="5" t="n">
        <v>2</v>
      </c>
      <c r="R760" s="5" t="inlineStr">
        <is>
          <t>skilled</t>
        </is>
      </c>
      <c r="S760" s="5" t="n">
        <v>2</v>
      </c>
      <c r="T760" s="5" t="inlineStr">
        <is>
          <t>none</t>
        </is>
      </c>
      <c r="U760" s="5" t="inlineStr">
        <is>
          <t>yes</t>
        </is>
      </c>
      <c r="V760" s="5" t="inlineStr">
        <is>
          <t>bad</t>
        </is>
      </c>
    </row>
    <row r="761">
      <c r="A761" s="5" t="n">
        <v>756</v>
      </c>
      <c r="B761" s="5" t="inlineStr">
        <is>
          <t>&lt;0</t>
        </is>
      </c>
      <c r="C761" s="5" t="n">
        <v>24</v>
      </c>
      <c r="D761" s="5" t="inlineStr">
        <is>
          <t>existing paid</t>
        </is>
      </c>
      <c r="E761" s="5" t="inlineStr">
        <is>
          <t>new car</t>
        </is>
      </c>
      <c r="F761" s="5" t="n">
        <v>1285</v>
      </c>
      <c r="G761" s="5" t="inlineStr">
        <is>
          <t>no known savings</t>
        </is>
      </c>
      <c r="H761" s="5" t="inlineStr">
        <is>
          <t>4&lt;=X&lt;7</t>
        </is>
      </c>
      <c r="I761" s="5" t="n">
        <v>4</v>
      </c>
      <c r="J761" s="5" t="inlineStr">
        <is>
          <t>female div/dep/mar</t>
        </is>
      </c>
      <c r="K761" s="5" t="inlineStr">
        <is>
          <t>none</t>
        </is>
      </c>
      <c r="L761" s="5" t="n">
        <v>4</v>
      </c>
      <c r="M761" s="5" t="inlineStr">
        <is>
          <t>no known property</t>
        </is>
      </c>
      <c r="N761" s="5" t="n">
        <v>32</v>
      </c>
      <c r="O761" s="5" t="inlineStr">
        <is>
          <t>none</t>
        </is>
      </c>
      <c r="P761" s="5" t="inlineStr">
        <is>
          <t>rent</t>
        </is>
      </c>
      <c r="Q761" s="5" t="n">
        <v>1</v>
      </c>
      <c r="R761" s="5" t="inlineStr">
        <is>
          <t>skilled</t>
        </is>
      </c>
      <c r="S761" s="5" t="n">
        <v>1</v>
      </c>
      <c r="T761" s="5" t="inlineStr">
        <is>
          <t>none</t>
        </is>
      </c>
      <c r="U761" s="5" t="inlineStr">
        <is>
          <t>yes</t>
        </is>
      </c>
      <c r="V761" s="5" t="inlineStr">
        <is>
          <t>bad</t>
        </is>
      </c>
    </row>
    <row r="762">
      <c r="A762" s="5" t="n">
        <v>757</v>
      </c>
      <c r="B762" s="5" t="inlineStr">
        <is>
          <t>&gt;=200</t>
        </is>
      </c>
      <c r="C762" s="5" t="n">
        <v>6</v>
      </c>
      <c r="D762" s="5" t="inlineStr">
        <is>
          <t>critical/other existing credit</t>
        </is>
      </c>
      <c r="E762" s="5" t="inlineStr">
        <is>
          <t>new car</t>
        </is>
      </c>
      <c r="F762" s="5" t="n">
        <v>1299</v>
      </c>
      <c r="G762" s="5" t="inlineStr">
        <is>
          <t>&lt;100</t>
        </is>
      </c>
      <c r="H762" s="5" t="inlineStr">
        <is>
          <t>1&lt;=X&lt;4</t>
        </is>
      </c>
      <c r="I762" s="5" t="n">
        <v>1</v>
      </c>
      <c r="J762" s="5" t="inlineStr">
        <is>
          <t>male single</t>
        </is>
      </c>
      <c r="K762" s="5" t="inlineStr">
        <is>
          <t>none</t>
        </is>
      </c>
      <c r="L762" s="5" t="n">
        <v>1</v>
      </c>
      <c r="M762" s="5" t="inlineStr">
        <is>
          <t>real estate</t>
        </is>
      </c>
      <c r="N762" s="5" t="n">
        <v>74</v>
      </c>
      <c r="O762" s="5" t="inlineStr">
        <is>
          <t>none</t>
        </is>
      </c>
      <c r="P762" s="5" t="inlineStr">
        <is>
          <t>own</t>
        </is>
      </c>
      <c r="Q762" s="5" t="n">
        <v>3</v>
      </c>
      <c r="R762" s="5" t="inlineStr">
        <is>
          <t>unemp/unskilled non res</t>
        </is>
      </c>
      <c r="S762" s="5" t="n">
        <v>2</v>
      </c>
      <c r="T762" s="5" t="inlineStr">
        <is>
          <t>none</t>
        </is>
      </c>
      <c r="U762" s="5" t="inlineStr">
        <is>
          <t>no</t>
        </is>
      </c>
      <c r="V762" s="5" t="inlineStr">
        <is>
          <t>good</t>
        </is>
      </c>
    </row>
    <row r="763">
      <c r="A763" s="5" t="n">
        <v>758</v>
      </c>
      <c r="B763" s="5" t="inlineStr">
        <is>
          <t>&gt;=200</t>
        </is>
      </c>
      <c r="C763" s="5" t="n">
        <v>15</v>
      </c>
      <c r="D763" s="5" t="inlineStr">
        <is>
          <t>critical/other existing credit</t>
        </is>
      </c>
      <c r="E763" s="5" t="inlineStr">
        <is>
          <t>radio/tv</t>
        </is>
      </c>
      <c r="F763" s="5" t="n">
        <v>1271</v>
      </c>
      <c r="G763" s="5" t="inlineStr">
        <is>
          <t>no known savings</t>
        </is>
      </c>
      <c r="H763" s="5" t="inlineStr">
        <is>
          <t>1&lt;=X&lt;4</t>
        </is>
      </c>
      <c r="I763" s="5" t="n">
        <v>3</v>
      </c>
      <c r="J763" s="5" t="inlineStr">
        <is>
          <t>male single</t>
        </is>
      </c>
      <c r="K763" s="5" t="inlineStr">
        <is>
          <t>none</t>
        </is>
      </c>
      <c r="L763" s="5" t="n">
        <v>4</v>
      </c>
      <c r="M763" s="5" t="inlineStr">
        <is>
          <t>no known property</t>
        </is>
      </c>
      <c r="N763" s="5" t="n">
        <v>39</v>
      </c>
      <c r="O763" s="5" t="inlineStr">
        <is>
          <t>none</t>
        </is>
      </c>
      <c r="P763" s="5" t="inlineStr">
        <is>
          <t>for free</t>
        </is>
      </c>
      <c r="Q763" s="5" t="n">
        <v>2</v>
      </c>
      <c r="R763" s="5" t="inlineStr">
        <is>
          <t>skilled</t>
        </is>
      </c>
      <c r="S763" s="5" t="n">
        <v>1</v>
      </c>
      <c r="T763" s="5" t="inlineStr">
        <is>
          <t>yes</t>
        </is>
      </c>
      <c r="U763" s="5" t="inlineStr">
        <is>
          <t>yes</t>
        </is>
      </c>
      <c r="V763" s="5" t="inlineStr">
        <is>
          <t>bad</t>
        </is>
      </c>
    </row>
    <row r="764">
      <c r="A764" s="5" t="n">
        <v>759</v>
      </c>
      <c r="B764" s="5" t="inlineStr">
        <is>
          <t>no checking</t>
        </is>
      </c>
      <c r="C764" s="5" t="n">
        <v>24</v>
      </c>
      <c r="D764" s="5" t="inlineStr">
        <is>
          <t>existing paid</t>
        </is>
      </c>
      <c r="E764" s="5" t="inlineStr">
        <is>
          <t>new car</t>
        </is>
      </c>
      <c r="F764" s="5" t="n">
        <v>1393</v>
      </c>
      <c r="G764" s="5" t="inlineStr">
        <is>
          <t>&lt;100</t>
        </is>
      </c>
      <c r="H764" s="5" t="inlineStr">
        <is>
          <t>1&lt;=X&lt;4</t>
        </is>
      </c>
      <c r="I764" s="5" t="n">
        <v>2</v>
      </c>
      <c r="J764" s="5" t="inlineStr">
        <is>
          <t>male single</t>
        </is>
      </c>
      <c r="K764" s="5" t="inlineStr">
        <is>
          <t>guarantor</t>
        </is>
      </c>
      <c r="L764" s="5" t="n">
        <v>2</v>
      </c>
      <c r="M764" s="5" t="inlineStr">
        <is>
          <t>real estate</t>
        </is>
      </c>
      <c r="N764" s="5" t="n">
        <v>31</v>
      </c>
      <c r="O764" s="5" t="inlineStr">
        <is>
          <t>none</t>
        </is>
      </c>
      <c r="P764" s="5" t="inlineStr">
        <is>
          <t>own</t>
        </is>
      </c>
      <c r="Q764" s="5" t="n">
        <v>1</v>
      </c>
      <c r="R764" s="5" t="inlineStr">
        <is>
          <t>skilled</t>
        </is>
      </c>
      <c r="S764" s="5" t="n">
        <v>1</v>
      </c>
      <c r="T764" s="5" t="inlineStr">
        <is>
          <t>yes</t>
        </is>
      </c>
      <c r="U764" s="5" t="inlineStr">
        <is>
          <t>yes</t>
        </is>
      </c>
      <c r="V764" s="5" t="inlineStr">
        <is>
          <t>good</t>
        </is>
      </c>
    </row>
    <row r="765">
      <c r="A765" s="5" t="n">
        <v>760</v>
      </c>
      <c r="B765" s="5" t="inlineStr">
        <is>
          <t>&lt;0</t>
        </is>
      </c>
      <c r="C765" s="5" t="n">
        <v>12</v>
      </c>
      <c r="D765" s="5" t="inlineStr">
        <is>
          <t>critical/other existing credit</t>
        </is>
      </c>
      <c r="E765" s="5" t="inlineStr">
        <is>
          <t>new car</t>
        </is>
      </c>
      <c r="F765" s="5" t="n">
        <v>691</v>
      </c>
      <c r="G765" s="5" t="inlineStr">
        <is>
          <t>&lt;100</t>
        </is>
      </c>
      <c r="H765" s="5" t="inlineStr">
        <is>
          <t>&gt;=7</t>
        </is>
      </c>
      <c r="I765" s="5" t="n">
        <v>4</v>
      </c>
      <c r="J765" s="5" t="inlineStr">
        <is>
          <t>male single</t>
        </is>
      </c>
      <c r="K765" s="5" t="inlineStr">
        <is>
          <t>none</t>
        </is>
      </c>
      <c r="L765" s="5" t="n">
        <v>3</v>
      </c>
      <c r="M765" s="5" t="inlineStr">
        <is>
          <t>life insurance</t>
        </is>
      </c>
      <c r="N765" s="5" t="n">
        <v>35</v>
      </c>
      <c r="O765" s="5" t="inlineStr">
        <is>
          <t>none</t>
        </is>
      </c>
      <c r="P765" s="5" t="inlineStr">
        <is>
          <t>own</t>
        </is>
      </c>
      <c r="Q765" s="5" t="n">
        <v>2</v>
      </c>
      <c r="R765" s="5" t="inlineStr">
        <is>
          <t>skilled</t>
        </is>
      </c>
      <c r="S765" s="5" t="n">
        <v>1</v>
      </c>
      <c r="T765" s="5" t="inlineStr">
        <is>
          <t>none</t>
        </is>
      </c>
      <c r="U765" s="5" t="inlineStr">
        <is>
          <t>yes</t>
        </is>
      </c>
      <c r="V765" s="5" t="inlineStr">
        <is>
          <t>bad</t>
        </is>
      </c>
    </row>
    <row r="766">
      <c r="A766" s="5" t="n">
        <v>761</v>
      </c>
      <c r="B766" s="5" t="inlineStr">
        <is>
          <t>no checking</t>
        </is>
      </c>
      <c r="C766" s="5" t="n">
        <v>15</v>
      </c>
      <c r="D766" s="5" t="inlineStr">
        <is>
          <t>critical/other existing credit</t>
        </is>
      </c>
      <c r="E766" s="5" t="inlineStr">
        <is>
          <t>new car</t>
        </is>
      </c>
      <c r="F766" s="5" t="n">
        <v>5045</v>
      </c>
      <c r="G766" s="5" t="inlineStr">
        <is>
          <t>no known savings</t>
        </is>
      </c>
      <c r="H766" s="5" t="inlineStr">
        <is>
          <t>&gt;=7</t>
        </is>
      </c>
      <c r="I766" s="5" t="n">
        <v>1</v>
      </c>
      <c r="J766" s="5" t="inlineStr">
        <is>
          <t>female div/dep/mar</t>
        </is>
      </c>
      <c r="K766" s="5" t="inlineStr">
        <is>
          <t>none</t>
        </is>
      </c>
      <c r="L766" s="5" t="n">
        <v>4</v>
      </c>
      <c r="M766" s="5" t="inlineStr">
        <is>
          <t>car</t>
        </is>
      </c>
      <c r="N766" s="5" t="n">
        <v>59</v>
      </c>
      <c r="O766" s="5" t="inlineStr">
        <is>
          <t>none</t>
        </is>
      </c>
      <c r="P766" s="5" t="inlineStr">
        <is>
          <t>own</t>
        </is>
      </c>
      <c r="Q766" s="5" t="n">
        <v>1</v>
      </c>
      <c r="R766" s="5" t="inlineStr">
        <is>
          <t>skilled</t>
        </is>
      </c>
      <c r="S766" s="5" t="n">
        <v>1</v>
      </c>
      <c r="T766" s="5" t="inlineStr">
        <is>
          <t>yes</t>
        </is>
      </c>
      <c r="U766" s="5" t="inlineStr">
        <is>
          <t>yes</t>
        </is>
      </c>
      <c r="V766" s="5" t="inlineStr">
        <is>
          <t>good</t>
        </is>
      </c>
    </row>
    <row r="767">
      <c r="A767" s="5" t="n">
        <v>762</v>
      </c>
      <c r="B767" s="5" t="inlineStr">
        <is>
          <t>&lt;0</t>
        </is>
      </c>
      <c r="C767" s="5" t="n">
        <v>18</v>
      </c>
      <c r="D767" s="5" t="inlineStr">
        <is>
          <t>critical/other existing credit</t>
        </is>
      </c>
      <c r="E767" s="5" t="inlineStr">
        <is>
          <t>furniture/equipment</t>
        </is>
      </c>
      <c r="F767" s="5" t="n">
        <v>2124</v>
      </c>
      <c r="G767" s="5" t="inlineStr">
        <is>
          <t>&lt;100</t>
        </is>
      </c>
      <c r="H767" s="5" t="inlineStr">
        <is>
          <t>1&lt;=X&lt;4</t>
        </is>
      </c>
      <c r="I767" s="5" t="n">
        <v>4</v>
      </c>
      <c r="J767" s="5" t="inlineStr">
        <is>
          <t>female div/dep/mar</t>
        </is>
      </c>
      <c r="K767" s="5" t="inlineStr">
        <is>
          <t>none</t>
        </is>
      </c>
      <c r="L767" s="5" t="n">
        <v>4</v>
      </c>
      <c r="M767" s="5" t="inlineStr">
        <is>
          <t>real estate</t>
        </is>
      </c>
      <c r="N767" s="5" t="n">
        <v>24</v>
      </c>
      <c r="O767" s="5" t="inlineStr">
        <is>
          <t>none</t>
        </is>
      </c>
      <c r="P767" s="5" t="inlineStr">
        <is>
          <t>rent</t>
        </is>
      </c>
      <c r="Q767" s="5" t="n">
        <v>2</v>
      </c>
      <c r="R767" s="5" t="inlineStr">
        <is>
          <t>skilled</t>
        </is>
      </c>
      <c r="S767" s="5" t="n">
        <v>1</v>
      </c>
      <c r="T767" s="5" t="inlineStr">
        <is>
          <t>none</t>
        </is>
      </c>
      <c r="U767" s="5" t="inlineStr">
        <is>
          <t>yes</t>
        </is>
      </c>
      <c r="V767" s="5" t="inlineStr">
        <is>
          <t>bad</t>
        </is>
      </c>
    </row>
    <row r="768">
      <c r="A768" s="5" t="n">
        <v>763</v>
      </c>
      <c r="B768" s="5" t="inlineStr">
        <is>
          <t>&lt;0</t>
        </is>
      </c>
      <c r="C768" s="5" t="n">
        <v>12</v>
      </c>
      <c r="D768" s="5" t="inlineStr">
        <is>
          <t>existing paid</t>
        </is>
      </c>
      <c r="E768" s="5" t="inlineStr">
        <is>
          <t>radio/tv</t>
        </is>
      </c>
      <c r="F768" s="5" t="n">
        <v>2214</v>
      </c>
      <c r="G768" s="5" t="inlineStr">
        <is>
          <t>&lt;100</t>
        </is>
      </c>
      <c r="H768" s="5" t="inlineStr">
        <is>
          <t>1&lt;=X&lt;4</t>
        </is>
      </c>
      <c r="I768" s="5" t="n">
        <v>4</v>
      </c>
      <c r="J768" s="5" t="inlineStr">
        <is>
          <t>male single</t>
        </is>
      </c>
      <c r="K768" s="5" t="inlineStr">
        <is>
          <t>none</t>
        </is>
      </c>
      <c r="L768" s="5" t="n">
        <v>3</v>
      </c>
      <c r="M768" s="5" t="inlineStr">
        <is>
          <t>life insurance</t>
        </is>
      </c>
      <c r="N768" s="5" t="n">
        <v>24</v>
      </c>
      <c r="O768" s="5" t="inlineStr">
        <is>
          <t>none</t>
        </is>
      </c>
      <c r="P768" s="5" t="inlineStr">
        <is>
          <t>own</t>
        </is>
      </c>
      <c r="Q768" s="5" t="n">
        <v>1</v>
      </c>
      <c r="R768" s="5" t="inlineStr">
        <is>
          <t>unskilled resident</t>
        </is>
      </c>
      <c r="S768" s="5" t="n">
        <v>1</v>
      </c>
      <c r="T768" s="5" t="inlineStr">
        <is>
          <t>none</t>
        </is>
      </c>
      <c r="U768" s="5" t="inlineStr">
        <is>
          <t>yes</t>
        </is>
      </c>
      <c r="V768" s="5" t="inlineStr">
        <is>
          <t>good</t>
        </is>
      </c>
    </row>
    <row r="769">
      <c r="A769" s="5" t="n">
        <v>764</v>
      </c>
      <c r="B769" s="5" t="inlineStr">
        <is>
          <t>no checking</t>
        </is>
      </c>
      <c r="C769" s="5" t="n">
        <v>21</v>
      </c>
      <c r="D769" s="5" t="inlineStr">
        <is>
          <t>critical/other existing credit</t>
        </is>
      </c>
      <c r="E769" s="5" t="inlineStr">
        <is>
          <t>new car</t>
        </is>
      </c>
      <c r="F769" s="5" t="n">
        <v>12680</v>
      </c>
      <c r="G769" s="5" t="inlineStr">
        <is>
          <t>no known savings</t>
        </is>
      </c>
      <c r="H769" s="5" t="inlineStr">
        <is>
          <t>&gt;=7</t>
        </is>
      </c>
      <c r="I769" s="5" t="n">
        <v>4</v>
      </c>
      <c r="J769" s="5" t="inlineStr">
        <is>
          <t>male single</t>
        </is>
      </c>
      <c r="K769" s="5" t="inlineStr">
        <is>
          <t>none</t>
        </is>
      </c>
      <c r="L769" s="5" t="n">
        <v>4</v>
      </c>
      <c r="M769" s="5" t="inlineStr">
        <is>
          <t>no known property</t>
        </is>
      </c>
      <c r="N769" s="5" t="n">
        <v>30</v>
      </c>
      <c r="O769" s="5" t="inlineStr">
        <is>
          <t>none</t>
        </is>
      </c>
      <c r="P769" s="5" t="inlineStr">
        <is>
          <t>for free</t>
        </is>
      </c>
      <c r="Q769" s="5" t="n">
        <v>1</v>
      </c>
      <c r="R769" s="5" t="inlineStr">
        <is>
          <t>high qualif/self emp/mgmt</t>
        </is>
      </c>
      <c r="S769" s="5" t="n">
        <v>1</v>
      </c>
      <c r="T769" s="5" t="inlineStr">
        <is>
          <t>yes</t>
        </is>
      </c>
      <c r="U769" s="5" t="inlineStr">
        <is>
          <t>yes</t>
        </is>
      </c>
      <c r="V769" s="5" t="inlineStr">
        <is>
          <t>bad</t>
        </is>
      </c>
    </row>
    <row r="770">
      <c r="A770" s="5" t="n">
        <v>765</v>
      </c>
      <c r="B770" s="5" t="inlineStr">
        <is>
          <t>no checking</t>
        </is>
      </c>
      <c r="C770" s="5" t="n">
        <v>24</v>
      </c>
      <c r="D770" s="5" t="inlineStr">
        <is>
          <t>critical/other existing credit</t>
        </is>
      </c>
      <c r="E770" s="5" t="inlineStr">
        <is>
          <t>new car</t>
        </is>
      </c>
      <c r="F770" s="5" t="n">
        <v>2463</v>
      </c>
      <c r="G770" s="5" t="inlineStr">
        <is>
          <t>100&lt;=X&lt;500</t>
        </is>
      </c>
      <c r="H770" s="5" t="inlineStr">
        <is>
          <t>4&lt;=X&lt;7</t>
        </is>
      </c>
      <c r="I770" s="5" t="n">
        <v>4</v>
      </c>
      <c r="J770" s="5" t="inlineStr">
        <is>
          <t>male mar/wid</t>
        </is>
      </c>
      <c r="K770" s="5" t="inlineStr">
        <is>
          <t>none</t>
        </is>
      </c>
      <c r="L770" s="5" t="n">
        <v>3</v>
      </c>
      <c r="M770" s="5" t="inlineStr">
        <is>
          <t>life insurance</t>
        </is>
      </c>
      <c r="N770" s="5" t="n">
        <v>27</v>
      </c>
      <c r="O770" s="5" t="inlineStr">
        <is>
          <t>none</t>
        </is>
      </c>
      <c r="P770" s="5" t="inlineStr">
        <is>
          <t>own</t>
        </is>
      </c>
      <c r="Q770" s="5" t="n">
        <v>2</v>
      </c>
      <c r="R770" s="5" t="inlineStr">
        <is>
          <t>skilled</t>
        </is>
      </c>
      <c r="S770" s="5" t="n">
        <v>1</v>
      </c>
      <c r="T770" s="5" t="inlineStr">
        <is>
          <t>yes</t>
        </is>
      </c>
      <c r="U770" s="5" t="inlineStr">
        <is>
          <t>yes</t>
        </is>
      </c>
      <c r="V770" s="5" t="inlineStr">
        <is>
          <t>good</t>
        </is>
      </c>
    </row>
    <row r="771">
      <c r="A771" s="5" t="n">
        <v>766</v>
      </c>
      <c r="B771" s="5" t="inlineStr">
        <is>
          <t>0&lt;=X&lt;200</t>
        </is>
      </c>
      <c r="C771" s="5" t="n">
        <v>12</v>
      </c>
      <c r="D771" s="5" t="inlineStr">
        <is>
          <t>existing paid</t>
        </is>
      </c>
      <c r="E771" s="5" t="inlineStr">
        <is>
          <t>radio/tv</t>
        </is>
      </c>
      <c r="F771" s="5" t="n">
        <v>1155</v>
      </c>
      <c r="G771" s="5" t="inlineStr">
        <is>
          <t>&lt;100</t>
        </is>
      </c>
      <c r="H771" s="5" t="inlineStr">
        <is>
          <t>&gt;=7</t>
        </is>
      </c>
      <c r="I771" s="5" t="n">
        <v>3</v>
      </c>
      <c r="J771" s="5" t="inlineStr">
        <is>
          <t>male mar/wid</t>
        </is>
      </c>
      <c r="K771" s="5" t="inlineStr">
        <is>
          <t>guarantor</t>
        </is>
      </c>
      <c r="L771" s="5" t="n">
        <v>3</v>
      </c>
      <c r="M771" s="5" t="inlineStr">
        <is>
          <t>real estate</t>
        </is>
      </c>
      <c r="N771" s="5" t="n">
        <v>40</v>
      </c>
      <c r="O771" s="5" t="inlineStr">
        <is>
          <t>bank</t>
        </is>
      </c>
      <c r="P771" s="5" t="inlineStr">
        <is>
          <t>own</t>
        </is>
      </c>
      <c r="Q771" s="5" t="n">
        <v>2</v>
      </c>
      <c r="R771" s="5" t="inlineStr">
        <is>
          <t>unskilled resident</t>
        </is>
      </c>
      <c r="S771" s="5" t="n">
        <v>1</v>
      </c>
      <c r="T771" s="5" t="inlineStr">
        <is>
          <t>none</t>
        </is>
      </c>
      <c r="U771" s="5" t="inlineStr">
        <is>
          <t>yes</t>
        </is>
      </c>
      <c r="V771" s="5" t="inlineStr">
        <is>
          <t>good</t>
        </is>
      </c>
    </row>
    <row r="772">
      <c r="A772" s="5" t="n">
        <v>767</v>
      </c>
      <c r="B772" s="5" t="inlineStr">
        <is>
          <t>&lt;0</t>
        </is>
      </c>
      <c r="C772" s="5" t="n">
        <v>30</v>
      </c>
      <c r="D772" s="5" t="inlineStr">
        <is>
          <t>existing paid</t>
        </is>
      </c>
      <c r="E772" s="5" t="inlineStr">
        <is>
          <t>furniture/equipment</t>
        </is>
      </c>
      <c r="F772" s="5" t="n">
        <v>3108</v>
      </c>
      <c r="G772" s="5" t="inlineStr">
        <is>
          <t>&lt;100</t>
        </is>
      </c>
      <c r="H772" s="5" t="inlineStr">
        <is>
          <t>&lt;1</t>
        </is>
      </c>
      <c r="I772" s="5" t="n">
        <v>2</v>
      </c>
      <c r="J772" s="5" t="inlineStr">
        <is>
          <t>male div/sep</t>
        </is>
      </c>
      <c r="K772" s="5" t="inlineStr">
        <is>
          <t>none</t>
        </is>
      </c>
      <c r="L772" s="5" t="n">
        <v>4</v>
      </c>
      <c r="M772" s="5" t="inlineStr">
        <is>
          <t>life insurance</t>
        </is>
      </c>
      <c r="N772" s="5" t="n">
        <v>31</v>
      </c>
      <c r="O772" s="5" t="inlineStr">
        <is>
          <t>none</t>
        </is>
      </c>
      <c r="P772" s="5" t="inlineStr">
        <is>
          <t>own</t>
        </is>
      </c>
      <c r="Q772" s="5" t="n">
        <v>1</v>
      </c>
      <c r="R772" s="5" t="inlineStr">
        <is>
          <t>unskilled resident</t>
        </is>
      </c>
      <c r="S772" s="5" t="n">
        <v>1</v>
      </c>
      <c r="T772" s="5" t="inlineStr">
        <is>
          <t>none</t>
        </is>
      </c>
      <c r="U772" s="5" t="inlineStr">
        <is>
          <t>yes</t>
        </is>
      </c>
      <c r="V772" s="5" t="inlineStr">
        <is>
          <t>bad</t>
        </is>
      </c>
    </row>
    <row r="773">
      <c r="A773" s="5" t="n">
        <v>768</v>
      </c>
      <c r="B773" s="5" t="inlineStr">
        <is>
          <t>no checking</t>
        </is>
      </c>
      <c r="C773" s="5" t="n">
        <v>10</v>
      </c>
      <c r="D773" s="5" t="inlineStr">
        <is>
          <t>existing paid</t>
        </is>
      </c>
      <c r="E773" s="5" t="inlineStr">
        <is>
          <t>used car</t>
        </is>
      </c>
      <c r="F773" s="5" t="n">
        <v>2901</v>
      </c>
      <c r="G773" s="5" t="inlineStr">
        <is>
          <t>no known savings</t>
        </is>
      </c>
      <c r="H773" s="5" t="inlineStr">
        <is>
          <t>&lt;1</t>
        </is>
      </c>
      <c r="I773" s="5" t="n">
        <v>1</v>
      </c>
      <c r="J773" s="5" t="inlineStr">
        <is>
          <t>female div/dep/mar</t>
        </is>
      </c>
      <c r="K773" s="5" t="inlineStr">
        <is>
          <t>none</t>
        </is>
      </c>
      <c r="L773" s="5" t="n">
        <v>4</v>
      </c>
      <c r="M773" s="5" t="inlineStr">
        <is>
          <t>real estate</t>
        </is>
      </c>
      <c r="N773" s="5" t="n">
        <v>31</v>
      </c>
      <c r="O773" s="5" t="inlineStr">
        <is>
          <t>none</t>
        </is>
      </c>
      <c r="P773" s="5" t="inlineStr">
        <is>
          <t>rent</t>
        </is>
      </c>
      <c r="Q773" s="5" t="n">
        <v>1</v>
      </c>
      <c r="R773" s="5" t="inlineStr">
        <is>
          <t>skilled</t>
        </is>
      </c>
      <c r="S773" s="5" t="n">
        <v>1</v>
      </c>
      <c r="T773" s="5" t="inlineStr">
        <is>
          <t>none</t>
        </is>
      </c>
      <c r="U773" s="5" t="inlineStr">
        <is>
          <t>yes</t>
        </is>
      </c>
      <c r="V773" s="5" t="inlineStr">
        <is>
          <t>good</t>
        </is>
      </c>
    </row>
    <row r="774">
      <c r="A774" s="5" t="n">
        <v>769</v>
      </c>
      <c r="B774" s="5" t="inlineStr">
        <is>
          <t>0&lt;=X&lt;200</t>
        </is>
      </c>
      <c r="C774" s="5" t="n">
        <v>12</v>
      </c>
      <c r="D774" s="5" t="inlineStr">
        <is>
          <t>critical/other existing credit</t>
        </is>
      </c>
      <c r="E774" s="5" t="inlineStr">
        <is>
          <t>furniture/equipment</t>
        </is>
      </c>
      <c r="F774" s="5" t="n">
        <v>3617</v>
      </c>
      <c r="G774" s="5" t="inlineStr">
        <is>
          <t>&lt;100</t>
        </is>
      </c>
      <c r="H774" s="5" t="inlineStr">
        <is>
          <t>&gt;=7</t>
        </is>
      </c>
      <c r="I774" s="5" t="n">
        <v>1</v>
      </c>
      <c r="J774" s="5" t="inlineStr">
        <is>
          <t>male single</t>
        </is>
      </c>
      <c r="K774" s="5" t="inlineStr">
        <is>
          <t>none</t>
        </is>
      </c>
      <c r="L774" s="5" t="n">
        <v>4</v>
      </c>
      <c r="M774" s="5" t="inlineStr">
        <is>
          <t>car</t>
        </is>
      </c>
      <c r="N774" s="5" t="n">
        <v>28</v>
      </c>
      <c r="O774" s="5" t="inlineStr">
        <is>
          <t>none</t>
        </is>
      </c>
      <c r="P774" s="5" t="inlineStr">
        <is>
          <t>rent</t>
        </is>
      </c>
      <c r="Q774" s="5" t="n">
        <v>3</v>
      </c>
      <c r="R774" s="5" t="inlineStr">
        <is>
          <t>skilled</t>
        </is>
      </c>
      <c r="S774" s="5" t="n">
        <v>1</v>
      </c>
      <c r="T774" s="5" t="inlineStr">
        <is>
          <t>yes</t>
        </is>
      </c>
      <c r="U774" s="5" t="inlineStr">
        <is>
          <t>yes</t>
        </is>
      </c>
      <c r="V774" s="5" t="inlineStr">
        <is>
          <t>good</t>
        </is>
      </c>
    </row>
    <row r="775">
      <c r="A775" s="5" t="n">
        <v>770</v>
      </c>
      <c r="B775" s="5" t="inlineStr">
        <is>
          <t>no checking</t>
        </is>
      </c>
      <c r="C775" s="5" t="n">
        <v>12</v>
      </c>
      <c r="D775" s="5" t="inlineStr">
        <is>
          <t>critical/other existing credit</t>
        </is>
      </c>
      <c r="E775" s="5" t="inlineStr">
        <is>
          <t>radio/tv</t>
        </is>
      </c>
      <c r="F775" s="5" t="n">
        <v>1655</v>
      </c>
      <c r="G775" s="5" t="inlineStr">
        <is>
          <t>&lt;100</t>
        </is>
      </c>
      <c r="H775" s="5" t="inlineStr">
        <is>
          <t>&gt;=7</t>
        </is>
      </c>
      <c r="I775" s="5" t="n">
        <v>2</v>
      </c>
      <c r="J775" s="5" t="inlineStr">
        <is>
          <t>male single</t>
        </is>
      </c>
      <c r="K775" s="5" t="inlineStr">
        <is>
          <t>none</t>
        </is>
      </c>
      <c r="L775" s="5" t="n">
        <v>4</v>
      </c>
      <c r="M775" s="5" t="inlineStr">
        <is>
          <t>real estate</t>
        </is>
      </c>
      <c r="N775" s="5" t="n">
        <v>63</v>
      </c>
      <c r="O775" s="5" t="inlineStr">
        <is>
          <t>none</t>
        </is>
      </c>
      <c r="P775" s="5" t="inlineStr">
        <is>
          <t>own</t>
        </is>
      </c>
      <c r="Q775" s="5" t="n">
        <v>2</v>
      </c>
      <c r="R775" s="5" t="inlineStr">
        <is>
          <t>unskilled resident</t>
        </is>
      </c>
      <c r="S775" s="5" t="n">
        <v>1</v>
      </c>
      <c r="T775" s="5" t="inlineStr">
        <is>
          <t>yes</t>
        </is>
      </c>
      <c r="U775" s="5" t="inlineStr">
        <is>
          <t>yes</t>
        </is>
      </c>
      <c r="V775" s="5" t="inlineStr">
        <is>
          <t>good</t>
        </is>
      </c>
    </row>
    <row r="776">
      <c r="A776" s="5" t="n">
        <v>771</v>
      </c>
      <c r="B776" s="5" t="inlineStr">
        <is>
          <t>&lt;0</t>
        </is>
      </c>
      <c r="C776" s="5" t="n">
        <v>24</v>
      </c>
      <c r="D776" s="5" t="inlineStr">
        <is>
          <t>existing paid</t>
        </is>
      </c>
      <c r="E776" s="5" t="inlineStr">
        <is>
          <t>used car</t>
        </is>
      </c>
      <c r="F776" s="5" t="n">
        <v>2812</v>
      </c>
      <c r="G776" s="5" t="inlineStr">
        <is>
          <t>no known savings</t>
        </is>
      </c>
      <c r="H776" s="5" t="inlineStr">
        <is>
          <t>&gt;=7</t>
        </is>
      </c>
      <c r="I776" s="5" t="n">
        <v>2</v>
      </c>
      <c r="J776" s="5" t="inlineStr">
        <is>
          <t>female div/dep/mar</t>
        </is>
      </c>
      <c r="K776" s="5" t="inlineStr">
        <is>
          <t>none</t>
        </is>
      </c>
      <c r="L776" s="5" t="n">
        <v>4</v>
      </c>
      <c r="M776" s="5" t="inlineStr">
        <is>
          <t>real estate</t>
        </is>
      </c>
      <c r="N776" s="5" t="n">
        <v>26</v>
      </c>
      <c r="O776" s="5" t="inlineStr">
        <is>
          <t>none</t>
        </is>
      </c>
      <c r="P776" s="5" t="inlineStr">
        <is>
          <t>rent</t>
        </is>
      </c>
      <c r="Q776" s="5" t="n">
        <v>1</v>
      </c>
      <c r="R776" s="5" t="inlineStr">
        <is>
          <t>skilled</t>
        </is>
      </c>
      <c r="S776" s="5" t="n">
        <v>1</v>
      </c>
      <c r="T776" s="5" t="inlineStr">
        <is>
          <t>none</t>
        </is>
      </c>
      <c r="U776" s="5" t="inlineStr">
        <is>
          <t>yes</t>
        </is>
      </c>
      <c r="V776" s="5" t="inlineStr">
        <is>
          <t>good</t>
        </is>
      </c>
    </row>
    <row r="777">
      <c r="A777" s="5" t="n">
        <v>772</v>
      </c>
      <c r="B777" s="5" t="inlineStr">
        <is>
          <t>&lt;0</t>
        </is>
      </c>
      <c r="C777" s="5" t="n">
        <v>36</v>
      </c>
      <c r="D777" s="5" t="inlineStr">
        <is>
          <t>critical/other existing credit</t>
        </is>
      </c>
      <c r="E777" s="5" t="inlineStr">
        <is>
          <t>education</t>
        </is>
      </c>
      <c r="F777" s="5" t="n">
        <v>8065</v>
      </c>
      <c r="G777" s="5" t="inlineStr">
        <is>
          <t>&lt;100</t>
        </is>
      </c>
      <c r="H777" s="5" t="inlineStr">
        <is>
          <t>1&lt;=X&lt;4</t>
        </is>
      </c>
      <c r="I777" s="5" t="n">
        <v>3</v>
      </c>
      <c r="J777" s="5" t="inlineStr">
        <is>
          <t>female div/dep/mar</t>
        </is>
      </c>
      <c r="K777" s="5" t="inlineStr">
        <is>
          <t>none</t>
        </is>
      </c>
      <c r="L777" s="5" t="n">
        <v>2</v>
      </c>
      <c r="M777" s="5" t="inlineStr">
        <is>
          <t>no known property</t>
        </is>
      </c>
      <c r="N777" s="5" t="n">
        <v>25</v>
      </c>
      <c r="O777" s="5" t="inlineStr">
        <is>
          <t>none</t>
        </is>
      </c>
      <c r="P777" s="5" t="inlineStr">
        <is>
          <t>own</t>
        </is>
      </c>
      <c r="Q777" s="5" t="n">
        <v>2</v>
      </c>
      <c r="R777" s="5" t="inlineStr">
        <is>
          <t>high qualif/self emp/mgmt</t>
        </is>
      </c>
      <c r="S777" s="5" t="n">
        <v>1</v>
      </c>
      <c r="T777" s="5" t="inlineStr">
        <is>
          <t>yes</t>
        </is>
      </c>
      <c r="U777" s="5" t="inlineStr">
        <is>
          <t>yes</t>
        </is>
      </c>
      <c r="V777" s="5" t="inlineStr">
        <is>
          <t>bad</t>
        </is>
      </c>
    </row>
    <row r="778">
      <c r="A778" s="5" t="n">
        <v>773</v>
      </c>
      <c r="B778" s="5" t="inlineStr">
        <is>
          <t>no checking</t>
        </is>
      </c>
      <c r="C778" s="5" t="n">
        <v>21</v>
      </c>
      <c r="D778" s="5" t="inlineStr">
        <is>
          <t>critical/other existing credit</t>
        </is>
      </c>
      <c r="E778" s="5" t="inlineStr">
        <is>
          <t>used car</t>
        </is>
      </c>
      <c r="F778" s="5" t="n">
        <v>3275</v>
      </c>
      <c r="G778" s="5" t="inlineStr">
        <is>
          <t>&lt;100</t>
        </is>
      </c>
      <c r="H778" s="5" t="inlineStr">
        <is>
          <t>&gt;=7</t>
        </is>
      </c>
      <c r="I778" s="5" t="n">
        <v>1</v>
      </c>
      <c r="J778" s="5" t="inlineStr">
        <is>
          <t>male single</t>
        </is>
      </c>
      <c r="K778" s="5" t="inlineStr">
        <is>
          <t>none</t>
        </is>
      </c>
      <c r="L778" s="5" t="n">
        <v>4</v>
      </c>
      <c r="M778" s="5" t="inlineStr">
        <is>
          <t>car</t>
        </is>
      </c>
      <c r="N778" s="5" t="n">
        <v>36</v>
      </c>
      <c r="O778" s="5" t="inlineStr">
        <is>
          <t>none</t>
        </is>
      </c>
      <c r="P778" s="5" t="inlineStr">
        <is>
          <t>own</t>
        </is>
      </c>
      <c r="Q778" s="5" t="n">
        <v>1</v>
      </c>
      <c r="R778" s="5" t="inlineStr">
        <is>
          <t>high qualif/self emp/mgmt</t>
        </is>
      </c>
      <c r="S778" s="5" t="n">
        <v>1</v>
      </c>
      <c r="T778" s="5" t="inlineStr">
        <is>
          <t>yes</t>
        </is>
      </c>
      <c r="U778" s="5" t="inlineStr">
        <is>
          <t>yes</t>
        </is>
      </c>
      <c r="V778" s="5" t="inlineStr">
        <is>
          <t>good</t>
        </is>
      </c>
    </row>
    <row r="779">
      <c r="A779" s="5" t="n">
        <v>774</v>
      </c>
      <c r="B779" s="5" t="inlineStr">
        <is>
          <t>no checking</t>
        </is>
      </c>
      <c r="C779" s="5" t="n">
        <v>24</v>
      </c>
      <c r="D779" s="5" t="inlineStr">
        <is>
          <t>critical/other existing credit</t>
        </is>
      </c>
      <c r="E779" s="5" t="inlineStr">
        <is>
          <t>radio/tv</t>
        </is>
      </c>
      <c r="F779" s="5" t="n">
        <v>2223</v>
      </c>
      <c r="G779" s="5" t="inlineStr">
        <is>
          <t>100&lt;=X&lt;500</t>
        </is>
      </c>
      <c r="H779" s="5" t="inlineStr">
        <is>
          <t>&gt;=7</t>
        </is>
      </c>
      <c r="I779" s="5" t="n">
        <v>4</v>
      </c>
      <c r="J779" s="5" t="inlineStr">
        <is>
          <t>male single</t>
        </is>
      </c>
      <c r="K779" s="5" t="inlineStr">
        <is>
          <t>none</t>
        </is>
      </c>
      <c r="L779" s="5" t="n">
        <v>4</v>
      </c>
      <c r="M779" s="5" t="inlineStr">
        <is>
          <t>life insurance</t>
        </is>
      </c>
      <c r="N779" s="5" t="n">
        <v>52</v>
      </c>
      <c r="O779" s="5" t="inlineStr">
        <is>
          <t>bank</t>
        </is>
      </c>
      <c r="P779" s="5" t="inlineStr">
        <is>
          <t>own</t>
        </is>
      </c>
      <c r="Q779" s="5" t="n">
        <v>2</v>
      </c>
      <c r="R779" s="5" t="inlineStr">
        <is>
          <t>skilled</t>
        </is>
      </c>
      <c r="S779" s="5" t="n">
        <v>1</v>
      </c>
      <c r="T779" s="5" t="inlineStr">
        <is>
          <t>none</t>
        </is>
      </c>
      <c r="U779" s="5" t="inlineStr">
        <is>
          <t>yes</t>
        </is>
      </c>
      <c r="V779" s="5" t="inlineStr">
        <is>
          <t>good</t>
        </is>
      </c>
    </row>
    <row r="780">
      <c r="A780" s="5" t="n">
        <v>775</v>
      </c>
      <c r="B780" s="5" t="inlineStr">
        <is>
          <t>&gt;=200</t>
        </is>
      </c>
      <c r="C780" s="5" t="n">
        <v>12</v>
      </c>
      <c r="D780" s="5" t="inlineStr">
        <is>
          <t>critical/other existing credit</t>
        </is>
      </c>
      <c r="E780" s="5" t="inlineStr">
        <is>
          <t>new car</t>
        </is>
      </c>
      <c r="F780" s="5" t="n">
        <v>1480</v>
      </c>
      <c r="G780" s="5" t="inlineStr">
        <is>
          <t>500&lt;=X&lt;1000</t>
        </is>
      </c>
      <c r="H780" s="5" t="inlineStr">
        <is>
          <t>unemployed</t>
        </is>
      </c>
      <c r="I780" s="5" t="n">
        <v>2</v>
      </c>
      <c r="J780" s="5" t="inlineStr">
        <is>
          <t>male single</t>
        </is>
      </c>
      <c r="K780" s="5" t="inlineStr">
        <is>
          <t>none</t>
        </is>
      </c>
      <c r="L780" s="5" t="n">
        <v>4</v>
      </c>
      <c r="M780" s="5" t="inlineStr">
        <is>
          <t>no known property</t>
        </is>
      </c>
      <c r="N780" s="5" t="n">
        <v>66</v>
      </c>
      <c r="O780" s="5" t="inlineStr">
        <is>
          <t>bank</t>
        </is>
      </c>
      <c r="P780" s="5" t="inlineStr">
        <is>
          <t>for free</t>
        </is>
      </c>
      <c r="Q780" s="5" t="n">
        <v>3</v>
      </c>
      <c r="R780" s="5" t="inlineStr">
        <is>
          <t>unemp/unskilled non res</t>
        </is>
      </c>
      <c r="S780" s="5" t="n">
        <v>1</v>
      </c>
      <c r="T780" s="5" t="inlineStr">
        <is>
          <t>none</t>
        </is>
      </c>
      <c r="U780" s="5" t="inlineStr">
        <is>
          <t>yes</t>
        </is>
      </c>
      <c r="V780" s="5" t="inlineStr">
        <is>
          <t>good</t>
        </is>
      </c>
    </row>
    <row r="781">
      <c r="A781" s="5" t="n">
        <v>776</v>
      </c>
      <c r="B781" s="5" t="inlineStr">
        <is>
          <t>&lt;0</t>
        </is>
      </c>
      <c r="C781" s="5" t="n">
        <v>24</v>
      </c>
      <c r="D781" s="5" t="inlineStr">
        <is>
          <t>existing paid</t>
        </is>
      </c>
      <c r="E781" s="5" t="inlineStr">
        <is>
          <t>new car</t>
        </is>
      </c>
      <c r="F781" s="5" t="n">
        <v>1371</v>
      </c>
      <c r="G781" s="5" t="inlineStr">
        <is>
          <t>no known savings</t>
        </is>
      </c>
      <c r="H781" s="5" t="inlineStr">
        <is>
          <t>1&lt;=X&lt;4</t>
        </is>
      </c>
      <c r="I781" s="5" t="n">
        <v>4</v>
      </c>
      <c r="J781" s="5" t="inlineStr">
        <is>
          <t>female div/dep/mar</t>
        </is>
      </c>
      <c r="K781" s="5" t="inlineStr">
        <is>
          <t>none</t>
        </is>
      </c>
      <c r="L781" s="5" t="n">
        <v>4</v>
      </c>
      <c r="M781" s="5" t="inlineStr">
        <is>
          <t>real estate</t>
        </is>
      </c>
      <c r="N781" s="5" t="n">
        <v>25</v>
      </c>
      <c r="O781" s="5" t="inlineStr">
        <is>
          <t>none</t>
        </is>
      </c>
      <c r="P781" s="5" t="inlineStr">
        <is>
          <t>rent</t>
        </is>
      </c>
      <c r="Q781" s="5" t="n">
        <v>1</v>
      </c>
      <c r="R781" s="5" t="inlineStr">
        <is>
          <t>skilled</t>
        </is>
      </c>
      <c r="S781" s="5" t="n">
        <v>1</v>
      </c>
      <c r="T781" s="5" t="inlineStr">
        <is>
          <t>none</t>
        </is>
      </c>
      <c r="U781" s="5" t="inlineStr">
        <is>
          <t>yes</t>
        </is>
      </c>
      <c r="V781" s="5" t="inlineStr">
        <is>
          <t>bad</t>
        </is>
      </c>
    </row>
    <row r="782">
      <c r="A782" s="5" t="n">
        <v>777</v>
      </c>
      <c r="B782" s="5" t="inlineStr">
        <is>
          <t>no checking</t>
        </is>
      </c>
      <c r="C782" s="5" t="n">
        <v>36</v>
      </c>
      <c r="D782" s="5" t="inlineStr">
        <is>
          <t>critical/other existing credit</t>
        </is>
      </c>
      <c r="E782" s="5" t="inlineStr">
        <is>
          <t>new car</t>
        </is>
      </c>
      <c r="F782" s="5" t="n">
        <v>3535</v>
      </c>
      <c r="G782" s="5" t="inlineStr">
        <is>
          <t>&lt;100</t>
        </is>
      </c>
      <c r="H782" s="5" t="inlineStr">
        <is>
          <t>4&lt;=X&lt;7</t>
        </is>
      </c>
      <c r="I782" s="5" t="n">
        <v>4</v>
      </c>
      <c r="J782" s="5" t="inlineStr">
        <is>
          <t>male single</t>
        </is>
      </c>
      <c r="K782" s="5" t="inlineStr">
        <is>
          <t>none</t>
        </is>
      </c>
      <c r="L782" s="5" t="n">
        <v>4</v>
      </c>
      <c r="M782" s="5" t="inlineStr">
        <is>
          <t>car</t>
        </is>
      </c>
      <c r="N782" s="5" t="n">
        <v>37</v>
      </c>
      <c r="O782" s="5" t="inlineStr">
        <is>
          <t>none</t>
        </is>
      </c>
      <c r="P782" s="5" t="inlineStr">
        <is>
          <t>own</t>
        </is>
      </c>
      <c r="Q782" s="5" t="n">
        <v>2</v>
      </c>
      <c r="R782" s="5" t="inlineStr">
        <is>
          <t>skilled</t>
        </is>
      </c>
      <c r="S782" s="5" t="n">
        <v>1</v>
      </c>
      <c r="T782" s="5" t="inlineStr">
        <is>
          <t>yes</t>
        </is>
      </c>
      <c r="U782" s="5" t="inlineStr">
        <is>
          <t>yes</t>
        </is>
      </c>
      <c r="V782" s="5" t="inlineStr">
        <is>
          <t>good</t>
        </is>
      </c>
    </row>
    <row r="783">
      <c r="A783" s="5" t="n">
        <v>778</v>
      </c>
      <c r="B783" s="5" t="inlineStr">
        <is>
          <t>&lt;0</t>
        </is>
      </c>
      <c r="C783" s="5" t="n">
        <v>18</v>
      </c>
      <c r="D783" s="5" t="inlineStr">
        <is>
          <t>existing paid</t>
        </is>
      </c>
      <c r="E783" s="5" t="inlineStr">
        <is>
          <t>radio/tv</t>
        </is>
      </c>
      <c r="F783" s="5" t="n">
        <v>3509</v>
      </c>
      <c r="G783" s="5" t="inlineStr">
        <is>
          <t>&lt;100</t>
        </is>
      </c>
      <c r="H783" s="5" t="inlineStr">
        <is>
          <t>4&lt;=X&lt;7</t>
        </is>
      </c>
      <c r="I783" s="5" t="n">
        <v>4</v>
      </c>
      <c r="J783" s="5" t="inlineStr">
        <is>
          <t>female div/dep/mar</t>
        </is>
      </c>
      <c r="K783" s="5" t="inlineStr">
        <is>
          <t>guarantor</t>
        </is>
      </c>
      <c r="L783" s="5" t="n">
        <v>1</v>
      </c>
      <c r="M783" s="5" t="inlineStr">
        <is>
          <t>real estate</t>
        </is>
      </c>
      <c r="N783" s="5" t="n">
        <v>25</v>
      </c>
      <c r="O783" s="5" t="inlineStr">
        <is>
          <t>none</t>
        </is>
      </c>
      <c r="P783" s="5" t="inlineStr">
        <is>
          <t>own</t>
        </is>
      </c>
      <c r="Q783" s="5" t="n">
        <v>1</v>
      </c>
      <c r="R783" s="5" t="inlineStr">
        <is>
          <t>skilled</t>
        </is>
      </c>
      <c r="S783" s="5" t="n">
        <v>1</v>
      </c>
      <c r="T783" s="5" t="inlineStr">
        <is>
          <t>none</t>
        </is>
      </c>
      <c r="U783" s="5" t="inlineStr">
        <is>
          <t>yes</t>
        </is>
      </c>
      <c r="V783" s="5" t="inlineStr">
        <is>
          <t>good</t>
        </is>
      </c>
    </row>
    <row r="784">
      <c r="A784" s="5" t="n">
        <v>779</v>
      </c>
      <c r="B784" s="5" t="inlineStr">
        <is>
          <t>no checking</t>
        </is>
      </c>
      <c r="C784" s="5" t="n">
        <v>36</v>
      </c>
      <c r="D784" s="5" t="inlineStr">
        <is>
          <t>critical/other existing credit</t>
        </is>
      </c>
      <c r="E784" s="5" t="inlineStr">
        <is>
          <t>used car</t>
        </is>
      </c>
      <c r="F784" s="5" t="n">
        <v>5711</v>
      </c>
      <c r="G784" s="5" t="inlineStr">
        <is>
          <t>&gt;=1000</t>
        </is>
      </c>
      <c r="H784" s="5" t="inlineStr">
        <is>
          <t>&gt;=7</t>
        </is>
      </c>
      <c r="I784" s="5" t="n">
        <v>4</v>
      </c>
      <c r="J784" s="5" t="inlineStr">
        <is>
          <t>male single</t>
        </is>
      </c>
      <c r="K784" s="5" t="inlineStr">
        <is>
          <t>none</t>
        </is>
      </c>
      <c r="L784" s="5" t="n">
        <v>2</v>
      </c>
      <c r="M784" s="5" t="inlineStr">
        <is>
          <t>car</t>
        </is>
      </c>
      <c r="N784" s="5" t="n">
        <v>38</v>
      </c>
      <c r="O784" s="5" t="inlineStr">
        <is>
          <t>none</t>
        </is>
      </c>
      <c r="P784" s="5" t="inlineStr">
        <is>
          <t>own</t>
        </is>
      </c>
      <c r="Q784" s="5" t="n">
        <v>2</v>
      </c>
      <c r="R784" s="5" t="inlineStr">
        <is>
          <t>high qualif/self emp/mgmt</t>
        </is>
      </c>
      <c r="S784" s="5" t="n">
        <v>1</v>
      </c>
      <c r="T784" s="5" t="inlineStr">
        <is>
          <t>yes</t>
        </is>
      </c>
      <c r="U784" s="5" t="inlineStr">
        <is>
          <t>yes</t>
        </is>
      </c>
      <c r="V784" s="5" t="inlineStr">
        <is>
          <t>good</t>
        </is>
      </c>
    </row>
    <row r="785">
      <c r="A785" s="5" t="n">
        <v>780</v>
      </c>
      <c r="B785" s="5" t="inlineStr">
        <is>
          <t>0&lt;=X&lt;200</t>
        </is>
      </c>
      <c r="C785" s="5" t="n">
        <v>18</v>
      </c>
      <c r="D785" s="5" t="inlineStr">
        <is>
          <t>existing paid</t>
        </is>
      </c>
      <c r="E785" s="5" t="inlineStr">
        <is>
          <t>repairs</t>
        </is>
      </c>
      <c r="F785" s="5" t="n">
        <v>3872</v>
      </c>
      <c r="G785" s="5" t="inlineStr">
        <is>
          <t>&lt;100</t>
        </is>
      </c>
      <c r="H785" s="5" t="inlineStr">
        <is>
          <t>unemployed</t>
        </is>
      </c>
      <c r="I785" s="5" t="n">
        <v>2</v>
      </c>
      <c r="J785" s="5" t="inlineStr">
        <is>
          <t>female div/dep/mar</t>
        </is>
      </c>
      <c r="K785" s="5" t="inlineStr">
        <is>
          <t>none</t>
        </is>
      </c>
      <c r="L785" s="5" t="n">
        <v>4</v>
      </c>
      <c r="M785" s="5" t="inlineStr">
        <is>
          <t>car</t>
        </is>
      </c>
      <c r="N785" s="5" t="n">
        <v>67</v>
      </c>
      <c r="O785" s="5" t="inlineStr">
        <is>
          <t>none</t>
        </is>
      </c>
      <c r="P785" s="5" t="inlineStr">
        <is>
          <t>own</t>
        </is>
      </c>
      <c r="Q785" s="5" t="n">
        <v>1</v>
      </c>
      <c r="R785" s="5" t="inlineStr">
        <is>
          <t>skilled</t>
        </is>
      </c>
      <c r="S785" s="5" t="n">
        <v>1</v>
      </c>
      <c r="T785" s="5" t="inlineStr">
        <is>
          <t>yes</t>
        </is>
      </c>
      <c r="U785" s="5" t="inlineStr">
        <is>
          <t>yes</t>
        </is>
      </c>
      <c r="V785" s="5" t="inlineStr">
        <is>
          <t>good</t>
        </is>
      </c>
    </row>
    <row r="786">
      <c r="A786" s="5" t="n">
        <v>781</v>
      </c>
      <c r="B786" s="5" t="inlineStr">
        <is>
          <t>0&lt;=X&lt;200</t>
        </is>
      </c>
      <c r="C786" s="5" t="n">
        <v>39</v>
      </c>
      <c r="D786" s="5" t="inlineStr">
        <is>
          <t>critical/other existing credit</t>
        </is>
      </c>
      <c r="E786" s="5" t="inlineStr">
        <is>
          <t>radio/tv</t>
        </is>
      </c>
      <c r="F786" s="5" t="n">
        <v>4933</v>
      </c>
      <c r="G786" s="5" t="inlineStr">
        <is>
          <t>&lt;100</t>
        </is>
      </c>
      <c r="H786" s="5" t="inlineStr">
        <is>
          <t>4&lt;=X&lt;7</t>
        </is>
      </c>
      <c r="I786" s="5" t="n">
        <v>2</v>
      </c>
      <c r="J786" s="5" t="inlineStr">
        <is>
          <t>male single</t>
        </is>
      </c>
      <c r="K786" s="5" t="inlineStr">
        <is>
          <t>guarantor</t>
        </is>
      </c>
      <c r="L786" s="5" t="n">
        <v>2</v>
      </c>
      <c r="M786" s="5" t="inlineStr">
        <is>
          <t>real estate</t>
        </is>
      </c>
      <c r="N786" s="5" t="n">
        <v>25</v>
      </c>
      <c r="O786" s="5" t="inlineStr">
        <is>
          <t>none</t>
        </is>
      </c>
      <c r="P786" s="5" t="inlineStr">
        <is>
          <t>own</t>
        </is>
      </c>
      <c r="Q786" s="5" t="n">
        <v>2</v>
      </c>
      <c r="R786" s="5" t="inlineStr">
        <is>
          <t>skilled</t>
        </is>
      </c>
      <c r="S786" s="5" t="n">
        <v>1</v>
      </c>
      <c r="T786" s="5" t="inlineStr">
        <is>
          <t>none</t>
        </is>
      </c>
      <c r="U786" s="5" t="inlineStr">
        <is>
          <t>yes</t>
        </is>
      </c>
      <c r="V786" s="5" t="inlineStr">
        <is>
          <t>bad</t>
        </is>
      </c>
    </row>
    <row r="787">
      <c r="A787" s="5" t="n">
        <v>782</v>
      </c>
      <c r="B787" s="5" t="inlineStr">
        <is>
          <t>no checking</t>
        </is>
      </c>
      <c r="C787" s="5" t="n">
        <v>24</v>
      </c>
      <c r="D787" s="5" t="inlineStr">
        <is>
          <t>critical/other existing credit</t>
        </is>
      </c>
      <c r="E787" s="5" t="inlineStr">
        <is>
          <t>new car</t>
        </is>
      </c>
      <c r="F787" s="5" t="n">
        <v>1940</v>
      </c>
      <c r="G787" s="5" t="inlineStr">
        <is>
          <t>&gt;=1000</t>
        </is>
      </c>
      <c r="H787" s="5" t="inlineStr">
        <is>
          <t>&gt;=7</t>
        </is>
      </c>
      <c r="I787" s="5" t="n">
        <v>4</v>
      </c>
      <c r="J787" s="5" t="inlineStr">
        <is>
          <t>male single</t>
        </is>
      </c>
      <c r="K787" s="5" t="inlineStr">
        <is>
          <t>none</t>
        </is>
      </c>
      <c r="L787" s="5" t="n">
        <v>4</v>
      </c>
      <c r="M787" s="5" t="inlineStr">
        <is>
          <t>real estate</t>
        </is>
      </c>
      <c r="N787" s="5" t="n">
        <v>60</v>
      </c>
      <c r="O787" s="5" t="inlineStr">
        <is>
          <t>none</t>
        </is>
      </c>
      <c r="P787" s="5" t="inlineStr">
        <is>
          <t>own</t>
        </is>
      </c>
      <c r="Q787" s="5" t="n">
        <v>1</v>
      </c>
      <c r="R787" s="5" t="inlineStr">
        <is>
          <t>skilled</t>
        </is>
      </c>
      <c r="S787" s="5" t="n">
        <v>1</v>
      </c>
      <c r="T787" s="5" t="inlineStr">
        <is>
          <t>yes</t>
        </is>
      </c>
      <c r="U787" s="5" t="inlineStr">
        <is>
          <t>yes</t>
        </is>
      </c>
      <c r="V787" s="5" t="inlineStr">
        <is>
          <t>good</t>
        </is>
      </c>
    </row>
    <row r="788">
      <c r="A788" s="5" t="n">
        <v>783</v>
      </c>
      <c r="B788" s="5" t="inlineStr">
        <is>
          <t>0&lt;=X&lt;200</t>
        </is>
      </c>
      <c r="C788" s="5" t="n">
        <v>12</v>
      </c>
      <c r="D788" s="5" t="inlineStr">
        <is>
          <t>no credits/all paid</t>
        </is>
      </c>
      <c r="E788" s="5" t="inlineStr">
        <is>
          <t>retraining</t>
        </is>
      </c>
      <c r="F788" s="5" t="n">
        <v>1410</v>
      </c>
      <c r="G788" s="5" t="inlineStr">
        <is>
          <t>&lt;100</t>
        </is>
      </c>
      <c r="H788" s="5" t="inlineStr">
        <is>
          <t>1&lt;=X&lt;4</t>
        </is>
      </c>
      <c r="I788" s="5" t="n">
        <v>2</v>
      </c>
      <c r="J788" s="5" t="inlineStr">
        <is>
          <t>male single</t>
        </is>
      </c>
      <c r="K788" s="5" t="inlineStr">
        <is>
          <t>none</t>
        </is>
      </c>
      <c r="L788" s="5" t="n">
        <v>2</v>
      </c>
      <c r="M788" s="5" t="inlineStr">
        <is>
          <t>real estate</t>
        </is>
      </c>
      <c r="N788" s="5" t="n">
        <v>31</v>
      </c>
      <c r="O788" s="5" t="inlineStr">
        <is>
          <t>none</t>
        </is>
      </c>
      <c r="P788" s="5" t="inlineStr">
        <is>
          <t>own</t>
        </is>
      </c>
      <c r="Q788" s="5" t="n">
        <v>1</v>
      </c>
      <c r="R788" s="5" t="inlineStr">
        <is>
          <t>unskilled resident</t>
        </is>
      </c>
      <c r="S788" s="5" t="n">
        <v>1</v>
      </c>
      <c r="T788" s="5" t="inlineStr">
        <is>
          <t>yes</t>
        </is>
      </c>
      <c r="U788" s="5" t="inlineStr">
        <is>
          <t>yes</t>
        </is>
      </c>
      <c r="V788" s="5" t="inlineStr">
        <is>
          <t>good</t>
        </is>
      </c>
    </row>
    <row r="789">
      <c r="A789" s="5" t="n">
        <v>784</v>
      </c>
      <c r="B789" s="5" t="inlineStr">
        <is>
          <t>0&lt;=X&lt;200</t>
        </is>
      </c>
      <c r="C789" s="5" t="n">
        <v>12</v>
      </c>
      <c r="D789" s="5" t="inlineStr">
        <is>
          <t>existing paid</t>
        </is>
      </c>
      <c r="E789" s="5" t="inlineStr">
        <is>
          <t>new car</t>
        </is>
      </c>
      <c r="F789" s="5" t="n">
        <v>836</v>
      </c>
      <c r="G789" s="5" t="inlineStr">
        <is>
          <t>100&lt;=X&lt;500</t>
        </is>
      </c>
      <c r="H789" s="5" t="inlineStr">
        <is>
          <t>&lt;1</t>
        </is>
      </c>
      <c r="I789" s="5" t="n">
        <v>4</v>
      </c>
      <c r="J789" s="5" t="inlineStr">
        <is>
          <t>female div/dep/mar</t>
        </is>
      </c>
      <c r="K789" s="5" t="inlineStr">
        <is>
          <t>none</t>
        </is>
      </c>
      <c r="L789" s="5" t="n">
        <v>2</v>
      </c>
      <c r="M789" s="5" t="inlineStr">
        <is>
          <t>life insurance</t>
        </is>
      </c>
      <c r="N789" s="5" t="n">
        <v>23</v>
      </c>
      <c r="O789" s="5" t="inlineStr">
        <is>
          <t>bank</t>
        </is>
      </c>
      <c r="P789" s="5" t="inlineStr">
        <is>
          <t>own</t>
        </is>
      </c>
      <c r="Q789" s="5" t="n">
        <v>1</v>
      </c>
      <c r="R789" s="5" t="inlineStr">
        <is>
          <t>unskilled resident</t>
        </is>
      </c>
      <c r="S789" s="5" t="n">
        <v>1</v>
      </c>
      <c r="T789" s="5" t="inlineStr">
        <is>
          <t>none</t>
        </is>
      </c>
      <c r="U789" s="5" t="inlineStr">
        <is>
          <t>yes</t>
        </is>
      </c>
      <c r="V789" s="5" t="inlineStr">
        <is>
          <t>bad</t>
        </is>
      </c>
    </row>
    <row r="790">
      <c r="A790" s="5" t="n">
        <v>785</v>
      </c>
      <c r="B790" s="5" t="inlineStr">
        <is>
          <t>0&lt;=X&lt;200</t>
        </is>
      </c>
      <c r="C790" s="5" t="n">
        <v>20</v>
      </c>
      <c r="D790" s="5" t="inlineStr">
        <is>
          <t>existing paid</t>
        </is>
      </c>
      <c r="E790" s="5" t="inlineStr">
        <is>
          <t>used car</t>
        </is>
      </c>
      <c r="F790" s="5" t="n">
        <v>6468</v>
      </c>
      <c r="G790" s="5" t="inlineStr">
        <is>
          <t>no known savings</t>
        </is>
      </c>
      <c r="H790" s="5" t="inlineStr">
        <is>
          <t>unemployed</t>
        </is>
      </c>
      <c r="I790" s="5" t="n">
        <v>1</v>
      </c>
      <c r="J790" s="5" t="inlineStr">
        <is>
          <t>male div/sep</t>
        </is>
      </c>
      <c r="K790" s="5" t="inlineStr">
        <is>
          <t>none</t>
        </is>
      </c>
      <c r="L790" s="5" t="n">
        <v>4</v>
      </c>
      <c r="M790" s="5" t="inlineStr">
        <is>
          <t>real estate</t>
        </is>
      </c>
      <c r="N790" s="5" t="n">
        <v>60</v>
      </c>
      <c r="O790" s="5" t="inlineStr">
        <is>
          <t>none</t>
        </is>
      </c>
      <c r="P790" s="5" t="inlineStr">
        <is>
          <t>own</t>
        </is>
      </c>
      <c r="Q790" s="5" t="n">
        <v>1</v>
      </c>
      <c r="R790" s="5" t="inlineStr">
        <is>
          <t>high qualif/self emp/mgmt</t>
        </is>
      </c>
      <c r="S790" s="5" t="n">
        <v>1</v>
      </c>
      <c r="T790" s="5" t="inlineStr">
        <is>
          <t>yes</t>
        </is>
      </c>
      <c r="U790" s="5" t="inlineStr">
        <is>
          <t>yes</t>
        </is>
      </c>
      <c r="V790" s="5" t="inlineStr">
        <is>
          <t>good</t>
        </is>
      </c>
    </row>
    <row r="791">
      <c r="A791" s="5" t="n">
        <v>786</v>
      </c>
      <c r="B791" s="5" t="inlineStr">
        <is>
          <t>0&lt;=X&lt;200</t>
        </is>
      </c>
      <c r="C791" s="5" t="n">
        <v>18</v>
      </c>
      <c r="D791" s="5" t="inlineStr">
        <is>
          <t>existing paid</t>
        </is>
      </c>
      <c r="E791" s="5" t="inlineStr">
        <is>
          <t>business</t>
        </is>
      </c>
      <c r="F791" s="5" t="n">
        <v>1941</v>
      </c>
      <c r="G791" s="5" t="inlineStr">
        <is>
          <t>&gt;=1000</t>
        </is>
      </c>
      <c r="H791" s="5" t="inlineStr">
        <is>
          <t>1&lt;=X&lt;4</t>
        </is>
      </c>
      <c r="I791" s="5" t="n">
        <v>4</v>
      </c>
      <c r="J791" s="5" t="inlineStr">
        <is>
          <t>male single</t>
        </is>
      </c>
      <c r="K791" s="5" t="inlineStr">
        <is>
          <t>none</t>
        </is>
      </c>
      <c r="L791" s="5" t="n">
        <v>2</v>
      </c>
      <c r="M791" s="5" t="inlineStr">
        <is>
          <t>life insurance</t>
        </is>
      </c>
      <c r="N791" s="5" t="n">
        <v>35</v>
      </c>
      <c r="O791" s="5" t="inlineStr">
        <is>
          <t>none</t>
        </is>
      </c>
      <c r="P791" s="5" t="inlineStr">
        <is>
          <t>own</t>
        </is>
      </c>
      <c r="Q791" s="5" t="n">
        <v>1</v>
      </c>
      <c r="R791" s="5" t="inlineStr">
        <is>
          <t>unskilled resident</t>
        </is>
      </c>
      <c r="S791" s="5" t="n">
        <v>1</v>
      </c>
      <c r="T791" s="5" t="inlineStr">
        <is>
          <t>yes</t>
        </is>
      </c>
      <c r="U791" s="5" t="inlineStr">
        <is>
          <t>yes</t>
        </is>
      </c>
      <c r="V791" s="5" t="inlineStr">
        <is>
          <t>good</t>
        </is>
      </c>
    </row>
    <row r="792">
      <c r="A792" s="5" t="n">
        <v>787</v>
      </c>
      <c r="B792" s="5" t="inlineStr">
        <is>
          <t>no checking</t>
        </is>
      </c>
      <c r="C792" s="5" t="n">
        <v>22</v>
      </c>
      <c r="D792" s="5" t="inlineStr">
        <is>
          <t>existing paid</t>
        </is>
      </c>
      <c r="E792" s="5" t="inlineStr">
        <is>
          <t>radio/tv</t>
        </is>
      </c>
      <c r="F792" s="5" t="n">
        <v>2675</v>
      </c>
      <c r="G792" s="5" t="inlineStr">
        <is>
          <t>500&lt;=X&lt;1000</t>
        </is>
      </c>
      <c r="H792" s="5" t="inlineStr">
        <is>
          <t>&gt;=7</t>
        </is>
      </c>
      <c r="I792" s="5" t="n">
        <v>3</v>
      </c>
      <c r="J792" s="5" t="inlineStr">
        <is>
          <t>male single</t>
        </is>
      </c>
      <c r="K792" s="5" t="inlineStr">
        <is>
          <t>none</t>
        </is>
      </c>
      <c r="L792" s="5" t="n">
        <v>4</v>
      </c>
      <c r="M792" s="5" t="inlineStr">
        <is>
          <t>car</t>
        </is>
      </c>
      <c r="N792" s="5" t="n">
        <v>40</v>
      </c>
      <c r="O792" s="5" t="inlineStr">
        <is>
          <t>none</t>
        </is>
      </c>
      <c r="P792" s="5" t="inlineStr">
        <is>
          <t>own</t>
        </is>
      </c>
      <c r="Q792" s="5" t="n">
        <v>1</v>
      </c>
      <c r="R792" s="5" t="inlineStr">
        <is>
          <t>skilled</t>
        </is>
      </c>
      <c r="S792" s="5" t="n">
        <v>1</v>
      </c>
      <c r="T792" s="5" t="inlineStr">
        <is>
          <t>none</t>
        </is>
      </c>
      <c r="U792" s="5" t="inlineStr">
        <is>
          <t>yes</t>
        </is>
      </c>
      <c r="V792" s="5" t="inlineStr">
        <is>
          <t>good</t>
        </is>
      </c>
    </row>
    <row r="793">
      <c r="A793" s="5" t="n">
        <v>788</v>
      </c>
      <c r="B793" s="5" t="inlineStr">
        <is>
          <t>no checking</t>
        </is>
      </c>
      <c r="C793" s="5" t="n">
        <v>48</v>
      </c>
      <c r="D793" s="5" t="inlineStr">
        <is>
          <t>critical/other existing credit</t>
        </is>
      </c>
      <c r="E793" s="5" t="inlineStr">
        <is>
          <t>used car</t>
        </is>
      </c>
      <c r="F793" s="5" t="n">
        <v>2751</v>
      </c>
      <c r="G793" s="5" t="inlineStr">
        <is>
          <t>no known savings</t>
        </is>
      </c>
      <c r="H793" s="5" t="inlineStr">
        <is>
          <t>&gt;=7</t>
        </is>
      </c>
      <c r="I793" s="5" t="n">
        <v>4</v>
      </c>
      <c r="J793" s="5" t="inlineStr">
        <is>
          <t>male single</t>
        </is>
      </c>
      <c r="K793" s="5" t="inlineStr">
        <is>
          <t>none</t>
        </is>
      </c>
      <c r="L793" s="5" t="n">
        <v>3</v>
      </c>
      <c r="M793" s="5" t="inlineStr">
        <is>
          <t>car</t>
        </is>
      </c>
      <c r="N793" s="5" t="n">
        <v>38</v>
      </c>
      <c r="O793" s="5" t="inlineStr">
        <is>
          <t>none</t>
        </is>
      </c>
      <c r="P793" s="5" t="inlineStr">
        <is>
          <t>own</t>
        </is>
      </c>
      <c r="Q793" s="5" t="n">
        <v>2</v>
      </c>
      <c r="R793" s="5" t="inlineStr">
        <is>
          <t>skilled</t>
        </is>
      </c>
      <c r="S793" s="5" t="n">
        <v>2</v>
      </c>
      <c r="T793" s="5" t="inlineStr">
        <is>
          <t>yes</t>
        </is>
      </c>
      <c r="U793" s="5" t="inlineStr">
        <is>
          <t>yes</t>
        </is>
      </c>
      <c r="V793" s="5" t="inlineStr">
        <is>
          <t>good</t>
        </is>
      </c>
    </row>
    <row r="794">
      <c r="A794" s="5" t="n">
        <v>789</v>
      </c>
      <c r="B794" s="5" t="inlineStr">
        <is>
          <t>0&lt;=X&lt;200</t>
        </is>
      </c>
      <c r="C794" s="5" t="n">
        <v>48</v>
      </c>
      <c r="D794" s="5" t="inlineStr">
        <is>
          <t>delayed previously</t>
        </is>
      </c>
      <c r="E794" s="5" t="inlineStr">
        <is>
          <t>education</t>
        </is>
      </c>
      <c r="F794" s="5" t="n">
        <v>6224</v>
      </c>
      <c r="G794" s="5" t="inlineStr">
        <is>
          <t>&lt;100</t>
        </is>
      </c>
      <c r="H794" s="5" t="inlineStr">
        <is>
          <t>&gt;=7</t>
        </is>
      </c>
      <c r="I794" s="5" t="n">
        <v>4</v>
      </c>
      <c r="J794" s="5" t="inlineStr">
        <is>
          <t>male single</t>
        </is>
      </c>
      <c r="K794" s="5" t="inlineStr">
        <is>
          <t>none</t>
        </is>
      </c>
      <c r="L794" s="5" t="n">
        <v>4</v>
      </c>
      <c r="M794" s="5" t="inlineStr">
        <is>
          <t>no known property</t>
        </is>
      </c>
      <c r="N794" s="5" t="n">
        <v>50</v>
      </c>
      <c r="O794" s="5" t="inlineStr">
        <is>
          <t>none</t>
        </is>
      </c>
      <c r="P794" s="5" t="inlineStr">
        <is>
          <t>for free</t>
        </is>
      </c>
      <c r="Q794" s="5" t="n">
        <v>1</v>
      </c>
      <c r="R794" s="5" t="inlineStr">
        <is>
          <t>skilled</t>
        </is>
      </c>
      <c r="S794" s="5" t="n">
        <v>1</v>
      </c>
      <c r="T794" s="5" t="inlineStr">
        <is>
          <t>none</t>
        </is>
      </c>
      <c r="U794" s="5" t="inlineStr">
        <is>
          <t>yes</t>
        </is>
      </c>
      <c r="V794" s="5" t="inlineStr">
        <is>
          <t>bad</t>
        </is>
      </c>
    </row>
    <row r="795">
      <c r="A795" s="5" t="n">
        <v>790</v>
      </c>
      <c r="B795" s="5" t="inlineStr">
        <is>
          <t>&lt;0</t>
        </is>
      </c>
      <c r="C795" s="5" t="n">
        <v>40</v>
      </c>
      <c r="D795" s="5" t="inlineStr">
        <is>
          <t>critical/other existing credit</t>
        </is>
      </c>
      <c r="E795" s="5" t="inlineStr">
        <is>
          <t>education</t>
        </is>
      </c>
      <c r="F795" s="5" t="n">
        <v>5998</v>
      </c>
      <c r="G795" s="5" t="inlineStr">
        <is>
          <t>&lt;100</t>
        </is>
      </c>
      <c r="H795" s="5" t="inlineStr">
        <is>
          <t>1&lt;=X&lt;4</t>
        </is>
      </c>
      <c r="I795" s="5" t="n">
        <v>4</v>
      </c>
      <c r="J795" s="5" t="inlineStr">
        <is>
          <t>male single</t>
        </is>
      </c>
      <c r="K795" s="5" t="inlineStr">
        <is>
          <t>none</t>
        </is>
      </c>
      <c r="L795" s="5" t="n">
        <v>3</v>
      </c>
      <c r="M795" s="5" t="inlineStr">
        <is>
          <t>no known property</t>
        </is>
      </c>
      <c r="N795" s="5" t="n">
        <v>27</v>
      </c>
      <c r="O795" s="5" t="inlineStr">
        <is>
          <t>bank</t>
        </is>
      </c>
      <c r="P795" s="5" t="inlineStr">
        <is>
          <t>own</t>
        </is>
      </c>
      <c r="Q795" s="5" t="n">
        <v>1</v>
      </c>
      <c r="R795" s="5" t="inlineStr">
        <is>
          <t>skilled</t>
        </is>
      </c>
      <c r="S795" s="5" t="n">
        <v>1</v>
      </c>
      <c r="T795" s="5" t="inlineStr">
        <is>
          <t>yes</t>
        </is>
      </c>
      <c r="U795" s="5" t="inlineStr">
        <is>
          <t>yes</t>
        </is>
      </c>
      <c r="V795" s="5" t="inlineStr">
        <is>
          <t>bad</t>
        </is>
      </c>
    </row>
    <row r="796">
      <c r="A796" s="5" t="n">
        <v>791</v>
      </c>
      <c r="B796" s="5" t="inlineStr">
        <is>
          <t>0&lt;=X&lt;200</t>
        </is>
      </c>
      <c r="C796" s="5" t="n">
        <v>21</v>
      </c>
      <c r="D796" s="5" t="inlineStr">
        <is>
          <t>existing paid</t>
        </is>
      </c>
      <c r="E796" s="5" t="inlineStr">
        <is>
          <t>business</t>
        </is>
      </c>
      <c r="F796" s="5" t="n">
        <v>1188</v>
      </c>
      <c r="G796" s="5" t="inlineStr">
        <is>
          <t>&lt;100</t>
        </is>
      </c>
      <c r="H796" s="5" t="inlineStr">
        <is>
          <t>&gt;=7</t>
        </is>
      </c>
      <c r="I796" s="5" t="n">
        <v>2</v>
      </c>
      <c r="J796" s="5" t="inlineStr">
        <is>
          <t>female div/dep/mar</t>
        </is>
      </c>
      <c r="K796" s="5" t="inlineStr">
        <is>
          <t>none</t>
        </is>
      </c>
      <c r="L796" s="5" t="n">
        <v>4</v>
      </c>
      <c r="M796" s="5" t="inlineStr">
        <is>
          <t>life insurance</t>
        </is>
      </c>
      <c r="N796" s="5" t="n">
        <v>39</v>
      </c>
      <c r="O796" s="5" t="inlineStr">
        <is>
          <t>none</t>
        </is>
      </c>
      <c r="P796" s="5" t="inlineStr">
        <is>
          <t>own</t>
        </is>
      </c>
      <c r="Q796" s="5" t="n">
        <v>1</v>
      </c>
      <c r="R796" s="5" t="inlineStr">
        <is>
          <t>skilled</t>
        </is>
      </c>
      <c r="S796" s="5" t="n">
        <v>2</v>
      </c>
      <c r="T796" s="5" t="inlineStr">
        <is>
          <t>none</t>
        </is>
      </c>
      <c r="U796" s="5" t="inlineStr">
        <is>
          <t>yes</t>
        </is>
      </c>
      <c r="V796" s="5" t="inlineStr">
        <is>
          <t>bad</t>
        </is>
      </c>
    </row>
    <row r="797">
      <c r="A797" s="5" t="n">
        <v>792</v>
      </c>
      <c r="B797" s="5" t="inlineStr">
        <is>
          <t>no checking</t>
        </is>
      </c>
      <c r="C797" s="5" t="n">
        <v>24</v>
      </c>
      <c r="D797" s="5" t="inlineStr">
        <is>
          <t>existing paid</t>
        </is>
      </c>
      <c r="E797" s="5" t="inlineStr">
        <is>
          <t>used car</t>
        </is>
      </c>
      <c r="F797" s="5" t="n">
        <v>6313</v>
      </c>
      <c r="G797" s="5" t="inlineStr">
        <is>
          <t>no known savings</t>
        </is>
      </c>
      <c r="H797" s="5" t="inlineStr">
        <is>
          <t>&gt;=7</t>
        </is>
      </c>
      <c r="I797" s="5" t="n">
        <v>3</v>
      </c>
      <c r="J797" s="5" t="inlineStr">
        <is>
          <t>male single</t>
        </is>
      </c>
      <c r="K797" s="5" t="inlineStr">
        <is>
          <t>none</t>
        </is>
      </c>
      <c r="L797" s="5" t="n">
        <v>4</v>
      </c>
      <c r="M797" s="5" t="inlineStr">
        <is>
          <t>car</t>
        </is>
      </c>
      <c r="N797" s="5" t="n">
        <v>41</v>
      </c>
      <c r="O797" s="5" t="inlineStr">
        <is>
          <t>none</t>
        </is>
      </c>
      <c r="P797" s="5" t="inlineStr">
        <is>
          <t>own</t>
        </is>
      </c>
      <c r="Q797" s="5" t="n">
        <v>1</v>
      </c>
      <c r="R797" s="5" t="inlineStr">
        <is>
          <t>high qualif/self emp/mgmt</t>
        </is>
      </c>
      <c r="S797" s="5" t="n">
        <v>2</v>
      </c>
      <c r="T797" s="5" t="inlineStr">
        <is>
          <t>yes</t>
        </is>
      </c>
      <c r="U797" s="5" t="inlineStr">
        <is>
          <t>yes</t>
        </is>
      </c>
      <c r="V797" s="5" t="inlineStr">
        <is>
          <t>good</t>
        </is>
      </c>
    </row>
    <row r="798">
      <c r="A798" s="5" t="n">
        <v>793</v>
      </c>
      <c r="B798" s="5" t="inlineStr">
        <is>
          <t>no checking</t>
        </is>
      </c>
      <c r="C798" s="5" t="n">
        <v>6</v>
      </c>
      <c r="D798" s="5" t="inlineStr">
        <is>
          <t>critical/other existing credit</t>
        </is>
      </c>
      <c r="E798" s="5" t="inlineStr">
        <is>
          <t>furniture/equipment</t>
        </is>
      </c>
      <c r="F798" s="5" t="n">
        <v>1221</v>
      </c>
      <c r="G798" s="5" t="inlineStr">
        <is>
          <t>no known savings</t>
        </is>
      </c>
      <c r="H798" s="5" t="inlineStr">
        <is>
          <t>1&lt;=X&lt;4</t>
        </is>
      </c>
      <c r="I798" s="5" t="n">
        <v>1</v>
      </c>
      <c r="J798" s="5" t="inlineStr">
        <is>
          <t>male mar/wid</t>
        </is>
      </c>
      <c r="K798" s="5" t="inlineStr">
        <is>
          <t>none</t>
        </is>
      </c>
      <c r="L798" s="5" t="n">
        <v>2</v>
      </c>
      <c r="M798" s="5" t="inlineStr">
        <is>
          <t>life insurance</t>
        </is>
      </c>
      <c r="N798" s="5" t="n">
        <v>27</v>
      </c>
      <c r="O798" s="5" t="inlineStr">
        <is>
          <t>none</t>
        </is>
      </c>
      <c r="P798" s="5" t="inlineStr">
        <is>
          <t>own</t>
        </is>
      </c>
      <c r="Q798" s="5" t="n">
        <v>2</v>
      </c>
      <c r="R798" s="5" t="inlineStr">
        <is>
          <t>skilled</t>
        </is>
      </c>
      <c r="S798" s="5" t="n">
        <v>1</v>
      </c>
      <c r="T798" s="5" t="inlineStr">
        <is>
          <t>none</t>
        </is>
      </c>
      <c r="U798" s="5" t="inlineStr">
        <is>
          <t>yes</t>
        </is>
      </c>
      <c r="V798" s="5" t="inlineStr">
        <is>
          <t>good</t>
        </is>
      </c>
    </row>
    <row r="799">
      <c r="A799" s="5" t="n">
        <v>794</v>
      </c>
      <c r="B799" s="5" t="inlineStr">
        <is>
          <t>&gt;=200</t>
        </is>
      </c>
      <c r="C799" s="5" t="n">
        <v>24</v>
      </c>
      <c r="D799" s="5" t="inlineStr">
        <is>
          <t>existing paid</t>
        </is>
      </c>
      <c r="E799" s="5" t="inlineStr">
        <is>
          <t>furniture/equipment</t>
        </is>
      </c>
      <c r="F799" s="5" t="n">
        <v>2892</v>
      </c>
      <c r="G799" s="5" t="inlineStr">
        <is>
          <t>&lt;100</t>
        </is>
      </c>
      <c r="H799" s="5" t="inlineStr">
        <is>
          <t>&gt;=7</t>
        </is>
      </c>
      <c r="I799" s="5" t="n">
        <v>3</v>
      </c>
      <c r="J799" s="5" t="inlineStr">
        <is>
          <t>male div/sep</t>
        </is>
      </c>
      <c r="K799" s="5" t="inlineStr">
        <is>
          <t>none</t>
        </is>
      </c>
      <c r="L799" s="5" t="n">
        <v>4</v>
      </c>
      <c r="M799" s="5" t="inlineStr">
        <is>
          <t>no known property</t>
        </is>
      </c>
      <c r="N799" s="5" t="n">
        <v>51</v>
      </c>
      <c r="O799" s="5" t="inlineStr">
        <is>
          <t>none</t>
        </is>
      </c>
      <c r="P799" s="5" t="inlineStr">
        <is>
          <t>for free</t>
        </is>
      </c>
      <c r="Q799" s="5" t="n">
        <v>1</v>
      </c>
      <c r="R799" s="5" t="inlineStr">
        <is>
          <t>skilled</t>
        </is>
      </c>
      <c r="S799" s="5" t="n">
        <v>1</v>
      </c>
      <c r="T799" s="5" t="inlineStr">
        <is>
          <t>none</t>
        </is>
      </c>
      <c r="U799" s="5" t="inlineStr">
        <is>
          <t>yes</t>
        </is>
      </c>
      <c r="V799" s="5" t="inlineStr">
        <is>
          <t>good</t>
        </is>
      </c>
    </row>
    <row r="800">
      <c r="A800" s="5" t="n">
        <v>795</v>
      </c>
      <c r="B800" s="5" t="inlineStr">
        <is>
          <t>no checking</t>
        </is>
      </c>
      <c r="C800" s="5" t="n">
        <v>24</v>
      </c>
      <c r="D800" s="5" t="inlineStr">
        <is>
          <t>existing paid</t>
        </is>
      </c>
      <c r="E800" s="5" t="inlineStr">
        <is>
          <t>furniture/equipment</t>
        </is>
      </c>
      <c r="F800" s="5" t="n">
        <v>3062</v>
      </c>
      <c r="G800" s="5" t="inlineStr">
        <is>
          <t>500&lt;=X&lt;1000</t>
        </is>
      </c>
      <c r="H800" s="5" t="inlineStr">
        <is>
          <t>&gt;=7</t>
        </is>
      </c>
      <c r="I800" s="5" t="n">
        <v>4</v>
      </c>
      <c r="J800" s="5" t="inlineStr">
        <is>
          <t>male single</t>
        </is>
      </c>
      <c r="K800" s="5" t="inlineStr">
        <is>
          <t>none</t>
        </is>
      </c>
      <c r="L800" s="5" t="n">
        <v>3</v>
      </c>
      <c r="M800" s="5" t="inlineStr">
        <is>
          <t>no known property</t>
        </is>
      </c>
      <c r="N800" s="5" t="n">
        <v>32</v>
      </c>
      <c r="O800" s="5" t="inlineStr">
        <is>
          <t>none</t>
        </is>
      </c>
      <c r="P800" s="5" t="inlineStr">
        <is>
          <t>rent</t>
        </is>
      </c>
      <c r="Q800" s="5" t="n">
        <v>1</v>
      </c>
      <c r="R800" s="5" t="inlineStr">
        <is>
          <t>skilled</t>
        </is>
      </c>
      <c r="S800" s="5" t="n">
        <v>1</v>
      </c>
      <c r="T800" s="5" t="inlineStr">
        <is>
          <t>yes</t>
        </is>
      </c>
      <c r="U800" s="5" t="inlineStr">
        <is>
          <t>yes</t>
        </is>
      </c>
      <c r="V800" s="5" t="inlineStr">
        <is>
          <t>good</t>
        </is>
      </c>
    </row>
    <row r="801">
      <c r="A801" s="5" t="n">
        <v>796</v>
      </c>
      <c r="B801" s="5" t="inlineStr">
        <is>
          <t>no checking</t>
        </is>
      </c>
      <c r="C801" s="5" t="n">
        <v>9</v>
      </c>
      <c r="D801" s="5" t="inlineStr">
        <is>
          <t>existing paid</t>
        </is>
      </c>
      <c r="E801" s="5" t="inlineStr">
        <is>
          <t>furniture/equipment</t>
        </is>
      </c>
      <c r="F801" s="5" t="n">
        <v>2301</v>
      </c>
      <c r="G801" s="5" t="inlineStr">
        <is>
          <t>100&lt;=X&lt;500</t>
        </is>
      </c>
      <c r="H801" s="5" t="inlineStr">
        <is>
          <t>&lt;1</t>
        </is>
      </c>
      <c r="I801" s="5" t="n">
        <v>2</v>
      </c>
      <c r="J801" s="5" t="inlineStr">
        <is>
          <t>female div/dep/mar</t>
        </is>
      </c>
      <c r="K801" s="5" t="inlineStr">
        <is>
          <t>none</t>
        </is>
      </c>
      <c r="L801" s="5" t="n">
        <v>4</v>
      </c>
      <c r="M801" s="5" t="inlineStr">
        <is>
          <t>life insurance</t>
        </is>
      </c>
      <c r="N801" s="5" t="n">
        <v>22</v>
      </c>
      <c r="O801" s="5" t="inlineStr">
        <is>
          <t>none</t>
        </is>
      </c>
      <c r="P801" s="5" t="inlineStr">
        <is>
          <t>rent</t>
        </is>
      </c>
      <c r="Q801" s="5" t="n">
        <v>1</v>
      </c>
      <c r="R801" s="5" t="inlineStr">
        <is>
          <t>skilled</t>
        </is>
      </c>
      <c r="S801" s="5" t="n">
        <v>1</v>
      </c>
      <c r="T801" s="5" t="inlineStr">
        <is>
          <t>none</t>
        </is>
      </c>
      <c r="U801" s="5" t="inlineStr">
        <is>
          <t>yes</t>
        </is>
      </c>
      <c r="V801" s="5" t="inlineStr">
        <is>
          <t>good</t>
        </is>
      </c>
    </row>
    <row r="802">
      <c r="A802" s="5" t="n">
        <v>797</v>
      </c>
      <c r="B802" s="5" t="inlineStr">
        <is>
          <t>&lt;0</t>
        </is>
      </c>
      <c r="C802" s="5" t="n">
        <v>18</v>
      </c>
      <c r="D802" s="5" t="inlineStr">
        <is>
          <t>existing paid</t>
        </is>
      </c>
      <c r="E802" s="5" t="inlineStr">
        <is>
          <t>used car</t>
        </is>
      </c>
      <c r="F802" s="5" t="n">
        <v>7511</v>
      </c>
      <c r="G802" s="5" t="inlineStr">
        <is>
          <t>no known savings</t>
        </is>
      </c>
      <c r="H802" s="5" t="inlineStr">
        <is>
          <t>&gt;=7</t>
        </is>
      </c>
      <c r="I802" s="5" t="n">
        <v>1</v>
      </c>
      <c r="J802" s="5" t="inlineStr">
        <is>
          <t>male single</t>
        </is>
      </c>
      <c r="K802" s="5" t="inlineStr">
        <is>
          <t>none</t>
        </is>
      </c>
      <c r="L802" s="5" t="n">
        <v>4</v>
      </c>
      <c r="M802" s="5" t="inlineStr">
        <is>
          <t>life insurance</t>
        </is>
      </c>
      <c r="N802" s="5" t="n">
        <v>51</v>
      </c>
      <c r="O802" s="5" t="inlineStr">
        <is>
          <t>none</t>
        </is>
      </c>
      <c r="P802" s="5" t="inlineStr">
        <is>
          <t>for free</t>
        </is>
      </c>
      <c r="Q802" s="5" t="n">
        <v>1</v>
      </c>
      <c r="R802" s="5" t="inlineStr">
        <is>
          <t>skilled</t>
        </is>
      </c>
      <c r="S802" s="5" t="n">
        <v>2</v>
      </c>
      <c r="T802" s="5" t="inlineStr">
        <is>
          <t>yes</t>
        </is>
      </c>
      <c r="U802" s="5" t="inlineStr">
        <is>
          <t>yes</t>
        </is>
      </c>
      <c r="V802" s="5" t="inlineStr">
        <is>
          <t>bad</t>
        </is>
      </c>
    </row>
    <row r="803">
      <c r="A803" s="5" t="n">
        <v>798</v>
      </c>
      <c r="B803" s="5" t="inlineStr">
        <is>
          <t>no checking</t>
        </is>
      </c>
      <c r="C803" s="5" t="n">
        <v>12</v>
      </c>
      <c r="D803" s="5" t="inlineStr">
        <is>
          <t>critical/other existing credit</t>
        </is>
      </c>
      <c r="E803" s="5" t="inlineStr">
        <is>
          <t>furniture/equipment</t>
        </is>
      </c>
      <c r="F803" s="5" t="n">
        <v>1258</v>
      </c>
      <c r="G803" s="5" t="inlineStr">
        <is>
          <t>&lt;100</t>
        </is>
      </c>
      <c r="H803" s="5" t="inlineStr">
        <is>
          <t>&lt;1</t>
        </is>
      </c>
      <c r="I803" s="5" t="n">
        <v>2</v>
      </c>
      <c r="J803" s="5" t="inlineStr">
        <is>
          <t>female div/dep/mar</t>
        </is>
      </c>
      <c r="K803" s="5" t="inlineStr">
        <is>
          <t>none</t>
        </is>
      </c>
      <c r="L803" s="5" t="n">
        <v>4</v>
      </c>
      <c r="M803" s="5" t="inlineStr">
        <is>
          <t>life insurance</t>
        </is>
      </c>
      <c r="N803" s="5" t="n">
        <v>22</v>
      </c>
      <c r="O803" s="5" t="inlineStr">
        <is>
          <t>none</t>
        </is>
      </c>
      <c r="P803" s="5" t="inlineStr">
        <is>
          <t>rent</t>
        </is>
      </c>
      <c r="Q803" s="5" t="n">
        <v>2</v>
      </c>
      <c r="R803" s="5" t="inlineStr">
        <is>
          <t>unskilled resident</t>
        </is>
      </c>
      <c r="S803" s="5" t="n">
        <v>1</v>
      </c>
      <c r="T803" s="5" t="inlineStr">
        <is>
          <t>none</t>
        </is>
      </c>
      <c r="U803" s="5" t="inlineStr">
        <is>
          <t>yes</t>
        </is>
      </c>
      <c r="V803" s="5" t="inlineStr">
        <is>
          <t>good</t>
        </is>
      </c>
    </row>
    <row r="804">
      <c r="A804" s="5" t="n">
        <v>799</v>
      </c>
      <c r="B804" s="5" t="inlineStr">
        <is>
          <t>no checking</t>
        </is>
      </c>
      <c r="C804" s="5" t="n">
        <v>24</v>
      </c>
      <c r="D804" s="5" t="inlineStr">
        <is>
          <t>delayed previously</t>
        </is>
      </c>
      <c r="E804" s="5" t="inlineStr">
        <is>
          <t>new car</t>
        </is>
      </c>
      <c r="F804" s="5" t="n">
        <v>717</v>
      </c>
      <c r="G804" s="5" t="inlineStr">
        <is>
          <t>no known savings</t>
        </is>
      </c>
      <c r="H804" s="5" t="inlineStr">
        <is>
          <t>&gt;=7</t>
        </is>
      </c>
      <c r="I804" s="5" t="n">
        <v>4</v>
      </c>
      <c r="J804" s="5" t="inlineStr">
        <is>
          <t>male mar/wid</t>
        </is>
      </c>
      <c r="K804" s="5" t="inlineStr">
        <is>
          <t>none</t>
        </is>
      </c>
      <c r="L804" s="5" t="n">
        <v>4</v>
      </c>
      <c r="M804" s="5" t="inlineStr">
        <is>
          <t>car</t>
        </is>
      </c>
      <c r="N804" s="5" t="n">
        <v>54</v>
      </c>
      <c r="O804" s="5" t="inlineStr">
        <is>
          <t>none</t>
        </is>
      </c>
      <c r="P804" s="5" t="inlineStr">
        <is>
          <t>own</t>
        </is>
      </c>
      <c r="Q804" s="5" t="n">
        <v>2</v>
      </c>
      <c r="R804" s="5" t="inlineStr">
        <is>
          <t>skilled</t>
        </is>
      </c>
      <c r="S804" s="5" t="n">
        <v>1</v>
      </c>
      <c r="T804" s="5" t="inlineStr">
        <is>
          <t>yes</t>
        </is>
      </c>
      <c r="U804" s="5" t="inlineStr">
        <is>
          <t>yes</t>
        </is>
      </c>
      <c r="V804" s="5" t="inlineStr">
        <is>
          <t>good</t>
        </is>
      </c>
    </row>
    <row r="805">
      <c r="A805" s="5" t="n">
        <v>800</v>
      </c>
      <c r="B805" s="5" t="inlineStr">
        <is>
          <t>0&lt;=X&lt;200</t>
        </is>
      </c>
      <c r="C805" s="5" t="n">
        <v>9</v>
      </c>
      <c r="D805" s="5" t="inlineStr">
        <is>
          <t>existing paid</t>
        </is>
      </c>
      <c r="E805" s="5" t="inlineStr">
        <is>
          <t>new car</t>
        </is>
      </c>
      <c r="F805" s="5" t="n">
        <v>1549</v>
      </c>
      <c r="G805" s="5" t="inlineStr">
        <is>
          <t>no known savings</t>
        </is>
      </c>
      <c r="H805" s="5" t="inlineStr">
        <is>
          <t>&lt;1</t>
        </is>
      </c>
      <c r="I805" s="5" t="n">
        <v>4</v>
      </c>
      <c r="J805" s="5" t="inlineStr">
        <is>
          <t>male single</t>
        </is>
      </c>
      <c r="K805" s="5" t="inlineStr">
        <is>
          <t>none</t>
        </is>
      </c>
      <c r="L805" s="5" t="n">
        <v>2</v>
      </c>
      <c r="M805" s="5" t="inlineStr">
        <is>
          <t>real estate</t>
        </is>
      </c>
      <c r="N805" s="5" t="n">
        <v>35</v>
      </c>
      <c r="O805" s="5" t="inlineStr">
        <is>
          <t>none</t>
        </is>
      </c>
      <c r="P805" s="5" t="inlineStr">
        <is>
          <t>own</t>
        </is>
      </c>
      <c r="Q805" s="5" t="n">
        <v>1</v>
      </c>
      <c r="R805" s="5" t="inlineStr">
        <is>
          <t>unemp/unskilled non res</t>
        </is>
      </c>
      <c r="S805" s="5" t="n">
        <v>1</v>
      </c>
      <c r="T805" s="5" t="inlineStr">
        <is>
          <t>none</t>
        </is>
      </c>
      <c r="U805" s="5" t="inlineStr">
        <is>
          <t>yes</t>
        </is>
      </c>
      <c r="V805" s="5" t="inlineStr">
        <is>
          <t>good</t>
        </is>
      </c>
    </row>
    <row r="806">
      <c r="A806" s="5" t="n">
        <v>801</v>
      </c>
      <c r="B806" s="5" t="inlineStr">
        <is>
          <t>no checking</t>
        </is>
      </c>
      <c r="C806" s="5" t="n">
        <v>24</v>
      </c>
      <c r="D806" s="5" t="inlineStr">
        <is>
          <t>critical/other existing credit</t>
        </is>
      </c>
      <c r="E806" s="5" t="inlineStr">
        <is>
          <t>education</t>
        </is>
      </c>
      <c r="F806" s="5" t="n">
        <v>1597</v>
      </c>
      <c r="G806" s="5" t="inlineStr">
        <is>
          <t>&lt;100</t>
        </is>
      </c>
      <c r="H806" s="5" t="inlineStr">
        <is>
          <t>&gt;=7</t>
        </is>
      </c>
      <c r="I806" s="5" t="n">
        <v>4</v>
      </c>
      <c r="J806" s="5" t="inlineStr">
        <is>
          <t>male single</t>
        </is>
      </c>
      <c r="K806" s="5" t="inlineStr">
        <is>
          <t>none</t>
        </is>
      </c>
      <c r="L806" s="5" t="n">
        <v>4</v>
      </c>
      <c r="M806" s="5" t="inlineStr">
        <is>
          <t>no known property</t>
        </is>
      </c>
      <c r="N806" s="5" t="n">
        <v>54</v>
      </c>
      <c r="O806" s="5" t="inlineStr">
        <is>
          <t>none</t>
        </is>
      </c>
      <c r="P806" s="5" t="inlineStr">
        <is>
          <t>for free</t>
        </is>
      </c>
      <c r="Q806" s="5" t="n">
        <v>2</v>
      </c>
      <c r="R806" s="5" t="inlineStr">
        <is>
          <t>skilled</t>
        </is>
      </c>
      <c r="S806" s="5" t="n">
        <v>2</v>
      </c>
      <c r="T806" s="5" t="inlineStr">
        <is>
          <t>none</t>
        </is>
      </c>
      <c r="U806" s="5" t="inlineStr">
        <is>
          <t>yes</t>
        </is>
      </c>
      <c r="V806" s="5" t="inlineStr">
        <is>
          <t>good</t>
        </is>
      </c>
    </row>
    <row r="807">
      <c r="A807" s="5" t="n">
        <v>802</v>
      </c>
      <c r="B807" s="5" t="inlineStr">
        <is>
          <t>0&lt;=X&lt;200</t>
        </is>
      </c>
      <c r="C807" s="5" t="n">
        <v>18</v>
      </c>
      <c r="D807" s="5" t="inlineStr">
        <is>
          <t>critical/other existing credit</t>
        </is>
      </c>
      <c r="E807" s="5" t="inlineStr">
        <is>
          <t>radio/tv</t>
        </is>
      </c>
      <c r="F807" s="5" t="n">
        <v>1795</v>
      </c>
      <c r="G807" s="5" t="inlineStr">
        <is>
          <t>&lt;100</t>
        </is>
      </c>
      <c r="H807" s="5" t="inlineStr">
        <is>
          <t>&gt;=7</t>
        </is>
      </c>
      <c r="I807" s="5" t="n">
        <v>3</v>
      </c>
      <c r="J807" s="5" t="inlineStr">
        <is>
          <t>female div/dep/mar</t>
        </is>
      </c>
      <c r="K807" s="5" t="inlineStr">
        <is>
          <t>guarantor</t>
        </is>
      </c>
      <c r="L807" s="5" t="n">
        <v>4</v>
      </c>
      <c r="M807" s="5" t="inlineStr">
        <is>
          <t>real estate</t>
        </is>
      </c>
      <c r="N807" s="5" t="n">
        <v>48</v>
      </c>
      <c r="O807" s="5" t="inlineStr">
        <is>
          <t>bank</t>
        </is>
      </c>
      <c r="P807" s="5" t="inlineStr">
        <is>
          <t>rent</t>
        </is>
      </c>
      <c r="Q807" s="5" t="n">
        <v>2</v>
      </c>
      <c r="R807" s="5" t="inlineStr">
        <is>
          <t>unskilled resident</t>
        </is>
      </c>
      <c r="S807" s="5" t="n">
        <v>1</v>
      </c>
      <c r="T807" s="5" t="inlineStr">
        <is>
          <t>yes</t>
        </is>
      </c>
      <c r="U807" s="5" t="inlineStr">
        <is>
          <t>yes</t>
        </is>
      </c>
      <c r="V807" s="5" t="inlineStr">
        <is>
          <t>good</t>
        </is>
      </c>
    </row>
    <row r="808">
      <c r="A808" s="5" t="n">
        <v>803</v>
      </c>
      <c r="B808" s="5" t="inlineStr">
        <is>
          <t>&lt;0</t>
        </is>
      </c>
      <c r="C808" s="5" t="n">
        <v>20</v>
      </c>
      <c r="D808" s="5" t="inlineStr">
        <is>
          <t>critical/other existing credit</t>
        </is>
      </c>
      <c r="E808" s="5" t="inlineStr">
        <is>
          <t>furniture/equipment</t>
        </is>
      </c>
      <c r="F808" s="5" t="n">
        <v>4272</v>
      </c>
      <c r="G808" s="5" t="inlineStr">
        <is>
          <t>&lt;100</t>
        </is>
      </c>
      <c r="H808" s="5" t="inlineStr">
        <is>
          <t>&gt;=7</t>
        </is>
      </c>
      <c r="I808" s="5" t="n">
        <v>1</v>
      </c>
      <c r="J808" s="5" t="inlineStr">
        <is>
          <t>female div/dep/mar</t>
        </is>
      </c>
      <c r="K808" s="5" t="inlineStr">
        <is>
          <t>none</t>
        </is>
      </c>
      <c r="L808" s="5" t="n">
        <v>4</v>
      </c>
      <c r="M808" s="5" t="inlineStr">
        <is>
          <t>life insurance</t>
        </is>
      </c>
      <c r="N808" s="5" t="n">
        <v>24</v>
      </c>
      <c r="O808" s="5" t="inlineStr">
        <is>
          <t>none</t>
        </is>
      </c>
      <c r="P808" s="5" t="inlineStr">
        <is>
          <t>own</t>
        </is>
      </c>
      <c r="Q808" s="5" t="n">
        <v>2</v>
      </c>
      <c r="R808" s="5" t="inlineStr">
        <is>
          <t>skilled</t>
        </is>
      </c>
      <c r="S808" s="5" t="n">
        <v>1</v>
      </c>
      <c r="T808" s="5" t="inlineStr">
        <is>
          <t>none</t>
        </is>
      </c>
      <c r="U808" s="5" t="inlineStr">
        <is>
          <t>yes</t>
        </is>
      </c>
      <c r="V808" s="5" t="inlineStr">
        <is>
          <t>good</t>
        </is>
      </c>
    </row>
    <row r="809">
      <c r="A809" s="5" t="n">
        <v>804</v>
      </c>
      <c r="B809" s="5" t="inlineStr">
        <is>
          <t>no checking</t>
        </is>
      </c>
      <c r="C809" s="5" t="n">
        <v>12</v>
      </c>
      <c r="D809" s="5" t="inlineStr">
        <is>
          <t>critical/other existing credit</t>
        </is>
      </c>
      <c r="E809" s="5" t="inlineStr">
        <is>
          <t>radio/tv</t>
        </is>
      </c>
      <c r="F809" s="5" t="n">
        <v>976</v>
      </c>
      <c r="G809" s="5" t="inlineStr">
        <is>
          <t>no known savings</t>
        </is>
      </c>
      <c r="H809" s="5" t="inlineStr">
        <is>
          <t>&gt;=7</t>
        </is>
      </c>
      <c r="I809" s="5" t="n">
        <v>4</v>
      </c>
      <c r="J809" s="5" t="inlineStr">
        <is>
          <t>male single</t>
        </is>
      </c>
      <c r="K809" s="5" t="inlineStr">
        <is>
          <t>none</t>
        </is>
      </c>
      <c r="L809" s="5" t="n">
        <v>4</v>
      </c>
      <c r="M809" s="5" t="inlineStr">
        <is>
          <t>car</t>
        </is>
      </c>
      <c r="N809" s="5" t="n">
        <v>35</v>
      </c>
      <c r="O809" s="5" t="inlineStr">
        <is>
          <t>none</t>
        </is>
      </c>
      <c r="P809" s="5" t="inlineStr">
        <is>
          <t>own</t>
        </is>
      </c>
      <c r="Q809" s="5" t="n">
        <v>2</v>
      </c>
      <c r="R809" s="5" t="inlineStr">
        <is>
          <t>skilled</t>
        </is>
      </c>
      <c r="S809" s="5" t="n">
        <v>1</v>
      </c>
      <c r="T809" s="5" t="inlineStr">
        <is>
          <t>none</t>
        </is>
      </c>
      <c r="U809" s="5" t="inlineStr">
        <is>
          <t>yes</t>
        </is>
      </c>
      <c r="V809" s="5" t="inlineStr">
        <is>
          <t>good</t>
        </is>
      </c>
    </row>
    <row r="810">
      <c r="A810" s="5" t="n">
        <v>805</v>
      </c>
      <c r="B810" s="5" t="inlineStr">
        <is>
          <t>0&lt;=X&lt;200</t>
        </is>
      </c>
      <c r="C810" s="5" t="n">
        <v>12</v>
      </c>
      <c r="D810" s="5" t="inlineStr">
        <is>
          <t>existing paid</t>
        </is>
      </c>
      <c r="E810" s="5" t="inlineStr">
        <is>
          <t>new car</t>
        </is>
      </c>
      <c r="F810" s="5" t="n">
        <v>7472</v>
      </c>
      <c r="G810" s="5" t="inlineStr">
        <is>
          <t>no known savings</t>
        </is>
      </c>
      <c r="H810" s="5" t="inlineStr">
        <is>
          <t>unemployed</t>
        </is>
      </c>
      <c r="I810" s="5" t="n">
        <v>1</v>
      </c>
      <c r="J810" s="5" t="inlineStr">
        <is>
          <t>female div/dep/mar</t>
        </is>
      </c>
      <c r="K810" s="5" t="inlineStr">
        <is>
          <t>none</t>
        </is>
      </c>
      <c r="L810" s="5" t="n">
        <v>2</v>
      </c>
      <c r="M810" s="5" t="inlineStr">
        <is>
          <t>real estate</t>
        </is>
      </c>
      <c r="N810" s="5" t="n">
        <v>24</v>
      </c>
      <c r="O810" s="5" t="inlineStr">
        <is>
          <t>none</t>
        </is>
      </c>
      <c r="P810" s="5" t="inlineStr">
        <is>
          <t>rent</t>
        </is>
      </c>
      <c r="Q810" s="5" t="n">
        <v>1</v>
      </c>
      <c r="R810" s="5" t="inlineStr">
        <is>
          <t>unemp/unskilled non res</t>
        </is>
      </c>
      <c r="S810" s="5" t="n">
        <v>1</v>
      </c>
      <c r="T810" s="5" t="inlineStr">
        <is>
          <t>none</t>
        </is>
      </c>
      <c r="U810" s="5" t="inlineStr">
        <is>
          <t>yes</t>
        </is>
      </c>
      <c r="V810" s="5" t="inlineStr">
        <is>
          <t>good</t>
        </is>
      </c>
    </row>
    <row r="811">
      <c r="A811" s="5" t="n">
        <v>806</v>
      </c>
      <c r="B811" s="5" t="inlineStr">
        <is>
          <t>&lt;0</t>
        </is>
      </c>
      <c r="C811" s="5" t="n">
        <v>36</v>
      </c>
      <c r="D811" s="5" t="inlineStr">
        <is>
          <t>existing paid</t>
        </is>
      </c>
      <c r="E811" s="5" t="inlineStr">
        <is>
          <t>new car</t>
        </is>
      </c>
      <c r="F811" s="5" t="n">
        <v>9271</v>
      </c>
      <c r="G811" s="5" t="inlineStr">
        <is>
          <t>&lt;100</t>
        </is>
      </c>
      <c r="H811" s="5" t="inlineStr">
        <is>
          <t>4&lt;=X&lt;7</t>
        </is>
      </c>
      <c r="I811" s="5" t="n">
        <v>2</v>
      </c>
      <c r="J811" s="5" t="inlineStr">
        <is>
          <t>male single</t>
        </is>
      </c>
      <c r="K811" s="5" t="inlineStr">
        <is>
          <t>none</t>
        </is>
      </c>
      <c r="L811" s="5" t="n">
        <v>1</v>
      </c>
      <c r="M811" s="5" t="inlineStr">
        <is>
          <t>car</t>
        </is>
      </c>
      <c r="N811" s="5" t="n">
        <v>24</v>
      </c>
      <c r="O811" s="5" t="inlineStr">
        <is>
          <t>none</t>
        </is>
      </c>
      <c r="P811" s="5" t="inlineStr">
        <is>
          <t>own</t>
        </is>
      </c>
      <c r="Q811" s="5" t="n">
        <v>1</v>
      </c>
      <c r="R811" s="5" t="inlineStr">
        <is>
          <t>skilled</t>
        </is>
      </c>
      <c r="S811" s="5" t="n">
        <v>1</v>
      </c>
      <c r="T811" s="5" t="inlineStr">
        <is>
          <t>yes</t>
        </is>
      </c>
      <c r="U811" s="5" t="inlineStr">
        <is>
          <t>yes</t>
        </is>
      </c>
      <c r="V811" s="5" t="inlineStr">
        <is>
          <t>bad</t>
        </is>
      </c>
    </row>
    <row r="812">
      <c r="A812" s="5" t="n">
        <v>807</v>
      </c>
      <c r="B812" s="5" t="inlineStr">
        <is>
          <t>0&lt;=X&lt;200</t>
        </is>
      </c>
      <c r="C812" s="5" t="n">
        <v>6</v>
      </c>
      <c r="D812" s="5" t="inlineStr">
        <is>
          <t>existing paid</t>
        </is>
      </c>
      <c r="E812" s="5" t="inlineStr">
        <is>
          <t>radio/tv</t>
        </is>
      </c>
      <c r="F812" s="5" t="n">
        <v>590</v>
      </c>
      <c r="G812" s="5" t="inlineStr">
        <is>
          <t>&lt;100</t>
        </is>
      </c>
      <c r="H812" s="5" t="inlineStr">
        <is>
          <t>&lt;1</t>
        </is>
      </c>
      <c r="I812" s="5" t="n">
        <v>3</v>
      </c>
      <c r="J812" s="5" t="inlineStr">
        <is>
          <t>male mar/wid</t>
        </is>
      </c>
      <c r="K812" s="5" t="inlineStr">
        <is>
          <t>none</t>
        </is>
      </c>
      <c r="L812" s="5" t="n">
        <v>3</v>
      </c>
      <c r="M812" s="5" t="inlineStr">
        <is>
          <t>real estate</t>
        </is>
      </c>
      <c r="N812" s="5" t="n">
        <v>26</v>
      </c>
      <c r="O812" s="5" t="inlineStr">
        <is>
          <t>none</t>
        </is>
      </c>
      <c r="P812" s="5" t="inlineStr">
        <is>
          <t>own</t>
        </is>
      </c>
      <c r="Q812" s="5" t="n">
        <v>1</v>
      </c>
      <c r="R812" s="5" t="inlineStr">
        <is>
          <t>unskilled resident</t>
        </is>
      </c>
      <c r="S812" s="5" t="n">
        <v>1</v>
      </c>
      <c r="T812" s="5" t="inlineStr">
        <is>
          <t>none</t>
        </is>
      </c>
      <c r="U812" s="5" t="inlineStr">
        <is>
          <t>no</t>
        </is>
      </c>
      <c r="V812" s="5" t="inlineStr">
        <is>
          <t>good</t>
        </is>
      </c>
    </row>
    <row r="813">
      <c r="A813" s="5" t="n">
        <v>808</v>
      </c>
      <c r="B813" s="5" t="inlineStr">
        <is>
          <t>no checking</t>
        </is>
      </c>
      <c r="C813" s="5" t="n">
        <v>12</v>
      </c>
      <c r="D813" s="5" t="inlineStr">
        <is>
          <t>critical/other existing credit</t>
        </is>
      </c>
      <c r="E813" s="5" t="inlineStr">
        <is>
          <t>radio/tv</t>
        </is>
      </c>
      <c r="F813" s="5" t="n">
        <v>930</v>
      </c>
      <c r="G813" s="5" t="inlineStr">
        <is>
          <t>no known savings</t>
        </is>
      </c>
      <c r="H813" s="5" t="inlineStr">
        <is>
          <t>&gt;=7</t>
        </is>
      </c>
      <c r="I813" s="5" t="n">
        <v>4</v>
      </c>
      <c r="J813" s="5" t="inlineStr">
        <is>
          <t>male single</t>
        </is>
      </c>
      <c r="K813" s="5" t="inlineStr">
        <is>
          <t>none</t>
        </is>
      </c>
      <c r="L813" s="5" t="n">
        <v>4</v>
      </c>
      <c r="M813" s="5" t="inlineStr">
        <is>
          <t>real estate</t>
        </is>
      </c>
      <c r="N813" s="5" t="n">
        <v>65</v>
      </c>
      <c r="O813" s="5" t="inlineStr">
        <is>
          <t>none</t>
        </is>
      </c>
      <c r="P813" s="5" t="inlineStr">
        <is>
          <t>own</t>
        </is>
      </c>
      <c r="Q813" s="5" t="n">
        <v>4</v>
      </c>
      <c r="R813" s="5" t="inlineStr">
        <is>
          <t>skilled</t>
        </is>
      </c>
      <c r="S813" s="5" t="n">
        <v>1</v>
      </c>
      <c r="T813" s="5" t="inlineStr">
        <is>
          <t>none</t>
        </is>
      </c>
      <c r="U813" s="5" t="inlineStr">
        <is>
          <t>yes</t>
        </is>
      </c>
      <c r="V813" s="5" t="inlineStr">
        <is>
          <t>good</t>
        </is>
      </c>
    </row>
    <row r="814">
      <c r="A814" s="5" t="n">
        <v>809</v>
      </c>
      <c r="B814" s="5" t="inlineStr">
        <is>
          <t>0&lt;=X&lt;200</t>
        </is>
      </c>
      <c r="C814" s="5" t="n">
        <v>42</v>
      </c>
      <c r="D814" s="5" t="inlineStr">
        <is>
          <t>all paid</t>
        </is>
      </c>
      <c r="E814" s="5" t="inlineStr">
        <is>
          <t>used car</t>
        </is>
      </c>
      <c r="F814" s="5" t="n">
        <v>9283</v>
      </c>
      <c r="G814" s="5" t="inlineStr">
        <is>
          <t>&lt;100</t>
        </is>
      </c>
      <c r="H814" s="5" t="inlineStr">
        <is>
          <t>unemployed</t>
        </is>
      </c>
      <c r="I814" s="5" t="n">
        <v>1</v>
      </c>
      <c r="J814" s="5" t="inlineStr">
        <is>
          <t>male single</t>
        </is>
      </c>
      <c r="K814" s="5" t="inlineStr">
        <is>
          <t>none</t>
        </is>
      </c>
      <c r="L814" s="5" t="n">
        <v>2</v>
      </c>
      <c r="M814" s="5" t="inlineStr">
        <is>
          <t>no known property</t>
        </is>
      </c>
      <c r="N814" s="5" t="n">
        <v>55</v>
      </c>
      <c r="O814" s="5" t="inlineStr">
        <is>
          <t>bank</t>
        </is>
      </c>
      <c r="P814" s="5" t="inlineStr">
        <is>
          <t>for free</t>
        </is>
      </c>
      <c r="Q814" s="5" t="n">
        <v>1</v>
      </c>
      <c r="R814" s="5" t="inlineStr">
        <is>
          <t>high qualif/self emp/mgmt</t>
        </is>
      </c>
      <c r="S814" s="5" t="n">
        <v>1</v>
      </c>
      <c r="T814" s="5" t="inlineStr">
        <is>
          <t>yes</t>
        </is>
      </c>
      <c r="U814" s="5" t="inlineStr">
        <is>
          <t>yes</t>
        </is>
      </c>
      <c r="V814" s="5" t="inlineStr">
        <is>
          <t>good</t>
        </is>
      </c>
    </row>
    <row r="815">
      <c r="A815" s="5" t="n">
        <v>810</v>
      </c>
      <c r="B815" s="5" t="inlineStr">
        <is>
          <t>0&lt;=X&lt;200</t>
        </is>
      </c>
      <c r="C815" s="5" t="n">
        <v>15</v>
      </c>
      <c r="D815" s="5" t="inlineStr">
        <is>
          <t>no credits/all paid</t>
        </is>
      </c>
      <c r="E815" s="5" t="inlineStr">
        <is>
          <t>new car</t>
        </is>
      </c>
      <c r="F815" s="5" t="n">
        <v>1778</v>
      </c>
      <c r="G815" s="5" t="inlineStr">
        <is>
          <t>&lt;100</t>
        </is>
      </c>
      <c r="H815" s="5" t="inlineStr">
        <is>
          <t>&lt;1</t>
        </is>
      </c>
      <c r="I815" s="5" t="n">
        <v>2</v>
      </c>
      <c r="J815" s="5" t="inlineStr">
        <is>
          <t>female div/dep/mar</t>
        </is>
      </c>
      <c r="K815" s="5" t="inlineStr">
        <is>
          <t>none</t>
        </is>
      </c>
      <c r="L815" s="5" t="n">
        <v>1</v>
      </c>
      <c r="M815" s="5" t="inlineStr">
        <is>
          <t>real estate</t>
        </is>
      </c>
      <c r="N815" s="5" t="n">
        <v>26</v>
      </c>
      <c r="O815" s="5" t="inlineStr">
        <is>
          <t>none</t>
        </is>
      </c>
      <c r="P815" s="5" t="inlineStr">
        <is>
          <t>rent</t>
        </is>
      </c>
      <c r="Q815" s="5" t="n">
        <v>2</v>
      </c>
      <c r="R815" s="5" t="inlineStr">
        <is>
          <t>unemp/unskilled non res</t>
        </is>
      </c>
      <c r="S815" s="5" t="n">
        <v>1</v>
      </c>
      <c r="T815" s="5" t="inlineStr">
        <is>
          <t>none</t>
        </is>
      </c>
      <c r="U815" s="5" t="inlineStr">
        <is>
          <t>yes</t>
        </is>
      </c>
      <c r="V815" s="5" t="inlineStr">
        <is>
          <t>bad</t>
        </is>
      </c>
    </row>
    <row r="816">
      <c r="A816" s="5" t="n">
        <v>811</v>
      </c>
      <c r="B816" s="5" t="inlineStr">
        <is>
          <t>0&lt;=X&lt;200</t>
        </is>
      </c>
      <c r="C816" s="5" t="n">
        <v>8</v>
      </c>
      <c r="D816" s="5" t="inlineStr">
        <is>
          <t>existing paid</t>
        </is>
      </c>
      <c r="E816" s="5" t="inlineStr">
        <is>
          <t>business</t>
        </is>
      </c>
      <c r="F816" s="5" t="n">
        <v>907</v>
      </c>
      <c r="G816" s="5" t="inlineStr">
        <is>
          <t>&lt;100</t>
        </is>
      </c>
      <c r="H816" s="5" t="inlineStr">
        <is>
          <t>&lt;1</t>
        </is>
      </c>
      <c r="I816" s="5" t="n">
        <v>3</v>
      </c>
      <c r="J816" s="5" t="inlineStr">
        <is>
          <t>male mar/wid</t>
        </is>
      </c>
      <c r="K816" s="5" t="inlineStr">
        <is>
          <t>none</t>
        </is>
      </c>
      <c r="L816" s="5" t="n">
        <v>2</v>
      </c>
      <c r="M816" s="5" t="inlineStr">
        <is>
          <t>real estate</t>
        </is>
      </c>
      <c r="N816" s="5" t="n">
        <v>26</v>
      </c>
      <c r="O816" s="5" t="inlineStr">
        <is>
          <t>none</t>
        </is>
      </c>
      <c r="P816" s="5" t="inlineStr">
        <is>
          <t>own</t>
        </is>
      </c>
      <c r="Q816" s="5" t="n">
        <v>1</v>
      </c>
      <c r="R816" s="5" t="inlineStr">
        <is>
          <t>skilled</t>
        </is>
      </c>
      <c r="S816" s="5" t="n">
        <v>1</v>
      </c>
      <c r="T816" s="5" t="inlineStr">
        <is>
          <t>yes</t>
        </is>
      </c>
      <c r="U816" s="5" t="inlineStr">
        <is>
          <t>yes</t>
        </is>
      </c>
      <c r="V816" s="5" t="inlineStr">
        <is>
          <t>good</t>
        </is>
      </c>
    </row>
    <row r="817">
      <c r="A817" s="5" t="n">
        <v>812</v>
      </c>
      <c r="B817" s="5" t="inlineStr">
        <is>
          <t>0&lt;=X&lt;200</t>
        </is>
      </c>
      <c r="C817" s="5" t="n">
        <v>6</v>
      </c>
      <c r="D817" s="5" t="inlineStr">
        <is>
          <t>existing paid</t>
        </is>
      </c>
      <c r="E817" s="5" t="inlineStr">
        <is>
          <t>radio/tv</t>
        </is>
      </c>
      <c r="F817" s="5" t="n">
        <v>484</v>
      </c>
      <c r="G817" s="5" t="inlineStr">
        <is>
          <t>&lt;100</t>
        </is>
      </c>
      <c r="H817" s="5" t="inlineStr">
        <is>
          <t>4&lt;=X&lt;7</t>
        </is>
      </c>
      <c r="I817" s="5" t="n">
        <v>3</v>
      </c>
      <c r="J817" s="5" t="inlineStr">
        <is>
          <t>male mar/wid</t>
        </is>
      </c>
      <c r="K817" s="5" t="inlineStr">
        <is>
          <t>guarantor</t>
        </is>
      </c>
      <c r="L817" s="5" t="n">
        <v>3</v>
      </c>
      <c r="M817" s="5" t="inlineStr">
        <is>
          <t>real estate</t>
        </is>
      </c>
      <c r="N817" s="5" t="n">
        <v>28</v>
      </c>
      <c r="O817" s="5" t="inlineStr">
        <is>
          <t>bank</t>
        </is>
      </c>
      <c r="P817" s="5" t="inlineStr">
        <is>
          <t>own</t>
        </is>
      </c>
      <c r="Q817" s="5" t="n">
        <v>1</v>
      </c>
      <c r="R817" s="5" t="inlineStr">
        <is>
          <t>unskilled resident</t>
        </is>
      </c>
      <c r="S817" s="5" t="n">
        <v>1</v>
      </c>
      <c r="T817" s="5" t="inlineStr">
        <is>
          <t>none</t>
        </is>
      </c>
      <c r="U817" s="5" t="inlineStr">
        <is>
          <t>yes</t>
        </is>
      </c>
      <c r="V817" s="5" t="inlineStr">
        <is>
          <t>good</t>
        </is>
      </c>
    </row>
    <row r="818">
      <c r="A818" s="5" t="n">
        <v>813</v>
      </c>
      <c r="B818" s="5" t="inlineStr">
        <is>
          <t>&lt;0</t>
        </is>
      </c>
      <c r="C818" s="5" t="n">
        <v>36</v>
      </c>
      <c r="D818" s="5" t="inlineStr">
        <is>
          <t>critical/other existing credit</t>
        </is>
      </c>
      <c r="E818" s="5" t="inlineStr">
        <is>
          <t>used car</t>
        </is>
      </c>
      <c r="F818" s="5" t="n">
        <v>9629</v>
      </c>
      <c r="G818" s="5" t="inlineStr">
        <is>
          <t>&lt;100</t>
        </is>
      </c>
      <c r="H818" s="5" t="inlineStr">
        <is>
          <t>4&lt;=X&lt;7</t>
        </is>
      </c>
      <c r="I818" s="5" t="n">
        <v>4</v>
      </c>
      <c r="J818" s="5" t="inlineStr">
        <is>
          <t>male single</t>
        </is>
      </c>
      <c r="K818" s="5" t="inlineStr">
        <is>
          <t>none</t>
        </is>
      </c>
      <c r="L818" s="5" t="n">
        <v>4</v>
      </c>
      <c r="M818" s="5" t="inlineStr">
        <is>
          <t>car</t>
        </is>
      </c>
      <c r="N818" s="5" t="n">
        <v>24</v>
      </c>
      <c r="O818" s="5" t="inlineStr">
        <is>
          <t>none</t>
        </is>
      </c>
      <c r="P818" s="5" t="inlineStr">
        <is>
          <t>own</t>
        </is>
      </c>
      <c r="Q818" s="5" t="n">
        <v>2</v>
      </c>
      <c r="R818" s="5" t="inlineStr">
        <is>
          <t>skilled</t>
        </is>
      </c>
      <c r="S818" s="5" t="n">
        <v>1</v>
      </c>
      <c r="T818" s="5" t="inlineStr">
        <is>
          <t>yes</t>
        </is>
      </c>
      <c r="U818" s="5" t="inlineStr">
        <is>
          <t>yes</t>
        </is>
      </c>
      <c r="V818" s="5" t="inlineStr">
        <is>
          <t>bad</t>
        </is>
      </c>
    </row>
    <row r="819">
      <c r="A819" s="5" t="n">
        <v>814</v>
      </c>
      <c r="B819" s="5" t="inlineStr">
        <is>
          <t>&lt;0</t>
        </is>
      </c>
      <c r="C819" s="5" t="n">
        <v>48</v>
      </c>
      <c r="D819" s="5" t="inlineStr">
        <is>
          <t>existing paid</t>
        </is>
      </c>
      <c r="E819" s="5" t="inlineStr">
        <is>
          <t>domestic appliance</t>
        </is>
      </c>
      <c r="F819" s="5" t="n">
        <v>3051</v>
      </c>
      <c r="G819" s="5" t="inlineStr">
        <is>
          <t>&lt;100</t>
        </is>
      </c>
      <c r="H819" s="5" t="inlineStr">
        <is>
          <t>1&lt;=X&lt;4</t>
        </is>
      </c>
      <c r="I819" s="5" t="n">
        <v>3</v>
      </c>
      <c r="J819" s="5" t="inlineStr">
        <is>
          <t>male single</t>
        </is>
      </c>
      <c r="K819" s="5" t="inlineStr">
        <is>
          <t>none</t>
        </is>
      </c>
      <c r="L819" s="5" t="n">
        <v>4</v>
      </c>
      <c r="M819" s="5" t="inlineStr">
        <is>
          <t>car</t>
        </is>
      </c>
      <c r="N819" s="5" t="n">
        <v>54</v>
      </c>
      <c r="O819" s="5" t="inlineStr">
        <is>
          <t>none</t>
        </is>
      </c>
      <c r="P819" s="5" t="inlineStr">
        <is>
          <t>own</t>
        </is>
      </c>
      <c r="Q819" s="5" t="n">
        <v>1</v>
      </c>
      <c r="R819" s="5" t="inlineStr">
        <is>
          <t>skilled</t>
        </is>
      </c>
      <c r="S819" s="5" t="n">
        <v>1</v>
      </c>
      <c r="T819" s="5" t="inlineStr">
        <is>
          <t>none</t>
        </is>
      </c>
      <c r="U819" s="5" t="inlineStr">
        <is>
          <t>yes</t>
        </is>
      </c>
      <c r="V819" s="5" t="inlineStr">
        <is>
          <t>bad</t>
        </is>
      </c>
    </row>
    <row r="820">
      <c r="A820" s="5" t="n">
        <v>815</v>
      </c>
      <c r="B820" s="5" t="inlineStr">
        <is>
          <t>&lt;0</t>
        </is>
      </c>
      <c r="C820" s="5" t="n">
        <v>48</v>
      </c>
      <c r="D820" s="5" t="inlineStr">
        <is>
          <t>existing paid</t>
        </is>
      </c>
      <c r="E820" s="5" t="inlineStr">
        <is>
          <t>new car</t>
        </is>
      </c>
      <c r="F820" s="5" t="n">
        <v>3931</v>
      </c>
      <c r="G820" s="5" t="inlineStr">
        <is>
          <t>&lt;100</t>
        </is>
      </c>
      <c r="H820" s="5" t="inlineStr">
        <is>
          <t>4&lt;=X&lt;7</t>
        </is>
      </c>
      <c r="I820" s="5" t="n">
        <v>4</v>
      </c>
      <c r="J820" s="5" t="inlineStr">
        <is>
          <t>male single</t>
        </is>
      </c>
      <c r="K820" s="5" t="inlineStr">
        <is>
          <t>none</t>
        </is>
      </c>
      <c r="L820" s="5" t="n">
        <v>4</v>
      </c>
      <c r="M820" s="5" t="inlineStr">
        <is>
          <t>no known property</t>
        </is>
      </c>
      <c r="N820" s="5" t="n">
        <v>46</v>
      </c>
      <c r="O820" s="5" t="inlineStr">
        <is>
          <t>none</t>
        </is>
      </c>
      <c r="P820" s="5" t="inlineStr">
        <is>
          <t>for free</t>
        </is>
      </c>
      <c r="Q820" s="5" t="n">
        <v>1</v>
      </c>
      <c r="R820" s="5" t="inlineStr">
        <is>
          <t>skilled</t>
        </is>
      </c>
      <c r="S820" s="5" t="n">
        <v>2</v>
      </c>
      <c r="T820" s="5" t="inlineStr">
        <is>
          <t>none</t>
        </is>
      </c>
      <c r="U820" s="5" t="inlineStr">
        <is>
          <t>yes</t>
        </is>
      </c>
      <c r="V820" s="5" t="inlineStr">
        <is>
          <t>bad</t>
        </is>
      </c>
    </row>
    <row r="821">
      <c r="A821" s="5" t="n">
        <v>816</v>
      </c>
      <c r="B821" s="5" t="inlineStr">
        <is>
          <t>0&lt;=X&lt;200</t>
        </is>
      </c>
      <c r="C821" s="5" t="n">
        <v>36</v>
      </c>
      <c r="D821" s="5" t="inlineStr">
        <is>
          <t>delayed previously</t>
        </is>
      </c>
      <c r="E821" s="5" t="inlineStr">
        <is>
          <t>new car</t>
        </is>
      </c>
      <c r="F821" s="5" t="n">
        <v>7432</v>
      </c>
      <c r="G821" s="5" t="inlineStr">
        <is>
          <t>&lt;100</t>
        </is>
      </c>
      <c r="H821" s="5" t="inlineStr">
        <is>
          <t>1&lt;=X&lt;4</t>
        </is>
      </c>
      <c r="I821" s="5" t="n">
        <v>2</v>
      </c>
      <c r="J821" s="5" t="inlineStr">
        <is>
          <t>female div/dep/mar</t>
        </is>
      </c>
      <c r="K821" s="5" t="inlineStr">
        <is>
          <t>none</t>
        </is>
      </c>
      <c r="L821" s="5" t="n">
        <v>2</v>
      </c>
      <c r="M821" s="5" t="inlineStr">
        <is>
          <t>life insurance</t>
        </is>
      </c>
      <c r="N821" s="5" t="n">
        <v>54</v>
      </c>
      <c r="O821" s="5" t="inlineStr">
        <is>
          <t>none</t>
        </is>
      </c>
      <c r="P821" s="5" t="inlineStr">
        <is>
          <t>rent</t>
        </is>
      </c>
      <c r="Q821" s="5" t="n">
        <v>1</v>
      </c>
      <c r="R821" s="5" t="inlineStr">
        <is>
          <t>skilled</t>
        </is>
      </c>
      <c r="S821" s="5" t="n">
        <v>1</v>
      </c>
      <c r="T821" s="5" t="inlineStr">
        <is>
          <t>none</t>
        </is>
      </c>
      <c r="U821" s="5" t="inlineStr">
        <is>
          <t>yes</t>
        </is>
      </c>
      <c r="V821" s="5" t="inlineStr">
        <is>
          <t>good</t>
        </is>
      </c>
    </row>
    <row r="822">
      <c r="A822" s="5" t="n">
        <v>817</v>
      </c>
      <c r="B822" s="5" t="inlineStr">
        <is>
          <t>no checking</t>
        </is>
      </c>
      <c r="C822" s="5" t="n">
        <v>6</v>
      </c>
      <c r="D822" s="5" t="inlineStr">
        <is>
          <t>existing paid</t>
        </is>
      </c>
      <c r="E822" s="5" t="inlineStr">
        <is>
          <t>domestic appliance</t>
        </is>
      </c>
      <c r="F822" s="5" t="n">
        <v>1338</v>
      </c>
      <c r="G822" s="5" t="inlineStr">
        <is>
          <t>500&lt;=X&lt;1000</t>
        </is>
      </c>
      <c r="H822" s="5" t="inlineStr">
        <is>
          <t>1&lt;=X&lt;4</t>
        </is>
      </c>
      <c r="I822" s="5" t="n">
        <v>1</v>
      </c>
      <c r="J822" s="5" t="inlineStr">
        <is>
          <t>male div/sep</t>
        </is>
      </c>
      <c r="K822" s="5" t="inlineStr">
        <is>
          <t>none</t>
        </is>
      </c>
      <c r="L822" s="5" t="n">
        <v>4</v>
      </c>
      <c r="M822" s="5" t="inlineStr">
        <is>
          <t>real estate</t>
        </is>
      </c>
      <c r="N822" s="5" t="n">
        <v>62</v>
      </c>
      <c r="O822" s="5" t="inlineStr">
        <is>
          <t>none</t>
        </is>
      </c>
      <c r="P822" s="5" t="inlineStr">
        <is>
          <t>own</t>
        </is>
      </c>
      <c r="Q822" s="5" t="n">
        <v>1</v>
      </c>
      <c r="R822" s="5" t="inlineStr">
        <is>
          <t>skilled</t>
        </is>
      </c>
      <c r="S822" s="5" t="n">
        <v>1</v>
      </c>
      <c r="T822" s="5" t="inlineStr">
        <is>
          <t>none</t>
        </is>
      </c>
      <c r="U822" s="5" t="inlineStr">
        <is>
          <t>yes</t>
        </is>
      </c>
      <c r="V822" s="5" t="inlineStr">
        <is>
          <t>good</t>
        </is>
      </c>
    </row>
    <row r="823">
      <c r="A823" s="5" t="n">
        <v>818</v>
      </c>
      <c r="B823" s="5" t="inlineStr">
        <is>
          <t>no checking</t>
        </is>
      </c>
      <c r="C823" s="5" t="n">
        <v>6</v>
      </c>
      <c r="D823" s="5" t="inlineStr">
        <is>
          <t>critical/other existing credit</t>
        </is>
      </c>
      <c r="E823" s="5" t="inlineStr">
        <is>
          <t>radio/tv</t>
        </is>
      </c>
      <c r="F823" s="5" t="n">
        <v>1554</v>
      </c>
      <c r="G823" s="5" t="inlineStr">
        <is>
          <t>&lt;100</t>
        </is>
      </c>
      <c r="H823" s="5" t="inlineStr">
        <is>
          <t>4&lt;=X&lt;7</t>
        </is>
      </c>
      <c r="I823" s="5" t="n">
        <v>1</v>
      </c>
      <c r="J823" s="5" t="inlineStr">
        <is>
          <t>female div/dep/mar</t>
        </is>
      </c>
      <c r="K823" s="5" t="inlineStr">
        <is>
          <t>none</t>
        </is>
      </c>
      <c r="L823" s="5" t="n">
        <v>2</v>
      </c>
      <c r="M823" s="5" t="inlineStr">
        <is>
          <t>car</t>
        </is>
      </c>
      <c r="N823" s="5" t="n">
        <v>24</v>
      </c>
      <c r="O823" s="5" t="inlineStr">
        <is>
          <t>none</t>
        </is>
      </c>
      <c r="P823" s="5" t="inlineStr">
        <is>
          <t>rent</t>
        </is>
      </c>
      <c r="Q823" s="5" t="n">
        <v>2</v>
      </c>
      <c r="R823" s="5" t="inlineStr">
        <is>
          <t>skilled</t>
        </is>
      </c>
      <c r="S823" s="5" t="n">
        <v>1</v>
      </c>
      <c r="T823" s="5" t="inlineStr">
        <is>
          <t>yes</t>
        </is>
      </c>
      <c r="U823" s="5" t="inlineStr">
        <is>
          <t>yes</t>
        </is>
      </c>
      <c r="V823" s="5" t="inlineStr">
        <is>
          <t>good</t>
        </is>
      </c>
    </row>
    <row r="824">
      <c r="A824" s="5" t="n">
        <v>819</v>
      </c>
      <c r="B824" s="5" t="inlineStr">
        <is>
          <t>&lt;0</t>
        </is>
      </c>
      <c r="C824" s="5" t="n">
        <v>36</v>
      </c>
      <c r="D824" s="5" t="inlineStr">
        <is>
          <t>existing paid</t>
        </is>
      </c>
      <c r="E824" s="5" t="inlineStr">
        <is>
          <t>other</t>
        </is>
      </c>
      <c r="F824" s="5" t="n">
        <v>15857</v>
      </c>
      <c r="G824" s="5" t="inlineStr">
        <is>
          <t>&lt;100</t>
        </is>
      </c>
      <c r="H824" s="5" t="inlineStr">
        <is>
          <t>unemployed</t>
        </is>
      </c>
      <c r="I824" s="5" t="n">
        <v>2</v>
      </c>
      <c r="J824" s="5" t="inlineStr">
        <is>
          <t>male div/sep</t>
        </is>
      </c>
      <c r="K824" s="5" t="inlineStr">
        <is>
          <t>co applicant</t>
        </is>
      </c>
      <c r="L824" s="5" t="n">
        <v>3</v>
      </c>
      <c r="M824" s="5" t="inlineStr">
        <is>
          <t>car</t>
        </is>
      </c>
      <c r="N824" s="5" t="n">
        <v>43</v>
      </c>
      <c r="O824" s="5" t="inlineStr">
        <is>
          <t>none</t>
        </is>
      </c>
      <c r="P824" s="5" t="inlineStr">
        <is>
          <t>own</t>
        </is>
      </c>
      <c r="Q824" s="5" t="n">
        <v>1</v>
      </c>
      <c r="R824" s="5" t="inlineStr">
        <is>
          <t>high qualif/self emp/mgmt</t>
        </is>
      </c>
      <c r="S824" s="5" t="n">
        <v>1</v>
      </c>
      <c r="T824" s="5" t="inlineStr">
        <is>
          <t>none</t>
        </is>
      </c>
      <c r="U824" s="5" t="inlineStr">
        <is>
          <t>yes</t>
        </is>
      </c>
      <c r="V824" s="5" t="inlineStr">
        <is>
          <t>good</t>
        </is>
      </c>
    </row>
    <row r="825">
      <c r="A825" s="5" t="n">
        <v>820</v>
      </c>
      <c r="B825" s="5" t="inlineStr">
        <is>
          <t>&lt;0</t>
        </is>
      </c>
      <c r="C825" s="5" t="n">
        <v>18</v>
      </c>
      <c r="D825" s="5" t="inlineStr">
        <is>
          <t>existing paid</t>
        </is>
      </c>
      <c r="E825" s="5" t="inlineStr">
        <is>
          <t>radio/tv</t>
        </is>
      </c>
      <c r="F825" s="5" t="n">
        <v>1345</v>
      </c>
      <c r="G825" s="5" t="inlineStr">
        <is>
          <t>&lt;100</t>
        </is>
      </c>
      <c r="H825" s="5" t="inlineStr">
        <is>
          <t>1&lt;=X&lt;4</t>
        </is>
      </c>
      <c r="I825" s="5" t="n">
        <v>4</v>
      </c>
      <c r="J825" s="5" t="inlineStr">
        <is>
          <t>male mar/wid</t>
        </is>
      </c>
      <c r="K825" s="5" t="inlineStr">
        <is>
          <t>none</t>
        </is>
      </c>
      <c r="L825" s="5" t="n">
        <v>3</v>
      </c>
      <c r="M825" s="5" t="inlineStr">
        <is>
          <t>real estate</t>
        </is>
      </c>
      <c r="N825" s="5" t="n">
        <v>26</v>
      </c>
      <c r="O825" s="5" t="inlineStr">
        <is>
          <t>bank</t>
        </is>
      </c>
      <c r="P825" s="5" t="inlineStr">
        <is>
          <t>own</t>
        </is>
      </c>
      <c r="Q825" s="5" t="n">
        <v>1</v>
      </c>
      <c r="R825" s="5" t="inlineStr">
        <is>
          <t>skilled</t>
        </is>
      </c>
      <c r="S825" s="5" t="n">
        <v>1</v>
      </c>
      <c r="T825" s="5" t="inlineStr">
        <is>
          <t>none</t>
        </is>
      </c>
      <c r="U825" s="5" t="inlineStr">
        <is>
          <t>yes</t>
        </is>
      </c>
      <c r="V825" s="5" t="inlineStr">
        <is>
          <t>bad</t>
        </is>
      </c>
    </row>
    <row r="826">
      <c r="A826" s="5" t="n">
        <v>821</v>
      </c>
      <c r="B826" s="5" t="inlineStr">
        <is>
          <t>no checking</t>
        </is>
      </c>
      <c r="C826" s="5" t="n">
        <v>12</v>
      </c>
      <c r="D826" s="5" t="inlineStr">
        <is>
          <t>existing paid</t>
        </is>
      </c>
      <c r="E826" s="5" t="inlineStr">
        <is>
          <t>new car</t>
        </is>
      </c>
      <c r="F826" s="5" t="n">
        <v>1101</v>
      </c>
      <c r="G826" s="5" t="inlineStr">
        <is>
          <t>&lt;100</t>
        </is>
      </c>
      <c r="H826" s="5" t="inlineStr">
        <is>
          <t>1&lt;=X&lt;4</t>
        </is>
      </c>
      <c r="I826" s="5" t="n">
        <v>3</v>
      </c>
      <c r="J826" s="5" t="inlineStr">
        <is>
          <t>male mar/wid</t>
        </is>
      </c>
      <c r="K826" s="5" t="inlineStr">
        <is>
          <t>none</t>
        </is>
      </c>
      <c r="L826" s="5" t="n">
        <v>2</v>
      </c>
      <c r="M826" s="5" t="inlineStr">
        <is>
          <t>real estate</t>
        </is>
      </c>
      <c r="N826" s="5" t="n">
        <v>27</v>
      </c>
      <c r="O826" s="5" t="inlineStr">
        <is>
          <t>none</t>
        </is>
      </c>
      <c r="P826" s="5" t="inlineStr">
        <is>
          <t>own</t>
        </is>
      </c>
      <c r="Q826" s="5" t="n">
        <v>2</v>
      </c>
      <c r="R826" s="5" t="inlineStr">
        <is>
          <t>skilled</t>
        </is>
      </c>
      <c r="S826" s="5" t="n">
        <v>1</v>
      </c>
      <c r="T826" s="5" t="inlineStr">
        <is>
          <t>yes</t>
        </is>
      </c>
      <c r="U826" s="5" t="inlineStr">
        <is>
          <t>yes</t>
        </is>
      </c>
      <c r="V826" s="5" t="inlineStr">
        <is>
          <t>good</t>
        </is>
      </c>
    </row>
    <row r="827">
      <c r="A827" s="5" t="n">
        <v>822</v>
      </c>
      <c r="B827" s="5" t="inlineStr">
        <is>
          <t>&gt;=200</t>
        </is>
      </c>
      <c r="C827" s="5" t="n">
        <v>12</v>
      </c>
      <c r="D827" s="5" t="inlineStr">
        <is>
          <t>existing paid</t>
        </is>
      </c>
      <c r="E827" s="5" t="inlineStr">
        <is>
          <t>radio/tv</t>
        </is>
      </c>
      <c r="F827" s="5" t="n">
        <v>3016</v>
      </c>
      <c r="G827" s="5" t="inlineStr">
        <is>
          <t>&lt;100</t>
        </is>
      </c>
      <c r="H827" s="5" t="inlineStr">
        <is>
          <t>1&lt;=X&lt;4</t>
        </is>
      </c>
      <c r="I827" s="5" t="n">
        <v>3</v>
      </c>
      <c r="J827" s="5" t="inlineStr">
        <is>
          <t>male mar/wid</t>
        </is>
      </c>
      <c r="K827" s="5" t="inlineStr">
        <is>
          <t>none</t>
        </is>
      </c>
      <c r="L827" s="5" t="n">
        <v>1</v>
      </c>
      <c r="M827" s="5" t="inlineStr">
        <is>
          <t>car</t>
        </is>
      </c>
      <c r="N827" s="5" t="n">
        <v>24</v>
      </c>
      <c r="O827" s="5" t="inlineStr">
        <is>
          <t>none</t>
        </is>
      </c>
      <c r="P827" s="5" t="inlineStr">
        <is>
          <t>own</t>
        </is>
      </c>
      <c r="Q827" s="5" t="n">
        <v>1</v>
      </c>
      <c r="R827" s="5" t="inlineStr">
        <is>
          <t>skilled</t>
        </is>
      </c>
      <c r="S827" s="5" t="n">
        <v>1</v>
      </c>
      <c r="T827" s="5" t="inlineStr">
        <is>
          <t>none</t>
        </is>
      </c>
      <c r="U827" s="5" t="inlineStr">
        <is>
          <t>yes</t>
        </is>
      </c>
      <c r="V827" s="5" t="inlineStr">
        <is>
          <t>good</t>
        </is>
      </c>
    </row>
    <row r="828">
      <c r="A828" s="5" t="n">
        <v>823</v>
      </c>
      <c r="B828" s="5" t="inlineStr">
        <is>
          <t>&lt;0</t>
        </is>
      </c>
      <c r="C828" s="5" t="n">
        <v>36</v>
      </c>
      <c r="D828" s="5" t="inlineStr">
        <is>
          <t>existing paid</t>
        </is>
      </c>
      <c r="E828" s="5" t="inlineStr">
        <is>
          <t>furniture/equipment</t>
        </is>
      </c>
      <c r="F828" s="5" t="n">
        <v>2712</v>
      </c>
      <c r="G828" s="5" t="inlineStr">
        <is>
          <t>&lt;100</t>
        </is>
      </c>
      <c r="H828" s="5" t="inlineStr">
        <is>
          <t>&gt;=7</t>
        </is>
      </c>
      <c r="I828" s="5" t="n">
        <v>2</v>
      </c>
      <c r="J828" s="5" t="inlineStr">
        <is>
          <t>male single</t>
        </is>
      </c>
      <c r="K828" s="5" t="inlineStr">
        <is>
          <t>none</t>
        </is>
      </c>
      <c r="L828" s="5" t="n">
        <v>2</v>
      </c>
      <c r="M828" s="5" t="inlineStr">
        <is>
          <t>life insurance</t>
        </is>
      </c>
      <c r="N828" s="5" t="n">
        <v>41</v>
      </c>
      <c r="O828" s="5" t="inlineStr">
        <is>
          <t>bank</t>
        </is>
      </c>
      <c r="P828" s="5" t="inlineStr">
        <is>
          <t>own</t>
        </is>
      </c>
      <c r="Q828" s="5" t="n">
        <v>1</v>
      </c>
      <c r="R828" s="5" t="inlineStr">
        <is>
          <t>skilled</t>
        </is>
      </c>
      <c r="S828" s="5" t="n">
        <v>2</v>
      </c>
      <c r="T828" s="5" t="inlineStr">
        <is>
          <t>none</t>
        </is>
      </c>
      <c r="U828" s="5" t="inlineStr">
        <is>
          <t>yes</t>
        </is>
      </c>
      <c r="V828" s="5" t="inlineStr">
        <is>
          <t>bad</t>
        </is>
      </c>
    </row>
    <row r="829">
      <c r="A829" s="5" t="n">
        <v>824</v>
      </c>
      <c r="B829" s="5" t="inlineStr">
        <is>
          <t>&lt;0</t>
        </is>
      </c>
      <c r="C829" s="5" t="n">
        <v>8</v>
      </c>
      <c r="D829" s="5" t="inlineStr">
        <is>
          <t>critical/other existing credit</t>
        </is>
      </c>
      <c r="E829" s="5" t="inlineStr">
        <is>
          <t>new car</t>
        </is>
      </c>
      <c r="F829" s="5" t="n">
        <v>731</v>
      </c>
      <c r="G829" s="5" t="inlineStr">
        <is>
          <t>&lt;100</t>
        </is>
      </c>
      <c r="H829" s="5" t="inlineStr">
        <is>
          <t>&gt;=7</t>
        </is>
      </c>
      <c r="I829" s="5" t="n">
        <v>4</v>
      </c>
      <c r="J829" s="5" t="inlineStr">
        <is>
          <t>male single</t>
        </is>
      </c>
      <c r="K829" s="5" t="inlineStr">
        <is>
          <t>none</t>
        </is>
      </c>
      <c r="L829" s="5" t="n">
        <v>4</v>
      </c>
      <c r="M829" s="5" t="inlineStr">
        <is>
          <t>real estate</t>
        </is>
      </c>
      <c r="N829" s="5" t="n">
        <v>47</v>
      </c>
      <c r="O829" s="5" t="inlineStr">
        <is>
          <t>none</t>
        </is>
      </c>
      <c r="P829" s="5" t="inlineStr">
        <is>
          <t>own</t>
        </is>
      </c>
      <c r="Q829" s="5" t="n">
        <v>2</v>
      </c>
      <c r="R829" s="5" t="inlineStr">
        <is>
          <t>unskilled resident</t>
        </is>
      </c>
      <c r="S829" s="5" t="n">
        <v>1</v>
      </c>
      <c r="T829" s="5" t="inlineStr">
        <is>
          <t>none</t>
        </is>
      </c>
      <c r="U829" s="5" t="inlineStr">
        <is>
          <t>yes</t>
        </is>
      </c>
      <c r="V829" s="5" t="inlineStr">
        <is>
          <t>good</t>
        </is>
      </c>
    </row>
    <row r="830">
      <c r="A830" s="5" t="n">
        <v>825</v>
      </c>
      <c r="B830" s="5" t="inlineStr">
        <is>
          <t>no checking</t>
        </is>
      </c>
      <c r="C830" s="5" t="n">
        <v>18</v>
      </c>
      <c r="D830" s="5" t="inlineStr">
        <is>
          <t>critical/other existing credit</t>
        </is>
      </c>
      <c r="E830" s="5" t="inlineStr">
        <is>
          <t>furniture/equipment</t>
        </is>
      </c>
      <c r="F830" s="5" t="n">
        <v>3780</v>
      </c>
      <c r="G830" s="5" t="inlineStr">
        <is>
          <t>&lt;100</t>
        </is>
      </c>
      <c r="H830" s="5" t="inlineStr">
        <is>
          <t>&lt;1</t>
        </is>
      </c>
      <c r="I830" s="5" t="n">
        <v>3</v>
      </c>
      <c r="J830" s="5" t="inlineStr">
        <is>
          <t>male div/sep</t>
        </is>
      </c>
      <c r="K830" s="5" t="inlineStr">
        <is>
          <t>none</t>
        </is>
      </c>
      <c r="L830" s="5" t="n">
        <v>2</v>
      </c>
      <c r="M830" s="5" t="inlineStr">
        <is>
          <t>car</t>
        </is>
      </c>
      <c r="N830" s="5" t="n">
        <v>35</v>
      </c>
      <c r="O830" s="5" t="inlineStr">
        <is>
          <t>none</t>
        </is>
      </c>
      <c r="P830" s="5" t="inlineStr">
        <is>
          <t>own</t>
        </is>
      </c>
      <c r="Q830" s="5" t="n">
        <v>2</v>
      </c>
      <c r="R830" s="5" t="inlineStr">
        <is>
          <t>high qualif/self emp/mgmt</t>
        </is>
      </c>
      <c r="S830" s="5" t="n">
        <v>1</v>
      </c>
      <c r="T830" s="5" t="inlineStr">
        <is>
          <t>yes</t>
        </is>
      </c>
      <c r="U830" s="5" t="inlineStr">
        <is>
          <t>yes</t>
        </is>
      </c>
      <c r="V830" s="5" t="inlineStr">
        <is>
          <t>good</t>
        </is>
      </c>
    </row>
    <row r="831">
      <c r="A831" s="5" t="n">
        <v>826</v>
      </c>
      <c r="B831" s="5" t="inlineStr">
        <is>
          <t>&lt;0</t>
        </is>
      </c>
      <c r="C831" s="5" t="n">
        <v>21</v>
      </c>
      <c r="D831" s="5" t="inlineStr">
        <is>
          <t>critical/other existing credit</t>
        </is>
      </c>
      <c r="E831" s="5" t="inlineStr">
        <is>
          <t>new car</t>
        </is>
      </c>
      <c r="F831" s="5" t="n">
        <v>1602</v>
      </c>
      <c r="G831" s="5" t="inlineStr">
        <is>
          <t>&lt;100</t>
        </is>
      </c>
      <c r="H831" s="5" t="inlineStr">
        <is>
          <t>&gt;=7</t>
        </is>
      </c>
      <c r="I831" s="5" t="n">
        <v>4</v>
      </c>
      <c r="J831" s="5" t="inlineStr">
        <is>
          <t>male mar/wid</t>
        </is>
      </c>
      <c r="K831" s="5" t="inlineStr">
        <is>
          <t>none</t>
        </is>
      </c>
      <c r="L831" s="5" t="n">
        <v>3</v>
      </c>
      <c r="M831" s="5" t="inlineStr">
        <is>
          <t>car</t>
        </is>
      </c>
      <c r="N831" s="5" t="n">
        <v>30</v>
      </c>
      <c r="O831" s="5" t="inlineStr">
        <is>
          <t>none</t>
        </is>
      </c>
      <c r="P831" s="5" t="inlineStr">
        <is>
          <t>own</t>
        </is>
      </c>
      <c r="Q831" s="5" t="n">
        <v>2</v>
      </c>
      <c r="R831" s="5" t="inlineStr">
        <is>
          <t>skilled</t>
        </is>
      </c>
      <c r="S831" s="5" t="n">
        <v>1</v>
      </c>
      <c r="T831" s="5" t="inlineStr">
        <is>
          <t>yes</t>
        </is>
      </c>
      <c r="U831" s="5" t="inlineStr">
        <is>
          <t>yes</t>
        </is>
      </c>
      <c r="V831" s="5" t="inlineStr">
        <is>
          <t>good</t>
        </is>
      </c>
    </row>
    <row r="832">
      <c r="A832" s="5" t="n">
        <v>827</v>
      </c>
      <c r="B832" s="5" t="inlineStr">
        <is>
          <t>&lt;0</t>
        </is>
      </c>
      <c r="C832" s="5" t="n">
        <v>18</v>
      </c>
      <c r="D832" s="5" t="inlineStr">
        <is>
          <t>critical/other existing credit</t>
        </is>
      </c>
      <c r="E832" s="5" t="inlineStr">
        <is>
          <t>new car</t>
        </is>
      </c>
      <c r="F832" s="5" t="n">
        <v>3966</v>
      </c>
      <c r="G832" s="5" t="inlineStr">
        <is>
          <t>&lt;100</t>
        </is>
      </c>
      <c r="H832" s="5" t="inlineStr">
        <is>
          <t>&gt;=7</t>
        </is>
      </c>
      <c r="I832" s="5" t="n">
        <v>1</v>
      </c>
      <c r="J832" s="5" t="inlineStr">
        <is>
          <t>female div/dep/mar</t>
        </is>
      </c>
      <c r="K832" s="5" t="inlineStr">
        <is>
          <t>none</t>
        </is>
      </c>
      <c r="L832" s="5" t="n">
        <v>4</v>
      </c>
      <c r="M832" s="5" t="inlineStr">
        <is>
          <t>real estate</t>
        </is>
      </c>
      <c r="N832" s="5" t="n">
        <v>33</v>
      </c>
      <c r="O832" s="5" t="inlineStr">
        <is>
          <t>bank</t>
        </is>
      </c>
      <c r="P832" s="5" t="inlineStr">
        <is>
          <t>rent</t>
        </is>
      </c>
      <c r="Q832" s="5" t="n">
        <v>3</v>
      </c>
      <c r="R832" s="5" t="inlineStr">
        <is>
          <t>skilled</t>
        </is>
      </c>
      <c r="S832" s="5" t="n">
        <v>1</v>
      </c>
      <c r="T832" s="5" t="inlineStr">
        <is>
          <t>yes</t>
        </is>
      </c>
      <c r="U832" s="5" t="inlineStr">
        <is>
          <t>yes</t>
        </is>
      </c>
      <c r="V832" s="5" t="inlineStr">
        <is>
          <t>bad</t>
        </is>
      </c>
    </row>
    <row r="833">
      <c r="A833" s="5" t="n">
        <v>828</v>
      </c>
      <c r="B833" s="5" t="inlineStr">
        <is>
          <t>no checking</t>
        </is>
      </c>
      <c r="C833" s="5" t="n">
        <v>18</v>
      </c>
      <c r="D833" s="5" t="inlineStr">
        <is>
          <t>no credits/all paid</t>
        </is>
      </c>
      <c r="E833" s="5" t="inlineStr">
        <is>
          <t>business</t>
        </is>
      </c>
      <c r="F833" s="5" t="n">
        <v>4165</v>
      </c>
      <c r="G833" s="5" t="inlineStr">
        <is>
          <t>&lt;100</t>
        </is>
      </c>
      <c r="H833" s="5" t="inlineStr">
        <is>
          <t>1&lt;=X&lt;4</t>
        </is>
      </c>
      <c r="I833" s="5" t="n">
        <v>2</v>
      </c>
      <c r="J833" s="5" t="inlineStr">
        <is>
          <t>male single</t>
        </is>
      </c>
      <c r="K833" s="5" t="inlineStr">
        <is>
          <t>none</t>
        </is>
      </c>
      <c r="L833" s="5" t="n">
        <v>2</v>
      </c>
      <c r="M833" s="5" t="inlineStr">
        <is>
          <t>car</t>
        </is>
      </c>
      <c r="N833" s="5" t="n">
        <v>36</v>
      </c>
      <c r="O833" s="5" t="inlineStr">
        <is>
          <t>stores</t>
        </is>
      </c>
      <c r="P833" s="5" t="inlineStr">
        <is>
          <t>own</t>
        </is>
      </c>
      <c r="Q833" s="5" t="n">
        <v>2</v>
      </c>
      <c r="R833" s="5" t="inlineStr">
        <is>
          <t>skilled</t>
        </is>
      </c>
      <c r="S833" s="5" t="n">
        <v>2</v>
      </c>
      <c r="T833" s="5" t="inlineStr">
        <is>
          <t>none</t>
        </is>
      </c>
      <c r="U833" s="5" t="inlineStr">
        <is>
          <t>yes</t>
        </is>
      </c>
      <c r="V833" s="5" t="inlineStr">
        <is>
          <t>bad</t>
        </is>
      </c>
    </row>
    <row r="834">
      <c r="A834" s="5" t="n">
        <v>829</v>
      </c>
      <c r="B834" s="5" t="inlineStr">
        <is>
          <t>&lt;0</t>
        </is>
      </c>
      <c r="C834" s="5" t="n">
        <v>36</v>
      </c>
      <c r="D834" s="5" t="inlineStr">
        <is>
          <t>existing paid</t>
        </is>
      </c>
      <c r="E834" s="5" t="inlineStr">
        <is>
          <t>used car</t>
        </is>
      </c>
      <c r="F834" s="5" t="n">
        <v>8335</v>
      </c>
      <c r="G834" s="5" t="inlineStr">
        <is>
          <t>no known savings</t>
        </is>
      </c>
      <c r="H834" s="5" t="inlineStr">
        <is>
          <t>&gt;=7</t>
        </is>
      </c>
      <c r="I834" s="5" t="n">
        <v>3</v>
      </c>
      <c r="J834" s="5" t="inlineStr">
        <is>
          <t>male single</t>
        </is>
      </c>
      <c r="K834" s="5" t="inlineStr">
        <is>
          <t>none</t>
        </is>
      </c>
      <c r="L834" s="5" t="n">
        <v>4</v>
      </c>
      <c r="M834" s="5" t="inlineStr">
        <is>
          <t>no known property</t>
        </is>
      </c>
      <c r="N834" s="5" t="n">
        <v>47</v>
      </c>
      <c r="O834" s="5" t="inlineStr">
        <is>
          <t>none</t>
        </is>
      </c>
      <c r="P834" s="5" t="inlineStr">
        <is>
          <t>for free</t>
        </is>
      </c>
      <c r="Q834" s="5" t="n">
        <v>1</v>
      </c>
      <c r="R834" s="5" t="inlineStr">
        <is>
          <t>skilled</t>
        </is>
      </c>
      <c r="S834" s="5" t="n">
        <v>1</v>
      </c>
      <c r="T834" s="5" t="inlineStr">
        <is>
          <t>none</t>
        </is>
      </c>
      <c r="U834" s="5" t="inlineStr">
        <is>
          <t>yes</t>
        </is>
      </c>
      <c r="V834" s="5" t="inlineStr">
        <is>
          <t>bad</t>
        </is>
      </c>
    </row>
    <row r="835">
      <c r="A835" s="5" t="n">
        <v>830</v>
      </c>
      <c r="B835" s="5" t="inlineStr">
        <is>
          <t>0&lt;=X&lt;200</t>
        </is>
      </c>
      <c r="C835" s="5" t="n">
        <v>48</v>
      </c>
      <c r="D835" s="5" t="inlineStr">
        <is>
          <t>delayed previously</t>
        </is>
      </c>
      <c r="E835" s="5" t="inlineStr">
        <is>
          <t>business</t>
        </is>
      </c>
      <c r="F835" s="5" t="n">
        <v>6681</v>
      </c>
      <c r="G835" s="5" t="inlineStr">
        <is>
          <t>no known savings</t>
        </is>
      </c>
      <c r="H835" s="5" t="inlineStr">
        <is>
          <t>1&lt;=X&lt;4</t>
        </is>
      </c>
      <c r="I835" s="5" t="n">
        <v>4</v>
      </c>
      <c r="J835" s="5" t="inlineStr">
        <is>
          <t>male single</t>
        </is>
      </c>
      <c r="K835" s="5" t="inlineStr">
        <is>
          <t>none</t>
        </is>
      </c>
      <c r="L835" s="5" t="n">
        <v>4</v>
      </c>
      <c r="M835" s="5" t="inlineStr">
        <is>
          <t>no known property</t>
        </is>
      </c>
      <c r="N835" s="5" t="n">
        <v>38</v>
      </c>
      <c r="O835" s="5" t="inlineStr">
        <is>
          <t>none</t>
        </is>
      </c>
      <c r="P835" s="5" t="inlineStr">
        <is>
          <t>for free</t>
        </is>
      </c>
      <c r="Q835" s="5" t="n">
        <v>1</v>
      </c>
      <c r="R835" s="5" t="inlineStr">
        <is>
          <t>skilled</t>
        </is>
      </c>
      <c r="S835" s="5" t="n">
        <v>2</v>
      </c>
      <c r="T835" s="5" t="inlineStr">
        <is>
          <t>yes</t>
        </is>
      </c>
      <c r="U835" s="5" t="inlineStr">
        <is>
          <t>yes</t>
        </is>
      </c>
      <c r="V835" s="5" t="inlineStr">
        <is>
          <t>good</t>
        </is>
      </c>
    </row>
    <row r="836">
      <c r="A836" s="5" t="n">
        <v>831</v>
      </c>
      <c r="B836" s="5" t="inlineStr">
        <is>
          <t>no checking</t>
        </is>
      </c>
      <c r="C836" s="5" t="n">
        <v>24</v>
      </c>
      <c r="D836" s="5" t="inlineStr">
        <is>
          <t>delayed previously</t>
        </is>
      </c>
      <c r="E836" s="5" t="inlineStr">
        <is>
          <t>business</t>
        </is>
      </c>
      <c r="F836" s="5" t="n">
        <v>2375</v>
      </c>
      <c r="G836" s="5" t="inlineStr">
        <is>
          <t>500&lt;=X&lt;1000</t>
        </is>
      </c>
      <c r="H836" s="5" t="inlineStr">
        <is>
          <t>1&lt;=X&lt;4</t>
        </is>
      </c>
      <c r="I836" s="5" t="n">
        <v>4</v>
      </c>
      <c r="J836" s="5" t="inlineStr">
        <is>
          <t>male single</t>
        </is>
      </c>
      <c r="K836" s="5" t="inlineStr">
        <is>
          <t>none</t>
        </is>
      </c>
      <c r="L836" s="5" t="n">
        <v>2</v>
      </c>
      <c r="M836" s="5" t="inlineStr">
        <is>
          <t>car</t>
        </is>
      </c>
      <c r="N836" s="5" t="n">
        <v>44</v>
      </c>
      <c r="O836" s="5" t="inlineStr">
        <is>
          <t>none</t>
        </is>
      </c>
      <c r="P836" s="5" t="inlineStr">
        <is>
          <t>own</t>
        </is>
      </c>
      <c r="Q836" s="5" t="n">
        <v>2</v>
      </c>
      <c r="R836" s="5" t="inlineStr">
        <is>
          <t>skilled</t>
        </is>
      </c>
      <c r="S836" s="5" t="n">
        <v>2</v>
      </c>
      <c r="T836" s="5" t="inlineStr">
        <is>
          <t>yes</t>
        </is>
      </c>
      <c r="U836" s="5" t="inlineStr">
        <is>
          <t>yes</t>
        </is>
      </c>
      <c r="V836" s="5" t="inlineStr">
        <is>
          <t>good</t>
        </is>
      </c>
    </row>
    <row r="837">
      <c r="A837" s="5" t="n">
        <v>832</v>
      </c>
      <c r="B837" s="5" t="inlineStr">
        <is>
          <t>&lt;0</t>
        </is>
      </c>
      <c r="C837" s="5" t="n">
        <v>18</v>
      </c>
      <c r="D837" s="5" t="inlineStr">
        <is>
          <t>existing paid</t>
        </is>
      </c>
      <c r="E837" s="5" t="inlineStr">
        <is>
          <t>new car</t>
        </is>
      </c>
      <c r="F837" s="5" t="n">
        <v>1216</v>
      </c>
      <c r="G837" s="5" t="inlineStr">
        <is>
          <t>&lt;100</t>
        </is>
      </c>
      <c r="H837" s="5" t="inlineStr">
        <is>
          <t>&lt;1</t>
        </is>
      </c>
      <c r="I837" s="5" t="n">
        <v>4</v>
      </c>
      <c r="J837" s="5" t="inlineStr">
        <is>
          <t>female div/dep/mar</t>
        </is>
      </c>
      <c r="K837" s="5" t="inlineStr">
        <is>
          <t>none</t>
        </is>
      </c>
      <c r="L837" s="5" t="n">
        <v>3</v>
      </c>
      <c r="M837" s="5" t="inlineStr">
        <is>
          <t>car</t>
        </is>
      </c>
      <c r="N837" s="5" t="n">
        <v>23</v>
      </c>
      <c r="O837" s="5" t="inlineStr">
        <is>
          <t>none</t>
        </is>
      </c>
      <c r="P837" s="5" t="inlineStr">
        <is>
          <t>rent</t>
        </is>
      </c>
      <c r="Q837" s="5" t="n">
        <v>1</v>
      </c>
      <c r="R837" s="5" t="inlineStr">
        <is>
          <t>skilled</t>
        </is>
      </c>
      <c r="S837" s="5" t="n">
        <v>1</v>
      </c>
      <c r="T837" s="5" t="inlineStr">
        <is>
          <t>yes</t>
        </is>
      </c>
      <c r="U837" s="5" t="inlineStr">
        <is>
          <t>yes</t>
        </is>
      </c>
      <c r="V837" s="5" t="inlineStr">
        <is>
          <t>bad</t>
        </is>
      </c>
    </row>
    <row r="838">
      <c r="A838" s="5" t="n">
        <v>833</v>
      </c>
      <c r="B838" s="5" t="inlineStr">
        <is>
          <t>&lt;0</t>
        </is>
      </c>
      <c r="C838" s="5" t="n">
        <v>45</v>
      </c>
      <c r="D838" s="5" t="inlineStr">
        <is>
          <t>no credits/all paid</t>
        </is>
      </c>
      <c r="E838" s="5" t="inlineStr">
        <is>
          <t>business</t>
        </is>
      </c>
      <c r="F838" s="5" t="n">
        <v>11816</v>
      </c>
      <c r="G838" s="5" t="inlineStr">
        <is>
          <t>&lt;100</t>
        </is>
      </c>
      <c r="H838" s="5" t="inlineStr">
        <is>
          <t>&gt;=7</t>
        </is>
      </c>
      <c r="I838" s="5" t="n">
        <v>2</v>
      </c>
      <c r="J838" s="5" t="inlineStr">
        <is>
          <t>male single</t>
        </is>
      </c>
      <c r="K838" s="5" t="inlineStr">
        <is>
          <t>none</t>
        </is>
      </c>
      <c r="L838" s="5" t="n">
        <v>4</v>
      </c>
      <c r="M838" s="5" t="inlineStr">
        <is>
          <t>car</t>
        </is>
      </c>
      <c r="N838" s="5" t="n">
        <v>29</v>
      </c>
      <c r="O838" s="5" t="inlineStr">
        <is>
          <t>none</t>
        </is>
      </c>
      <c r="P838" s="5" t="inlineStr">
        <is>
          <t>rent</t>
        </is>
      </c>
      <c r="Q838" s="5" t="n">
        <v>2</v>
      </c>
      <c r="R838" s="5" t="inlineStr">
        <is>
          <t>skilled</t>
        </is>
      </c>
      <c r="S838" s="5" t="n">
        <v>1</v>
      </c>
      <c r="T838" s="5" t="inlineStr">
        <is>
          <t>none</t>
        </is>
      </c>
      <c r="U838" s="5" t="inlineStr">
        <is>
          <t>yes</t>
        </is>
      </c>
      <c r="V838" s="5" t="inlineStr">
        <is>
          <t>bad</t>
        </is>
      </c>
    </row>
    <row r="839">
      <c r="A839" s="5" t="n">
        <v>834</v>
      </c>
      <c r="B839" s="5" t="inlineStr">
        <is>
          <t>0&lt;=X&lt;200</t>
        </is>
      </c>
      <c r="C839" s="5" t="n">
        <v>24</v>
      </c>
      <c r="D839" s="5" t="inlineStr">
        <is>
          <t>existing paid</t>
        </is>
      </c>
      <c r="E839" s="5" t="inlineStr">
        <is>
          <t>radio/tv</t>
        </is>
      </c>
      <c r="F839" s="5" t="n">
        <v>5084</v>
      </c>
      <c r="G839" s="5" t="inlineStr">
        <is>
          <t>no known savings</t>
        </is>
      </c>
      <c r="H839" s="5" t="inlineStr">
        <is>
          <t>&gt;=7</t>
        </is>
      </c>
      <c r="I839" s="5" t="n">
        <v>2</v>
      </c>
      <c r="J839" s="5" t="inlineStr">
        <is>
          <t>female div/dep/mar</t>
        </is>
      </c>
      <c r="K839" s="5" t="inlineStr">
        <is>
          <t>none</t>
        </is>
      </c>
      <c r="L839" s="5" t="n">
        <v>4</v>
      </c>
      <c r="M839" s="5" t="inlineStr">
        <is>
          <t>car</t>
        </is>
      </c>
      <c r="N839" s="5" t="n">
        <v>42</v>
      </c>
      <c r="O839" s="5" t="inlineStr">
        <is>
          <t>none</t>
        </is>
      </c>
      <c r="P839" s="5" t="inlineStr">
        <is>
          <t>own</t>
        </is>
      </c>
      <c r="Q839" s="5" t="n">
        <v>1</v>
      </c>
      <c r="R839" s="5" t="inlineStr">
        <is>
          <t>skilled</t>
        </is>
      </c>
      <c r="S839" s="5" t="n">
        <v>1</v>
      </c>
      <c r="T839" s="5" t="inlineStr">
        <is>
          <t>yes</t>
        </is>
      </c>
      <c r="U839" s="5" t="inlineStr">
        <is>
          <t>yes</t>
        </is>
      </c>
      <c r="V839" s="5" t="inlineStr">
        <is>
          <t>good</t>
        </is>
      </c>
    </row>
    <row r="840">
      <c r="A840" s="5" t="n">
        <v>835</v>
      </c>
      <c r="B840" s="5" t="inlineStr">
        <is>
          <t>&gt;=200</t>
        </is>
      </c>
      <c r="C840" s="5" t="n">
        <v>15</v>
      </c>
      <c r="D840" s="5" t="inlineStr">
        <is>
          <t>existing paid</t>
        </is>
      </c>
      <c r="E840" s="5" t="inlineStr">
        <is>
          <t>radio/tv</t>
        </is>
      </c>
      <c r="F840" s="5" t="n">
        <v>2327</v>
      </c>
      <c r="G840" s="5" t="inlineStr">
        <is>
          <t>&lt;100</t>
        </is>
      </c>
      <c r="H840" s="5" t="inlineStr">
        <is>
          <t>&lt;1</t>
        </is>
      </c>
      <c r="I840" s="5" t="n">
        <v>2</v>
      </c>
      <c r="J840" s="5" t="inlineStr">
        <is>
          <t>female div/dep/mar</t>
        </is>
      </c>
      <c r="K840" s="5" t="inlineStr">
        <is>
          <t>none</t>
        </is>
      </c>
      <c r="L840" s="5" t="n">
        <v>3</v>
      </c>
      <c r="M840" s="5" t="inlineStr">
        <is>
          <t>real estate</t>
        </is>
      </c>
      <c r="N840" s="5" t="n">
        <v>25</v>
      </c>
      <c r="O840" s="5" t="inlineStr">
        <is>
          <t>none</t>
        </is>
      </c>
      <c r="P840" s="5" t="inlineStr">
        <is>
          <t>own</t>
        </is>
      </c>
      <c r="Q840" s="5" t="n">
        <v>1</v>
      </c>
      <c r="R840" s="5" t="inlineStr">
        <is>
          <t>unskilled resident</t>
        </is>
      </c>
      <c r="S840" s="5" t="n">
        <v>1</v>
      </c>
      <c r="T840" s="5" t="inlineStr">
        <is>
          <t>none</t>
        </is>
      </c>
      <c r="U840" s="5" t="inlineStr">
        <is>
          <t>yes</t>
        </is>
      </c>
      <c r="V840" s="5" t="inlineStr">
        <is>
          <t>bad</t>
        </is>
      </c>
    </row>
    <row r="841">
      <c r="A841" s="5" t="n">
        <v>836</v>
      </c>
      <c r="B841" s="5" t="inlineStr">
        <is>
          <t>&lt;0</t>
        </is>
      </c>
      <c r="C841" s="5" t="n">
        <v>12</v>
      </c>
      <c r="D841" s="5" t="inlineStr">
        <is>
          <t>no credits/all paid</t>
        </is>
      </c>
      <c r="E841" s="5" t="inlineStr">
        <is>
          <t>new car</t>
        </is>
      </c>
      <c r="F841" s="5" t="n">
        <v>1082</v>
      </c>
      <c r="G841" s="5" t="inlineStr">
        <is>
          <t>&lt;100</t>
        </is>
      </c>
      <c r="H841" s="5" t="inlineStr">
        <is>
          <t>1&lt;=X&lt;4</t>
        </is>
      </c>
      <c r="I841" s="5" t="n">
        <v>4</v>
      </c>
      <c r="J841" s="5" t="inlineStr">
        <is>
          <t>male single</t>
        </is>
      </c>
      <c r="K841" s="5" t="inlineStr">
        <is>
          <t>none</t>
        </is>
      </c>
      <c r="L841" s="5" t="n">
        <v>4</v>
      </c>
      <c r="M841" s="5" t="inlineStr">
        <is>
          <t>car</t>
        </is>
      </c>
      <c r="N841" s="5" t="n">
        <v>48</v>
      </c>
      <c r="O841" s="5" t="inlineStr">
        <is>
          <t>bank</t>
        </is>
      </c>
      <c r="P841" s="5" t="inlineStr">
        <is>
          <t>own</t>
        </is>
      </c>
      <c r="Q841" s="5" t="n">
        <v>2</v>
      </c>
      <c r="R841" s="5" t="inlineStr">
        <is>
          <t>skilled</t>
        </is>
      </c>
      <c r="S841" s="5" t="n">
        <v>1</v>
      </c>
      <c r="T841" s="5" t="inlineStr">
        <is>
          <t>none</t>
        </is>
      </c>
      <c r="U841" s="5" t="inlineStr">
        <is>
          <t>yes</t>
        </is>
      </c>
      <c r="V841" s="5" t="inlineStr">
        <is>
          <t>bad</t>
        </is>
      </c>
    </row>
    <row r="842">
      <c r="A842" s="5" t="n">
        <v>837</v>
      </c>
      <c r="B842" s="5" t="inlineStr">
        <is>
          <t>no checking</t>
        </is>
      </c>
      <c r="C842" s="5" t="n">
        <v>12</v>
      </c>
      <c r="D842" s="5" t="inlineStr">
        <is>
          <t>existing paid</t>
        </is>
      </c>
      <c r="E842" s="5" t="inlineStr">
        <is>
          <t>radio/tv</t>
        </is>
      </c>
      <c r="F842" s="5" t="n">
        <v>886</v>
      </c>
      <c r="G842" s="5" t="inlineStr">
        <is>
          <t>no known savings</t>
        </is>
      </c>
      <c r="H842" s="5" t="inlineStr">
        <is>
          <t>1&lt;=X&lt;4</t>
        </is>
      </c>
      <c r="I842" s="5" t="n">
        <v>4</v>
      </c>
      <c r="J842" s="5" t="inlineStr">
        <is>
          <t>female div/dep/mar</t>
        </is>
      </c>
      <c r="K842" s="5" t="inlineStr">
        <is>
          <t>none</t>
        </is>
      </c>
      <c r="L842" s="5" t="n">
        <v>2</v>
      </c>
      <c r="M842" s="5" t="inlineStr">
        <is>
          <t>car</t>
        </is>
      </c>
      <c r="N842" s="5" t="n">
        <v>21</v>
      </c>
      <c r="O842" s="5" t="inlineStr">
        <is>
          <t>none</t>
        </is>
      </c>
      <c r="P842" s="5" t="inlineStr">
        <is>
          <t>own</t>
        </is>
      </c>
      <c r="Q842" s="5" t="n">
        <v>1</v>
      </c>
      <c r="R842" s="5" t="inlineStr">
        <is>
          <t>skilled</t>
        </is>
      </c>
      <c r="S842" s="5" t="n">
        <v>1</v>
      </c>
      <c r="T842" s="5" t="inlineStr">
        <is>
          <t>none</t>
        </is>
      </c>
      <c r="U842" s="5" t="inlineStr">
        <is>
          <t>yes</t>
        </is>
      </c>
      <c r="V842" s="5" t="inlineStr">
        <is>
          <t>good</t>
        </is>
      </c>
    </row>
    <row r="843">
      <c r="A843" s="5" t="n">
        <v>838</v>
      </c>
      <c r="B843" s="5" t="inlineStr">
        <is>
          <t>no checking</t>
        </is>
      </c>
      <c r="C843" s="5" t="n">
        <v>4</v>
      </c>
      <c r="D843" s="5" t="inlineStr">
        <is>
          <t>existing paid</t>
        </is>
      </c>
      <c r="E843" s="5" t="inlineStr">
        <is>
          <t>furniture/equipment</t>
        </is>
      </c>
      <c r="F843" s="5" t="n">
        <v>601</v>
      </c>
      <c r="G843" s="5" t="inlineStr">
        <is>
          <t>&lt;100</t>
        </is>
      </c>
      <c r="H843" s="5" t="inlineStr">
        <is>
          <t>&lt;1</t>
        </is>
      </c>
      <c r="I843" s="5" t="n">
        <v>1</v>
      </c>
      <c r="J843" s="5" t="inlineStr">
        <is>
          <t>female div/dep/mar</t>
        </is>
      </c>
      <c r="K843" s="5" t="inlineStr">
        <is>
          <t>none</t>
        </is>
      </c>
      <c r="L843" s="5" t="n">
        <v>3</v>
      </c>
      <c r="M843" s="5" t="inlineStr">
        <is>
          <t>real estate</t>
        </is>
      </c>
      <c r="N843" s="5" t="n">
        <v>23</v>
      </c>
      <c r="O843" s="5" t="inlineStr">
        <is>
          <t>none</t>
        </is>
      </c>
      <c r="P843" s="5" t="inlineStr">
        <is>
          <t>rent</t>
        </is>
      </c>
      <c r="Q843" s="5" t="n">
        <v>1</v>
      </c>
      <c r="R843" s="5" t="inlineStr">
        <is>
          <t>unskilled resident</t>
        </is>
      </c>
      <c r="S843" s="5" t="n">
        <v>2</v>
      </c>
      <c r="T843" s="5" t="inlineStr">
        <is>
          <t>none</t>
        </is>
      </c>
      <c r="U843" s="5" t="inlineStr">
        <is>
          <t>yes</t>
        </is>
      </c>
      <c r="V843" s="5" t="inlineStr">
        <is>
          <t>good</t>
        </is>
      </c>
    </row>
    <row r="844">
      <c r="A844" s="5" t="n">
        <v>839</v>
      </c>
      <c r="B844" s="5" t="inlineStr">
        <is>
          <t>&lt;0</t>
        </is>
      </c>
      <c r="C844" s="5" t="n">
        <v>24</v>
      </c>
      <c r="D844" s="5" t="inlineStr">
        <is>
          <t>critical/other existing credit</t>
        </is>
      </c>
      <c r="E844" s="5" t="inlineStr">
        <is>
          <t>used car</t>
        </is>
      </c>
      <c r="F844" s="5" t="n">
        <v>2957</v>
      </c>
      <c r="G844" s="5" t="inlineStr">
        <is>
          <t>&lt;100</t>
        </is>
      </c>
      <c r="H844" s="5" t="inlineStr">
        <is>
          <t>&gt;=7</t>
        </is>
      </c>
      <c r="I844" s="5" t="n">
        <v>4</v>
      </c>
      <c r="J844" s="5" t="inlineStr">
        <is>
          <t>male single</t>
        </is>
      </c>
      <c r="K844" s="5" t="inlineStr">
        <is>
          <t>none</t>
        </is>
      </c>
      <c r="L844" s="5" t="n">
        <v>4</v>
      </c>
      <c r="M844" s="5" t="inlineStr">
        <is>
          <t>life insurance</t>
        </is>
      </c>
      <c r="N844" s="5" t="n">
        <v>63</v>
      </c>
      <c r="O844" s="5" t="inlineStr">
        <is>
          <t>none</t>
        </is>
      </c>
      <c r="P844" s="5" t="inlineStr">
        <is>
          <t>own</t>
        </is>
      </c>
      <c r="Q844" s="5" t="n">
        <v>2</v>
      </c>
      <c r="R844" s="5" t="inlineStr">
        <is>
          <t>skilled</t>
        </is>
      </c>
      <c r="S844" s="5" t="n">
        <v>1</v>
      </c>
      <c r="T844" s="5" t="inlineStr">
        <is>
          <t>yes</t>
        </is>
      </c>
      <c r="U844" s="5" t="inlineStr">
        <is>
          <t>yes</t>
        </is>
      </c>
      <c r="V844" s="5" t="inlineStr">
        <is>
          <t>good</t>
        </is>
      </c>
    </row>
    <row r="845">
      <c r="A845" s="5" t="n">
        <v>840</v>
      </c>
      <c r="B845" s="5" t="inlineStr">
        <is>
          <t>no checking</t>
        </is>
      </c>
      <c r="C845" s="5" t="n">
        <v>24</v>
      </c>
      <c r="D845" s="5" t="inlineStr">
        <is>
          <t>critical/other existing credit</t>
        </is>
      </c>
      <c r="E845" s="5" t="inlineStr">
        <is>
          <t>radio/tv</t>
        </is>
      </c>
      <c r="F845" s="5" t="n">
        <v>2611</v>
      </c>
      <c r="G845" s="5" t="inlineStr">
        <is>
          <t>&lt;100</t>
        </is>
      </c>
      <c r="H845" s="5" t="inlineStr">
        <is>
          <t>&gt;=7</t>
        </is>
      </c>
      <c r="I845" s="5" t="n">
        <v>4</v>
      </c>
      <c r="J845" s="5" t="inlineStr">
        <is>
          <t>male mar/wid</t>
        </is>
      </c>
      <c r="K845" s="5" t="inlineStr">
        <is>
          <t>co applicant</t>
        </is>
      </c>
      <c r="L845" s="5" t="n">
        <v>3</v>
      </c>
      <c r="M845" s="5" t="inlineStr">
        <is>
          <t>real estate</t>
        </is>
      </c>
      <c r="N845" s="5" t="n">
        <v>46</v>
      </c>
      <c r="O845" s="5" t="inlineStr">
        <is>
          <t>none</t>
        </is>
      </c>
      <c r="P845" s="5" t="inlineStr">
        <is>
          <t>own</t>
        </is>
      </c>
      <c r="Q845" s="5" t="n">
        <v>2</v>
      </c>
      <c r="R845" s="5" t="inlineStr">
        <is>
          <t>skilled</t>
        </is>
      </c>
      <c r="S845" s="5" t="n">
        <v>1</v>
      </c>
      <c r="T845" s="5" t="inlineStr">
        <is>
          <t>none</t>
        </is>
      </c>
      <c r="U845" s="5" t="inlineStr">
        <is>
          <t>yes</t>
        </is>
      </c>
      <c r="V845" s="5" t="inlineStr">
        <is>
          <t>good</t>
        </is>
      </c>
    </row>
    <row r="846">
      <c r="A846" s="5" t="n">
        <v>841</v>
      </c>
      <c r="B846" s="5" t="inlineStr">
        <is>
          <t>&lt;0</t>
        </is>
      </c>
      <c r="C846" s="5" t="n">
        <v>36</v>
      </c>
      <c r="D846" s="5" t="inlineStr">
        <is>
          <t>existing paid</t>
        </is>
      </c>
      <c r="E846" s="5" t="inlineStr">
        <is>
          <t>furniture/equipment</t>
        </is>
      </c>
      <c r="F846" s="5" t="n">
        <v>5179</v>
      </c>
      <c r="G846" s="5" t="inlineStr">
        <is>
          <t>&lt;100</t>
        </is>
      </c>
      <c r="H846" s="5" t="inlineStr">
        <is>
          <t>4&lt;=X&lt;7</t>
        </is>
      </c>
      <c r="I846" s="5" t="n">
        <v>4</v>
      </c>
      <c r="J846" s="5" t="inlineStr">
        <is>
          <t>male single</t>
        </is>
      </c>
      <c r="K846" s="5" t="inlineStr">
        <is>
          <t>none</t>
        </is>
      </c>
      <c r="L846" s="5" t="n">
        <v>2</v>
      </c>
      <c r="M846" s="5" t="inlineStr">
        <is>
          <t>life insurance</t>
        </is>
      </c>
      <c r="N846" s="5" t="n">
        <v>29</v>
      </c>
      <c r="O846" s="5" t="inlineStr">
        <is>
          <t>none</t>
        </is>
      </c>
      <c r="P846" s="5" t="inlineStr">
        <is>
          <t>own</t>
        </is>
      </c>
      <c r="Q846" s="5" t="n">
        <v>1</v>
      </c>
      <c r="R846" s="5" t="inlineStr">
        <is>
          <t>skilled</t>
        </is>
      </c>
      <c r="S846" s="5" t="n">
        <v>1</v>
      </c>
      <c r="T846" s="5" t="inlineStr">
        <is>
          <t>none</t>
        </is>
      </c>
      <c r="U846" s="5" t="inlineStr">
        <is>
          <t>yes</t>
        </is>
      </c>
      <c r="V846" s="5" t="inlineStr">
        <is>
          <t>bad</t>
        </is>
      </c>
    </row>
    <row r="847">
      <c r="A847" s="5" t="n">
        <v>842</v>
      </c>
      <c r="B847" s="5" t="inlineStr">
        <is>
          <t>no checking</t>
        </is>
      </c>
      <c r="C847" s="5" t="n">
        <v>21</v>
      </c>
      <c r="D847" s="5" t="inlineStr">
        <is>
          <t>delayed previously</t>
        </is>
      </c>
      <c r="E847" s="5" t="inlineStr">
        <is>
          <t>used car</t>
        </is>
      </c>
      <c r="F847" s="5" t="n">
        <v>2993</v>
      </c>
      <c r="G847" s="5" t="inlineStr">
        <is>
          <t>&lt;100</t>
        </is>
      </c>
      <c r="H847" s="5" t="inlineStr">
        <is>
          <t>1&lt;=X&lt;4</t>
        </is>
      </c>
      <c r="I847" s="5" t="n">
        <v>3</v>
      </c>
      <c r="J847" s="5" t="inlineStr">
        <is>
          <t>male single</t>
        </is>
      </c>
      <c r="K847" s="5" t="inlineStr">
        <is>
          <t>none</t>
        </is>
      </c>
      <c r="L847" s="5" t="n">
        <v>2</v>
      </c>
      <c r="M847" s="5" t="inlineStr">
        <is>
          <t>real estate</t>
        </is>
      </c>
      <c r="N847" s="5" t="n">
        <v>28</v>
      </c>
      <c r="O847" s="5" t="inlineStr">
        <is>
          <t>stores</t>
        </is>
      </c>
      <c r="P847" s="5" t="inlineStr">
        <is>
          <t>own</t>
        </is>
      </c>
      <c r="Q847" s="5" t="n">
        <v>2</v>
      </c>
      <c r="R847" s="5" t="inlineStr">
        <is>
          <t>unskilled resident</t>
        </is>
      </c>
      <c r="S847" s="5" t="n">
        <v>1</v>
      </c>
      <c r="T847" s="5" t="inlineStr">
        <is>
          <t>none</t>
        </is>
      </c>
      <c r="U847" s="5" t="inlineStr">
        <is>
          <t>yes</t>
        </is>
      </c>
      <c r="V847" s="5" t="inlineStr">
        <is>
          <t>good</t>
        </is>
      </c>
    </row>
    <row r="848">
      <c r="A848" s="5" t="n">
        <v>843</v>
      </c>
      <c r="B848" s="5" t="inlineStr">
        <is>
          <t>no checking</t>
        </is>
      </c>
      <c r="C848" s="5" t="n">
        <v>18</v>
      </c>
      <c r="D848" s="5" t="inlineStr">
        <is>
          <t>existing paid</t>
        </is>
      </c>
      <c r="E848" s="5" t="inlineStr">
        <is>
          <t>repairs</t>
        </is>
      </c>
      <c r="F848" s="5" t="n">
        <v>1943</v>
      </c>
      <c r="G848" s="5" t="inlineStr">
        <is>
          <t>&lt;100</t>
        </is>
      </c>
      <c r="H848" s="5" t="inlineStr">
        <is>
          <t>&lt;1</t>
        </is>
      </c>
      <c r="I848" s="5" t="n">
        <v>4</v>
      </c>
      <c r="J848" s="5" t="inlineStr">
        <is>
          <t>female div/dep/mar</t>
        </is>
      </c>
      <c r="K848" s="5" t="inlineStr">
        <is>
          <t>none</t>
        </is>
      </c>
      <c r="L848" s="5" t="n">
        <v>4</v>
      </c>
      <c r="M848" s="5" t="inlineStr">
        <is>
          <t>real estate</t>
        </is>
      </c>
      <c r="N848" s="5" t="n">
        <v>23</v>
      </c>
      <c r="O848" s="5" t="inlineStr">
        <is>
          <t>none</t>
        </is>
      </c>
      <c r="P848" s="5" t="inlineStr">
        <is>
          <t>own</t>
        </is>
      </c>
      <c r="Q848" s="5" t="n">
        <v>1</v>
      </c>
      <c r="R848" s="5" t="inlineStr">
        <is>
          <t>skilled</t>
        </is>
      </c>
      <c r="S848" s="5" t="n">
        <v>1</v>
      </c>
      <c r="T848" s="5" t="inlineStr">
        <is>
          <t>none</t>
        </is>
      </c>
      <c r="U848" s="5" t="inlineStr">
        <is>
          <t>yes</t>
        </is>
      </c>
      <c r="V848" s="5" t="inlineStr">
        <is>
          <t>bad</t>
        </is>
      </c>
    </row>
    <row r="849">
      <c r="A849" s="5" t="n">
        <v>844</v>
      </c>
      <c r="B849" s="5" t="inlineStr">
        <is>
          <t>no checking</t>
        </is>
      </c>
      <c r="C849" s="5" t="n">
        <v>24</v>
      </c>
      <c r="D849" s="5" t="inlineStr">
        <is>
          <t>all paid</t>
        </is>
      </c>
      <c r="E849" s="5" t="inlineStr">
        <is>
          <t>business</t>
        </is>
      </c>
      <c r="F849" s="5" t="n">
        <v>1559</v>
      </c>
      <c r="G849" s="5" t="inlineStr">
        <is>
          <t>&lt;100</t>
        </is>
      </c>
      <c r="H849" s="5" t="inlineStr">
        <is>
          <t>4&lt;=X&lt;7</t>
        </is>
      </c>
      <c r="I849" s="5" t="n">
        <v>4</v>
      </c>
      <c r="J849" s="5" t="inlineStr">
        <is>
          <t>male single</t>
        </is>
      </c>
      <c r="K849" s="5" t="inlineStr">
        <is>
          <t>none</t>
        </is>
      </c>
      <c r="L849" s="5" t="n">
        <v>4</v>
      </c>
      <c r="M849" s="5" t="inlineStr">
        <is>
          <t>car</t>
        </is>
      </c>
      <c r="N849" s="5" t="n">
        <v>50</v>
      </c>
      <c r="O849" s="5" t="inlineStr">
        <is>
          <t>bank</t>
        </is>
      </c>
      <c r="P849" s="5" t="inlineStr">
        <is>
          <t>own</t>
        </is>
      </c>
      <c r="Q849" s="5" t="n">
        <v>1</v>
      </c>
      <c r="R849" s="5" t="inlineStr">
        <is>
          <t>skilled</t>
        </is>
      </c>
      <c r="S849" s="5" t="n">
        <v>1</v>
      </c>
      <c r="T849" s="5" t="inlineStr">
        <is>
          <t>yes</t>
        </is>
      </c>
      <c r="U849" s="5" t="inlineStr">
        <is>
          <t>yes</t>
        </is>
      </c>
      <c r="V849" s="5" t="inlineStr">
        <is>
          <t>good</t>
        </is>
      </c>
    </row>
    <row r="850">
      <c r="A850" s="5" t="n">
        <v>845</v>
      </c>
      <c r="B850" s="5" t="inlineStr">
        <is>
          <t>no checking</t>
        </is>
      </c>
      <c r="C850" s="5" t="n">
        <v>18</v>
      </c>
      <c r="D850" s="5" t="inlineStr">
        <is>
          <t>existing paid</t>
        </is>
      </c>
      <c r="E850" s="5" t="inlineStr">
        <is>
          <t>furniture/equipment</t>
        </is>
      </c>
      <c r="F850" s="5" t="n">
        <v>3422</v>
      </c>
      <c r="G850" s="5" t="inlineStr">
        <is>
          <t>&lt;100</t>
        </is>
      </c>
      <c r="H850" s="5" t="inlineStr">
        <is>
          <t>&gt;=7</t>
        </is>
      </c>
      <c r="I850" s="5" t="n">
        <v>4</v>
      </c>
      <c r="J850" s="5" t="inlineStr">
        <is>
          <t>male single</t>
        </is>
      </c>
      <c r="K850" s="5" t="inlineStr">
        <is>
          <t>none</t>
        </is>
      </c>
      <c r="L850" s="5" t="n">
        <v>4</v>
      </c>
      <c r="M850" s="5" t="inlineStr">
        <is>
          <t>life insurance</t>
        </is>
      </c>
      <c r="N850" s="5" t="n">
        <v>47</v>
      </c>
      <c r="O850" s="5" t="inlineStr">
        <is>
          <t>bank</t>
        </is>
      </c>
      <c r="P850" s="5" t="inlineStr">
        <is>
          <t>own</t>
        </is>
      </c>
      <c r="Q850" s="5" t="n">
        <v>3</v>
      </c>
      <c r="R850" s="5" t="inlineStr">
        <is>
          <t>skilled</t>
        </is>
      </c>
      <c r="S850" s="5" t="n">
        <v>2</v>
      </c>
      <c r="T850" s="5" t="inlineStr">
        <is>
          <t>yes</t>
        </is>
      </c>
      <c r="U850" s="5" t="inlineStr">
        <is>
          <t>yes</t>
        </is>
      </c>
      <c r="V850" s="5" t="inlineStr">
        <is>
          <t>good</t>
        </is>
      </c>
    </row>
    <row r="851">
      <c r="A851" s="5" t="n">
        <v>846</v>
      </c>
      <c r="B851" s="5" t="inlineStr">
        <is>
          <t>0&lt;=X&lt;200</t>
        </is>
      </c>
      <c r="C851" s="5" t="n">
        <v>21</v>
      </c>
      <c r="D851" s="5" t="inlineStr">
        <is>
          <t>existing paid</t>
        </is>
      </c>
      <c r="E851" s="5" t="inlineStr">
        <is>
          <t>furniture/equipment</t>
        </is>
      </c>
      <c r="F851" s="5" t="n">
        <v>3976</v>
      </c>
      <c r="G851" s="5" t="inlineStr">
        <is>
          <t>no known savings</t>
        </is>
      </c>
      <c r="H851" s="5" t="inlineStr">
        <is>
          <t>4&lt;=X&lt;7</t>
        </is>
      </c>
      <c r="I851" s="5" t="n">
        <v>2</v>
      </c>
      <c r="J851" s="5" t="inlineStr">
        <is>
          <t>male single</t>
        </is>
      </c>
      <c r="K851" s="5" t="inlineStr">
        <is>
          <t>none</t>
        </is>
      </c>
      <c r="L851" s="5" t="n">
        <v>3</v>
      </c>
      <c r="M851" s="5" t="inlineStr">
        <is>
          <t>car</t>
        </is>
      </c>
      <c r="N851" s="5" t="n">
        <v>35</v>
      </c>
      <c r="O851" s="5" t="inlineStr">
        <is>
          <t>none</t>
        </is>
      </c>
      <c r="P851" s="5" t="inlineStr">
        <is>
          <t>own</t>
        </is>
      </c>
      <c r="Q851" s="5" t="n">
        <v>1</v>
      </c>
      <c r="R851" s="5" t="inlineStr">
        <is>
          <t>skilled</t>
        </is>
      </c>
      <c r="S851" s="5" t="n">
        <v>1</v>
      </c>
      <c r="T851" s="5" t="inlineStr">
        <is>
          <t>yes</t>
        </is>
      </c>
      <c r="U851" s="5" t="inlineStr">
        <is>
          <t>yes</t>
        </is>
      </c>
      <c r="V851" s="5" t="inlineStr">
        <is>
          <t>good</t>
        </is>
      </c>
    </row>
    <row r="852">
      <c r="A852" s="5" t="n">
        <v>847</v>
      </c>
      <c r="B852" s="5" t="inlineStr">
        <is>
          <t>no checking</t>
        </is>
      </c>
      <c r="C852" s="5" t="n">
        <v>18</v>
      </c>
      <c r="D852" s="5" t="inlineStr">
        <is>
          <t>existing paid</t>
        </is>
      </c>
      <c r="E852" s="5" t="inlineStr">
        <is>
          <t>new car</t>
        </is>
      </c>
      <c r="F852" s="5" t="n">
        <v>6761</v>
      </c>
      <c r="G852" s="5" t="inlineStr">
        <is>
          <t>no known savings</t>
        </is>
      </c>
      <c r="H852" s="5" t="inlineStr">
        <is>
          <t>1&lt;=X&lt;4</t>
        </is>
      </c>
      <c r="I852" s="5" t="n">
        <v>2</v>
      </c>
      <c r="J852" s="5" t="inlineStr">
        <is>
          <t>male single</t>
        </is>
      </c>
      <c r="K852" s="5" t="inlineStr">
        <is>
          <t>none</t>
        </is>
      </c>
      <c r="L852" s="5" t="n">
        <v>4</v>
      </c>
      <c r="M852" s="5" t="inlineStr">
        <is>
          <t>car</t>
        </is>
      </c>
      <c r="N852" s="5" t="n">
        <v>68</v>
      </c>
      <c r="O852" s="5" t="inlineStr">
        <is>
          <t>none</t>
        </is>
      </c>
      <c r="P852" s="5" t="inlineStr">
        <is>
          <t>rent</t>
        </is>
      </c>
      <c r="Q852" s="5" t="n">
        <v>2</v>
      </c>
      <c r="R852" s="5" t="inlineStr">
        <is>
          <t>skilled</t>
        </is>
      </c>
      <c r="S852" s="5" t="n">
        <v>1</v>
      </c>
      <c r="T852" s="5" t="inlineStr">
        <is>
          <t>none</t>
        </is>
      </c>
      <c r="U852" s="5" t="inlineStr">
        <is>
          <t>yes</t>
        </is>
      </c>
      <c r="V852" s="5" t="inlineStr">
        <is>
          <t>bad</t>
        </is>
      </c>
    </row>
    <row r="853">
      <c r="A853" s="5" t="n">
        <v>848</v>
      </c>
      <c r="B853" s="5" t="inlineStr">
        <is>
          <t>no checking</t>
        </is>
      </c>
      <c r="C853" s="5" t="n">
        <v>24</v>
      </c>
      <c r="D853" s="5" t="inlineStr">
        <is>
          <t>existing paid</t>
        </is>
      </c>
      <c r="E853" s="5" t="inlineStr">
        <is>
          <t>new car</t>
        </is>
      </c>
      <c r="F853" s="5" t="n">
        <v>1249</v>
      </c>
      <c r="G853" s="5" t="inlineStr">
        <is>
          <t>&lt;100</t>
        </is>
      </c>
      <c r="H853" s="5" t="inlineStr">
        <is>
          <t>&lt;1</t>
        </is>
      </c>
      <c r="I853" s="5" t="n">
        <v>4</v>
      </c>
      <c r="J853" s="5" t="inlineStr">
        <is>
          <t>male mar/wid</t>
        </is>
      </c>
      <c r="K853" s="5" t="inlineStr">
        <is>
          <t>none</t>
        </is>
      </c>
      <c r="L853" s="5" t="n">
        <v>2</v>
      </c>
      <c r="M853" s="5" t="inlineStr">
        <is>
          <t>real estate</t>
        </is>
      </c>
      <c r="N853" s="5" t="n">
        <v>28</v>
      </c>
      <c r="O853" s="5" t="inlineStr">
        <is>
          <t>none</t>
        </is>
      </c>
      <c r="P853" s="5" t="inlineStr">
        <is>
          <t>own</t>
        </is>
      </c>
      <c r="Q853" s="5" t="n">
        <v>1</v>
      </c>
      <c r="R853" s="5" t="inlineStr">
        <is>
          <t>skilled</t>
        </is>
      </c>
      <c r="S853" s="5" t="n">
        <v>1</v>
      </c>
      <c r="T853" s="5" t="inlineStr">
        <is>
          <t>none</t>
        </is>
      </c>
      <c r="U853" s="5" t="inlineStr">
        <is>
          <t>yes</t>
        </is>
      </c>
      <c r="V853" s="5" t="inlineStr">
        <is>
          <t>good</t>
        </is>
      </c>
    </row>
    <row r="854">
      <c r="A854" s="5" t="n">
        <v>849</v>
      </c>
      <c r="B854" s="5" t="inlineStr">
        <is>
          <t>&lt;0</t>
        </is>
      </c>
      <c r="C854" s="5" t="n">
        <v>9</v>
      </c>
      <c r="D854" s="5" t="inlineStr">
        <is>
          <t>existing paid</t>
        </is>
      </c>
      <c r="E854" s="5" t="inlineStr">
        <is>
          <t>radio/tv</t>
        </is>
      </c>
      <c r="F854" s="5" t="n">
        <v>1364</v>
      </c>
      <c r="G854" s="5" t="inlineStr">
        <is>
          <t>&lt;100</t>
        </is>
      </c>
      <c r="H854" s="5" t="inlineStr">
        <is>
          <t>4&lt;=X&lt;7</t>
        </is>
      </c>
      <c r="I854" s="5" t="n">
        <v>3</v>
      </c>
      <c r="J854" s="5" t="inlineStr">
        <is>
          <t>male single</t>
        </is>
      </c>
      <c r="K854" s="5" t="inlineStr">
        <is>
          <t>none</t>
        </is>
      </c>
      <c r="L854" s="5" t="n">
        <v>4</v>
      </c>
      <c r="M854" s="5" t="inlineStr">
        <is>
          <t>real estate</t>
        </is>
      </c>
      <c r="N854" s="5" t="n">
        <v>59</v>
      </c>
      <c r="O854" s="5" t="inlineStr">
        <is>
          <t>none</t>
        </is>
      </c>
      <c r="P854" s="5" t="inlineStr">
        <is>
          <t>own</t>
        </is>
      </c>
      <c r="Q854" s="5" t="n">
        <v>1</v>
      </c>
      <c r="R854" s="5" t="inlineStr">
        <is>
          <t>skilled</t>
        </is>
      </c>
      <c r="S854" s="5" t="n">
        <v>1</v>
      </c>
      <c r="T854" s="5" t="inlineStr">
        <is>
          <t>none</t>
        </is>
      </c>
      <c r="U854" s="5" t="inlineStr">
        <is>
          <t>yes</t>
        </is>
      </c>
      <c r="V854" s="5" t="inlineStr">
        <is>
          <t>good</t>
        </is>
      </c>
    </row>
    <row r="855">
      <c r="A855" s="5" t="n">
        <v>850</v>
      </c>
      <c r="B855" s="5" t="inlineStr">
        <is>
          <t>&lt;0</t>
        </is>
      </c>
      <c r="C855" s="5" t="n">
        <v>12</v>
      </c>
      <c r="D855" s="5" t="inlineStr">
        <is>
          <t>existing paid</t>
        </is>
      </c>
      <c r="E855" s="5" t="inlineStr">
        <is>
          <t>radio/tv</t>
        </is>
      </c>
      <c r="F855" s="5" t="n">
        <v>709</v>
      </c>
      <c r="G855" s="5" t="inlineStr">
        <is>
          <t>&lt;100</t>
        </is>
      </c>
      <c r="H855" s="5" t="inlineStr">
        <is>
          <t>&gt;=7</t>
        </is>
      </c>
      <c r="I855" s="5" t="n">
        <v>4</v>
      </c>
      <c r="J855" s="5" t="inlineStr">
        <is>
          <t>male single</t>
        </is>
      </c>
      <c r="K855" s="5" t="inlineStr">
        <is>
          <t>none</t>
        </is>
      </c>
      <c r="L855" s="5" t="n">
        <v>4</v>
      </c>
      <c r="M855" s="5" t="inlineStr">
        <is>
          <t>real estate</t>
        </is>
      </c>
      <c r="N855" s="5" t="n">
        <v>57</v>
      </c>
      <c r="O855" s="5" t="inlineStr">
        <is>
          <t>stores</t>
        </is>
      </c>
      <c r="P855" s="5" t="inlineStr">
        <is>
          <t>own</t>
        </is>
      </c>
      <c r="Q855" s="5" t="n">
        <v>1</v>
      </c>
      <c r="R855" s="5" t="inlineStr">
        <is>
          <t>unskilled resident</t>
        </is>
      </c>
      <c r="S855" s="5" t="n">
        <v>1</v>
      </c>
      <c r="T855" s="5" t="inlineStr">
        <is>
          <t>none</t>
        </is>
      </c>
      <c r="U855" s="5" t="inlineStr">
        <is>
          <t>yes</t>
        </is>
      </c>
      <c r="V855" s="5" t="inlineStr">
        <is>
          <t>bad</t>
        </is>
      </c>
    </row>
    <row r="856">
      <c r="A856" s="5" t="n">
        <v>851</v>
      </c>
      <c r="B856" s="5" t="inlineStr">
        <is>
          <t>&lt;0</t>
        </is>
      </c>
      <c r="C856" s="5" t="n">
        <v>20</v>
      </c>
      <c r="D856" s="5" t="inlineStr">
        <is>
          <t>critical/other existing credit</t>
        </is>
      </c>
      <c r="E856" s="5" t="inlineStr">
        <is>
          <t>new car</t>
        </is>
      </c>
      <c r="F856" s="5" t="n">
        <v>2235</v>
      </c>
      <c r="G856" s="5" t="inlineStr">
        <is>
          <t>&lt;100</t>
        </is>
      </c>
      <c r="H856" s="5" t="inlineStr">
        <is>
          <t>1&lt;=X&lt;4</t>
        </is>
      </c>
      <c r="I856" s="5" t="n">
        <v>4</v>
      </c>
      <c r="J856" s="5" t="inlineStr">
        <is>
          <t>male mar/wid</t>
        </is>
      </c>
      <c r="K856" s="5" t="inlineStr">
        <is>
          <t>guarantor</t>
        </is>
      </c>
      <c r="L856" s="5" t="n">
        <v>2</v>
      </c>
      <c r="M856" s="5" t="inlineStr">
        <is>
          <t>life insurance</t>
        </is>
      </c>
      <c r="N856" s="5" t="n">
        <v>33</v>
      </c>
      <c r="O856" s="5" t="inlineStr">
        <is>
          <t>bank</t>
        </is>
      </c>
      <c r="P856" s="5" t="inlineStr">
        <is>
          <t>rent</t>
        </is>
      </c>
      <c r="Q856" s="5" t="n">
        <v>2</v>
      </c>
      <c r="R856" s="5" t="inlineStr">
        <is>
          <t>skilled</t>
        </is>
      </c>
      <c r="S856" s="5" t="n">
        <v>1</v>
      </c>
      <c r="T856" s="5" t="inlineStr">
        <is>
          <t>none</t>
        </is>
      </c>
      <c r="U856" s="5" t="inlineStr">
        <is>
          <t>no</t>
        </is>
      </c>
      <c r="V856" s="5" t="inlineStr">
        <is>
          <t>bad</t>
        </is>
      </c>
    </row>
    <row r="857">
      <c r="A857" s="5" t="n">
        <v>852</v>
      </c>
      <c r="B857" s="5" t="inlineStr">
        <is>
          <t>no checking</t>
        </is>
      </c>
      <c r="C857" s="5" t="n">
        <v>24</v>
      </c>
      <c r="D857" s="5" t="inlineStr">
        <is>
          <t>critical/other existing credit</t>
        </is>
      </c>
      <c r="E857" s="5" t="inlineStr">
        <is>
          <t>used car</t>
        </is>
      </c>
      <c r="F857" s="5" t="n">
        <v>4042</v>
      </c>
      <c r="G857" s="5" t="inlineStr">
        <is>
          <t>no known savings</t>
        </is>
      </c>
      <c r="H857" s="5" t="inlineStr">
        <is>
          <t>4&lt;=X&lt;7</t>
        </is>
      </c>
      <c r="I857" s="5" t="n">
        <v>3</v>
      </c>
      <c r="J857" s="5" t="inlineStr">
        <is>
          <t>male single</t>
        </is>
      </c>
      <c r="K857" s="5" t="inlineStr">
        <is>
          <t>none</t>
        </is>
      </c>
      <c r="L857" s="5" t="n">
        <v>4</v>
      </c>
      <c r="M857" s="5" t="inlineStr">
        <is>
          <t>life insurance</t>
        </is>
      </c>
      <c r="N857" s="5" t="n">
        <v>43</v>
      </c>
      <c r="O857" s="5" t="inlineStr">
        <is>
          <t>none</t>
        </is>
      </c>
      <c r="P857" s="5" t="inlineStr">
        <is>
          <t>own</t>
        </is>
      </c>
      <c r="Q857" s="5" t="n">
        <v>2</v>
      </c>
      <c r="R857" s="5" t="inlineStr">
        <is>
          <t>skilled</t>
        </is>
      </c>
      <c r="S857" s="5" t="n">
        <v>1</v>
      </c>
      <c r="T857" s="5" t="inlineStr">
        <is>
          <t>yes</t>
        </is>
      </c>
      <c r="U857" s="5" t="inlineStr">
        <is>
          <t>yes</t>
        </is>
      </c>
      <c r="V857" s="5" t="inlineStr">
        <is>
          <t>good</t>
        </is>
      </c>
    </row>
    <row r="858">
      <c r="A858" s="5" t="n">
        <v>853</v>
      </c>
      <c r="B858" s="5" t="inlineStr">
        <is>
          <t>no checking</t>
        </is>
      </c>
      <c r="C858" s="5" t="n">
        <v>15</v>
      </c>
      <c r="D858" s="5" t="inlineStr">
        <is>
          <t>critical/other existing credit</t>
        </is>
      </c>
      <c r="E858" s="5" t="inlineStr">
        <is>
          <t>radio/tv</t>
        </is>
      </c>
      <c r="F858" s="5" t="n">
        <v>1471</v>
      </c>
      <c r="G858" s="5" t="inlineStr">
        <is>
          <t>&lt;100</t>
        </is>
      </c>
      <c r="H858" s="5" t="inlineStr">
        <is>
          <t>1&lt;=X&lt;4</t>
        </is>
      </c>
      <c r="I858" s="5" t="n">
        <v>4</v>
      </c>
      <c r="J858" s="5" t="inlineStr">
        <is>
          <t>male single</t>
        </is>
      </c>
      <c r="K858" s="5" t="inlineStr">
        <is>
          <t>none</t>
        </is>
      </c>
      <c r="L858" s="5" t="n">
        <v>4</v>
      </c>
      <c r="M858" s="5" t="inlineStr">
        <is>
          <t>no known property</t>
        </is>
      </c>
      <c r="N858" s="5" t="n">
        <v>35</v>
      </c>
      <c r="O858" s="5" t="inlineStr">
        <is>
          <t>none</t>
        </is>
      </c>
      <c r="P858" s="5" t="inlineStr">
        <is>
          <t>for free</t>
        </is>
      </c>
      <c r="Q858" s="5" t="n">
        <v>2</v>
      </c>
      <c r="R858" s="5" t="inlineStr">
        <is>
          <t>skilled</t>
        </is>
      </c>
      <c r="S858" s="5" t="n">
        <v>1</v>
      </c>
      <c r="T858" s="5" t="inlineStr">
        <is>
          <t>yes</t>
        </is>
      </c>
      <c r="U858" s="5" t="inlineStr">
        <is>
          <t>yes</t>
        </is>
      </c>
      <c r="V858" s="5" t="inlineStr">
        <is>
          <t>good</t>
        </is>
      </c>
    </row>
    <row r="859">
      <c r="A859" s="5" t="n">
        <v>854</v>
      </c>
      <c r="B859" s="5" t="inlineStr">
        <is>
          <t>&lt;0</t>
        </is>
      </c>
      <c r="C859" s="5" t="n">
        <v>18</v>
      </c>
      <c r="D859" s="5" t="inlineStr">
        <is>
          <t>all paid</t>
        </is>
      </c>
      <c r="E859" s="5" t="inlineStr">
        <is>
          <t>new car</t>
        </is>
      </c>
      <c r="F859" s="5" t="n">
        <v>1442</v>
      </c>
      <c r="G859" s="5" t="inlineStr">
        <is>
          <t>&lt;100</t>
        </is>
      </c>
      <c r="H859" s="5" t="inlineStr">
        <is>
          <t>4&lt;=X&lt;7</t>
        </is>
      </c>
      <c r="I859" s="5" t="n">
        <v>4</v>
      </c>
      <c r="J859" s="5" t="inlineStr">
        <is>
          <t>male single</t>
        </is>
      </c>
      <c r="K859" s="5" t="inlineStr">
        <is>
          <t>none</t>
        </is>
      </c>
      <c r="L859" s="5" t="n">
        <v>4</v>
      </c>
      <c r="M859" s="5" t="inlineStr">
        <is>
          <t>no known property</t>
        </is>
      </c>
      <c r="N859" s="5" t="n">
        <v>32</v>
      </c>
      <c r="O859" s="5" t="inlineStr">
        <is>
          <t>none</t>
        </is>
      </c>
      <c r="P859" s="5" t="inlineStr">
        <is>
          <t>for free</t>
        </is>
      </c>
      <c r="Q859" s="5" t="n">
        <v>2</v>
      </c>
      <c r="R859" s="5" t="inlineStr">
        <is>
          <t>unskilled resident</t>
        </is>
      </c>
      <c r="S859" s="5" t="n">
        <v>2</v>
      </c>
      <c r="T859" s="5" t="inlineStr">
        <is>
          <t>none</t>
        </is>
      </c>
      <c r="U859" s="5" t="inlineStr">
        <is>
          <t>yes</t>
        </is>
      </c>
      <c r="V859" s="5" t="inlineStr">
        <is>
          <t>bad</t>
        </is>
      </c>
    </row>
    <row r="860">
      <c r="A860" s="5" t="n">
        <v>855</v>
      </c>
      <c r="B860" s="5" t="inlineStr">
        <is>
          <t>no checking</t>
        </is>
      </c>
      <c r="C860" s="5" t="n">
        <v>36</v>
      </c>
      <c r="D860" s="5" t="inlineStr">
        <is>
          <t>delayed previously</t>
        </is>
      </c>
      <c r="E860" s="5" t="inlineStr">
        <is>
          <t>new car</t>
        </is>
      </c>
      <c r="F860" s="5" t="n">
        <v>10875</v>
      </c>
      <c r="G860" s="5" t="inlineStr">
        <is>
          <t>&lt;100</t>
        </is>
      </c>
      <c r="H860" s="5" t="inlineStr">
        <is>
          <t>&gt;=7</t>
        </is>
      </c>
      <c r="I860" s="5" t="n">
        <v>2</v>
      </c>
      <c r="J860" s="5" t="inlineStr">
        <is>
          <t>male single</t>
        </is>
      </c>
      <c r="K860" s="5" t="inlineStr">
        <is>
          <t>none</t>
        </is>
      </c>
      <c r="L860" s="5" t="n">
        <v>2</v>
      </c>
      <c r="M860" s="5" t="inlineStr">
        <is>
          <t>car</t>
        </is>
      </c>
      <c r="N860" s="5" t="n">
        <v>45</v>
      </c>
      <c r="O860" s="5" t="inlineStr">
        <is>
          <t>none</t>
        </is>
      </c>
      <c r="P860" s="5" t="inlineStr">
        <is>
          <t>own</t>
        </is>
      </c>
      <c r="Q860" s="5" t="n">
        <v>2</v>
      </c>
      <c r="R860" s="5" t="inlineStr">
        <is>
          <t>skilled</t>
        </is>
      </c>
      <c r="S860" s="5" t="n">
        <v>2</v>
      </c>
      <c r="T860" s="5" t="inlineStr">
        <is>
          <t>yes</t>
        </is>
      </c>
      <c r="U860" s="5" t="inlineStr">
        <is>
          <t>yes</t>
        </is>
      </c>
      <c r="V860" s="5" t="inlineStr">
        <is>
          <t>good</t>
        </is>
      </c>
    </row>
    <row r="861">
      <c r="A861" s="5" t="n">
        <v>856</v>
      </c>
      <c r="B861" s="5" t="inlineStr">
        <is>
          <t>no checking</t>
        </is>
      </c>
      <c r="C861" s="5" t="n">
        <v>24</v>
      </c>
      <c r="D861" s="5" t="inlineStr">
        <is>
          <t>existing paid</t>
        </is>
      </c>
      <c r="E861" s="5" t="inlineStr">
        <is>
          <t>new car</t>
        </is>
      </c>
      <c r="F861" s="5" t="n">
        <v>1474</v>
      </c>
      <c r="G861" s="5" t="inlineStr">
        <is>
          <t>100&lt;=X&lt;500</t>
        </is>
      </c>
      <c r="H861" s="5" t="inlineStr">
        <is>
          <t>&lt;1</t>
        </is>
      </c>
      <c r="I861" s="5" t="n">
        <v>4</v>
      </c>
      <c r="J861" s="5" t="inlineStr">
        <is>
          <t>male mar/wid</t>
        </is>
      </c>
      <c r="K861" s="5" t="inlineStr">
        <is>
          <t>none</t>
        </is>
      </c>
      <c r="L861" s="5" t="n">
        <v>3</v>
      </c>
      <c r="M861" s="5" t="inlineStr">
        <is>
          <t>real estate</t>
        </is>
      </c>
      <c r="N861" s="5" t="n">
        <v>33</v>
      </c>
      <c r="O861" s="5" t="inlineStr">
        <is>
          <t>none</t>
        </is>
      </c>
      <c r="P861" s="5" t="inlineStr">
        <is>
          <t>own</t>
        </is>
      </c>
      <c r="Q861" s="5" t="n">
        <v>1</v>
      </c>
      <c r="R861" s="5" t="inlineStr">
        <is>
          <t>skilled</t>
        </is>
      </c>
      <c r="S861" s="5" t="n">
        <v>1</v>
      </c>
      <c r="T861" s="5" t="inlineStr">
        <is>
          <t>yes</t>
        </is>
      </c>
      <c r="U861" s="5" t="inlineStr">
        <is>
          <t>yes</t>
        </is>
      </c>
      <c r="V861" s="5" t="inlineStr">
        <is>
          <t>good</t>
        </is>
      </c>
    </row>
    <row r="862">
      <c r="A862" s="5" t="n">
        <v>857</v>
      </c>
      <c r="B862" s="5" t="inlineStr">
        <is>
          <t>no checking</t>
        </is>
      </c>
      <c r="C862" s="5" t="n">
        <v>10</v>
      </c>
      <c r="D862" s="5" t="inlineStr">
        <is>
          <t>existing paid</t>
        </is>
      </c>
      <c r="E862" s="5" t="inlineStr">
        <is>
          <t>retraining</t>
        </is>
      </c>
      <c r="F862" s="5" t="n">
        <v>894</v>
      </c>
      <c r="G862" s="5" t="inlineStr">
        <is>
          <t>no known savings</t>
        </is>
      </c>
      <c r="H862" s="5" t="inlineStr">
        <is>
          <t>4&lt;=X&lt;7</t>
        </is>
      </c>
      <c r="I862" s="5" t="n">
        <v>4</v>
      </c>
      <c r="J862" s="5" t="inlineStr">
        <is>
          <t>female div/dep/mar</t>
        </is>
      </c>
      <c r="K862" s="5" t="inlineStr">
        <is>
          <t>none</t>
        </is>
      </c>
      <c r="L862" s="5" t="n">
        <v>3</v>
      </c>
      <c r="M862" s="5" t="inlineStr">
        <is>
          <t>life insurance</t>
        </is>
      </c>
      <c r="N862" s="5" t="n">
        <v>40</v>
      </c>
      <c r="O862" s="5" t="inlineStr">
        <is>
          <t>none</t>
        </is>
      </c>
      <c r="P862" s="5" t="inlineStr">
        <is>
          <t>own</t>
        </is>
      </c>
      <c r="Q862" s="5" t="n">
        <v>1</v>
      </c>
      <c r="R862" s="5" t="inlineStr">
        <is>
          <t>skilled</t>
        </is>
      </c>
      <c r="S862" s="5" t="n">
        <v>1</v>
      </c>
      <c r="T862" s="5" t="inlineStr">
        <is>
          <t>yes</t>
        </is>
      </c>
      <c r="U862" s="5" t="inlineStr">
        <is>
          <t>yes</t>
        </is>
      </c>
      <c r="V862" s="5" t="inlineStr">
        <is>
          <t>good</t>
        </is>
      </c>
    </row>
    <row r="863">
      <c r="A863" s="5" t="n">
        <v>858</v>
      </c>
      <c r="B863" s="5" t="inlineStr">
        <is>
          <t>no checking</t>
        </is>
      </c>
      <c r="C863" s="5" t="n">
        <v>15</v>
      </c>
      <c r="D863" s="5" t="inlineStr">
        <is>
          <t>critical/other existing credit</t>
        </is>
      </c>
      <c r="E863" s="5" t="inlineStr">
        <is>
          <t>furniture/equipment</t>
        </is>
      </c>
      <c r="F863" s="5" t="n">
        <v>3343</v>
      </c>
      <c r="G863" s="5" t="inlineStr">
        <is>
          <t>&lt;100</t>
        </is>
      </c>
      <c r="H863" s="5" t="inlineStr">
        <is>
          <t>1&lt;=X&lt;4</t>
        </is>
      </c>
      <c r="I863" s="5" t="n">
        <v>4</v>
      </c>
      <c r="J863" s="5" t="inlineStr">
        <is>
          <t>male single</t>
        </is>
      </c>
      <c r="K863" s="5" t="inlineStr">
        <is>
          <t>none</t>
        </is>
      </c>
      <c r="L863" s="5" t="n">
        <v>2</v>
      </c>
      <c r="M863" s="5" t="inlineStr">
        <is>
          <t>no known property</t>
        </is>
      </c>
      <c r="N863" s="5" t="n">
        <v>28</v>
      </c>
      <c r="O863" s="5" t="inlineStr">
        <is>
          <t>none</t>
        </is>
      </c>
      <c r="P863" s="5" t="inlineStr">
        <is>
          <t>for free</t>
        </is>
      </c>
      <c r="Q863" s="5" t="n">
        <v>1</v>
      </c>
      <c r="R863" s="5" t="inlineStr">
        <is>
          <t>skilled</t>
        </is>
      </c>
      <c r="S863" s="5" t="n">
        <v>1</v>
      </c>
      <c r="T863" s="5" t="inlineStr">
        <is>
          <t>yes</t>
        </is>
      </c>
      <c r="U863" s="5" t="inlineStr">
        <is>
          <t>yes</t>
        </is>
      </c>
      <c r="V863" s="5" t="inlineStr">
        <is>
          <t>good</t>
        </is>
      </c>
    </row>
    <row r="864">
      <c r="A864" s="5" t="n">
        <v>859</v>
      </c>
      <c r="B864" s="5" t="inlineStr">
        <is>
          <t>&lt;0</t>
        </is>
      </c>
      <c r="C864" s="5" t="n">
        <v>15</v>
      </c>
      <c r="D864" s="5" t="inlineStr">
        <is>
          <t>existing paid</t>
        </is>
      </c>
      <c r="E864" s="5" t="inlineStr">
        <is>
          <t>new car</t>
        </is>
      </c>
      <c r="F864" s="5" t="n">
        <v>3959</v>
      </c>
      <c r="G864" s="5" t="inlineStr">
        <is>
          <t>&lt;100</t>
        </is>
      </c>
      <c r="H864" s="5" t="inlineStr">
        <is>
          <t>1&lt;=X&lt;4</t>
        </is>
      </c>
      <c r="I864" s="5" t="n">
        <v>3</v>
      </c>
      <c r="J864" s="5" t="inlineStr">
        <is>
          <t>female div/dep/mar</t>
        </is>
      </c>
      <c r="K864" s="5" t="inlineStr">
        <is>
          <t>none</t>
        </is>
      </c>
      <c r="L864" s="5" t="n">
        <v>2</v>
      </c>
      <c r="M864" s="5" t="inlineStr">
        <is>
          <t>life insurance</t>
        </is>
      </c>
      <c r="N864" s="5" t="n">
        <v>29</v>
      </c>
      <c r="O864" s="5" t="inlineStr">
        <is>
          <t>none</t>
        </is>
      </c>
      <c r="P864" s="5" t="inlineStr">
        <is>
          <t>own</t>
        </is>
      </c>
      <c r="Q864" s="5" t="n">
        <v>1</v>
      </c>
      <c r="R864" s="5" t="inlineStr">
        <is>
          <t>skilled</t>
        </is>
      </c>
      <c r="S864" s="5" t="n">
        <v>1</v>
      </c>
      <c r="T864" s="5" t="inlineStr">
        <is>
          <t>yes</t>
        </is>
      </c>
      <c r="U864" s="5" t="inlineStr">
        <is>
          <t>yes</t>
        </is>
      </c>
      <c r="V864" s="5" t="inlineStr">
        <is>
          <t>bad</t>
        </is>
      </c>
    </row>
    <row r="865">
      <c r="A865" s="5" t="n">
        <v>860</v>
      </c>
      <c r="B865" s="5" t="inlineStr">
        <is>
          <t>no checking</t>
        </is>
      </c>
      <c r="C865" s="5" t="n">
        <v>9</v>
      </c>
      <c r="D865" s="5" t="inlineStr">
        <is>
          <t>existing paid</t>
        </is>
      </c>
      <c r="E865" s="5" t="inlineStr">
        <is>
          <t>new car</t>
        </is>
      </c>
      <c r="F865" s="5" t="n">
        <v>3577</v>
      </c>
      <c r="G865" s="5" t="inlineStr">
        <is>
          <t>100&lt;=X&lt;500</t>
        </is>
      </c>
      <c r="H865" s="5" t="inlineStr">
        <is>
          <t>1&lt;=X&lt;4</t>
        </is>
      </c>
      <c r="I865" s="5" t="n">
        <v>1</v>
      </c>
      <c r="J865" s="5" t="inlineStr">
        <is>
          <t>male single</t>
        </is>
      </c>
      <c r="K865" s="5" t="inlineStr">
        <is>
          <t>guarantor</t>
        </is>
      </c>
      <c r="L865" s="5" t="n">
        <v>2</v>
      </c>
      <c r="M865" s="5" t="inlineStr">
        <is>
          <t>real estate</t>
        </is>
      </c>
      <c r="N865" s="5" t="n">
        <v>26</v>
      </c>
      <c r="O865" s="5" t="inlineStr">
        <is>
          <t>none</t>
        </is>
      </c>
      <c r="P865" s="5" t="inlineStr">
        <is>
          <t>rent</t>
        </is>
      </c>
      <c r="Q865" s="5" t="n">
        <v>1</v>
      </c>
      <c r="R865" s="5" t="inlineStr">
        <is>
          <t>skilled</t>
        </is>
      </c>
      <c r="S865" s="5" t="n">
        <v>2</v>
      </c>
      <c r="T865" s="5" t="inlineStr">
        <is>
          <t>none</t>
        </is>
      </c>
      <c r="U865" s="5" t="inlineStr">
        <is>
          <t>no</t>
        </is>
      </c>
      <c r="V865" s="5" t="inlineStr">
        <is>
          <t>good</t>
        </is>
      </c>
    </row>
    <row r="866">
      <c r="A866" s="5" t="n">
        <v>861</v>
      </c>
      <c r="B866" s="5" t="inlineStr">
        <is>
          <t>no checking</t>
        </is>
      </c>
      <c r="C866" s="5" t="n">
        <v>24</v>
      </c>
      <c r="D866" s="5" t="inlineStr">
        <is>
          <t>critical/other existing credit</t>
        </is>
      </c>
      <c r="E866" s="5" t="inlineStr">
        <is>
          <t>used car</t>
        </is>
      </c>
      <c r="F866" s="5" t="n">
        <v>5804</v>
      </c>
      <c r="G866" s="5" t="inlineStr">
        <is>
          <t>&gt;=1000</t>
        </is>
      </c>
      <c r="H866" s="5" t="inlineStr">
        <is>
          <t>1&lt;=X&lt;4</t>
        </is>
      </c>
      <c r="I866" s="5" t="n">
        <v>4</v>
      </c>
      <c r="J866" s="5" t="inlineStr">
        <is>
          <t>male single</t>
        </is>
      </c>
      <c r="K866" s="5" t="inlineStr">
        <is>
          <t>none</t>
        </is>
      </c>
      <c r="L866" s="5" t="n">
        <v>2</v>
      </c>
      <c r="M866" s="5" t="inlineStr">
        <is>
          <t>real estate</t>
        </is>
      </c>
      <c r="N866" s="5" t="n">
        <v>27</v>
      </c>
      <c r="O866" s="5" t="inlineStr">
        <is>
          <t>none</t>
        </is>
      </c>
      <c r="P866" s="5" t="inlineStr">
        <is>
          <t>own</t>
        </is>
      </c>
      <c r="Q866" s="5" t="n">
        <v>2</v>
      </c>
      <c r="R866" s="5" t="inlineStr">
        <is>
          <t>skilled</t>
        </is>
      </c>
      <c r="S866" s="5" t="n">
        <v>1</v>
      </c>
      <c r="T866" s="5" t="inlineStr">
        <is>
          <t>none</t>
        </is>
      </c>
      <c r="U866" s="5" t="inlineStr">
        <is>
          <t>yes</t>
        </is>
      </c>
      <c r="V866" s="5" t="inlineStr">
        <is>
          <t>good</t>
        </is>
      </c>
    </row>
    <row r="867">
      <c r="A867" s="5" t="n">
        <v>862</v>
      </c>
      <c r="B867" s="5" t="inlineStr">
        <is>
          <t>no checking</t>
        </is>
      </c>
      <c r="C867" s="5" t="n">
        <v>18</v>
      </c>
      <c r="D867" s="5" t="inlineStr">
        <is>
          <t>delayed previously</t>
        </is>
      </c>
      <c r="E867" s="5" t="inlineStr">
        <is>
          <t>business</t>
        </is>
      </c>
      <c r="F867" s="5" t="n">
        <v>2169</v>
      </c>
      <c r="G867" s="5" t="inlineStr">
        <is>
          <t>&lt;100</t>
        </is>
      </c>
      <c r="H867" s="5" t="inlineStr">
        <is>
          <t>1&lt;=X&lt;4</t>
        </is>
      </c>
      <c r="I867" s="5" t="n">
        <v>4</v>
      </c>
      <c r="J867" s="5" t="inlineStr">
        <is>
          <t>male mar/wid</t>
        </is>
      </c>
      <c r="K867" s="5" t="inlineStr">
        <is>
          <t>none</t>
        </is>
      </c>
      <c r="L867" s="5" t="n">
        <v>2</v>
      </c>
      <c r="M867" s="5" t="inlineStr">
        <is>
          <t>car</t>
        </is>
      </c>
      <c r="N867" s="5" t="n">
        <v>28</v>
      </c>
      <c r="O867" s="5" t="inlineStr">
        <is>
          <t>none</t>
        </is>
      </c>
      <c r="P867" s="5" t="inlineStr">
        <is>
          <t>own</t>
        </is>
      </c>
      <c r="Q867" s="5" t="n">
        <v>1</v>
      </c>
      <c r="R867" s="5" t="inlineStr">
        <is>
          <t>skilled</t>
        </is>
      </c>
      <c r="S867" s="5" t="n">
        <v>1</v>
      </c>
      <c r="T867" s="5" t="inlineStr">
        <is>
          <t>yes</t>
        </is>
      </c>
      <c r="U867" s="5" t="inlineStr">
        <is>
          <t>yes</t>
        </is>
      </c>
      <c r="V867" s="5" t="inlineStr">
        <is>
          <t>bad</t>
        </is>
      </c>
    </row>
    <row r="868">
      <c r="A868" s="5" t="n">
        <v>863</v>
      </c>
      <c r="B868" s="5" t="inlineStr">
        <is>
          <t>&lt;0</t>
        </is>
      </c>
      <c r="C868" s="5" t="n">
        <v>24</v>
      </c>
      <c r="D868" s="5" t="inlineStr">
        <is>
          <t>existing paid</t>
        </is>
      </c>
      <c r="E868" s="5" t="inlineStr">
        <is>
          <t>radio/tv</t>
        </is>
      </c>
      <c r="F868" s="5" t="n">
        <v>2439</v>
      </c>
      <c r="G868" s="5" t="inlineStr">
        <is>
          <t>&lt;100</t>
        </is>
      </c>
      <c r="H868" s="5" t="inlineStr">
        <is>
          <t>&lt;1</t>
        </is>
      </c>
      <c r="I868" s="5" t="n">
        <v>4</v>
      </c>
      <c r="J868" s="5" t="inlineStr">
        <is>
          <t>female div/dep/mar</t>
        </is>
      </c>
      <c r="K868" s="5" t="inlineStr">
        <is>
          <t>none</t>
        </is>
      </c>
      <c r="L868" s="5" t="n">
        <v>4</v>
      </c>
      <c r="M868" s="5" t="inlineStr">
        <is>
          <t>real estate</t>
        </is>
      </c>
      <c r="N868" s="5" t="n">
        <v>35</v>
      </c>
      <c r="O868" s="5" t="inlineStr">
        <is>
          <t>none</t>
        </is>
      </c>
      <c r="P868" s="5" t="inlineStr">
        <is>
          <t>own</t>
        </is>
      </c>
      <c r="Q868" s="5" t="n">
        <v>1</v>
      </c>
      <c r="R868" s="5" t="inlineStr">
        <is>
          <t>skilled</t>
        </is>
      </c>
      <c r="S868" s="5" t="n">
        <v>1</v>
      </c>
      <c r="T868" s="5" t="inlineStr">
        <is>
          <t>yes</t>
        </is>
      </c>
      <c r="U868" s="5" t="inlineStr">
        <is>
          <t>yes</t>
        </is>
      </c>
      <c r="V868" s="5" t="inlineStr">
        <is>
          <t>bad</t>
        </is>
      </c>
    </row>
    <row r="869">
      <c r="A869" s="5" t="n">
        <v>864</v>
      </c>
      <c r="B869" s="5" t="inlineStr">
        <is>
          <t>no checking</t>
        </is>
      </c>
      <c r="C869" s="5" t="n">
        <v>27</v>
      </c>
      <c r="D869" s="5" t="inlineStr">
        <is>
          <t>critical/other existing credit</t>
        </is>
      </c>
      <c r="E869" s="5" t="inlineStr">
        <is>
          <t>furniture/equipment</t>
        </is>
      </c>
      <c r="F869" s="5" t="n">
        <v>4526</v>
      </c>
      <c r="G869" s="5" t="inlineStr">
        <is>
          <t>&gt;=1000</t>
        </is>
      </c>
      <c r="H869" s="5" t="inlineStr">
        <is>
          <t>&lt;1</t>
        </is>
      </c>
      <c r="I869" s="5" t="n">
        <v>4</v>
      </c>
      <c r="J869" s="5" t="inlineStr">
        <is>
          <t>male single</t>
        </is>
      </c>
      <c r="K869" s="5" t="inlineStr">
        <is>
          <t>none</t>
        </is>
      </c>
      <c r="L869" s="5" t="n">
        <v>2</v>
      </c>
      <c r="M869" s="5" t="inlineStr">
        <is>
          <t>real estate</t>
        </is>
      </c>
      <c r="N869" s="5" t="n">
        <v>32</v>
      </c>
      <c r="O869" s="5" t="inlineStr">
        <is>
          <t>stores</t>
        </is>
      </c>
      <c r="P869" s="5" t="inlineStr">
        <is>
          <t>own</t>
        </is>
      </c>
      <c r="Q869" s="5" t="n">
        <v>2</v>
      </c>
      <c r="R869" s="5" t="inlineStr">
        <is>
          <t>unskilled resident</t>
        </is>
      </c>
      <c r="S869" s="5" t="n">
        <v>2</v>
      </c>
      <c r="T869" s="5" t="inlineStr">
        <is>
          <t>yes</t>
        </is>
      </c>
      <c r="U869" s="5" t="inlineStr">
        <is>
          <t>yes</t>
        </is>
      </c>
      <c r="V869" s="5" t="inlineStr">
        <is>
          <t>good</t>
        </is>
      </c>
    </row>
    <row r="870">
      <c r="A870" s="5" t="n">
        <v>865</v>
      </c>
      <c r="B870" s="5" t="inlineStr">
        <is>
          <t>no checking</t>
        </is>
      </c>
      <c r="C870" s="5" t="n">
        <v>10</v>
      </c>
      <c r="D870" s="5" t="inlineStr">
        <is>
          <t>existing paid</t>
        </is>
      </c>
      <c r="E870" s="5" t="inlineStr">
        <is>
          <t>furniture/equipment</t>
        </is>
      </c>
      <c r="F870" s="5" t="n">
        <v>2210</v>
      </c>
      <c r="G870" s="5" t="inlineStr">
        <is>
          <t>&lt;100</t>
        </is>
      </c>
      <c r="H870" s="5" t="inlineStr">
        <is>
          <t>1&lt;=X&lt;4</t>
        </is>
      </c>
      <c r="I870" s="5" t="n">
        <v>2</v>
      </c>
      <c r="J870" s="5" t="inlineStr">
        <is>
          <t>male single</t>
        </is>
      </c>
      <c r="K870" s="5" t="inlineStr">
        <is>
          <t>none</t>
        </is>
      </c>
      <c r="L870" s="5" t="n">
        <v>2</v>
      </c>
      <c r="M870" s="5" t="inlineStr">
        <is>
          <t>real estate</t>
        </is>
      </c>
      <c r="N870" s="5" t="n">
        <v>25</v>
      </c>
      <c r="O870" s="5" t="inlineStr">
        <is>
          <t>bank</t>
        </is>
      </c>
      <c r="P870" s="5" t="inlineStr">
        <is>
          <t>rent</t>
        </is>
      </c>
      <c r="Q870" s="5" t="n">
        <v>1</v>
      </c>
      <c r="R870" s="5" t="inlineStr">
        <is>
          <t>unskilled resident</t>
        </is>
      </c>
      <c r="S870" s="5" t="n">
        <v>1</v>
      </c>
      <c r="T870" s="5" t="inlineStr">
        <is>
          <t>none</t>
        </is>
      </c>
      <c r="U870" s="5" t="inlineStr">
        <is>
          <t>yes</t>
        </is>
      </c>
      <c r="V870" s="5" t="inlineStr">
        <is>
          <t>bad</t>
        </is>
      </c>
    </row>
    <row r="871">
      <c r="A871" s="5" t="n">
        <v>866</v>
      </c>
      <c r="B871" s="5" t="inlineStr">
        <is>
          <t>no checking</t>
        </is>
      </c>
      <c r="C871" s="5" t="n">
        <v>15</v>
      </c>
      <c r="D871" s="5" t="inlineStr">
        <is>
          <t>existing paid</t>
        </is>
      </c>
      <c r="E871" s="5" t="inlineStr">
        <is>
          <t>furniture/equipment</t>
        </is>
      </c>
      <c r="F871" s="5" t="n">
        <v>2221</v>
      </c>
      <c r="G871" s="5" t="inlineStr">
        <is>
          <t>500&lt;=X&lt;1000</t>
        </is>
      </c>
      <c r="H871" s="5" t="inlineStr">
        <is>
          <t>1&lt;=X&lt;4</t>
        </is>
      </c>
      <c r="I871" s="5" t="n">
        <v>2</v>
      </c>
      <c r="J871" s="5" t="inlineStr">
        <is>
          <t>female div/dep/mar</t>
        </is>
      </c>
      <c r="K871" s="5" t="inlineStr">
        <is>
          <t>none</t>
        </is>
      </c>
      <c r="L871" s="5" t="n">
        <v>4</v>
      </c>
      <c r="M871" s="5" t="inlineStr">
        <is>
          <t>car</t>
        </is>
      </c>
      <c r="N871" s="5" t="n">
        <v>20</v>
      </c>
      <c r="O871" s="5" t="inlineStr">
        <is>
          <t>none</t>
        </is>
      </c>
      <c r="P871" s="5" t="inlineStr">
        <is>
          <t>rent</t>
        </is>
      </c>
      <c r="Q871" s="5" t="n">
        <v>1</v>
      </c>
      <c r="R871" s="5" t="inlineStr">
        <is>
          <t>skilled</t>
        </is>
      </c>
      <c r="S871" s="5" t="n">
        <v>1</v>
      </c>
      <c r="T871" s="5" t="inlineStr">
        <is>
          <t>none</t>
        </is>
      </c>
      <c r="U871" s="5" t="inlineStr">
        <is>
          <t>yes</t>
        </is>
      </c>
      <c r="V871" s="5" t="inlineStr">
        <is>
          <t>good</t>
        </is>
      </c>
    </row>
    <row r="872">
      <c r="A872" s="5" t="n">
        <v>867</v>
      </c>
      <c r="B872" s="5" t="inlineStr">
        <is>
          <t>&lt;0</t>
        </is>
      </c>
      <c r="C872" s="5" t="n">
        <v>18</v>
      </c>
      <c r="D872" s="5" t="inlineStr">
        <is>
          <t>existing paid</t>
        </is>
      </c>
      <c r="E872" s="5" t="inlineStr">
        <is>
          <t>radio/tv</t>
        </is>
      </c>
      <c r="F872" s="5" t="n">
        <v>2389</v>
      </c>
      <c r="G872" s="5" t="inlineStr">
        <is>
          <t>&lt;100</t>
        </is>
      </c>
      <c r="H872" s="5" t="inlineStr">
        <is>
          <t>&lt;1</t>
        </is>
      </c>
      <c r="I872" s="5" t="n">
        <v>4</v>
      </c>
      <c r="J872" s="5" t="inlineStr">
        <is>
          <t>female div/dep/mar</t>
        </is>
      </c>
      <c r="K872" s="5" t="inlineStr">
        <is>
          <t>none</t>
        </is>
      </c>
      <c r="L872" s="5" t="n">
        <v>1</v>
      </c>
      <c r="M872" s="5" t="inlineStr">
        <is>
          <t>car</t>
        </is>
      </c>
      <c r="N872" s="5" t="n">
        <v>27</v>
      </c>
      <c r="O872" s="5" t="inlineStr">
        <is>
          <t>stores</t>
        </is>
      </c>
      <c r="P872" s="5" t="inlineStr">
        <is>
          <t>own</t>
        </is>
      </c>
      <c r="Q872" s="5" t="n">
        <v>1</v>
      </c>
      <c r="R872" s="5" t="inlineStr">
        <is>
          <t>skilled</t>
        </is>
      </c>
      <c r="S872" s="5" t="n">
        <v>1</v>
      </c>
      <c r="T872" s="5" t="inlineStr">
        <is>
          <t>none</t>
        </is>
      </c>
      <c r="U872" s="5" t="inlineStr">
        <is>
          <t>yes</t>
        </is>
      </c>
      <c r="V872" s="5" t="inlineStr">
        <is>
          <t>good</t>
        </is>
      </c>
    </row>
    <row r="873">
      <c r="A873" s="5" t="n">
        <v>868</v>
      </c>
      <c r="B873" s="5" t="inlineStr">
        <is>
          <t>no checking</t>
        </is>
      </c>
      <c r="C873" s="5" t="n">
        <v>12</v>
      </c>
      <c r="D873" s="5" t="inlineStr">
        <is>
          <t>critical/other existing credit</t>
        </is>
      </c>
      <c r="E873" s="5" t="inlineStr">
        <is>
          <t>furniture/equipment</t>
        </is>
      </c>
      <c r="F873" s="5" t="n">
        <v>3331</v>
      </c>
      <c r="G873" s="5" t="inlineStr">
        <is>
          <t>&lt;100</t>
        </is>
      </c>
      <c r="H873" s="5" t="inlineStr">
        <is>
          <t>&gt;=7</t>
        </is>
      </c>
      <c r="I873" s="5" t="n">
        <v>2</v>
      </c>
      <c r="J873" s="5" t="inlineStr">
        <is>
          <t>male single</t>
        </is>
      </c>
      <c r="K873" s="5" t="inlineStr">
        <is>
          <t>none</t>
        </is>
      </c>
      <c r="L873" s="5" t="n">
        <v>4</v>
      </c>
      <c r="M873" s="5" t="inlineStr">
        <is>
          <t>life insurance</t>
        </is>
      </c>
      <c r="N873" s="5" t="n">
        <v>42</v>
      </c>
      <c r="O873" s="5" t="inlineStr">
        <is>
          <t>stores</t>
        </is>
      </c>
      <c r="P873" s="5" t="inlineStr">
        <is>
          <t>own</t>
        </is>
      </c>
      <c r="Q873" s="5" t="n">
        <v>1</v>
      </c>
      <c r="R873" s="5" t="inlineStr">
        <is>
          <t>skilled</t>
        </is>
      </c>
      <c r="S873" s="5" t="n">
        <v>1</v>
      </c>
      <c r="T873" s="5" t="inlineStr">
        <is>
          <t>none</t>
        </is>
      </c>
      <c r="U873" s="5" t="inlineStr">
        <is>
          <t>yes</t>
        </is>
      </c>
      <c r="V873" s="5" t="inlineStr">
        <is>
          <t>good</t>
        </is>
      </c>
    </row>
    <row r="874">
      <c r="A874" s="5" t="n">
        <v>869</v>
      </c>
      <c r="B874" s="5" t="inlineStr">
        <is>
          <t>no checking</t>
        </is>
      </c>
      <c r="C874" s="5" t="n">
        <v>36</v>
      </c>
      <c r="D874" s="5" t="inlineStr">
        <is>
          <t>existing paid</t>
        </is>
      </c>
      <c r="E874" s="5" t="inlineStr">
        <is>
          <t>business</t>
        </is>
      </c>
      <c r="F874" s="5" t="n">
        <v>7409</v>
      </c>
      <c r="G874" s="5" t="inlineStr">
        <is>
          <t>no known savings</t>
        </is>
      </c>
      <c r="H874" s="5" t="inlineStr">
        <is>
          <t>&gt;=7</t>
        </is>
      </c>
      <c r="I874" s="5" t="n">
        <v>3</v>
      </c>
      <c r="J874" s="5" t="inlineStr">
        <is>
          <t>male single</t>
        </is>
      </c>
      <c r="K874" s="5" t="inlineStr">
        <is>
          <t>none</t>
        </is>
      </c>
      <c r="L874" s="5" t="n">
        <v>2</v>
      </c>
      <c r="M874" s="5" t="inlineStr">
        <is>
          <t>life insurance</t>
        </is>
      </c>
      <c r="N874" s="5" t="n">
        <v>37</v>
      </c>
      <c r="O874" s="5" t="inlineStr">
        <is>
          <t>none</t>
        </is>
      </c>
      <c r="P874" s="5" t="inlineStr">
        <is>
          <t>own</t>
        </is>
      </c>
      <c r="Q874" s="5" t="n">
        <v>2</v>
      </c>
      <c r="R874" s="5" t="inlineStr">
        <is>
          <t>skilled</t>
        </is>
      </c>
      <c r="S874" s="5" t="n">
        <v>1</v>
      </c>
      <c r="T874" s="5" t="inlineStr">
        <is>
          <t>none</t>
        </is>
      </c>
      <c r="U874" s="5" t="inlineStr">
        <is>
          <t>yes</t>
        </is>
      </c>
      <c r="V874" s="5" t="inlineStr">
        <is>
          <t>good</t>
        </is>
      </c>
    </row>
    <row r="875">
      <c r="A875" s="5" t="n">
        <v>870</v>
      </c>
      <c r="B875" s="5" t="inlineStr">
        <is>
          <t>&lt;0</t>
        </is>
      </c>
      <c r="C875" s="5" t="n">
        <v>12</v>
      </c>
      <c r="D875" s="5" t="inlineStr">
        <is>
          <t>existing paid</t>
        </is>
      </c>
      <c r="E875" s="5" t="inlineStr">
        <is>
          <t>furniture/equipment</t>
        </is>
      </c>
      <c r="F875" s="5" t="n">
        <v>652</v>
      </c>
      <c r="G875" s="5" t="inlineStr">
        <is>
          <t>&lt;100</t>
        </is>
      </c>
      <c r="H875" s="5" t="inlineStr">
        <is>
          <t>&gt;=7</t>
        </is>
      </c>
      <c r="I875" s="5" t="n">
        <v>4</v>
      </c>
      <c r="J875" s="5" t="inlineStr">
        <is>
          <t>female div/dep/mar</t>
        </is>
      </c>
      <c r="K875" s="5" t="inlineStr">
        <is>
          <t>none</t>
        </is>
      </c>
      <c r="L875" s="5" t="n">
        <v>4</v>
      </c>
      <c r="M875" s="5" t="inlineStr">
        <is>
          <t>life insurance</t>
        </is>
      </c>
      <c r="N875" s="5" t="n">
        <v>24</v>
      </c>
      <c r="O875" s="5" t="inlineStr">
        <is>
          <t>none</t>
        </is>
      </c>
      <c r="P875" s="5" t="inlineStr">
        <is>
          <t>rent</t>
        </is>
      </c>
      <c r="Q875" s="5" t="n">
        <v>1</v>
      </c>
      <c r="R875" s="5" t="inlineStr">
        <is>
          <t>skilled</t>
        </is>
      </c>
      <c r="S875" s="5" t="n">
        <v>1</v>
      </c>
      <c r="T875" s="5" t="inlineStr">
        <is>
          <t>none</t>
        </is>
      </c>
      <c r="U875" s="5" t="inlineStr">
        <is>
          <t>yes</t>
        </is>
      </c>
      <c r="V875" s="5" t="inlineStr">
        <is>
          <t>good</t>
        </is>
      </c>
    </row>
    <row r="876">
      <c r="A876" s="5" t="n">
        <v>871</v>
      </c>
      <c r="B876" s="5" t="inlineStr">
        <is>
          <t>no checking</t>
        </is>
      </c>
      <c r="C876" s="5" t="n">
        <v>36</v>
      </c>
      <c r="D876" s="5" t="inlineStr">
        <is>
          <t>delayed previously</t>
        </is>
      </c>
      <c r="E876" s="5" t="inlineStr">
        <is>
          <t>furniture/equipment</t>
        </is>
      </c>
      <c r="F876" s="5" t="n">
        <v>7678</v>
      </c>
      <c r="G876" s="5" t="inlineStr">
        <is>
          <t>500&lt;=X&lt;1000</t>
        </is>
      </c>
      <c r="H876" s="5" t="inlineStr">
        <is>
          <t>4&lt;=X&lt;7</t>
        </is>
      </c>
      <c r="I876" s="5" t="n">
        <v>2</v>
      </c>
      <c r="J876" s="5" t="inlineStr">
        <is>
          <t>female div/dep/mar</t>
        </is>
      </c>
      <c r="K876" s="5" t="inlineStr">
        <is>
          <t>none</t>
        </is>
      </c>
      <c r="L876" s="5" t="n">
        <v>4</v>
      </c>
      <c r="M876" s="5" t="inlineStr">
        <is>
          <t>car</t>
        </is>
      </c>
      <c r="N876" s="5" t="n">
        <v>40</v>
      </c>
      <c r="O876" s="5" t="inlineStr">
        <is>
          <t>none</t>
        </is>
      </c>
      <c r="P876" s="5" t="inlineStr">
        <is>
          <t>own</t>
        </is>
      </c>
      <c r="Q876" s="5" t="n">
        <v>2</v>
      </c>
      <c r="R876" s="5" t="inlineStr">
        <is>
          <t>skilled</t>
        </is>
      </c>
      <c r="S876" s="5" t="n">
        <v>1</v>
      </c>
      <c r="T876" s="5" t="inlineStr">
        <is>
          <t>yes</t>
        </is>
      </c>
      <c r="U876" s="5" t="inlineStr">
        <is>
          <t>yes</t>
        </is>
      </c>
      <c r="V876" s="5" t="inlineStr">
        <is>
          <t>good</t>
        </is>
      </c>
    </row>
    <row r="877">
      <c r="A877" s="5" t="n">
        <v>872</v>
      </c>
      <c r="B877" s="5" t="inlineStr">
        <is>
          <t>&gt;=200</t>
        </is>
      </c>
      <c r="C877" s="5" t="n">
        <v>6</v>
      </c>
      <c r="D877" s="5" t="inlineStr">
        <is>
          <t>critical/other existing credit</t>
        </is>
      </c>
      <c r="E877" s="5" t="inlineStr">
        <is>
          <t>new car</t>
        </is>
      </c>
      <c r="F877" s="5" t="n">
        <v>1343</v>
      </c>
      <c r="G877" s="5" t="inlineStr">
        <is>
          <t>&lt;100</t>
        </is>
      </c>
      <c r="H877" s="5" t="inlineStr">
        <is>
          <t>&gt;=7</t>
        </is>
      </c>
      <c r="I877" s="5" t="n">
        <v>1</v>
      </c>
      <c r="J877" s="5" t="inlineStr">
        <is>
          <t>male single</t>
        </is>
      </c>
      <c r="K877" s="5" t="inlineStr">
        <is>
          <t>none</t>
        </is>
      </c>
      <c r="L877" s="5" t="n">
        <v>4</v>
      </c>
      <c r="M877" s="5" t="inlineStr">
        <is>
          <t>real estate</t>
        </is>
      </c>
      <c r="N877" s="5" t="n">
        <v>46</v>
      </c>
      <c r="O877" s="5" t="inlineStr">
        <is>
          <t>none</t>
        </is>
      </c>
      <c r="P877" s="5" t="inlineStr">
        <is>
          <t>own</t>
        </is>
      </c>
      <c r="Q877" s="5" t="n">
        <v>2</v>
      </c>
      <c r="R877" s="5" t="inlineStr">
        <is>
          <t>skilled</t>
        </is>
      </c>
      <c r="S877" s="5" t="n">
        <v>2</v>
      </c>
      <c r="T877" s="5" t="inlineStr">
        <is>
          <t>none</t>
        </is>
      </c>
      <c r="U877" s="5" t="inlineStr">
        <is>
          <t>no</t>
        </is>
      </c>
      <c r="V877" s="5" t="inlineStr">
        <is>
          <t>good</t>
        </is>
      </c>
    </row>
    <row r="878">
      <c r="A878" s="5" t="n">
        <v>873</v>
      </c>
      <c r="B878" s="5" t="inlineStr">
        <is>
          <t>&lt;0</t>
        </is>
      </c>
      <c r="C878" s="5" t="n">
        <v>24</v>
      </c>
      <c r="D878" s="5" t="inlineStr">
        <is>
          <t>critical/other existing credit</t>
        </is>
      </c>
      <c r="E878" s="5" t="inlineStr">
        <is>
          <t>business</t>
        </is>
      </c>
      <c r="F878" s="5" t="n">
        <v>1382</v>
      </c>
      <c r="G878" s="5" t="inlineStr">
        <is>
          <t>100&lt;=X&lt;500</t>
        </is>
      </c>
      <c r="H878" s="5" t="inlineStr">
        <is>
          <t>4&lt;=X&lt;7</t>
        </is>
      </c>
      <c r="I878" s="5" t="n">
        <v>4</v>
      </c>
      <c r="J878" s="5" t="inlineStr">
        <is>
          <t>male single</t>
        </is>
      </c>
      <c r="K878" s="5" t="inlineStr">
        <is>
          <t>none</t>
        </is>
      </c>
      <c r="L878" s="5" t="n">
        <v>1</v>
      </c>
      <c r="M878" s="5" t="inlineStr">
        <is>
          <t>real estate</t>
        </is>
      </c>
      <c r="N878" s="5" t="n">
        <v>26</v>
      </c>
      <c r="O878" s="5" t="inlineStr">
        <is>
          <t>none</t>
        </is>
      </c>
      <c r="P878" s="5" t="inlineStr">
        <is>
          <t>own</t>
        </is>
      </c>
      <c r="Q878" s="5" t="n">
        <v>2</v>
      </c>
      <c r="R878" s="5" t="inlineStr">
        <is>
          <t>skilled</t>
        </is>
      </c>
      <c r="S878" s="5" t="n">
        <v>1</v>
      </c>
      <c r="T878" s="5" t="inlineStr">
        <is>
          <t>yes</t>
        </is>
      </c>
      <c r="U878" s="5" t="inlineStr">
        <is>
          <t>yes</t>
        </is>
      </c>
      <c r="V878" s="5" t="inlineStr">
        <is>
          <t>good</t>
        </is>
      </c>
    </row>
    <row r="879">
      <c r="A879" s="5" t="n">
        <v>874</v>
      </c>
      <c r="B879" s="5" t="inlineStr">
        <is>
          <t>no checking</t>
        </is>
      </c>
      <c r="C879" s="5" t="n">
        <v>15</v>
      </c>
      <c r="D879" s="5" t="inlineStr">
        <is>
          <t>existing paid</t>
        </is>
      </c>
      <c r="E879" s="5" t="inlineStr">
        <is>
          <t>domestic appliance</t>
        </is>
      </c>
      <c r="F879" s="5" t="n">
        <v>874</v>
      </c>
      <c r="G879" s="5" t="inlineStr">
        <is>
          <t>no known savings</t>
        </is>
      </c>
      <c r="H879" s="5" t="inlineStr">
        <is>
          <t>&lt;1</t>
        </is>
      </c>
      <c r="I879" s="5" t="n">
        <v>4</v>
      </c>
      <c r="J879" s="5" t="inlineStr">
        <is>
          <t>female div/dep/mar</t>
        </is>
      </c>
      <c r="K879" s="5" t="inlineStr">
        <is>
          <t>none</t>
        </is>
      </c>
      <c r="L879" s="5" t="n">
        <v>1</v>
      </c>
      <c r="M879" s="5" t="inlineStr">
        <is>
          <t>real estate</t>
        </is>
      </c>
      <c r="N879" s="5" t="n">
        <v>24</v>
      </c>
      <c r="O879" s="5" t="inlineStr">
        <is>
          <t>none</t>
        </is>
      </c>
      <c r="P879" s="5" t="inlineStr">
        <is>
          <t>own</t>
        </is>
      </c>
      <c r="Q879" s="5" t="n">
        <v>1</v>
      </c>
      <c r="R879" s="5" t="inlineStr">
        <is>
          <t>skilled</t>
        </is>
      </c>
      <c r="S879" s="5" t="n">
        <v>1</v>
      </c>
      <c r="T879" s="5" t="inlineStr">
        <is>
          <t>none</t>
        </is>
      </c>
      <c r="U879" s="5" t="inlineStr">
        <is>
          <t>yes</t>
        </is>
      </c>
      <c r="V879" s="5" t="inlineStr">
        <is>
          <t>good</t>
        </is>
      </c>
    </row>
    <row r="880">
      <c r="A880" s="5" t="n">
        <v>875</v>
      </c>
      <c r="B880" s="5" t="inlineStr">
        <is>
          <t>&lt;0</t>
        </is>
      </c>
      <c r="C880" s="5" t="n">
        <v>12</v>
      </c>
      <c r="D880" s="5" t="inlineStr">
        <is>
          <t>existing paid</t>
        </is>
      </c>
      <c r="E880" s="5" t="inlineStr">
        <is>
          <t>furniture/equipment</t>
        </is>
      </c>
      <c r="F880" s="5" t="n">
        <v>3590</v>
      </c>
      <c r="G880" s="5" t="inlineStr">
        <is>
          <t>&lt;100</t>
        </is>
      </c>
      <c r="H880" s="5" t="inlineStr">
        <is>
          <t>1&lt;=X&lt;4</t>
        </is>
      </c>
      <c r="I880" s="5" t="n">
        <v>2</v>
      </c>
      <c r="J880" s="5" t="inlineStr">
        <is>
          <t>male single</t>
        </is>
      </c>
      <c r="K880" s="5" t="inlineStr">
        <is>
          <t>co applicant</t>
        </is>
      </c>
      <c r="L880" s="5" t="n">
        <v>2</v>
      </c>
      <c r="M880" s="5" t="inlineStr">
        <is>
          <t>life insurance</t>
        </is>
      </c>
      <c r="N880" s="5" t="n">
        <v>29</v>
      </c>
      <c r="O880" s="5" t="inlineStr">
        <is>
          <t>none</t>
        </is>
      </c>
      <c r="P880" s="5" t="inlineStr">
        <is>
          <t>own</t>
        </is>
      </c>
      <c r="Q880" s="5" t="n">
        <v>1</v>
      </c>
      <c r="R880" s="5" t="inlineStr">
        <is>
          <t>unskilled resident</t>
        </is>
      </c>
      <c r="S880" s="5" t="n">
        <v>2</v>
      </c>
      <c r="T880" s="5" t="inlineStr">
        <is>
          <t>none</t>
        </is>
      </c>
      <c r="U880" s="5" t="inlineStr">
        <is>
          <t>yes</t>
        </is>
      </c>
      <c r="V880" s="5" t="inlineStr">
        <is>
          <t>good</t>
        </is>
      </c>
    </row>
    <row r="881">
      <c r="A881" s="5" t="n">
        <v>876</v>
      </c>
      <c r="B881" s="5" t="inlineStr">
        <is>
          <t>0&lt;=X&lt;200</t>
        </is>
      </c>
      <c r="C881" s="5" t="n">
        <v>11</v>
      </c>
      <c r="D881" s="5" t="inlineStr">
        <is>
          <t>critical/other existing credit</t>
        </is>
      </c>
      <c r="E881" s="5" t="inlineStr">
        <is>
          <t>new car</t>
        </is>
      </c>
      <c r="F881" s="5" t="n">
        <v>1322</v>
      </c>
      <c r="G881" s="5" t="inlineStr">
        <is>
          <t>&gt;=1000</t>
        </is>
      </c>
      <c r="H881" s="5" t="inlineStr">
        <is>
          <t>1&lt;=X&lt;4</t>
        </is>
      </c>
      <c r="I881" s="5" t="n">
        <v>4</v>
      </c>
      <c r="J881" s="5" t="inlineStr">
        <is>
          <t>female div/dep/mar</t>
        </is>
      </c>
      <c r="K881" s="5" t="inlineStr">
        <is>
          <t>none</t>
        </is>
      </c>
      <c r="L881" s="5" t="n">
        <v>4</v>
      </c>
      <c r="M881" s="5" t="inlineStr">
        <is>
          <t>car</t>
        </is>
      </c>
      <c r="N881" s="5" t="n">
        <v>40</v>
      </c>
      <c r="O881" s="5" t="inlineStr">
        <is>
          <t>none</t>
        </is>
      </c>
      <c r="P881" s="5" t="inlineStr">
        <is>
          <t>own</t>
        </is>
      </c>
      <c r="Q881" s="5" t="n">
        <v>2</v>
      </c>
      <c r="R881" s="5" t="inlineStr">
        <is>
          <t>skilled</t>
        </is>
      </c>
      <c r="S881" s="5" t="n">
        <v>1</v>
      </c>
      <c r="T881" s="5" t="inlineStr">
        <is>
          <t>none</t>
        </is>
      </c>
      <c r="U881" s="5" t="inlineStr">
        <is>
          <t>yes</t>
        </is>
      </c>
      <c r="V881" s="5" t="inlineStr">
        <is>
          <t>good</t>
        </is>
      </c>
    </row>
    <row r="882">
      <c r="A882" s="5" t="n">
        <v>877</v>
      </c>
      <c r="B882" s="5" t="inlineStr">
        <is>
          <t>&lt;0</t>
        </is>
      </c>
      <c r="C882" s="5" t="n">
        <v>18</v>
      </c>
      <c r="D882" s="5" t="inlineStr">
        <is>
          <t>all paid</t>
        </is>
      </c>
      <c r="E882" s="5" t="inlineStr">
        <is>
          <t>radio/tv</t>
        </is>
      </c>
      <c r="F882" s="5" t="n">
        <v>1940</v>
      </c>
      <c r="G882" s="5" t="inlineStr">
        <is>
          <t>&lt;100</t>
        </is>
      </c>
      <c r="H882" s="5" t="inlineStr">
        <is>
          <t>&lt;1</t>
        </is>
      </c>
      <c r="I882" s="5" t="n">
        <v>3</v>
      </c>
      <c r="J882" s="5" t="inlineStr">
        <is>
          <t>male single</t>
        </is>
      </c>
      <c r="K882" s="5" t="inlineStr">
        <is>
          <t>co applicant</t>
        </is>
      </c>
      <c r="L882" s="5" t="n">
        <v>4</v>
      </c>
      <c r="M882" s="5" t="inlineStr">
        <is>
          <t>no known property</t>
        </is>
      </c>
      <c r="N882" s="5" t="n">
        <v>36</v>
      </c>
      <c r="O882" s="5" t="inlineStr">
        <is>
          <t>bank</t>
        </is>
      </c>
      <c r="P882" s="5" t="inlineStr">
        <is>
          <t>for free</t>
        </is>
      </c>
      <c r="Q882" s="5" t="n">
        <v>1</v>
      </c>
      <c r="R882" s="5" t="inlineStr">
        <is>
          <t>high qualif/self emp/mgmt</t>
        </is>
      </c>
      <c r="S882" s="5" t="n">
        <v>1</v>
      </c>
      <c r="T882" s="5" t="inlineStr">
        <is>
          <t>yes</t>
        </is>
      </c>
      <c r="U882" s="5" t="inlineStr">
        <is>
          <t>yes</t>
        </is>
      </c>
      <c r="V882" s="5" t="inlineStr">
        <is>
          <t>good</t>
        </is>
      </c>
    </row>
    <row r="883">
      <c r="A883" s="5" t="n">
        <v>878</v>
      </c>
      <c r="B883" s="5" t="inlineStr">
        <is>
          <t>no checking</t>
        </is>
      </c>
      <c r="C883" s="5" t="n">
        <v>36</v>
      </c>
      <c r="D883" s="5" t="inlineStr">
        <is>
          <t>existing paid</t>
        </is>
      </c>
      <c r="E883" s="5" t="inlineStr">
        <is>
          <t>radio/tv</t>
        </is>
      </c>
      <c r="F883" s="5" t="n">
        <v>3595</v>
      </c>
      <c r="G883" s="5" t="inlineStr">
        <is>
          <t>&lt;100</t>
        </is>
      </c>
      <c r="H883" s="5" t="inlineStr">
        <is>
          <t>&gt;=7</t>
        </is>
      </c>
      <c r="I883" s="5" t="n">
        <v>4</v>
      </c>
      <c r="J883" s="5" t="inlineStr">
        <is>
          <t>male single</t>
        </is>
      </c>
      <c r="K883" s="5" t="inlineStr">
        <is>
          <t>none</t>
        </is>
      </c>
      <c r="L883" s="5" t="n">
        <v>2</v>
      </c>
      <c r="M883" s="5" t="inlineStr">
        <is>
          <t>car</t>
        </is>
      </c>
      <c r="N883" s="5" t="n">
        <v>28</v>
      </c>
      <c r="O883" s="5" t="inlineStr">
        <is>
          <t>none</t>
        </is>
      </c>
      <c r="P883" s="5" t="inlineStr">
        <is>
          <t>own</t>
        </is>
      </c>
      <c r="Q883" s="5" t="n">
        <v>1</v>
      </c>
      <c r="R883" s="5" t="inlineStr">
        <is>
          <t>skilled</t>
        </is>
      </c>
      <c r="S883" s="5" t="n">
        <v>1</v>
      </c>
      <c r="T883" s="5" t="inlineStr">
        <is>
          <t>none</t>
        </is>
      </c>
      <c r="U883" s="5" t="inlineStr">
        <is>
          <t>yes</t>
        </is>
      </c>
      <c r="V883" s="5" t="inlineStr">
        <is>
          <t>good</t>
        </is>
      </c>
    </row>
    <row r="884">
      <c r="A884" s="5" t="n">
        <v>879</v>
      </c>
      <c r="B884" s="5" t="inlineStr">
        <is>
          <t>&lt;0</t>
        </is>
      </c>
      <c r="C884" s="5" t="n">
        <v>9</v>
      </c>
      <c r="D884" s="5" t="inlineStr">
        <is>
          <t>existing paid</t>
        </is>
      </c>
      <c r="E884" s="5" t="inlineStr">
        <is>
          <t>new car</t>
        </is>
      </c>
      <c r="F884" s="5" t="n">
        <v>1422</v>
      </c>
      <c r="G884" s="5" t="inlineStr">
        <is>
          <t>&lt;100</t>
        </is>
      </c>
      <c r="H884" s="5" t="inlineStr">
        <is>
          <t>&lt;1</t>
        </is>
      </c>
      <c r="I884" s="5" t="n">
        <v>3</v>
      </c>
      <c r="J884" s="5" t="inlineStr">
        <is>
          <t>male single</t>
        </is>
      </c>
      <c r="K884" s="5" t="inlineStr">
        <is>
          <t>none</t>
        </is>
      </c>
      <c r="L884" s="5" t="n">
        <v>2</v>
      </c>
      <c r="M884" s="5" t="inlineStr">
        <is>
          <t>no known property</t>
        </is>
      </c>
      <c r="N884" s="5" t="n">
        <v>27</v>
      </c>
      <c r="O884" s="5" t="inlineStr">
        <is>
          <t>none</t>
        </is>
      </c>
      <c r="P884" s="5" t="inlineStr">
        <is>
          <t>for free</t>
        </is>
      </c>
      <c r="Q884" s="5" t="n">
        <v>1</v>
      </c>
      <c r="R884" s="5" t="inlineStr">
        <is>
          <t>high qualif/self emp/mgmt</t>
        </is>
      </c>
      <c r="S884" s="5" t="n">
        <v>1</v>
      </c>
      <c r="T884" s="5" t="inlineStr">
        <is>
          <t>yes</t>
        </is>
      </c>
      <c r="U884" s="5" t="inlineStr">
        <is>
          <t>yes</t>
        </is>
      </c>
      <c r="V884" s="5" t="inlineStr">
        <is>
          <t>bad</t>
        </is>
      </c>
    </row>
    <row r="885">
      <c r="A885" s="5" t="n">
        <v>880</v>
      </c>
      <c r="B885" s="5" t="inlineStr">
        <is>
          <t>no checking</t>
        </is>
      </c>
      <c r="C885" s="5" t="n">
        <v>30</v>
      </c>
      <c r="D885" s="5" t="inlineStr">
        <is>
          <t>critical/other existing credit</t>
        </is>
      </c>
      <c r="E885" s="5" t="inlineStr">
        <is>
          <t>radio/tv</t>
        </is>
      </c>
      <c r="F885" s="5" t="n">
        <v>6742</v>
      </c>
      <c r="G885" s="5" t="inlineStr">
        <is>
          <t>no known savings</t>
        </is>
      </c>
      <c r="H885" s="5" t="inlineStr">
        <is>
          <t>4&lt;=X&lt;7</t>
        </is>
      </c>
      <c r="I885" s="5" t="n">
        <v>2</v>
      </c>
      <c r="J885" s="5" t="inlineStr">
        <is>
          <t>male single</t>
        </is>
      </c>
      <c r="K885" s="5" t="inlineStr">
        <is>
          <t>none</t>
        </is>
      </c>
      <c r="L885" s="5" t="n">
        <v>3</v>
      </c>
      <c r="M885" s="5" t="inlineStr">
        <is>
          <t>life insurance</t>
        </is>
      </c>
      <c r="N885" s="5" t="n">
        <v>36</v>
      </c>
      <c r="O885" s="5" t="inlineStr">
        <is>
          <t>none</t>
        </is>
      </c>
      <c r="P885" s="5" t="inlineStr">
        <is>
          <t>own</t>
        </is>
      </c>
      <c r="Q885" s="5" t="n">
        <v>2</v>
      </c>
      <c r="R885" s="5" t="inlineStr">
        <is>
          <t>skilled</t>
        </is>
      </c>
      <c r="S885" s="5" t="n">
        <v>1</v>
      </c>
      <c r="T885" s="5" t="inlineStr">
        <is>
          <t>none</t>
        </is>
      </c>
      <c r="U885" s="5" t="inlineStr">
        <is>
          <t>yes</t>
        </is>
      </c>
      <c r="V885" s="5" t="inlineStr">
        <is>
          <t>good</t>
        </is>
      </c>
    </row>
    <row r="886">
      <c r="A886" s="5" t="n">
        <v>881</v>
      </c>
      <c r="B886" s="5" t="inlineStr">
        <is>
          <t>no checking</t>
        </is>
      </c>
      <c r="C886" s="5" t="n">
        <v>24</v>
      </c>
      <c r="D886" s="5" t="inlineStr">
        <is>
          <t>existing paid</t>
        </is>
      </c>
      <c r="E886" s="5" t="inlineStr">
        <is>
          <t>used car</t>
        </is>
      </c>
      <c r="F886" s="5" t="n">
        <v>7814</v>
      </c>
      <c r="G886" s="5" t="inlineStr">
        <is>
          <t>&lt;100</t>
        </is>
      </c>
      <c r="H886" s="5" t="inlineStr">
        <is>
          <t>4&lt;=X&lt;7</t>
        </is>
      </c>
      <c r="I886" s="5" t="n">
        <v>3</v>
      </c>
      <c r="J886" s="5" t="inlineStr">
        <is>
          <t>male single</t>
        </is>
      </c>
      <c r="K886" s="5" t="inlineStr">
        <is>
          <t>none</t>
        </is>
      </c>
      <c r="L886" s="5" t="n">
        <v>3</v>
      </c>
      <c r="M886" s="5" t="inlineStr">
        <is>
          <t>car</t>
        </is>
      </c>
      <c r="N886" s="5" t="n">
        <v>38</v>
      </c>
      <c r="O886" s="5" t="inlineStr">
        <is>
          <t>none</t>
        </is>
      </c>
      <c r="P886" s="5" t="inlineStr">
        <is>
          <t>own</t>
        </is>
      </c>
      <c r="Q886" s="5" t="n">
        <v>1</v>
      </c>
      <c r="R886" s="5" t="inlineStr">
        <is>
          <t>high qualif/self emp/mgmt</t>
        </is>
      </c>
      <c r="S886" s="5" t="n">
        <v>1</v>
      </c>
      <c r="T886" s="5" t="inlineStr">
        <is>
          <t>yes</t>
        </is>
      </c>
      <c r="U886" s="5" t="inlineStr">
        <is>
          <t>yes</t>
        </is>
      </c>
      <c r="V886" s="5" t="inlineStr">
        <is>
          <t>good</t>
        </is>
      </c>
    </row>
    <row r="887">
      <c r="A887" s="5" t="n">
        <v>882</v>
      </c>
      <c r="B887" s="5" t="inlineStr">
        <is>
          <t>no checking</t>
        </is>
      </c>
      <c r="C887" s="5" t="n">
        <v>24</v>
      </c>
      <c r="D887" s="5" t="inlineStr">
        <is>
          <t>existing paid</t>
        </is>
      </c>
      <c r="E887" s="5" t="inlineStr">
        <is>
          <t>used car</t>
        </is>
      </c>
      <c r="F887" s="5" t="n">
        <v>9277</v>
      </c>
      <c r="G887" s="5" t="inlineStr">
        <is>
          <t>no known savings</t>
        </is>
      </c>
      <c r="H887" s="5" t="inlineStr">
        <is>
          <t>1&lt;=X&lt;4</t>
        </is>
      </c>
      <c r="I887" s="5" t="n">
        <v>2</v>
      </c>
      <c r="J887" s="5" t="inlineStr">
        <is>
          <t>male div/sep</t>
        </is>
      </c>
      <c r="K887" s="5" t="inlineStr">
        <is>
          <t>none</t>
        </is>
      </c>
      <c r="L887" s="5" t="n">
        <v>4</v>
      </c>
      <c r="M887" s="5" t="inlineStr">
        <is>
          <t>no known property</t>
        </is>
      </c>
      <c r="N887" s="5" t="n">
        <v>48</v>
      </c>
      <c r="O887" s="5" t="inlineStr">
        <is>
          <t>none</t>
        </is>
      </c>
      <c r="P887" s="5" t="inlineStr">
        <is>
          <t>for free</t>
        </is>
      </c>
      <c r="Q887" s="5" t="n">
        <v>1</v>
      </c>
      <c r="R887" s="5" t="inlineStr">
        <is>
          <t>skilled</t>
        </is>
      </c>
      <c r="S887" s="5" t="n">
        <v>1</v>
      </c>
      <c r="T887" s="5" t="inlineStr">
        <is>
          <t>yes</t>
        </is>
      </c>
      <c r="U887" s="5" t="inlineStr">
        <is>
          <t>yes</t>
        </is>
      </c>
      <c r="V887" s="5" t="inlineStr">
        <is>
          <t>good</t>
        </is>
      </c>
    </row>
    <row r="888">
      <c r="A888" s="5" t="n">
        <v>883</v>
      </c>
      <c r="B888" s="5" t="inlineStr">
        <is>
          <t>0&lt;=X&lt;200</t>
        </is>
      </c>
      <c r="C888" s="5" t="n">
        <v>30</v>
      </c>
      <c r="D888" s="5" t="inlineStr">
        <is>
          <t>critical/other existing credit</t>
        </is>
      </c>
      <c r="E888" s="5" t="inlineStr">
        <is>
          <t>new car</t>
        </is>
      </c>
      <c r="F888" s="5" t="n">
        <v>2181</v>
      </c>
      <c r="G888" s="5" t="inlineStr">
        <is>
          <t>no known savings</t>
        </is>
      </c>
      <c r="H888" s="5" t="inlineStr">
        <is>
          <t>&gt;=7</t>
        </is>
      </c>
      <c r="I888" s="5" t="n">
        <v>4</v>
      </c>
      <c r="J888" s="5" t="inlineStr">
        <is>
          <t>male single</t>
        </is>
      </c>
      <c r="K888" s="5" t="inlineStr">
        <is>
          <t>none</t>
        </is>
      </c>
      <c r="L888" s="5" t="n">
        <v>4</v>
      </c>
      <c r="M888" s="5" t="inlineStr">
        <is>
          <t>real estate</t>
        </is>
      </c>
      <c r="N888" s="5" t="n">
        <v>36</v>
      </c>
      <c r="O888" s="5" t="inlineStr">
        <is>
          <t>none</t>
        </is>
      </c>
      <c r="P888" s="5" t="inlineStr">
        <is>
          <t>own</t>
        </is>
      </c>
      <c r="Q888" s="5" t="n">
        <v>2</v>
      </c>
      <c r="R888" s="5" t="inlineStr">
        <is>
          <t>skilled</t>
        </is>
      </c>
      <c r="S888" s="5" t="n">
        <v>1</v>
      </c>
      <c r="T888" s="5" t="inlineStr">
        <is>
          <t>none</t>
        </is>
      </c>
      <c r="U888" s="5" t="inlineStr">
        <is>
          <t>yes</t>
        </is>
      </c>
      <c r="V888" s="5" t="inlineStr">
        <is>
          <t>good</t>
        </is>
      </c>
    </row>
    <row r="889">
      <c r="A889" s="5" t="n">
        <v>884</v>
      </c>
      <c r="B889" s="5" t="inlineStr">
        <is>
          <t>no checking</t>
        </is>
      </c>
      <c r="C889" s="5" t="n">
        <v>18</v>
      </c>
      <c r="D889" s="5" t="inlineStr">
        <is>
          <t>critical/other existing credit</t>
        </is>
      </c>
      <c r="E889" s="5" t="inlineStr">
        <is>
          <t>radio/tv</t>
        </is>
      </c>
      <c r="F889" s="5" t="n">
        <v>1098</v>
      </c>
      <c r="G889" s="5" t="inlineStr">
        <is>
          <t>&lt;100</t>
        </is>
      </c>
      <c r="H889" s="5" t="inlineStr">
        <is>
          <t>unemployed</t>
        </is>
      </c>
      <c r="I889" s="5" t="n">
        <v>4</v>
      </c>
      <c r="J889" s="5" t="inlineStr">
        <is>
          <t>female div/dep/mar</t>
        </is>
      </c>
      <c r="K889" s="5" t="inlineStr">
        <is>
          <t>none</t>
        </is>
      </c>
      <c r="L889" s="5" t="n">
        <v>4</v>
      </c>
      <c r="M889" s="5" t="inlineStr">
        <is>
          <t>car</t>
        </is>
      </c>
      <c r="N889" s="5" t="n">
        <v>65</v>
      </c>
      <c r="O889" s="5" t="inlineStr">
        <is>
          <t>none</t>
        </is>
      </c>
      <c r="P889" s="5" t="inlineStr">
        <is>
          <t>own</t>
        </is>
      </c>
      <c r="Q889" s="5" t="n">
        <v>2</v>
      </c>
      <c r="R889" s="5" t="inlineStr">
        <is>
          <t>unemp/unskilled non res</t>
        </is>
      </c>
      <c r="S889" s="5" t="n">
        <v>1</v>
      </c>
      <c r="T889" s="5" t="inlineStr">
        <is>
          <t>none</t>
        </is>
      </c>
      <c r="U889" s="5" t="inlineStr">
        <is>
          <t>yes</t>
        </is>
      </c>
      <c r="V889" s="5" t="inlineStr">
        <is>
          <t>good</t>
        </is>
      </c>
    </row>
    <row r="890">
      <c r="A890" s="5" t="n">
        <v>885</v>
      </c>
      <c r="B890" s="5" t="inlineStr">
        <is>
          <t>0&lt;=X&lt;200</t>
        </is>
      </c>
      <c r="C890" s="5" t="n">
        <v>24</v>
      </c>
      <c r="D890" s="5" t="inlineStr">
        <is>
          <t>existing paid</t>
        </is>
      </c>
      <c r="E890" s="5" t="inlineStr">
        <is>
          <t>furniture/equipment</t>
        </is>
      </c>
      <c r="F890" s="5" t="n">
        <v>4057</v>
      </c>
      <c r="G890" s="5" t="inlineStr">
        <is>
          <t>&lt;100</t>
        </is>
      </c>
      <c r="H890" s="5" t="inlineStr">
        <is>
          <t>4&lt;=X&lt;7</t>
        </is>
      </c>
      <c r="I890" s="5" t="n">
        <v>3</v>
      </c>
      <c r="J890" s="5" t="inlineStr">
        <is>
          <t>male div/sep</t>
        </is>
      </c>
      <c r="K890" s="5" t="inlineStr">
        <is>
          <t>none</t>
        </is>
      </c>
      <c r="L890" s="5" t="n">
        <v>3</v>
      </c>
      <c r="M890" s="5" t="inlineStr">
        <is>
          <t>car</t>
        </is>
      </c>
      <c r="N890" s="5" t="n">
        <v>43</v>
      </c>
      <c r="O890" s="5" t="inlineStr">
        <is>
          <t>none</t>
        </is>
      </c>
      <c r="P890" s="5" t="inlineStr">
        <is>
          <t>own</t>
        </is>
      </c>
      <c r="Q890" s="5" t="n">
        <v>1</v>
      </c>
      <c r="R890" s="5" t="inlineStr">
        <is>
          <t>skilled</t>
        </is>
      </c>
      <c r="S890" s="5" t="n">
        <v>1</v>
      </c>
      <c r="T890" s="5" t="inlineStr">
        <is>
          <t>yes</t>
        </is>
      </c>
      <c r="U890" s="5" t="inlineStr">
        <is>
          <t>yes</t>
        </is>
      </c>
      <c r="V890" s="5" t="inlineStr">
        <is>
          <t>bad</t>
        </is>
      </c>
    </row>
    <row r="891">
      <c r="A891" s="5" t="n">
        <v>886</v>
      </c>
      <c r="B891" s="5" t="inlineStr">
        <is>
          <t>&lt;0</t>
        </is>
      </c>
      <c r="C891" s="5" t="n">
        <v>12</v>
      </c>
      <c r="D891" s="5" t="inlineStr">
        <is>
          <t>existing paid</t>
        </is>
      </c>
      <c r="E891" s="5" t="inlineStr">
        <is>
          <t>education</t>
        </is>
      </c>
      <c r="F891" s="5" t="n">
        <v>795</v>
      </c>
      <c r="G891" s="5" t="inlineStr">
        <is>
          <t>&lt;100</t>
        </is>
      </c>
      <c r="H891" s="5" t="inlineStr">
        <is>
          <t>&lt;1</t>
        </is>
      </c>
      <c r="I891" s="5" t="n">
        <v>4</v>
      </c>
      <c r="J891" s="5" t="inlineStr">
        <is>
          <t>female div/dep/mar</t>
        </is>
      </c>
      <c r="K891" s="5" t="inlineStr">
        <is>
          <t>none</t>
        </is>
      </c>
      <c r="L891" s="5" t="n">
        <v>4</v>
      </c>
      <c r="M891" s="5" t="inlineStr">
        <is>
          <t>life insurance</t>
        </is>
      </c>
      <c r="N891" s="5" t="n">
        <v>53</v>
      </c>
      <c r="O891" s="5" t="inlineStr">
        <is>
          <t>none</t>
        </is>
      </c>
      <c r="P891" s="5" t="inlineStr">
        <is>
          <t>own</t>
        </is>
      </c>
      <c r="Q891" s="5" t="n">
        <v>1</v>
      </c>
      <c r="R891" s="5" t="inlineStr">
        <is>
          <t>skilled</t>
        </is>
      </c>
      <c r="S891" s="5" t="n">
        <v>1</v>
      </c>
      <c r="T891" s="5" t="inlineStr">
        <is>
          <t>none</t>
        </is>
      </c>
      <c r="U891" s="5" t="inlineStr">
        <is>
          <t>yes</t>
        </is>
      </c>
      <c r="V891" s="5" t="inlineStr">
        <is>
          <t>bad</t>
        </is>
      </c>
    </row>
    <row r="892">
      <c r="A892" s="5" t="n">
        <v>887</v>
      </c>
      <c r="B892" s="5" t="inlineStr">
        <is>
          <t>0&lt;=X&lt;200</t>
        </is>
      </c>
      <c r="C892" s="5" t="n">
        <v>24</v>
      </c>
      <c r="D892" s="5" t="inlineStr">
        <is>
          <t>critical/other existing credit</t>
        </is>
      </c>
      <c r="E892" s="5" t="inlineStr">
        <is>
          <t>business</t>
        </is>
      </c>
      <c r="F892" s="5" t="n">
        <v>2825</v>
      </c>
      <c r="G892" s="5" t="inlineStr">
        <is>
          <t>no known savings</t>
        </is>
      </c>
      <c r="H892" s="5" t="inlineStr">
        <is>
          <t>4&lt;=X&lt;7</t>
        </is>
      </c>
      <c r="I892" s="5" t="n">
        <v>4</v>
      </c>
      <c r="J892" s="5" t="inlineStr">
        <is>
          <t>male single</t>
        </is>
      </c>
      <c r="K892" s="5" t="inlineStr">
        <is>
          <t>none</t>
        </is>
      </c>
      <c r="L892" s="5" t="n">
        <v>3</v>
      </c>
      <c r="M892" s="5" t="inlineStr">
        <is>
          <t>no known property</t>
        </is>
      </c>
      <c r="N892" s="5" t="n">
        <v>34</v>
      </c>
      <c r="O892" s="5" t="inlineStr">
        <is>
          <t>none</t>
        </is>
      </c>
      <c r="P892" s="5" t="inlineStr">
        <is>
          <t>own</t>
        </is>
      </c>
      <c r="Q892" s="5" t="n">
        <v>2</v>
      </c>
      <c r="R892" s="5" t="inlineStr">
        <is>
          <t>skilled</t>
        </is>
      </c>
      <c r="S892" s="5" t="n">
        <v>2</v>
      </c>
      <c r="T892" s="5" t="inlineStr">
        <is>
          <t>yes</t>
        </is>
      </c>
      <c r="U892" s="5" t="inlineStr">
        <is>
          <t>yes</t>
        </is>
      </c>
      <c r="V892" s="5" t="inlineStr">
        <is>
          <t>good</t>
        </is>
      </c>
    </row>
    <row r="893">
      <c r="A893" s="5" t="n">
        <v>888</v>
      </c>
      <c r="B893" s="5" t="inlineStr">
        <is>
          <t>0&lt;=X&lt;200</t>
        </is>
      </c>
      <c r="C893" s="5" t="n">
        <v>48</v>
      </c>
      <c r="D893" s="5" t="inlineStr">
        <is>
          <t>existing paid</t>
        </is>
      </c>
      <c r="E893" s="5" t="inlineStr">
        <is>
          <t>business</t>
        </is>
      </c>
      <c r="F893" s="5" t="n">
        <v>15672</v>
      </c>
      <c r="G893" s="5" t="inlineStr">
        <is>
          <t>&lt;100</t>
        </is>
      </c>
      <c r="H893" s="5" t="inlineStr">
        <is>
          <t>1&lt;=X&lt;4</t>
        </is>
      </c>
      <c r="I893" s="5" t="n">
        <v>2</v>
      </c>
      <c r="J893" s="5" t="inlineStr">
        <is>
          <t>male single</t>
        </is>
      </c>
      <c r="K893" s="5" t="inlineStr">
        <is>
          <t>none</t>
        </is>
      </c>
      <c r="L893" s="5" t="n">
        <v>2</v>
      </c>
      <c r="M893" s="5" t="inlineStr">
        <is>
          <t>car</t>
        </is>
      </c>
      <c r="N893" s="5" t="n">
        <v>23</v>
      </c>
      <c r="O893" s="5" t="inlineStr">
        <is>
          <t>none</t>
        </is>
      </c>
      <c r="P893" s="5" t="inlineStr">
        <is>
          <t>own</t>
        </is>
      </c>
      <c r="Q893" s="5" t="n">
        <v>1</v>
      </c>
      <c r="R893" s="5" t="inlineStr">
        <is>
          <t>skilled</t>
        </is>
      </c>
      <c r="S893" s="5" t="n">
        <v>1</v>
      </c>
      <c r="T893" s="5" t="inlineStr">
        <is>
          <t>yes</t>
        </is>
      </c>
      <c r="U893" s="5" t="inlineStr">
        <is>
          <t>yes</t>
        </is>
      </c>
      <c r="V893" s="5" t="inlineStr">
        <is>
          <t>bad</t>
        </is>
      </c>
    </row>
    <row r="894">
      <c r="A894" s="5" t="n">
        <v>889</v>
      </c>
      <c r="B894" s="5" t="inlineStr">
        <is>
          <t>no checking</t>
        </is>
      </c>
      <c r="C894" s="5" t="n">
        <v>36</v>
      </c>
      <c r="D894" s="5" t="inlineStr">
        <is>
          <t>critical/other existing credit</t>
        </is>
      </c>
      <c r="E894" s="5" t="inlineStr">
        <is>
          <t>new car</t>
        </is>
      </c>
      <c r="F894" s="5" t="n">
        <v>6614</v>
      </c>
      <c r="G894" s="5" t="inlineStr">
        <is>
          <t>&lt;100</t>
        </is>
      </c>
      <c r="H894" s="5" t="inlineStr">
        <is>
          <t>&gt;=7</t>
        </is>
      </c>
      <c r="I894" s="5" t="n">
        <v>4</v>
      </c>
      <c r="J894" s="5" t="inlineStr">
        <is>
          <t>male single</t>
        </is>
      </c>
      <c r="K894" s="5" t="inlineStr">
        <is>
          <t>none</t>
        </is>
      </c>
      <c r="L894" s="5" t="n">
        <v>4</v>
      </c>
      <c r="M894" s="5" t="inlineStr">
        <is>
          <t>car</t>
        </is>
      </c>
      <c r="N894" s="5" t="n">
        <v>34</v>
      </c>
      <c r="O894" s="5" t="inlineStr">
        <is>
          <t>none</t>
        </is>
      </c>
      <c r="P894" s="5" t="inlineStr">
        <is>
          <t>own</t>
        </is>
      </c>
      <c r="Q894" s="5" t="n">
        <v>2</v>
      </c>
      <c r="R894" s="5" t="inlineStr">
        <is>
          <t>high qualif/self emp/mgmt</t>
        </is>
      </c>
      <c r="S894" s="5" t="n">
        <v>1</v>
      </c>
      <c r="T894" s="5" t="inlineStr">
        <is>
          <t>yes</t>
        </is>
      </c>
      <c r="U894" s="5" t="inlineStr">
        <is>
          <t>yes</t>
        </is>
      </c>
      <c r="V894" s="5" t="inlineStr">
        <is>
          <t>good</t>
        </is>
      </c>
    </row>
    <row r="895">
      <c r="A895" s="5" t="n">
        <v>890</v>
      </c>
      <c r="B895" s="5" t="inlineStr">
        <is>
          <t>no checking</t>
        </is>
      </c>
      <c r="C895" s="5" t="n">
        <v>28</v>
      </c>
      <c r="D895" s="5" t="inlineStr">
        <is>
          <t>all paid</t>
        </is>
      </c>
      <c r="E895" s="5" t="inlineStr">
        <is>
          <t>used car</t>
        </is>
      </c>
      <c r="F895" s="5" t="n">
        <v>7824</v>
      </c>
      <c r="G895" s="5" t="inlineStr">
        <is>
          <t>no known savings</t>
        </is>
      </c>
      <c r="H895" s="5" t="inlineStr">
        <is>
          <t>&lt;1</t>
        </is>
      </c>
      <c r="I895" s="5" t="n">
        <v>3</v>
      </c>
      <c r="J895" s="5" t="inlineStr">
        <is>
          <t>male single</t>
        </is>
      </c>
      <c r="K895" s="5" t="inlineStr">
        <is>
          <t>guarantor</t>
        </is>
      </c>
      <c r="L895" s="5" t="n">
        <v>4</v>
      </c>
      <c r="M895" s="5" t="inlineStr">
        <is>
          <t>real estate</t>
        </is>
      </c>
      <c r="N895" s="5" t="n">
        <v>40</v>
      </c>
      <c r="O895" s="5" t="inlineStr">
        <is>
          <t>bank</t>
        </is>
      </c>
      <c r="P895" s="5" t="inlineStr">
        <is>
          <t>rent</t>
        </is>
      </c>
      <c r="Q895" s="5" t="n">
        <v>2</v>
      </c>
      <c r="R895" s="5" t="inlineStr">
        <is>
          <t>skilled</t>
        </is>
      </c>
      <c r="S895" s="5" t="n">
        <v>2</v>
      </c>
      <c r="T895" s="5" t="inlineStr">
        <is>
          <t>yes</t>
        </is>
      </c>
      <c r="U895" s="5" t="inlineStr">
        <is>
          <t>yes</t>
        </is>
      </c>
      <c r="V895" s="5" t="inlineStr">
        <is>
          <t>good</t>
        </is>
      </c>
    </row>
    <row r="896">
      <c r="A896" s="5" t="n">
        <v>891</v>
      </c>
      <c r="B896" s="5" t="inlineStr">
        <is>
          <t>&lt;0</t>
        </is>
      </c>
      <c r="C896" s="5" t="n">
        <v>27</v>
      </c>
      <c r="D896" s="5" t="inlineStr">
        <is>
          <t>critical/other existing credit</t>
        </is>
      </c>
      <c r="E896" s="5" t="inlineStr">
        <is>
          <t>business</t>
        </is>
      </c>
      <c r="F896" s="5" t="n">
        <v>2442</v>
      </c>
      <c r="G896" s="5" t="inlineStr">
        <is>
          <t>&lt;100</t>
        </is>
      </c>
      <c r="H896" s="5" t="inlineStr">
        <is>
          <t>&gt;=7</t>
        </is>
      </c>
      <c r="I896" s="5" t="n">
        <v>4</v>
      </c>
      <c r="J896" s="5" t="inlineStr">
        <is>
          <t>male single</t>
        </is>
      </c>
      <c r="K896" s="5" t="inlineStr">
        <is>
          <t>none</t>
        </is>
      </c>
      <c r="L896" s="5" t="n">
        <v>4</v>
      </c>
      <c r="M896" s="5" t="inlineStr">
        <is>
          <t>car</t>
        </is>
      </c>
      <c r="N896" s="5" t="n">
        <v>43</v>
      </c>
      <c r="O896" s="5" t="inlineStr">
        <is>
          <t>stores</t>
        </is>
      </c>
      <c r="P896" s="5" t="inlineStr">
        <is>
          <t>own</t>
        </is>
      </c>
      <c r="Q896" s="5" t="n">
        <v>4</v>
      </c>
      <c r="R896" s="5" t="inlineStr">
        <is>
          <t>high qualif/self emp/mgmt</t>
        </is>
      </c>
      <c r="S896" s="5" t="n">
        <v>2</v>
      </c>
      <c r="T896" s="5" t="inlineStr">
        <is>
          <t>yes</t>
        </is>
      </c>
      <c r="U896" s="5" t="inlineStr">
        <is>
          <t>yes</t>
        </is>
      </c>
      <c r="V896" s="5" t="inlineStr">
        <is>
          <t>good</t>
        </is>
      </c>
    </row>
    <row r="897">
      <c r="A897" s="5" t="n">
        <v>892</v>
      </c>
      <c r="B897" s="5" t="inlineStr">
        <is>
          <t>no checking</t>
        </is>
      </c>
      <c r="C897" s="5" t="n">
        <v>15</v>
      </c>
      <c r="D897" s="5" t="inlineStr">
        <is>
          <t>critical/other existing credit</t>
        </is>
      </c>
      <c r="E897" s="5" t="inlineStr">
        <is>
          <t>radio/tv</t>
        </is>
      </c>
      <c r="F897" s="5" t="n">
        <v>1829</v>
      </c>
      <c r="G897" s="5" t="inlineStr">
        <is>
          <t>&lt;100</t>
        </is>
      </c>
      <c r="H897" s="5" t="inlineStr">
        <is>
          <t>&gt;=7</t>
        </is>
      </c>
      <c r="I897" s="5" t="n">
        <v>4</v>
      </c>
      <c r="J897" s="5" t="inlineStr">
        <is>
          <t>male single</t>
        </is>
      </c>
      <c r="K897" s="5" t="inlineStr">
        <is>
          <t>none</t>
        </is>
      </c>
      <c r="L897" s="5" t="n">
        <v>4</v>
      </c>
      <c r="M897" s="5" t="inlineStr">
        <is>
          <t>car</t>
        </is>
      </c>
      <c r="N897" s="5" t="n">
        <v>46</v>
      </c>
      <c r="O897" s="5" t="inlineStr">
        <is>
          <t>none</t>
        </is>
      </c>
      <c r="P897" s="5" t="inlineStr">
        <is>
          <t>own</t>
        </is>
      </c>
      <c r="Q897" s="5" t="n">
        <v>2</v>
      </c>
      <c r="R897" s="5" t="inlineStr">
        <is>
          <t>skilled</t>
        </is>
      </c>
      <c r="S897" s="5" t="n">
        <v>1</v>
      </c>
      <c r="T897" s="5" t="inlineStr">
        <is>
          <t>yes</t>
        </is>
      </c>
      <c r="U897" s="5" t="inlineStr">
        <is>
          <t>yes</t>
        </is>
      </c>
      <c r="V897" s="5" t="inlineStr">
        <is>
          <t>good</t>
        </is>
      </c>
    </row>
    <row r="898">
      <c r="A898" s="5" t="n">
        <v>893</v>
      </c>
      <c r="B898" s="5" t="inlineStr">
        <is>
          <t>&lt;0</t>
        </is>
      </c>
      <c r="C898" s="5" t="n">
        <v>12</v>
      </c>
      <c r="D898" s="5" t="inlineStr">
        <is>
          <t>critical/other existing credit</t>
        </is>
      </c>
      <c r="E898" s="5" t="inlineStr">
        <is>
          <t>new car</t>
        </is>
      </c>
      <c r="F898" s="5" t="n">
        <v>2171</v>
      </c>
      <c r="G898" s="5" t="inlineStr">
        <is>
          <t>&lt;100</t>
        </is>
      </c>
      <c r="H898" s="5" t="inlineStr">
        <is>
          <t>1&lt;=X&lt;4</t>
        </is>
      </c>
      <c r="I898" s="5" t="n">
        <v>4</v>
      </c>
      <c r="J898" s="5" t="inlineStr">
        <is>
          <t>male single</t>
        </is>
      </c>
      <c r="K898" s="5" t="inlineStr">
        <is>
          <t>none</t>
        </is>
      </c>
      <c r="L898" s="5" t="n">
        <v>4</v>
      </c>
      <c r="M898" s="5" t="inlineStr">
        <is>
          <t>life insurance</t>
        </is>
      </c>
      <c r="N898" s="5" t="n">
        <v>38</v>
      </c>
      <c r="O898" s="5" t="inlineStr">
        <is>
          <t>bank</t>
        </is>
      </c>
      <c r="P898" s="5" t="inlineStr">
        <is>
          <t>own</t>
        </is>
      </c>
      <c r="Q898" s="5" t="n">
        <v>2</v>
      </c>
      <c r="R898" s="5" t="inlineStr">
        <is>
          <t>unskilled resident</t>
        </is>
      </c>
      <c r="S898" s="5" t="n">
        <v>1</v>
      </c>
      <c r="T898" s="5" t="inlineStr">
        <is>
          <t>none</t>
        </is>
      </c>
      <c r="U898" s="5" t="inlineStr">
        <is>
          <t>no</t>
        </is>
      </c>
      <c r="V898" s="5" t="inlineStr">
        <is>
          <t>good</t>
        </is>
      </c>
    </row>
    <row r="899">
      <c r="A899" s="5" t="n">
        <v>894</v>
      </c>
      <c r="B899" s="5" t="inlineStr">
        <is>
          <t>0&lt;=X&lt;200</t>
        </is>
      </c>
      <c r="C899" s="5" t="n">
        <v>36</v>
      </c>
      <c r="D899" s="5" t="inlineStr">
        <is>
          <t>critical/other existing credit</t>
        </is>
      </c>
      <c r="E899" s="5" t="inlineStr">
        <is>
          <t>used car</t>
        </is>
      </c>
      <c r="F899" s="5" t="n">
        <v>5800</v>
      </c>
      <c r="G899" s="5" t="inlineStr">
        <is>
          <t>&lt;100</t>
        </is>
      </c>
      <c r="H899" s="5" t="inlineStr">
        <is>
          <t>1&lt;=X&lt;4</t>
        </is>
      </c>
      <c r="I899" s="5" t="n">
        <v>3</v>
      </c>
      <c r="J899" s="5" t="inlineStr">
        <is>
          <t>male single</t>
        </is>
      </c>
      <c r="K899" s="5" t="inlineStr">
        <is>
          <t>none</t>
        </is>
      </c>
      <c r="L899" s="5" t="n">
        <v>4</v>
      </c>
      <c r="M899" s="5" t="inlineStr">
        <is>
          <t>car</t>
        </is>
      </c>
      <c r="N899" s="5" t="n">
        <v>34</v>
      </c>
      <c r="O899" s="5" t="inlineStr">
        <is>
          <t>none</t>
        </is>
      </c>
      <c r="P899" s="5" t="inlineStr">
        <is>
          <t>own</t>
        </is>
      </c>
      <c r="Q899" s="5" t="n">
        <v>2</v>
      </c>
      <c r="R899" s="5" t="inlineStr">
        <is>
          <t>skilled</t>
        </is>
      </c>
      <c r="S899" s="5" t="n">
        <v>1</v>
      </c>
      <c r="T899" s="5" t="inlineStr">
        <is>
          <t>yes</t>
        </is>
      </c>
      <c r="U899" s="5" t="inlineStr">
        <is>
          <t>yes</t>
        </is>
      </c>
      <c r="V899" s="5" t="inlineStr">
        <is>
          <t>good</t>
        </is>
      </c>
    </row>
    <row r="900">
      <c r="A900" s="5" t="n">
        <v>895</v>
      </c>
      <c r="B900" s="5" t="inlineStr">
        <is>
          <t>no checking</t>
        </is>
      </c>
      <c r="C900" s="5" t="n">
        <v>18</v>
      </c>
      <c r="D900" s="5" t="inlineStr">
        <is>
          <t>critical/other existing credit</t>
        </is>
      </c>
      <c r="E900" s="5" t="inlineStr">
        <is>
          <t>radio/tv</t>
        </is>
      </c>
      <c r="F900" s="5" t="n">
        <v>1169</v>
      </c>
      <c r="G900" s="5" t="inlineStr">
        <is>
          <t>no known savings</t>
        </is>
      </c>
      <c r="H900" s="5" t="inlineStr">
        <is>
          <t>1&lt;=X&lt;4</t>
        </is>
      </c>
      <c r="I900" s="5" t="n">
        <v>4</v>
      </c>
      <c r="J900" s="5" t="inlineStr">
        <is>
          <t>male single</t>
        </is>
      </c>
      <c r="K900" s="5" t="inlineStr">
        <is>
          <t>none</t>
        </is>
      </c>
      <c r="L900" s="5" t="n">
        <v>3</v>
      </c>
      <c r="M900" s="5" t="inlineStr">
        <is>
          <t>life insurance</t>
        </is>
      </c>
      <c r="N900" s="5" t="n">
        <v>29</v>
      </c>
      <c r="O900" s="5" t="inlineStr">
        <is>
          <t>none</t>
        </is>
      </c>
      <c r="P900" s="5" t="inlineStr">
        <is>
          <t>own</t>
        </is>
      </c>
      <c r="Q900" s="5" t="n">
        <v>2</v>
      </c>
      <c r="R900" s="5" t="inlineStr">
        <is>
          <t>skilled</t>
        </is>
      </c>
      <c r="S900" s="5" t="n">
        <v>1</v>
      </c>
      <c r="T900" s="5" t="inlineStr">
        <is>
          <t>yes</t>
        </is>
      </c>
      <c r="U900" s="5" t="inlineStr">
        <is>
          <t>yes</t>
        </is>
      </c>
      <c r="V900" s="5" t="inlineStr">
        <is>
          <t>good</t>
        </is>
      </c>
    </row>
    <row r="901">
      <c r="A901" s="5" t="n">
        <v>896</v>
      </c>
      <c r="B901" s="5" t="inlineStr">
        <is>
          <t>no checking</t>
        </is>
      </c>
      <c r="C901" s="5" t="n">
        <v>36</v>
      </c>
      <c r="D901" s="5" t="inlineStr">
        <is>
          <t>delayed previously</t>
        </is>
      </c>
      <c r="E901" s="5" t="inlineStr">
        <is>
          <t>used car</t>
        </is>
      </c>
      <c r="F901" s="5" t="n">
        <v>8947</v>
      </c>
      <c r="G901" s="5" t="inlineStr">
        <is>
          <t>no known savings</t>
        </is>
      </c>
      <c r="H901" s="5" t="inlineStr">
        <is>
          <t>4&lt;=X&lt;7</t>
        </is>
      </c>
      <c r="I901" s="5" t="n">
        <v>3</v>
      </c>
      <c r="J901" s="5" t="inlineStr">
        <is>
          <t>male single</t>
        </is>
      </c>
      <c r="K901" s="5" t="inlineStr">
        <is>
          <t>none</t>
        </is>
      </c>
      <c r="L901" s="5" t="n">
        <v>2</v>
      </c>
      <c r="M901" s="5" t="inlineStr">
        <is>
          <t>car</t>
        </is>
      </c>
      <c r="N901" s="5" t="n">
        <v>31</v>
      </c>
      <c r="O901" s="5" t="inlineStr">
        <is>
          <t>stores</t>
        </is>
      </c>
      <c r="P901" s="5" t="inlineStr">
        <is>
          <t>own</t>
        </is>
      </c>
      <c r="Q901" s="5" t="n">
        <v>1</v>
      </c>
      <c r="R901" s="5" t="inlineStr">
        <is>
          <t>high qualif/self emp/mgmt</t>
        </is>
      </c>
      <c r="S901" s="5" t="n">
        <v>2</v>
      </c>
      <c r="T901" s="5" t="inlineStr">
        <is>
          <t>yes</t>
        </is>
      </c>
      <c r="U901" s="5" t="inlineStr">
        <is>
          <t>yes</t>
        </is>
      </c>
      <c r="V901" s="5" t="inlineStr">
        <is>
          <t>good</t>
        </is>
      </c>
    </row>
    <row r="902">
      <c r="A902" s="5" t="n">
        <v>897</v>
      </c>
      <c r="B902" s="5" t="inlineStr">
        <is>
          <t>&lt;0</t>
        </is>
      </c>
      <c r="C902" s="5" t="n">
        <v>21</v>
      </c>
      <c r="D902" s="5" t="inlineStr">
        <is>
          <t>existing paid</t>
        </is>
      </c>
      <c r="E902" s="5" t="inlineStr">
        <is>
          <t>radio/tv</t>
        </is>
      </c>
      <c r="F902" s="5" t="n">
        <v>2606</v>
      </c>
      <c r="G902" s="5" t="inlineStr">
        <is>
          <t>&lt;100</t>
        </is>
      </c>
      <c r="H902" s="5" t="inlineStr">
        <is>
          <t>&lt;1</t>
        </is>
      </c>
      <c r="I902" s="5" t="n">
        <v>4</v>
      </c>
      <c r="J902" s="5" t="inlineStr">
        <is>
          <t>female div/dep/mar</t>
        </is>
      </c>
      <c r="K902" s="5" t="inlineStr">
        <is>
          <t>none</t>
        </is>
      </c>
      <c r="L902" s="5" t="n">
        <v>4</v>
      </c>
      <c r="M902" s="5" t="inlineStr">
        <is>
          <t>life insurance</t>
        </is>
      </c>
      <c r="N902" s="5" t="n">
        <v>28</v>
      </c>
      <c r="O902" s="5" t="inlineStr">
        <is>
          <t>none</t>
        </is>
      </c>
      <c r="P902" s="5" t="inlineStr">
        <is>
          <t>rent</t>
        </is>
      </c>
      <c r="Q902" s="5" t="n">
        <v>1</v>
      </c>
      <c r="R902" s="5" t="inlineStr">
        <is>
          <t>high qualif/self emp/mgmt</t>
        </is>
      </c>
      <c r="S902" s="5" t="n">
        <v>1</v>
      </c>
      <c r="T902" s="5" t="inlineStr">
        <is>
          <t>yes</t>
        </is>
      </c>
      <c r="U902" s="5" t="inlineStr">
        <is>
          <t>yes</t>
        </is>
      </c>
      <c r="V902" s="5" t="inlineStr">
        <is>
          <t>good</t>
        </is>
      </c>
    </row>
    <row r="903">
      <c r="A903" s="5" t="n">
        <v>898</v>
      </c>
      <c r="B903" s="5" t="inlineStr">
        <is>
          <t>no checking</t>
        </is>
      </c>
      <c r="C903" s="5" t="n">
        <v>12</v>
      </c>
      <c r="D903" s="5" t="inlineStr">
        <is>
          <t>critical/other existing credit</t>
        </is>
      </c>
      <c r="E903" s="5" t="inlineStr">
        <is>
          <t>furniture/equipment</t>
        </is>
      </c>
      <c r="F903" s="5" t="n">
        <v>1592</v>
      </c>
      <c r="G903" s="5" t="inlineStr">
        <is>
          <t>&gt;=1000</t>
        </is>
      </c>
      <c r="H903" s="5" t="inlineStr">
        <is>
          <t>4&lt;=X&lt;7</t>
        </is>
      </c>
      <c r="I903" s="5" t="n">
        <v>3</v>
      </c>
      <c r="J903" s="5" t="inlineStr">
        <is>
          <t>female div/dep/mar</t>
        </is>
      </c>
      <c r="K903" s="5" t="inlineStr">
        <is>
          <t>none</t>
        </is>
      </c>
      <c r="L903" s="5" t="n">
        <v>2</v>
      </c>
      <c r="M903" s="5" t="inlineStr">
        <is>
          <t>life insurance</t>
        </is>
      </c>
      <c r="N903" s="5" t="n">
        <v>35</v>
      </c>
      <c r="O903" s="5" t="inlineStr">
        <is>
          <t>none</t>
        </is>
      </c>
      <c r="P903" s="5" t="inlineStr">
        <is>
          <t>own</t>
        </is>
      </c>
      <c r="Q903" s="5" t="n">
        <v>1</v>
      </c>
      <c r="R903" s="5" t="inlineStr">
        <is>
          <t>skilled</t>
        </is>
      </c>
      <c r="S903" s="5" t="n">
        <v>1</v>
      </c>
      <c r="T903" s="5" t="inlineStr">
        <is>
          <t>none</t>
        </is>
      </c>
      <c r="U903" s="5" t="inlineStr">
        <is>
          <t>no</t>
        </is>
      </c>
      <c r="V903" s="5" t="inlineStr">
        <is>
          <t>good</t>
        </is>
      </c>
    </row>
    <row r="904">
      <c r="A904" s="5" t="n">
        <v>899</v>
      </c>
      <c r="B904" s="5" t="inlineStr">
        <is>
          <t>no checking</t>
        </is>
      </c>
      <c r="C904" s="5" t="n">
        <v>15</v>
      </c>
      <c r="D904" s="5" t="inlineStr">
        <is>
          <t>existing paid</t>
        </is>
      </c>
      <c r="E904" s="5" t="inlineStr">
        <is>
          <t>furniture/equipment</t>
        </is>
      </c>
      <c r="F904" s="5" t="n">
        <v>2186</v>
      </c>
      <c r="G904" s="5" t="inlineStr">
        <is>
          <t>no known savings</t>
        </is>
      </c>
      <c r="H904" s="5" t="inlineStr">
        <is>
          <t>4&lt;=X&lt;7</t>
        </is>
      </c>
      <c r="I904" s="5" t="n">
        <v>1</v>
      </c>
      <c r="J904" s="5" t="inlineStr">
        <is>
          <t>female div/dep/mar</t>
        </is>
      </c>
      <c r="K904" s="5" t="inlineStr">
        <is>
          <t>none</t>
        </is>
      </c>
      <c r="L904" s="5" t="n">
        <v>4</v>
      </c>
      <c r="M904" s="5" t="inlineStr">
        <is>
          <t>real estate</t>
        </is>
      </c>
      <c r="N904" s="5" t="n">
        <v>33</v>
      </c>
      <c r="O904" s="5" t="inlineStr">
        <is>
          <t>bank</t>
        </is>
      </c>
      <c r="P904" s="5" t="inlineStr">
        <is>
          <t>rent</t>
        </is>
      </c>
      <c r="Q904" s="5" t="n">
        <v>1</v>
      </c>
      <c r="R904" s="5" t="inlineStr">
        <is>
          <t>unskilled resident</t>
        </is>
      </c>
      <c r="S904" s="5" t="n">
        <v>1</v>
      </c>
      <c r="T904" s="5" t="inlineStr">
        <is>
          <t>none</t>
        </is>
      </c>
      <c r="U904" s="5" t="inlineStr">
        <is>
          <t>yes</t>
        </is>
      </c>
      <c r="V904" s="5" t="inlineStr">
        <is>
          <t>good</t>
        </is>
      </c>
    </row>
    <row r="905">
      <c r="A905" s="5" t="n">
        <v>900</v>
      </c>
      <c r="B905" s="5" t="inlineStr">
        <is>
          <t>&lt;0</t>
        </is>
      </c>
      <c r="C905" s="5" t="n">
        <v>18</v>
      </c>
      <c r="D905" s="5" t="inlineStr">
        <is>
          <t>existing paid</t>
        </is>
      </c>
      <c r="E905" s="5" t="inlineStr">
        <is>
          <t>furniture/equipment</t>
        </is>
      </c>
      <c r="F905" s="5" t="n">
        <v>4153</v>
      </c>
      <c r="G905" s="5" t="inlineStr">
        <is>
          <t>&lt;100</t>
        </is>
      </c>
      <c r="H905" s="5" t="inlineStr">
        <is>
          <t>1&lt;=X&lt;4</t>
        </is>
      </c>
      <c r="I905" s="5" t="n">
        <v>2</v>
      </c>
      <c r="J905" s="5" t="inlineStr">
        <is>
          <t>male single</t>
        </is>
      </c>
      <c r="K905" s="5" t="inlineStr">
        <is>
          <t>co applicant</t>
        </is>
      </c>
      <c r="L905" s="5" t="n">
        <v>3</v>
      </c>
      <c r="M905" s="5" t="inlineStr">
        <is>
          <t>car</t>
        </is>
      </c>
      <c r="N905" s="5" t="n">
        <v>42</v>
      </c>
      <c r="O905" s="5" t="inlineStr">
        <is>
          <t>none</t>
        </is>
      </c>
      <c r="P905" s="5" t="inlineStr">
        <is>
          <t>own</t>
        </is>
      </c>
      <c r="Q905" s="5" t="n">
        <v>1</v>
      </c>
      <c r="R905" s="5" t="inlineStr">
        <is>
          <t>skilled</t>
        </is>
      </c>
      <c r="S905" s="5" t="n">
        <v>1</v>
      </c>
      <c r="T905" s="5" t="inlineStr">
        <is>
          <t>none</t>
        </is>
      </c>
      <c r="U905" s="5" t="inlineStr">
        <is>
          <t>yes</t>
        </is>
      </c>
      <c r="V905" s="5" t="inlineStr">
        <is>
          <t>bad</t>
        </is>
      </c>
    </row>
    <row r="906">
      <c r="A906" s="5" t="n">
        <v>901</v>
      </c>
      <c r="B906" s="5" t="inlineStr">
        <is>
          <t>&lt;0</t>
        </is>
      </c>
      <c r="C906" s="5" t="n">
        <v>16</v>
      </c>
      <c r="D906" s="5" t="inlineStr">
        <is>
          <t>critical/other existing credit</t>
        </is>
      </c>
      <c r="E906" s="5" t="inlineStr">
        <is>
          <t>new car</t>
        </is>
      </c>
      <c r="F906" s="5" t="n">
        <v>2625</v>
      </c>
      <c r="G906" s="5" t="inlineStr">
        <is>
          <t>&lt;100</t>
        </is>
      </c>
      <c r="H906" s="5" t="inlineStr">
        <is>
          <t>&gt;=7</t>
        </is>
      </c>
      <c r="I906" s="5" t="n">
        <v>2</v>
      </c>
      <c r="J906" s="5" t="inlineStr">
        <is>
          <t>male single</t>
        </is>
      </c>
      <c r="K906" s="5" t="inlineStr">
        <is>
          <t>guarantor</t>
        </is>
      </c>
      <c r="L906" s="5" t="n">
        <v>4</v>
      </c>
      <c r="M906" s="5" t="inlineStr">
        <is>
          <t>life insurance</t>
        </is>
      </c>
      <c r="N906" s="5" t="n">
        <v>43</v>
      </c>
      <c r="O906" s="5" t="inlineStr">
        <is>
          <t>bank</t>
        </is>
      </c>
      <c r="P906" s="5" t="inlineStr">
        <is>
          <t>rent</t>
        </is>
      </c>
      <c r="Q906" s="5" t="n">
        <v>1</v>
      </c>
      <c r="R906" s="5" t="inlineStr">
        <is>
          <t>skilled</t>
        </is>
      </c>
      <c r="S906" s="5" t="n">
        <v>1</v>
      </c>
      <c r="T906" s="5" t="inlineStr">
        <is>
          <t>yes</t>
        </is>
      </c>
      <c r="U906" s="5" t="inlineStr">
        <is>
          <t>yes</t>
        </is>
      </c>
      <c r="V906" s="5" t="inlineStr">
        <is>
          <t>bad</t>
        </is>
      </c>
    </row>
    <row r="907">
      <c r="A907" s="5" t="n">
        <v>902</v>
      </c>
      <c r="B907" s="5" t="inlineStr">
        <is>
          <t>no checking</t>
        </is>
      </c>
      <c r="C907" s="5" t="n">
        <v>20</v>
      </c>
      <c r="D907" s="5" t="inlineStr">
        <is>
          <t>critical/other existing credit</t>
        </is>
      </c>
      <c r="E907" s="5" t="inlineStr">
        <is>
          <t>new car</t>
        </is>
      </c>
      <c r="F907" s="5" t="n">
        <v>3485</v>
      </c>
      <c r="G907" s="5" t="inlineStr">
        <is>
          <t>no known savings</t>
        </is>
      </c>
      <c r="H907" s="5" t="inlineStr">
        <is>
          <t>&lt;1</t>
        </is>
      </c>
      <c r="I907" s="5" t="n">
        <v>2</v>
      </c>
      <c r="J907" s="5" t="inlineStr">
        <is>
          <t>male div/sep</t>
        </is>
      </c>
      <c r="K907" s="5" t="inlineStr">
        <is>
          <t>none</t>
        </is>
      </c>
      <c r="L907" s="5" t="n">
        <v>4</v>
      </c>
      <c r="M907" s="5" t="inlineStr">
        <is>
          <t>real estate</t>
        </is>
      </c>
      <c r="N907" s="5" t="n">
        <v>44</v>
      </c>
      <c r="O907" s="5" t="inlineStr">
        <is>
          <t>none</t>
        </is>
      </c>
      <c r="P907" s="5" t="inlineStr">
        <is>
          <t>own</t>
        </is>
      </c>
      <c r="Q907" s="5" t="n">
        <v>2</v>
      </c>
      <c r="R907" s="5" t="inlineStr">
        <is>
          <t>skilled</t>
        </is>
      </c>
      <c r="S907" s="5" t="n">
        <v>1</v>
      </c>
      <c r="T907" s="5" t="inlineStr">
        <is>
          <t>yes</t>
        </is>
      </c>
      <c r="U907" s="5" t="inlineStr">
        <is>
          <t>yes</t>
        </is>
      </c>
      <c r="V907" s="5" t="inlineStr">
        <is>
          <t>good</t>
        </is>
      </c>
    </row>
    <row r="908">
      <c r="A908" s="5" t="n">
        <v>903</v>
      </c>
      <c r="B908" s="5" t="inlineStr">
        <is>
          <t>no checking</t>
        </is>
      </c>
      <c r="C908" s="5" t="n">
        <v>36</v>
      </c>
      <c r="D908" s="5" t="inlineStr">
        <is>
          <t>critical/other existing credit</t>
        </is>
      </c>
      <c r="E908" s="5" t="inlineStr">
        <is>
          <t>used car</t>
        </is>
      </c>
      <c r="F908" s="5" t="n">
        <v>10477</v>
      </c>
      <c r="G908" s="5" t="inlineStr">
        <is>
          <t>no known savings</t>
        </is>
      </c>
      <c r="H908" s="5" t="inlineStr">
        <is>
          <t>&gt;=7</t>
        </is>
      </c>
      <c r="I908" s="5" t="n">
        <v>2</v>
      </c>
      <c r="J908" s="5" t="inlineStr">
        <is>
          <t>male single</t>
        </is>
      </c>
      <c r="K908" s="5" t="inlineStr">
        <is>
          <t>none</t>
        </is>
      </c>
      <c r="L908" s="5" t="n">
        <v>4</v>
      </c>
      <c r="M908" s="5" t="inlineStr">
        <is>
          <t>no known property</t>
        </is>
      </c>
      <c r="N908" s="5" t="n">
        <v>42</v>
      </c>
      <c r="O908" s="5" t="inlineStr">
        <is>
          <t>none</t>
        </is>
      </c>
      <c r="P908" s="5" t="inlineStr">
        <is>
          <t>for free</t>
        </is>
      </c>
      <c r="Q908" s="5" t="n">
        <v>2</v>
      </c>
      <c r="R908" s="5" t="inlineStr">
        <is>
          <t>skilled</t>
        </is>
      </c>
      <c r="S908" s="5" t="n">
        <v>1</v>
      </c>
      <c r="T908" s="5" t="inlineStr">
        <is>
          <t>none</t>
        </is>
      </c>
      <c r="U908" s="5" t="inlineStr">
        <is>
          <t>yes</t>
        </is>
      </c>
      <c r="V908" s="5" t="inlineStr">
        <is>
          <t>good</t>
        </is>
      </c>
    </row>
    <row r="909">
      <c r="A909" s="5" t="n">
        <v>904</v>
      </c>
      <c r="B909" s="5" t="inlineStr">
        <is>
          <t>no checking</t>
        </is>
      </c>
      <c r="C909" s="5" t="n">
        <v>15</v>
      </c>
      <c r="D909" s="5" t="inlineStr">
        <is>
          <t>existing paid</t>
        </is>
      </c>
      <c r="E909" s="5" t="inlineStr">
        <is>
          <t>radio/tv</t>
        </is>
      </c>
      <c r="F909" s="5" t="n">
        <v>1386</v>
      </c>
      <c r="G909" s="5" t="inlineStr">
        <is>
          <t>no known savings</t>
        </is>
      </c>
      <c r="H909" s="5" t="inlineStr">
        <is>
          <t>1&lt;=X&lt;4</t>
        </is>
      </c>
      <c r="I909" s="5" t="n">
        <v>4</v>
      </c>
      <c r="J909" s="5" t="inlineStr">
        <is>
          <t>male mar/wid</t>
        </is>
      </c>
      <c r="K909" s="5" t="inlineStr">
        <is>
          <t>none</t>
        </is>
      </c>
      <c r="L909" s="5" t="n">
        <v>2</v>
      </c>
      <c r="M909" s="5" t="inlineStr">
        <is>
          <t>real estate</t>
        </is>
      </c>
      <c r="N909" s="5" t="n">
        <v>40</v>
      </c>
      <c r="O909" s="5" t="inlineStr">
        <is>
          <t>none</t>
        </is>
      </c>
      <c r="P909" s="5" t="inlineStr">
        <is>
          <t>rent</t>
        </is>
      </c>
      <c r="Q909" s="5" t="n">
        <v>1</v>
      </c>
      <c r="R909" s="5" t="inlineStr">
        <is>
          <t>skilled</t>
        </is>
      </c>
      <c r="S909" s="5" t="n">
        <v>1</v>
      </c>
      <c r="T909" s="5" t="inlineStr">
        <is>
          <t>yes</t>
        </is>
      </c>
      <c r="U909" s="5" t="inlineStr">
        <is>
          <t>yes</t>
        </is>
      </c>
      <c r="V909" s="5" t="inlineStr">
        <is>
          <t>good</t>
        </is>
      </c>
    </row>
    <row r="910">
      <c r="A910" s="5" t="n">
        <v>905</v>
      </c>
      <c r="B910" s="5" t="inlineStr">
        <is>
          <t>no checking</t>
        </is>
      </c>
      <c r="C910" s="5" t="n">
        <v>24</v>
      </c>
      <c r="D910" s="5" t="inlineStr">
        <is>
          <t>existing paid</t>
        </is>
      </c>
      <c r="E910" s="5" t="inlineStr">
        <is>
          <t>radio/tv</t>
        </is>
      </c>
      <c r="F910" s="5" t="n">
        <v>1278</v>
      </c>
      <c r="G910" s="5" t="inlineStr">
        <is>
          <t>&lt;100</t>
        </is>
      </c>
      <c r="H910" s="5" t="inlineStr">
        <is>
          <t>&gt;=7</t>
        </is>
      </c>
      <c r="I910" s="5" t="n">
        <v>4</v>
      </c>
      <c r="J910" s="5" t="inlineStr">
        <is>
          <t>male single</t>
        </is>
      </c>
      <c r="K910" s="5" t="inlineStr">
        <is>
          <t>none</t>
        </is>
      </c>
      <c r="L910" s="5" t="n">
        <v>1</v>
      </c>
      <c r="M910" s="5" t="inlineStr">
        <is>
          <t>real estate</t>
        </is>
      </c>
      <c r="N910" s="5" t="n">
        <v>36</v>
      </c>
      <c r="O910" s="5" t="inlineStr">
        <is>
          <t>none</t>
        </is>
      </c>
      <c r="P910" s="5" t="inlineStr">
        <is>
          <t>own</t>
        </is>
      </c>
      <c r="Q910" s="5" t="n">
        <v>1</v>
      </c>
      <c r="R910" s="5" t="inlineStr">
        <is>
          <t>high qualif/self emp/mgmt</t>
        </is>
      </c>
      <c r="S910" s="5" t="n">
        <v>1</v>
      </c>
      <c r="T910" s="5" t="inlineStr">
        <is>
          <t>yes</t>
        </is>
      </c>
      <c r="U910" s="5" t="inlineStr">
        <is>
          <t>yes</t>
        </is>
      </c>
      <c r="V910" s="5" t="inlineStr">
        <is>
          <t>good</t>
        </is>
      </c>
    </row>
    <row r="911">
      <c r="A911" s="5" t="n">
        <v>906</v>
      </c>
      <c r="B911" s="5" t="inlineStr">
        <is>
          <t>&lt;0</t>
        </is>
      </c>
      <c r="C911" s="5" t="n">
        <v>12</v>
      </c>
      <c r="D911" s="5" t="inlineStr">
        <is>
          <t>existing paid</t>
        </is>
      </c>
      <c r="E911" s="5" t="inlineStr">
        <is>
          <t>radio/tv</t>
        </is>
      </c>
      <c r="F911" s="5" t="n">
        <v>1107</v>
      </c>
      <c r="G911" s="5" t="inlineStr">
        <is>
          <t>&lt;100</t>
        </is>
      </c>
      <c r="H911" s="5" t="inlineStr">
        <is>
          <t>1&lt;=X&lt;4</t>
        </is>
      </c>
      <c r="I911" s="5" t="n">
        <v>2</v>
      </c>
      <c r="J911" s="5" t="inlineStr">
        <is>
          <t>male single</t>
        </is>
      </c>
      <c r="K911" s="5" t="inlineStr">
        <is>
          <t>none</t>
        </is>
      </c>
      <c r="L911" s="5" t="n">
        <v>2</v>
      </c>
      <c r="M911" s="5" t="inlineStr">
        <is>
          <t>real estate</t>
        </is>
      </c>
      <c r="N911" s="5" t="n">
        <v>20</v>
      </c>
      <c r="O911" s="5" t="inlineStr">
        <is>
          <t>none</t>
        </is>
      </c>
      <c r="P911" s="5" t="inlineStr">
        <is>
          <t>rent</t>
        </is>
      </c>
      <c r="Q911" s="5" t="n">
        <v>1</v>
      </c>
      <c r="R911" s="5" t="inlineStr">
        <is>
          <t>high qualif/self emp/mgmt</t>
        </is>
      </c>
      <c r="S911" s="5" t="n">
        <v>2</v>
      </c>
      <c r="T911" s="5" t="inlineStr">
        <is>
          <t>yes</t>
        </is>
      </c>
      <c r="U911" s="5" t="inlineStr">
        <is>
          <t>yes</t>
        </is>
      </c>
      <c r="V911" s="5" t="inlineStr">
        <is>
          <t>good</t>
        </is>
      </c>
    </row>
    <row r="912">
      <c r="A912" s="5" t="n">
        <v>907</v>
      </c>
      <c r="B912" s="5" t="inlineStr">
        <is>
          <t>&lt;0</t>
        </is>
      </c>
      <c r="C912" s="5" t="n">
        <v>21</v>
      </c>
      <c r="D912" s="5" t="inlineStr">
        <is>
          <t>existing paid</t>
        </is>
      </c>
      <c r="E912" s="5" t="inlineStr">
        <is>
          <t>new car</t>
        </is>
      </c>
      <c r="F912" s="5" t="n">
        <v>3763</v>
      </c>
      <c r="G912" s="5" t="inlineStr">
        <is>
          <t>no known savings</t>
        </is>
      </c>
      <c r="H912" s="5" t="inlineStr">
        <is>
          <t>4&lt;=X&lt;7</t>
        </is>
      </c>
      <c r="I912" s="5" t="n">
        <v>2</v>
      </c>
      <c r="J912" s="5" t="inlineStr">
        <is>
          <t>male single</t>
        </is>
      </c>
      <c r="K912" s="5" t="inlineStr">
        <is>
          <t>co applicant</t>
        </is>
      </c>
      <c r="L912" s="5" t="n">
        <v>2</v>
      </c>
      <c r="M912" s="5" t="inlineStr">
        <is>
          <t>real estate</t>
        </is>
      </c>
      <c r="N912" s="5" t="n">
        <v>24</v>
      </c>
      <c r="O912" s="5" t="inlineStr">
        <is>
          <t>none</t>
        </is>
      </c>
      <c r="P912" s="5" t="inlineStr">
        <is>
          <t>own</t>
        </is>
      </c>
      <c r="Q912" s="5" t="n">
        <v>1</v>
      </c>
      <c r="R912" s="5" t="inlineStr">
        <is>
          <t>unskilled resident</t>
        </is>
      </c>
      <c r="S912" s="5" t="n">
        <v>1</v>
      </c>
      <c r="T912" s="5" t="inlineStr">
        <is>
          <t>none</t>
        </is>
      </c>
      <c r="U912" s="5" t="inlineStr">
        <is>
          <t>no</t>
        </is>
      </c>
      <c r="V912" s="5" t="inlineStr">
        <is>
          <t>good</t>
        </is>
      </c>
    </row>
    <row r="913">
      <c r="A913" s="5" t="n">
        <v>908</v>
      </c>
      <c r="B913" s="5" t="inlineStr">
        <is>
          <t>0&lt;=X&lt;200</t>
        </is>
      </c>
      <c r="C913" s="5" t="n">
        <v>36</v>
      </c>
      <c r="D913" s="5" t="inlineStr">
        <is>
          <t>existing paid</t>
        </is>
      </c>
      <c r="E913" s="5" t="inlineStr">
        <is>
          <t>education</t>
        </is>
      </c>
      <c r="F913" s="5" t="n">
        <v>3711</v>
      </c>
      <c r="G913" s="5" t="inlineStr">
        <is>
          <t>no known savings</t>
        </is>
      </c>
      <c r="H913" s="5" t="inlineStr">
        <is>
          <t>1&lt;=X&lt;4</t>
        </is>
      </c>
      <c r="I913" s="5" t="n">
        <v>2</v>
      </c>
      <c r="J913" s="5" t="inlineStr">
        <is>
          <t>male mar/wid</t>
        </is>
      </c>
      <c r="K913" s="5" t="inlineStr">
        <is>
          <t>none</t>
        </is>
      </c>
      <c r="L913" s="5" t="n">
        <v>2</v>
      </c>
      <c r="M913" s="5" t="inlineStr">
        <is>
          <t>car</t>
        </is>
      </c>
      <c r="N913" s="5" t="n">
        <v>27</v>
      </c>
      <c r="O913" s="5" t="inlineStr">
        <is>
          <t>none</t>
        </is>
      </c>
      <c r="P913" s="5" t="inlineStr">
        <is>
          <t>own</t>
        </is>
      </c>
      <c r="Q913" s="5" t="n">
        <v>1</v>
      </c>
      <c r="R913" s="5" t="inlineStr">
        <is>
          <t>skilled</t>
        </is>
      </c>
      <c r="S913" s="5" t="n">
        <v>1</v>
      </c>
      <c r="T913" s="5" t="inlineStr">
        <is>
          <t>none</t>
        </is>
      </c>
      <c r="U913" s="5" t="inlineStr">
        <is>
          <t>yes</t>
        </is>
      </c>
      <c r="V913" s="5" t="inlineStr">
        <is>
          <t>good</t>
        </is>
      </c>
    </row>
    <row r="914">
      <c r="A914" s="5" t="n">
        <v>909</v>
      </c>
      <c r="B914" s="5" t="inlineStr">
        <is>
          <t>no checking</t>
        </is>
      </c>
      <c r="C914" s="5" t="n">
        <v>15</v>
      </c>
      <c r="D914" s="5" t="inlineStr">
        <is>
          <t>delayed previously</t>
        </is>
      </c>
      <c r="E914" s="5" t="inlineStr">
        <is>
          <t>used car</t>
        </is>
      </c>
      <c r="F914" s="5" t="n">
        <v>3594</v>
      </c>
      <c r="G914" s="5" t="inlineStr">
        <is>
          <t>&lt;100</t>
        </is>
      </c>
      <c r="H914" s="5" t="inlineStr">
        <is>
          <t>&lt;1</t>
        </is>
      </c>
      <c r="I914" s="5" t="n">
        <v>1</v>
      </c>
      <c r="J914" s="5" t="inlineStr">
        <is>
          <t>female div/dep/mar</t>
        </is>
      </c>
      <c r="K914" s="5" t="inlineStr">
        <is>
          <t>none</t>
        </is>
      </c>
      <c r="L914" s="5" t="n">
        <v>2</v>
      </c>
      <c r="M914" s="5" t="inlineStr">
        <is>
          <t>life insurance</t>
        </is>
      </c>
      <c r="N914" s="5" t="n">
        <v>46</v>
      </c>
      <c r="O914" s="5" t="inlineStr">
        <is>
          <t>none</t>
        </is>
      </c>
      <c r="P914" s="5" t="inlineStr">
        <is>
          <t>own</t>
        </is>
      </c>
      <c r="Q914" s="5" t="n">
        <v>2</v>
      </c>
      <c r="R914" s="5" t="inlineStr">
        <is>
          <t>unskilled resident</t>
        </is>
      </c>
      <c r="S914" s="5" t="n">
        <v>1</v>
      </c>
      <c r="T914" s="5" t="inlineStr">
        <is>
          <t>none</t>
        </is>
      </c>
      <c r="U914" s="5" t="inlineStr">
        <is>
          <t>yes</t>
        </is>
      </c>
      <c r="V914" s="5" t="inlineStr">
        <is>
          <t>good</t>
        </is>
      </c>
    </row>
    <row r="915">
      <c r="A915" s="5" t="n">
        <v>910</v>
      </c>
      <c r="B915" s="5" t="inlineStr">
        <is>
          <t>0&lt;=X&lt;200</t>
        </is>
      </c>
      <c r="C915" s="5" t="n">
        <v>9</v>
      </c>
      <c r="D915" s="5" t="inlineStr">
        <is>
          <t>existing paid</t>
        </is>
      </c>
      <c r="E915" s="5" t="inlineStr">
        <is>
          <t>new car</t>
        </is>
      </c>
      <c r="F915" s="5" t="n">
        <v>3195</v>
      </c>
      <c r="G915" s="5" t="inlineStr">
        <is>
          <t>no known savings</t>
        </is>
      </c>
      <c r="H915" s="5" t="inlineStr">
        <is>
          <t>1&lt;=X&lt;4</t>
        </is>
      </c>
      <c r="I915" s="5" t="n">
        <v>1</v>
      </c>
      <c r="J915" s="5" t="inlineStr">
        <is>
          <t>female div/dep/mar</t>
        </is>
      </c>
      <c r="K915" s="5" t="inlineStr">
        <is>
          <t>none</t>
        </is>
      </c>
      <c r="L915" s="5" t="n">
        <v>2</v>
      </c>
      <c r="M915" s="5" t="inlineStr">
        <is>
          <t>real estate</t>
        </is>
      </c>
      <c r="N915" s="5" t="n">
        <v>33</v>
      </c>
      <c r="O915" s="5" t="inlineStr">
        <is>
          <t>none</t>
        </is>
      </c>
      <c r="P915" s="5" t="inlineStr">
        <is>
          <t>own</t>
        </is>
      </c>
      <c r="Q915" s="5" t="n">
        <v>1</v>
      </c>
      <c r="R915" s="5" t="inlineStr">
        <is>
          <t>unskilled resident</t>
        </is>
      </c>
      <c r="S915" s="5" t="n">
        <v>1</v>
      </c>
      <c r="T915" s="5" t="inlineStr">
        <is>
          <t>none</t>
        </is>
      </c>
      <c r="U915" s="5" t="inlineStr">
        <is>
          <t>yes</t>
        </is>
      </c>
      <c r="V915" s="5" t="inlineStr">
        <is>
          <t>good</t>
        </is>
      </c>
    </row>
    <row r="916">
      <c r="A916" s="5" t="n">
        <v>911</v>
      </c>
      <c r="B916" s="5" t="inlineStr">
        <is>
          <t>no checking</t>
        </is>
      </c>
      <c r="C916" s="5" t="n">
        <v>36</v>
      </c>
      <c r="D916" s="5" t="inlineStr">
        <is>
          <t>delayed previously</t>
        </is>
      </c>
      <c r="E916" s="5" t="inlineStr">
        <is>
          <t>radio/tv</t>
        </is>
      </c>
      <c r="F916" s="5" t="n">
        <v>4454</v>
      </c>
      <c r="G916" s="5" t="inlineStr">
        <is>
          <t>&lt;100</t>
        </is>
      </c>
      <c r="H916" s="5" t="inlineStr">
        <is>
          <t>1&lt;=X&lt;4</t>
        </is>
      </c>
      <c r="I916" s="5" t="n">
        <v>4</v>
      </c>
      <c r="J916" s="5" t="inlineStr">
        <is>
          <t>female div/dep/mar</t>
        </is>
      </c>
      <c r="K916" s="5" t="inlineStr">
        <is>
          <t>none</t>
        </is>
      </c>
      <c r="L916" s="5" t="n">
        <v>4</v>
      </c>
      <c r="M916" s="5" t="inlineStr">
        <is>
          <t>real estate</t>
        </is>
      </c>
      <c r="N916" s="5" t="n">
        <v>34</v>
      </c>
      <c r="O916" s="5" t="inlineStr">
        <is>
          <t>none</t>
        </is>
      </c>
      <c r="P916" s="5" t="inlineStr">
        <is>
          <t>own</t>
        </is>
      </c>
      <c r="Q916" s="5" t="n">
        <v>2</v>
      </c>
      <c r="R916" s="5" t="inlineStr">
        <is>
          <t>skilled</t>
        </is>
      </c>
      <c r="S916" s="5" t="n">
        <v>1</v>
      </c>
      <c r="T916" s="5" t="inlineStr">
        <is>
          <t>none</t>
        </is>
      </c>
      <c r="U916" s="5" t="inlineStr">
        <is>
          <t>yes</t>
        </is>
      </c>
      <c r="V916" s="5" t="inlineStr">
        <is>
          <t>good</t>
        </is>
      </c>
    </row>
    <row r="917">
      <c r="A917" s="5" t="n">
        <v>912</v>
      </c>
      <c r="B917" s="5" t="inlineStr">
        <is>
          <t>0&lt;=X&lt;200</t>
        </is>
      </c>
      <c r="C917" s="5" t="n">
        <v>24</v>
      </c>
      <c r="D917" s="5" t="inlineStr">
        <is>
          <t>critical/other existing credit</t>
        </is>
      </c>
      <c r="E917" s="5" t="inlineStr">
        <is>
          <t>furniture/equipment</t>
        </is>
      </c>
      <c r="F917" s="5" t="n">
        <v>4736</v>
      </c>
      <c r="G917" s="5" t="inlineStr">
        <is>
          <t>&lt;100</t>
        </is>
      </c>
      <c r="H917" s="5" t="inlineStr">
        <is>
          <t>&lt;1</t>
        </is>
      </c>
      <c r="I917" s="5" t="n">
        <v>2</v>
      </c>
      <c r="J917" s="5" t="inlineStr">
        <is>
          <t>female div/dep/mar</t>
        </is>
      </c>
      <c r="K917" s="5" t="inlineStr">
        <is>
          <t>none</t>
        </is>
      </c>
      <c r="L917" s="5" t="n">
        <v>4</v>
      </c>
      <c r="M917" s="5" t="inlineStr">
        <is>
          <t>car</t>
        </is>
      </c>
      <c r="N917" s="5" t="n">
        <v>25</v>
      </c>
      <c r="O917" s="5" t="inlineStr">
        <is>
          <t>bank</t>
        </is>
      </c>
      <c r="P917" s="5" t="inlineStr">
        <is>
          <t>own</t>
        </is>
      </c>
      <c r="Q917" s="5" t="n">
        <v>1</v>
      </c>
      <c r="R917" s="5" t="inlineStr">
        <is>
          <t>unskilled resident</t>
        </is>
      </c>
      <c r="S917" s="5" t="n">
        <v>1</v>
      </c>
      <c r="T917" s="5" t="inlineStr">
        <is>
          <t>none</t>
        </is>
      </c>
      <c r="U917" s="5" t="inlineStr">
        <is>
          <t>yes</t>
        </is>
      </c>
      <c r="V917" s="5" t="inlineStr">
        <is>
          <t>bad</t>
        </is>
      </c>
    </row>
    <row r="918">
      <c r="A918" s="5" t="n">
        <v>913</v>
      </c>
      <c r="B918" s="5" t="inlineStr">
        <is>
          <t>0&lt;=X&lt;200</t>
        </is>
      </c>
      <c r="C918" s="5" t="n">
        <v>30</v>
      </c>
      <c r="D918" s="5" t="inlineStr">
        <is>
          <t>existing paid</t>
        </is>
      </c>
      <c r="E918" s="5" t="inlineStr">
        <is>
          <t>radio/tv</t>
        </is>
      </c>
      <c r="F918" s="5" t="n">
        <v>2991</v>
      </c>
      <c r="G918" s="5" t="inlineStr">
        <is>
          <t>no known savings</t>
        </is>
      </c>
      <c r="H918" s="5" t="inlineStr">
        <is>
          <t>&gt;=7</t>
        </is>
      </c>
      <c r="I918" s="5" t="n">
        <v>2</v>
      </c>
      <c r="J918" s="5" t="inlineStr">
        <is>
          <t>female div/dep/mar</t>
        </is>
      </c>
      <c r="K918" s="5" t="inlineStr">
        <is>
          <t>none</t>
        </is>
      </c>
      <c r="L918" s="5" t="n">
        <v>4</v>
      </c>
      <c r="M918" s="5" t="inlineStr">
        <is>
          <t>car</t>
        </is>
      </c>
      <c r="N918" s="5" t="n">
        <v>25</v>
      </c>
      <c r="O918" s="5" t="inlineStr">
        <is>
          <t>none</t>
        </is>
      </c>
      <c r="P918" s="5" t="inlineStr">
        <is>
          <t>own</t>
        </is>
      </c>
      <c r="Q918" s="5" t="n">
        <v>1</v>
      </c>
      <c r="R918" s="5" t="inlineStr">
        <is>
          <t>skilled</t>
        </is>
      </c>
      <c r="S918" s="5" t="n">
        <v>1</v>
      </c>
      <c r="T918" s="5" t="inlineStr">
        <is>
          <t>none</t>
        </is>
      </c>
      <c r="U918" s="5" t="inlineStr">
        <is>
          <t>yes</t>
        </is>
      </c>
      <c r="V918" s="5" t="inlineStr">
        <is>
          <t>good</t>
        </is>
      </c>
    </row>
    <row r="919">
      <c r="A919" s="5" t="n">
        <v>914</v>
      </c>
      <c r="B919" s="5" t="inlineStr">
        <is>
          <t>no checking</t>
        </is>
      </c>
      <c r="C919" s="5" t="n">
        <v>11</v>
      </c>
      <c r="D919" s="5" t="inlineStr">
        <is>
          <t>existing paid</t>
        </is>
      </c>
      <c r="E919" s="5" t="inlineStr">
        <is>
          <t>business</t>
        </is>
      </c>
      <c r="F919" s="5" t="n">
        <v>2142</v>
      </c>
      <c r="G919" s="5" t="inlineStr">
        <is>
          <t>&gt;=1000</t>
        </is>
      </c>
      <c r="H919" s="5" t="inlineStr">
        <is>
          <t>&gt;=7</t>
        </is>
      </c>
      <c r="I919" s="5" t="n">
        <v>1</v>
      </c>
      <c r="J919" s="5" t="inlineStr">
        <is>
          <t>male div/sep</t>
        </is>
      </c>
      <c r="K919" s="5" t="inlineStr">
        <is>
          <t>none</t>
        </is>
      </c>
      <c r="L919" s="5" t="n">
        <v>2</v>
      </c>
      <c r="M919" s="5" t="inlineStr">
        <is>
          <t>real estate</t>
        </is>
      </c>
      <c r="N919" s="5" t="n">
        <v>28</v>
      </c>
      <c r="O919" s="5" t="inlineStr">
        <is>
          <t>none</t>
        </is>
      </c>
      <c r="P919" s="5" t="inlineStr">
        <is>
          <t>own</t>
        </is>
      </c>
      <c r="Q919" s="5" t="n">
        <v>1</v>
      </c>
      <c r="R919" s="5" t="inlineStr">
        <is>
          <t>skilled</t>
        </is>
      </c>
      <c r="S919" s="5" t="n">
        <v>1</v>
      </c>
      <c r="T919" s="5" t="inlineStr">
        <is>
          <t>yes</t>
        </is>
      </c>
      <c r="U919" s="5" t="inlineStr">
        <is>
          <t>yes</t>
        </is>
      </c>
      <c r="V919" s="5" t="inlineStr">
        <is>
          <t>good</t>
        </is>
      </c>
    </row>
    <row r="920">
      <c r="A920" s="5" t="n">
        <v>915</v>
      </c>
      <c r="B920" s="5" t="inlineStr">
        <is>
          <t>&lt;0</t>
        </is>
      </c>
      <c r="C920" s="5" t="n">
        <v>24</v>
      </c>
      <c r="D920" s="5" t="inlineStr">
        <is>
          <t>all paid</t>
        </is>
      </c>
      <c r="E920" s="5" t="inlineStr">
        <is>
          <t>business</t>
        </is>
      </c>
      <c r="F920" s="5" t="n">
        <v>3161</v>
      </c>
      <c r="G920" s="5" t="inlineStr">
        <is>
          <t>&lt;100</t>
        </is>
      </c>
      <c r="H920" s="5" t="inlineStr">
        <is>
          <t>1&lt;=X&lt;4</t>
        </is>
      </c>
      <c r="I920" s="5" t="n">
        <v>4</v>
      </c>
      <c r="J920" s="5" t="inlineStr">
        <is>
          <t>male single</t>
        </is>
      </c>
      <c r="K920" s="5" t="inlineStr">
        <is>
          <t>none</t>
        </is>
      </c>
      <c r="L920" s="5" t="n">
        <v>2</v>
      </c>
      <c r="M920" s="5" t="inlineStr">
        <is>
          <t>life insurance</t>
        </is>
      </c>
      <c r="N920" s="5" t="n">
        <v>31</v>
      </c>
      <c r="O920" s="5" t="inlineStr">
        <is>
          <t>none</t>
        </is>
      </c>
      <c r="P920" s="5" t="inlineStr">
        <is>
          <t>rent</t>
        </is>
      </c>
      <c r="Q920" s="5" t="n">
        <v>1</v>
      </c>
      <c r="R920" s="5" t="inlineStr">
        <is>
          <t>skilled</t>
        </is>
      </c>
      <c r="S920" s="5" t="n">
        <v>1</v>
      </c>
      <c r="T920" s="5" t="inlineStr">
        <is>
          <t>yes</t>
        </is>
      </c>
      <c r="U920" s="5" t="inlineStr">
        <is>
          <t>yes</t>
        </is>
      </c>
      <c r="V920" s="5" t="inlineStr">
        <is>
          <t>bad</t>
        </is>
      </c>
    </row>
    <row r="921">
      <c r="A921" s="5" t="n">
        <v>916</v>
      </c>
      <c r="B921" s="5" t="inlineStr">
        <is>
          <t>0&lt;=X&lt;200</t>
        </is>
      </c>
      <c r="C921" s="5" t="n">
        <v>48</v>
      </c>
      <c r="D921" s="5" t="inlineStr">
        <is>
          <t>no credits/all paid</t>
        </is>
      </c>
      <c r="E921" s="5" t="inlineStr">
        <is>
          <t>other</t>
        </is>
      </c>
      <c r="F921" s="5" t="n">
        <v>18424</v>
      </c>
      <c r="G921" s="5" t="inlineStr">
        <is>
          <t>&lt;100</t>
        </is>
      </c>
      <c r="H921" s="5" t="inlineStr">
        <is>
          <t>1&lt;=X&lt;4</t>
        </is>
      </c>
      <c r="I921" s="5" t="n">
        <v>1</v>
      </c>
      <c r="J921" s="5" t="inlineStr">
        <is>
          <t>female div/dep/mar</t>
        </is>
      </c>
      <c r="K921" s="5" t="inlineStr">
        <is>
          <t>none</t>
        </is>
      </c>
      <c r="L921" s="5" t="n">
        <v>2</v>
      </c>
      <c r="M921" s="5" t="inlineStr">
        <is>
          <t>life insurance</t>
        </is>
      </c>
      <c r="N921" s="5" t="n">
        <v>32</v>
      </c>
      <c r="O921" s="5" t="inlineStr">
        <is>
          <t>bank</t>
        </is>
      </c>
      <c r="P921" s="5" t="inlineStr">
        <is>
          <t>own</t>
        </is>
      </c>
      <c r="Q921" s="5" t="n">
        <v>1</v>
      </c>
      <c r="R921" s="5" t="inlineStr">
        <is>
          <t>high qualif/self emp/mgmt</t>
        </is>
      </c>
      <c r="S921" s="5" t="n">
        <v>1</v>
      </c>
      <c r="T921" s="5" t="inlineStr">
        <is>
          <t>yes</t>
        </is>
      </c>
      <c r="U921" s="5" t="inlineStr">
        <is>
          <t>no</t>
        </is>
      </c>
      <c r="V921" s="5" t="inlineStr">
        <is>
          <t>bad</t>
        </is>
      </c>
    </row>
    <row r="922">
      <c r="A922" s="5" t="n">
        <v>917</v>
      </c>
      <c r="B922" s="5" t="inlineStr">
        <is>
          <t>no checking</t>
        </is>
      </c>
      <c r="C922" s="5" t="n">
        <v>10</v>
      </c>
      <c r="D922" s="5" t="inlineStr">
        <is>
          <t>existing paid</t>
        </is>
      </c>
      <c r="E922" s="5" t="inlineStr">
        <is>
          <t>used car</t>
        </is>
      </c>
      <c r="F922" s="5" t="n">
        <v>2848</v>
      </c>
      <c r="G922" s="5" t="inlineStr">
        <is>
          <t>100&lt;=X&lt;500</t>
        </is>
      </c>
      <c r="H922" s="5" t="inlineStr">
        <is>
          <t>1&lt;=X&lt;4</t>
        </is>
      </c>
      <c r="I922" s="5" t="n">
        <v>1</v>
      </c>
      <c r="J922" s="5" t="inlineStr">
        <is>
          <t>male single</t>
        </is>
      </c>
      <c r="K922" s="5" t="inlineStr">
        <is>
          <t>co applicant</t>
        </is>
      </c>
      <c r="L922" s="5" t="n">
        <v>2</v>
      </c>
      <c r="M922" s="5" t="inlineStr">
        <is>
          <t>real estate</t>
        </is>
      </c>
      <c r="N922" s="5" t="n">
        <v>32</v>
      </c>
      <c r="O922" s="5" t="inlineStr">
        <is>
          <t>none</t>
        </is>
      </c>
      <c r="P922" s="5" t="inlineStr">
        <is>
          <t>own</t>
        </is>
      </c>
      <c r="Q922" s="5" t="n">
        <v>1</v>
      </c>
      <c r="R922" s="5" t="inlineStr">
        <is>
          <t>skilled</t>
        </is>
      </c>
      <c r="S922" s="5" t="n">
        <v>2</v>
      </c>
      <c r="T922" s="5" t="inlineStr">
        <is>
          <t>none</t>
        </is>
      </c>
      <c r="U922" s="5" t="inlineStr">
        <is>
          <t>yes</t>
        </is>
      </c>
      <c r="V922" s="5" t="inlineStr">
        <is>
          <t>good</t>
        </is>
      </c>
    </row>
    <row r="923">
      <c r="A923" s="5" t="n">
        <v>918</v>
      </c>
      <c r="B923" s="5" t="inlineStr">
        <is>
          <t>&lt;0</t>
        </is>
      </c>
      <c r="C923" s="5" t="n">
        <v>6</v>
      </c>
      <c r="D923" s="5" t="inlineStr">
        <is>
          <t>existing paid</t>
        </is>
      </c>
      <c r="E923" s="5" t="inlineStr">
        <is>
          <t>new car</t>
        </is>
      </c>
      <c r="F923" s="5" t="n">
        <v>14896</v>
      </c>
      <c r="G923" s="5" t="inlineStr">
        <is>
          <t>&lt;100</t>
        </is>
      </c>
      <c r="H923" s="5" t="inlineStr">
        <is>
          <t>&gt;=7</t>
        </is>
      </c>
      <c r="I923" s="5" t="n">
        <v>1</v>
      </c>
      <c r="J923" s="5" t="inlineStr">
        <is>
          <t>male single</t>
        </is>
      </c>
      <c r="K923" s="5" t="inlineStr">
        <is>
          <t>none</t>
        </is>
      </c>
      <c r="L923" s="5" t="n">
        <v>4</v>
      </c>
      <c r="M923" s="5" t="inlineStr">
        <is>
          <t>no known property</t>
        </is>
      </c>
      <c r="N923" s="5" t="n">
        <v>68</v>
      </c>
      <c r="O923" s="5" t="inlineStr">
        <is>
          <t>bank</t>
        </is>
      </c>
      <c r="P923" s="5" t="inlineStr">
        <is>
          <t>own</t>
        </is>
      </c>
      <c r="Q923" s="5" t="n">
        <v>1</v>
      </c>
      <c r="R923" s="5" t="inlineStr">
        <is>
          <t>high qualif/self emp/mgmt</t>
        </is>
      </c>
      <c r="S923" s="5" t="n">
        <v>1</v>
      </c>
      <c r="T923" s="5" t="inlineStr">
        <is>
          <t>yes</t>
        </is>
      </c>
      <c r="U923" s="5" t="inlineStr">
        <is>
          <t>yes</t>
        </is>
      </c>
      <c r="V923" s="5" t="inlineStr">
        <is>
          <t>bad</t>
        </is>
      </c>
    </row>
    <row r="924">
      <c r="A924" s="5" t="n">
        <v>919</v>
      </c>
      <c r="B924" s="5" t="inlineStr">
        <is>
          <t>&lt;0</t>
        </is>
      </c>
      <c r="C924" s="5" t="n">
        <v>24</v>
      </c>
      <c r="D924" s="5" t="inlineStr">
        <is>
          <t>existing paid</t>
        </is>
      </c>
      <c r="E924" s="5" t="inlineStr">
        <is>
          <t>furniture/equipment</t>
        </is>
      </c>
      <c r="F924" s="5" t="n">
        <v>2359</v>
      </c>
      <c r="G924" s="5" t="inlineStr">
        <is>
          <t>100&lt;=X&lt;500</t>
        </is>
      </c>
      <c r="H924" s="5" t="inlineStr">
        <is>
          <t>unemployed</t>
        </is>
      </c>
      <c r="I924" s="5" t="n">
        <v>1</v>
      </c>
      <c r="J924" s="5" t="inlineStr">
        <is>
          <t>male div/sep</t>
        </is>
      </c>
      <c r="K924" s="5" t="inlineStr">
        <is>
          <t>none</t>
        </is>
      </c>
      <c r="L924" s="5" t="n">
        <v>1</v>
      </c>
      <c r="M924" s="5" t="inlineStr">
        <is>
          <t>life insurance</t>
        </is>
      </c>
      <c r="N924" s="5" t="n">
        <v>33</v>
      </c>
      <c r="O924" s="5" t="inlineStr">
        <is>
          <t>none</t>
        </is>
      </c>
      <c r="P924" s="5" t="inlineStr">
        <is>
          <t>own</t>
        </is>
      </c>
      <c r="Q924" s="5" t="n">
        <v>1</v>
      </c>
      <c r="R924" s="5" t="inlineStr">
        <is>
          <t>skilled</t>
        </is>
      </c>
      <c r="S924" s="5" t="n">
        <v>1</v>
      </c>
      <c r="T924" s="5" t="inlineStr">
        <is>
          <t>none</t>
        </is>
      </c>
      <c r="U924" s="5" t="inlineStr">
        <is>
          <t>yes</t>
        </is>
      </c>
      <c r="V924" s="5" t="inlineStr">
        <is>
          <t>bad</t>
        </is>
      </c>
    </row>
    <row r="925">
      <c r="A925" s="5" t="n">
        <v>920</v>
      </c>
      <c r="B925" s="5" t="inlineStr">
        <is>
          <t>&lt;0</t>
        </is>
      </c>
      <c r="C925" s="5" t="n">
        <v>24</v>
      </c>
      <c r="D925" s="5" t="inlineStr">
        <is>
          <t>existing paid</t>
        </is>
      </c>
      <c r="E925" s="5" t="inlineStr">
        <is>
          <t>furniture/equipment</t>
        </is>
      </c>
      <c r="F925" s="5" t="n">
        <v>3345</v>
      </c>
      <c r="G925" s="5" t="inlineStr">
        <is>
          <t>&lt;100</t>
        </is>
      </c>
      <c r="H925" s="5" t="inlineStr">
        <is>
          <t>&gt;=7</t>
        </is>
      </c>
      <c r="I925" s="5" t="n">
        <v>4</v>
      </c>
      <c r="J925" s="5" t="inlineStr">
        <is>
          <t>male single</t>
        </is>
      </c>
      <c r="K925" s="5" t="inlineStr">
        <is>
          <t>none</t>
        </is>
      </c>
      <c r="L925" s="5" t="n">
        <v>2</v>
      </c>
      <c r="M925" s="5" t="inlineStr">
        <is>
          <t>life insurance</t>
        </is>
      </c>
      <c r="N925" s="5" t="n">
        <v>39</v>
      </c>
      <c r="O925" s="5" t="inlineStr">
        <is>
          <t>none</t>
        </is>
      </c>
      <c r="P925" s="5" t="inlineStr">
        <is>
          <t>rent</t>
        </is>
      </c>
      <c r="Q925" s="5" t="n">
        <v>1</v>
      </c>
      <c r="R925" s="5" t="inlineStr">
        <is>
          <t>high qualif/self emp/mgmt</t>
        </is>
      </c>
      <c r="S925" s="5" t="n">
        <v>1</v>
      </c>
      <c r="T925" s="5" t="inlineStr">
        <is>
          <t>yes</t>
        </is>
      </c>
      <c r="U925" s="5" t="inlineStr">
        <is>
          <t>yes</t>
        </is>
      </c>
      <c r="V925" s="5" t="inlineStr">
        <is>
          <t>bad</t>
        </is>
      </c>
    </row>
    <row r="926">
      <c r="A926" s="5" t="n">
        <v>921</v>
      </c>
      <c r="B926" s="5" t="inlineStr">
        <is>
          <t>no checking</t>
        </is>
      </c>
      <c r="C926" s="5" t="n">
        <v>18</v>
      </c>
      <c r="D926" s="5" t="inlineStr">
        <is>
          <t>critical/other existing credit</t>
        </is>
      </c>
      <c r="E926" s="5" t="inlineStr">
        <is>
          <t>furniture/equipment</t>
        </is>
      </c>
      <c r="F926" s="5" t="n">
        <v>1817</v>
      </c>
      <c r="G926" s="5" t="inlineStr">
        <is>
          <t>&lt;100</t>
        </is>
      </c>
      <c r="H926" s="5" t="inlineStr">
        <is>
          <t>1&lt;=X&lt;4</t>
        </is>
      </c>
      <c r="I926" s="5" t="n">
        <v>4</v>
      </c>
      <c r="J926" s="5" t="inlineStr">
        <is>
          <t>female div/dep/mar</t>
        </is>
      </c>
      <c r="K926" s="5" t="inlineStr">
        <is>
          <t>none</t>
        </is>
      </c>
      <c r="L926" s="5" t="n">
        <v>2</v>
      </c>
      <c r="M926" s="5" t="inlineStr">
        <is>
          <t>no known property</t>
        </is>
      </c>
      <c r="N926" s="5" t="n">
        <v>28</v>
      </c>
      <c r="O926" s="5" t="inlineStr">
        <is>
          <t>none</t>
        </is>
      </c>
      <c r="P926" s="5" t="inlineStr">
        <is>
          <t>own</t>
        </is>
      </c>
      <c r="Q926" s="5" t="n">
        <v>2</v>
      </c>
      <c r="R926" s="5" t="inlineStr">
        <is>
          <t>skilled</t>
        </is>
      </c>
      <c r="S926" s="5" t="n">
        <v>1</v>
      </c>
      <c r="T926" s="5" t="inlineStr">
        <is>
          <t>none</t>
        </is>
      </c>
      <c r="U926" s="5" t="inlineStr">
        <is>
          <t>yes</t>
        </is>
      </c>
      <c r="V926" s="5" t="inlineStr">
        <is>
          <t>good</t>
        </is>
      </c>
    </row>
    <row r="927">
      <c r="A927" s="5" t="n">
        <v>922</v>
      </c>
      <c r="B927" s="5" t="inlineStr">
        <is>
          <t>no checking</t>
        </is>
      </c>
      <c r="C927" s="5" t="n">
        <v>48</v>
      </c>
      <c r="D927" s="5" t="inlineStr">
        <is>
          <t>delayed previously</t>
        </is>
      </c>
      <c r="E927" s="5" t="inlineStr">
        <is>
          <t>radio/tv</t>
        </is>
      </c>
      <c r="F927" s="5" t="n">
        <v>12749</v>
      </c>
      <c r="G927" s="5" t="inlineStr">
        <is>
          <t>500&lt;=X&lt;1000</t>
        </is>
      </c>
      <c r="H927" s="5" t="inlineStr">
        <is>
          <t>4&lt;=X&lt;7</t>
        </is>
      </c>
      <c r="I927" s="5" t="n">
        <v>4</v>
      </c>
      <c r="J927" s="5" t="inlineStr">
        <is>
          <t>male single</t>
        </is>
      </c>
      <c r="K927" s="5" t="inlineStr">
        <is>
          <t>none</t>
        </is>
      </c>
      <c r="L927" s="5" t="n">
        <v>1</v>
      </c>
      <c r="M927" s="5" t="inlineStr">
        <is>
          <t>car</t>
        </is>
      </c>
      <c r="N927" s="5" t="n">
        <v>37</v>
      </c>
      <c r="O927" s="5" t="inlineStr">
        <is>
          <t>none</t>
        </is>
      </c>
      <c r="P927" s="5" t="inlineStr">
        <is>
          <t>own</t>
        </is>
      </c>
      <c r="Q927" s="5" t="n">
        <v>1</v>
      </c>
      <c r="R927" s="5" t="inlineStr">
        <is>
          <t>high qualif/self emp/mgmt</t>
        </is>
      </c>
      <c r="S927" s="5" t="n">
        <v>1</v>
      </c>
      <c r="T927" s="5" t="inlineStr">
        <is>
          <t>yes</t>
        </is>
      </c>
      <c r="U927" s="5" t="inlineStr">
        <is>
          <t>yes</t>
        </is>
      </c>
      <c r="V927" s="5" t="inlineStr">
        <is>
          <t>good</t>
        </is>
      </c>
    </row>
    <row r="928">
      <c r="A928" s="5" t="n">
        <v>923</v>
      </c>
      <c r="B928" s="5" t="inlineStr">
        <is>
          <t>&lt;0</t>
        </is>
      </c>
      <c r="C928" s="5" t="n">
        <v>9</v>
      </c>
      <c r="D928" s="5" t="inlineStr">
        <is>
          <t>existing paid</t>
        </is>
      </c>
      <c r="E928" s="5" t="inlineStr">
        <is>
          <t>radio/tv</t>
        </is>
      </c>
      <c r="F928" s="5" t="n">
        <v>1366</v>
      </c>
      <c r="G928" s="5" t="inlineStr">
        <is>
          <t>&lt;100</t>
        </is>
      </c>
      <c r="H928" s="5" t="inlineStr">
        <is>
          <t>&lt;1</t>
        </is>
      </c>
      <c r="I928" s="5" t="n">
        <v>3</v>
      </c>
      <c r="J928" s="5" t="inlineStr">
        <is>
          <t>female div/dep/mar</t>
        </is>
      </c>
      <c r="K928" s="5" t="inlineStr">
        <is>
          <t>none</t>
        </is>
      </c>
      <c r="L928" s="5" t="n">
        <v>4</v>
      </c>
      <c r="M928" s="5" t="inlineStr">
        <is>
          <t>life insurance</t>
        </is>
      </c>
      <c r="N928" s="5" t="n">
        <v>22</v>
      </c>
      <c r="O928" s="5" t="inlineStr">
        <is>
          <t>none</t>
        </is>
      </c>
      <c r="P928" s="5" t="inlineStr">
        <is>
          <t>rent</t>
        </is>
      </c>
      <c r="Q928" s="5" t="n">
        <v>1</v>
      </c>
      <c r="R928" s="5" t="inlineStr">
        <is>
          <t>skilled</t>
        </is>
      </c>
      <c r="S928" s="5" t="n">
        <v>1</v>
      </c>
      <c r="T928" s="5" t="inlineStr">
        <is>
          <t>none</t>
        </is>
      </c>
      <c r="U928" s="5" t="inlineStr">
        <is>
          <t>yes</t>
        </is>
      </c>
      <c r="V928" s="5" t="inlineStr">
        <is>
          <t>bad</t>
        </is>
      </c>
    </row>
    <row r="929">
      <c r="A929" s="5" t="n">
        <v>924</v>
      </c>
      <c r="B929" s="5" t="inlineStr">
        <is>
          <t>0&lt;=X&lt;200</t>
        </is>
      </c>
      <c r="C929" s="5" t="n">
        <v>12</v>
      </c>
      <c r="D929" s="5" t="inlineStr">
        <is>
          <t>existing paid</t>
        </is>
      </c>
      <c r="E929" s="5" t="inlineStr">
        <is>
          <t>new car</t>
        </is>
      </c>
      <c r="F929" s="5" t="n">
        <v>2002</v>
      </c>
      <c r="G929" s="5" t="inlineStr">
        <is>
          <t>&lt;100</t>
        </is>
      </c>
      <c r="H929" s="5" t="inlineStr">
        <is>
          <t>4&lt;=X&lt;7</t>
        </is>
      </c>
      <c r="I929" s="5" t="n">
        <v>3</v>
      </c>
      <c r="J929" s="5" t="inlineStr">
        <is>
          <t>male single</t>
        </is>
      </c>
      <c r="K929" s="5" t="inlineStr">
        <is>
          <t>none</t>
        </is>
      </c>
      <c r="L929" s="5" t="n">
        <v>4</v>
      </c>
      <c r="M929" s="5" t="inlineStr">
        <is>
          <t>life insurance</t>
        </is>
      </c>
      <c r="N929" s="5" t="n">
        <v>30</v>
      </c>
      <c r="O929" s="5" t="inlineStr">
        <is>
          <t>none</t>
        </is>
      </c>
      <c r="P929" s="5" t="inlineStr">
        <is>
          <t>rent</t>
        </is>
      </c>
      <c r="Q929" s="5" t="n">
        <v>1</v>
      </c>
      <c r="R929" s="5" t="inlineStr">
        <is>
          <t>skilled</t>
        </is>
      </c>
      <c r="S929" s="5" t="n">
        <v>2</v>
      </c>
      <c r="T929" s="5" t="inlineStr">
        <is>
          <t>yes</t>
        </is>
      </c>
      <c r="U929" s="5" t="inlineStr">
        <is>
          <t>yes</t>
        </is>
      </c>
      <c r="V929" s="5" t="inlineStr">
        <is>
          <t>good</t>
        </is>
      </c>
    </row>
    <row r="930">
      <c r="A930" s="5" t="n">
        <v>925</v>
      </c>
      <c r="B930" s="5" t="inlineStr">
        <is>
          <t>&lt;0</t>
        </is>
      </c>
      <c r="C930" s="5" t="n">
        <v>24</v>
      </c>
      <c r="D930" s="5" t="inlineStr">
        <is>
          <t>all paid</t>
        </is>
      </c>
      <c r="E930" s="5" t="inlineStr">
        <is>
          <t>furniture/equipment</t>
        </is>
      </c>
      <c r="F930" s="5" t="n">
        <v>6872</v>
      </c>
      <c r="G930" s="5" t="inlineStr">
        <is>
          <t>&lt;100</t>
        </is>
      </c>
      <c r="H930" s="5" t="inlineStr">
        <is>
          <t>&lt;1</t>
        </is>
      </c>
      <c r="I930" s="5" t="n">
        <v>2</v>
      </c>
      <c r="J930" s="5" t="inlineStr">
        <is>
          <t>male div/sep</t>
        </is>
      </c>
      <c r="K930" s="5" t="inlineStr">
        <is>
          <t>none</t>
        </is>
      </c>
      <c r="L930" s="5" t="n">
        <v>1</v>
      </c>
      <c r="M930" s="5" t="inlineStr">
        <is>
          <t>life insurance</t>
        </is>
      </c>
      <c r="N930" s="5" t="n">
        <v>55</v>
      </c>
      <c r="O930" s="5" t="inlineStr">
        <is>
          <t>bank</t>
        </is>
      </c>
      <c r="P930" s="5" t="inlineStr">
        <is>
          <t>own</t>
        </is>
      </c>
      <c r="Q930" s="5" t="n">
        <v>1</v>
      </c>
      <c r="R930" s="5" t="inlineStr">
        <is>
          <t>skilled</t>
        </is>
      </c>
      <c r="S930" s="5" t="n">
        <v>1</v>
      </c>
      <c r="T930" s="5" t="inlineStr">
        <is>
          <t>yes</t>
        </is>
      </c>
      <c r="U930" s="5" t="inlineStr">
        <is>
          <t>yes</t>
        </is>
      </c>
      <c r="V930" s="5" t="inlineStr">
        <is>
          <t>bad</t>
        </is>
      </c>
    </row>
    <row r="931">
      <c r="A931" s="5" t="n">
        <v>926</v>
      </c>
      <c r="B931" s="5" t="inlineStr">
        <is>
          <t>&lt;0</t>
        </is>
      </c>
      <c r="C931" s="5" t="n">
        <v>12</v>
      </c>
      <c r="D931" s="5" t="inlineStr">
        <is>
          <t>all paid</t>
        </is>
      </c>
      <c r="E931" s="5" t="inlineStr">
        <is>
          <t>new car</t>
        </is>
      </c>
      <c r="F931" s="5" t="n">
        <v>697</v>
      </c>
      <c r="G931" s="5" t="inlineStr">
        <is>
          <t>&lt;100</t>
        </is>
      </c>
      <c r="H931" s="5" t="inlineStr">
        <is>
          <t>&lt;1</t>
        </is>
      </c>
      <c r="I931" s="5" t="n">
        <v>4</v>
      </c>
      <c r="J931" s="5" t="inlineStr">
        <is>
          <t>male single</t>
        </is>
      </c>
      <c r="K931" s="5" t="inlineStr">
        <is>
          <t>none</t>
        </is>
      </c>
      <c r="L931" s="5" t="n">
        <v>2</v>
      </c>
      <c r="M931" s="5" t="inlineStr">
        <is>
          <t>car</t>
        </is>
      </c>
      <c r="N931" s="5" t="n">
        <v>46</v>
      </c>
      <c r="O931" s="5" t="inlineStr">
        <is>
          <t>bank</t>
        </is>
      </c>
      <c r="P931" s="5" t="inlineStr">
        <is>
          <t>own</t>
        </is>
      </c>
      <c r="Q931" s="5" t="n">
        <v>2</v>
      </c>
      <c r="R931" s="5" t="inlineStr">
        <is>
          <t>skilled</t>
        </is>
      </c>
      <c r="S931" s="5" t="n">
        <v>1</v>
      </c>
      <c r="T931" s="5" t="inlineStr">
        <is>
          <t>yes</t>
        </is>
      </c>
      <c r="U931" s="5" t="inlineStr">
        <is>
          <t>yes</t>
        </is>
      </c>
      <c r="V931" s="5" t="inlineStr">
        <is>
          <t>bad</t>
        </is>
      </c>
    </row>
    <row r="932">
      <c r="A932" s="5" t="n">
        <v>927</v>
      </c>
      <c r="B932" s="5" t="inlineStr">
        <is>
          <t>&lt;0</t>
        </is>
      </c>
      <c r="C932" s="5" t="n">
        <v>18</v>
      </c>
      <c r="D932" s="5" t="inlineStr">
        <is>
          <t>critical/other existing credit</t>
        </is>
      </c>
      <c r="E932" s="5" t="inlineStr">
        <is>
          <t>furniture/equipment</t>
        </is>
      </c>
      <c r="F932" s="5" t="n">
        <v>1049</v>
      </c>
      <c r="G932" s="5" t="inlineStr">
        <is>
          <t>&lt;100</t>
        </is>
      </c>
      <c r="H932" s="5" t="inlineStr">
        <is>
          <t>&lt;1</t>
        </is>
      </c>
      <c r="I932" s="5" t="n">
        <v>4</v>
      </c>
      <c r="J932" s="5" t="inlineStr">
        <is>
          <t>female div/dep/mar</t>
        </is>
      </c>
      <c r="K932" s="5" t="inlineStr">
        <is>
          <t>none</t>
        </is>
      </c>
      <c r="L932" s="5" t="n">
        <v>4</v>
      </c>
      <c r="M932" s="5" t="inlineStr">
        <is>
          <t>life insurance</t>
        </is>
      </c>
      <c r="N932" s="5" t="n">
        <v>21</v>
      </c>
      <c r="O932" s="5" t="inlineStr">
        <is>
          <t>none</t>
        </is>
      </c>
      <c r="P932" s="5" t="inlineStr">
        <is>
          <t>rent</t>
        </is>
      </c>
      <c r="Q932" s="5" t="n">
        <v>1</v>
      </c>
      <c r="R932" s="5" t="inlineStr">
        <is>
          <t>skilled</t>
        </is>
      </c>
      <c r="S932" s="5" t="n">
        <v>1</v>
      </c>
      <c r="T932" s="5" t="inlineStr">
        <is>
          <t>none</t>
        </is>
      </c>
      <c r="U932" s="5" t="inlineStr">
        <is>
          <t>yes</t>
        </is>
      </c>
      <c r="V932" s="5" t="inlineStr">
        <is>
          <t>good</t>
        </is>
      </c>
    </row>
    <row r="933">
      <c r="A933" s="5" t="n">
        <v>928</v>
      </c>
      <c r="B933" s="5" t="inlineStr">
        <is>
          <t>&lt;0</t>
        </is>
      </c>
      <c r="C933" s="5" t="n">
        <v>48</v>
      </c>
      <c r="D933" s="5" t="inlineStr">
        <is>
          <t>existing paid</t>
        </is>
      </c>
      <c r="E933" s="5" t="inlineStr">
        <is>
          <t>used car</t>
        </is>
      </c>
      <c r="F933" s="5" t="n">
        <v>10297</v>
      </c>
      <c r="G933" s="5" t="inlineStr">
        <is>
          <t>&lt;100</t>
        </is>
      </c>
      <c r="H933" s="5" t="inlineStr">
        <is>
          <t>4&lt;=X&lt;7</t>
        </is>
      </c>
      <c r="I933" s="5" t="n">
        <v>4</v>
      </c>
      <c r="J933" s="5" t="inlineStr">
        <is>
          <t>male single</t>
        </is>
      </c>
      <c r="K933" s="5" t="inlineStr">
        <is>
          <t>none</t>
        </is>
      </c>
      <c r="L933" s="5" t="n">
        <v>4</v>
      </c>
      <c r="M933" s="5" t="inlineStr">
        <is>
          <t>no known property</t>
        </is>
      </c>
      <c r="N933" s="5" t="n">
        <v>39</v>
      </c>
      <c r="O933" s="5" t="inlineStr">
        <is>
          <t>stores</t>
        </is>
      </c>
      <c r="P933" s="5" t="inlineStr">
        <is>
          <t>for free</t>
        </is>
      </c>
      <c r="Q933" s="5" t="n">
        <v>3</v>
      </c>
      <c r="R933" s="5" t="inlineStr">
        <is>
          <t>skilled</t>
        </is>
      </c>
      <c r="S933" s="5" t="n">
        <v>2</v>
      </c>
      <c r="T933" s="5" t="inlineStr">
        <is>
          <t>yes</t>
        </is>
      </c>
      <c r="U933" s="5" t="inlineStr">
        <is>
          <t>yes</t>
        </is>
      </c>
      <c r="V933" s="5" t="inlineStr">
        <is>
          <t>bad</t>
        </is>
      </c>
    </row>
    <row r="934">
      <c r="A934" s="5" t="n">
        <v>929</v>
      </c>
      <c r="B934" s="5" t="inlineStr">
        <is>
          <t>no checking</t>
        </is>
      </c>
      <c r="C934" s="5" t="n">
        <v>30</v>
      </c>
      <c r="D934" s="5" t="inlineStr">
        <is>
          <t>existing paid</t>
        </is>
      </c>
      <c r="E934" s="5" t="inlineStr">
        <is>
          <t>radio/tv</t>
        </is>
      </c>
      <c r="F934" s="5" t="n">
        <v>1867</v>
      </c>
      <c r="G934" s="5" t="inlineStr">
        <is>
          <t>no known savings</t>
        </is>
      </c>
      <c r="H934" s="5" t="inlineStr">
        <is>
          <t>&gt;=7</t>
        </is>
      </c>
      <c r="I934" s="5" t="n">
        <v>4</v>
      </c>
      <c r="J934" s="5" t="inlineStr">
        <is>
          <t>male single</t>
        </is>
      </c>
      <c r="K934" s="5" t="inlineStr">
        <is>
          <t>none</t>
        </is>
      </c>
      <c r="L934" s="5" t="n">
        <v>4</v>
      </c>
      <c r="M934" s="5" t="inlineStr">
        <is>
          <t>car</t>
        </is>
      </c>
      <c r="N934" s="5" t="n">
        <v>58</v>
      </c>
      <c r="O934" s="5" t="inlineStr">
        <is>
          <t>none</t>
        </is>
      </c>
      <c r="P934" s="5" t="inlineStr">
        <is>
          <t>own</t>
        </is>
      </c>
      <c r="Q934" s="5" t="n">
        <v>1</v>
      </c>
      <c r="R934" s="5" t="inlineStr">
        <is>
          <t>skilled</t>
        </is>
      </c>
      <c r="S934" s="5" t="n">
        <v>1</v>
      </c>
      <c r="T934" s="5" t="inlineStr">
        <is>
          <t>yes</t>
        </is>
      </c>
      <c r="U934" s="5" t="inlineStr">
        <is>
          <t>yes</t>
        </is>
      </c>
      <c r="V934" s="5" t="inlineStr">
        <is>
          <t>good</t>
        </is>
      </c>
    </row>
    <row r="935">
      <c r="A935" s="5" t="n">
        <v>930</v>
      </c>
      <c r="B935" s="5" t="inlineStr">
        <is>
          <t>&lt;0</t>
        </is>
      </c>
      <c r="C935" s="5" t="n">
        <v>12</v>
      </c>
      <c r="D935" s="5" t="inlineStr">
        <is>
          <t>delayed previously</t>
        </is>
      </c>
      <c r="E935" s="5" t="inlineStr">
        <is>
          <t>new car</t>
        </is>
      </c>
      <c r="F935" s="5" t="n">
        <v>1344</v>
      </c>
      <c r="G935" s="5" t="inlineStr">
        <is>
          <t>&lt;100</t>
        </is>
      </c>
      <c r="H935" s="5" t="inlineStr">
        <is>
          <t>1&lt;=X&lt;4</t>
        </is>
      </c>
      <c r="I935" s="5" t="n">
        <v>4</v>
      </c>
      <c r="J935" s="5" t="inlineStr">
        <is>
          <t>male single</t>
        </is>
      </c>
      <c r="K935" s="5" t="inlineStr">
        <is>
          <t>none</t>
        </is>
      </c>
      <c r="L935" s="5" t="n">
        <v>2</v>
      </c>
      <c r="M935" s="5" t="inlineStr">
        <is>
          <t>real estate</t>
        </is>
      </c>
      <c r="N935" s="5" t="n">
        <v>43</v>
      </c>
      <c r="O935" s="5" t="inlineStr">
        <is>
          <t>none</t>
        </is>
      </c>
      <c r="P935" s="5" t="inlineStr">
        <is>
          <t>own</t>
        </is>
      </c>
      <c r="Q935" s="5" t="n">
        <v>2</v>
      </c>
      <c r="R935" s="5" t="inlineStr">
        <is>
          <t>unskilled resident</t>
        </is>
      </c>
      <c r="S935" s="5" t="n">
        <v>2</v>
      </c>
      <c r="T935" s="5" t="inlineStr">
        <is>
          <t>none</t>
        </is>
      </c>
      <c r="U935" s="5" t="inlineStr">
        <is>
          <t>yes</t>
        </is>
      </c>
      <c r="V935" s="5" t="inlineStr">
        <is>
          <t>good</t>
        </is>
      </c>
    </row>
    <row r="936">
      <c r="A936" s="5" t="n">
        <v>931</v>
      </c>
      <c r="B936" s="5" t="inlineStr">
        <is>
          <t>&lt;0</t>
        </is>
      </c>
      <c r="C936" s="5" t="n">
        <v>24</v>
      </c>
      <c r="D936" s="5" t="inlineStr">
        <is>
          <t>existing paid</t>
        </is>
      </c>
      <c r="E936" s="5" t="inlineStr">
        <is>
          <t>furniture/equipment</t>
        </is>
      </c>
      <c r="F936" s="5" t="n">
        <v>1747</v>
      </c>
      <c r="G936" s="5" t="inlineStr">
        <is>
          <t>&lt;100</t>
        </is>
      </c>
      <c r="H936" s="5" t="inlineStr">
        <is>
          <t>&lt;1</t>
        </is>
      </c>
      <c r="I936" s="5" t="n">
        <v>4</v>
      </c>
      <c r="J936" s="5" t="inlineStr">
        <is>
          <t>male single</t>
        </is>
      </c>
      <c r="K936" s="5" t="inlineStr">
        <is>
          <t>co applicant</t>
        </is>
      </c>
      <c r="L936" s="5" t="n">
        <v>1</v>
      </c>
      <c r="M936" s="5" t="inlineStr">
        <is>
          <t>life insurance</t>
        </is>
      </c>
      <c r="N936" s="5" t="n">
        <v>24</v>
      </c>
      <c r="O936" s="5" t="inlineStr">
        <is>
          <t>none</t>
        </is>
      </c>
      <c r="P936" s="5" t="inlineStr">
        <is>
          <t>own</t>
        </is>
      </c>
      <c r="Q936" s="5" t="n">
        <v>1</v>
      </c>
      <c r="R936" s="5" t="inlineStr">
        <is>
          <t>unskilled resident</t>
        </is>
      </c>
      <c r="S936" s="5" t="n">
        <v>1</v>
      </c>
      <c r="T936" s="5" t="inlineStr">
        <is>
          <t>none</t>
        </is>
      </c>
      <c r="U936" s="5" t="inlineStr">
        <is>
          <t>no</t>
        </is>
      </c>
      <c r="V936" s="5" t="inlineStr">
        <is>
          <t>good</t>
        </is>
      </c>
    </row>
    <row r="937">
      <c r="A937" s="5" t="n">
        <v>932</v>
      </c>
      <c r="B937" s="5" t="inlineStr">
        <is>
          <t>0&lt;=X&lt;200</t>
        </is>
      </c>
      <c r="C937" s="5" t="n">
        <v>9</v>
      </c>
      <c r="D937" s="5" t="inlineStr">
        <is>
          <t>existing paid</t>
        </is>
      </c>
      <c r="E937" s="5" t="inlineStr">
        <is>
          <t>radio/tv</t>
        </is>
      </c>
      <c r="F937" s="5" t="n">
        <v>1670</v>
      </c>
      <c r="G937" s="5" t="inlineStr">
        <is>
          <t>&lt;100</t>
        </is>
      </c>
      <c r="H937" s="5" t="inlineStr">
        <is>
          <t>&lt;1</t>
        </is>
      </c>
      <c r="I937" s="5" t="n">
        <v>4</v>
      </c>
      <c r="J937" s="5" t="inlineStr">
        <is>
          <t>female div/dep/mar</t>
        </is>
      </c>
      <c r="K937" s="5" t="inlineStr">
        <is>
          <t>none</t>
        </is>
      </c>
      <c r="L937" s="5" t="n">
        <v>2</v>
      </c>
      <c r="M937" s="5" t="inlineStr">
        <is>
          <t>car</t>
        </is>
      </c>
      <c r="N937" s="5" t="n">
        <v>22</v>
      </c>
      <c r="O937" s="5" t="inlineStr">
        <is>
          <t>none</t>
        </is>
      </c>
      <c r="P937" s="5" t="inlineStr">
        <is>
          <t>own</t>
        </is>
      </c>
      <c r="Q937" s="5" t="n">
        <v>1</v>
      </c>
      <c r="R937" s="5" t="inlineStr">
        <is>
          <t>skilled</t>
        </is>
      </c>
      <c r="S937" s="5" t="n">
        <v>1</v>
      </c>
      <c r="T937" s="5" t="inlineStr">
        <is>
          <t>yes</t>
        </is>
      </c>
      <c r="U937" s="5" t="inlineStr">
        <is>
          <t>yes</t>
        </is>
      </c>
      <c r="V937" s="5" t="inlineStr">
        <is>
          <t>bad</t>
        </is>
      </c>
    </row>
    <row r="938">
      <c r="A938" s="5" t="n">
        <v>933</v>
      </c>
      <c r="B938" s="5" t="inlineStr">
        <is>
          <t>no checking</t>
        </is>
      </c>
      <c r="C938" s="5" t="n">
        <v>9</v>
      </c>
      <c r="D938" s="5" t="inlineStr">
        <is>
          <t>critical/other existing credit</t>
        </is>
      </c>
      <c r="E938" s="5" t="inlineStr">
        <is>
          <t>new car</t>
        </is>
      </c>
      <c r="F938" s="5" t="n">
        <v>1224</v>
      </c>
      <c r="G938" s="5" t="inlineStr">
        <is>
          <t>&lt;100</t>
        </is>
      </c>
      <c r="H938" s="5" t="inlineStr">
        <is>
          <t>1&lt;=X&lt;4</t>
        </is>
      </c>
      <c r="I938" s="5" t="n">
        <v>3</v>
      </c>
      <c r="J938" s="5" t="inlineStr">
        <is>
          <t>male single</t>
        </is>
      </c>
      <c r="K938" s="5" t="inlineStr">
        <is>
          <t>none</t>
        </is>
      </c>
      <c r="L938" s="5" t="n">
        <v>1</v>
      </c>
      <c r="M938" s="5" t="inlineStr">
        <is>
          <t>real estate</t>
        </is>
      </c>
      <c r="N938" s="5" t="n">
        <v>30</v>
      </c>
      <c r="O938" s="5" t="inlineStr">
        <is>
          <t>none</t>
        </is>
      </c>
      <c r="P938" s="5" t="inlineStr">
        <is>
          <t>own</t>
        </is>
      </c>
      <c r="Q938" s="5" t="n">
        <v>2</v>
      </c>
      <c r="R938" s="5" t="inlineStr">
        <is>
          <t>skilled</t>
        </is>
      </c>
      <c r="S938" s="5" t="n">
        <v>1</v>
      </c>
      <c r="T938" s="5" t="inlineStr">
        <is>
          <t>none</t>
        </is>
      </c>
      <c r="U938" s="5" t="inlineStr">
        <is>
          <t>yes</t>
        </is>
      </c>
      <c r="V938" s="5" t="inlineStr">
        <is>
          <t>good</t>
        </is>
      </c>
    </row>
    <row r="939">
      <c r="A939" s="5" t="n">
        <v>934</v>
      </c>
      <c r="B939" s="5" t="inlineStr">
        <is>
          <t>no checking</t>
        </is>
      </c>
      <c r="C939" s="5" t="n">
        <v>12</v>
      </c>
      <c r="D939" s="5" t="inlineStr">
        <is>
          <t>critical/other existing credit</t>
        </is>
      </c>
      <c r="E939" s="5" t="inlineStr">
        <is>
          <t>radio/tv</t>
        </is>
      </c>
      <c r="F939" s="5" t="n">
        <v>522</v>
      </c>
      <c r="G939" s="5" t="inlineStr">
        <is>
          <t>500&lt;=X&lt;1000</t>
        </is>
      </c>
      <c r="H939" s="5" t="inlineStr">
        <is>
          <t>&gt;=7</t>
        </is>
      </c>
      <c r="I939" s="5" t="n">
        <v>4</v>
      </c>
      <c r="J939" s="5" t="inlineStr">
        <is>
          <t>male single</t>
        </is>
      </c>
      <c r="K939" s="5" t="inlineStr">
        <is>
          <t>none</t>
        </is>
      </c>
      <c r="L939" s="5" t="n">
        <v>4</v>
      </c>
      <c r="M939" s="5" t="inlineStr">
        <is>
          <t>life insurance</t>
        </is>
      </c>
      <c r="N939" s="5" t="n">
        <v>42</v>
      </c>
      <c r="O939" s="5" t="inlineStr">
        <is>
          <t>none</t>
        </is>
      </c>
      <c r="P939" s="5" t="inlineStr">
        <is>
          <t>own</t>
        </is>
      </c>
      <c r="Q939" s="5" t="n">
        <v>2</v>
      </c>
      <c r="R939" s="5" t="inlineStr">
        <is>
          <t>skilled</t>
        </is>
      </c>
      <c r="S939" s="5" t="n">
        <v>2</v>
      </c>
      <c r="T939" s="5" t="inlineStr">
        <is>
          <t>yes</t>
        </is>
      </c>
      <c r="U939" s="5" t="inlineStr">
        <is>
          <t>yes</t>
        </is>
      </c>
      <c r="V939" s="5" t="inlineStr">
        <is>
          <t>good</t>
        </is>
      </c>
    </row>
    <row r="940">
      <c r="A940" s="5" t="n">
        <v>935</v>
      </c>
      <c r="B940" s="5" t="inlineStr">
        <is>
          <t>&lt;0</t>
        </is>
      </c>
      <c r="C940" s="5" t="n">
        <v>12</v>
      </c>
      <c r="D940" s="5" t="inlineStr">
        <is>
          <t>existing paid</t>
        </is>
      </c>
      <c r="E940" s="5" t="inlineStr">
        <is>
          <t>radio/tv</t>
        </is>
      </c>
      <c r="F940" s="5" t="n">
        <v>1498</v>
      </c>
      <c r="G940" s="5" t="inlineStr">
        <is>
          <t>&lt;100</t>
        </is>
      </c>
      <c r="H940" s="5" t="inlineStr">
        <is>
          <t>1&lt;=X&lt;4</t>
        </is>
      </c>
      <c r="I940" s="5" t="n">
        <v>4</v>
      </c>
      <c r="J940" s="5" t="inlineStr">
        <is>
          <t>female div/dep/mar</t>
        </is>
      </c>
      <c r="K940" s="5" t="inlineStr">
        <is>
          <t>none</t>
        </is>
      </c>
      <c r="L940" s="5" t="n">
        <v>1</v>
      </c>
      <c r="M940" s="5" t="inlineStr">
        <is>
          <t>car</t>
        </is>
      </c>
      <c r="N940" s="5" t="n">
        <v>23</v>
      </c>
      <c r="O940" s="5" t="inlineStr">
        <is>
          <t>bank</t>
        </is>
      </c>
      <c r="P940" s="5" t="inlineStr">
        <is>
          <t>own</t>
        </is>
      </c>
      <c r="Q940" s="5" t="n">
        <v>1</v>
      </c>
      <c r="R940" s="5" t="inlineStr">
        <is>
          <t>skilled</t>
        </is>
      </c>
      <c r="S940" s="5" t="n">
        <v>1</v>
      </c>
      <c r="T940" s="5" t="inlineStr">
        <is>
          <t>none</t>
        </is>
      </c>
      <c r="U940" s="5" t="inlineStr">
        <is>
          <t>yes</t>
        </is>
      </c>
      <c r="V940" s="5" t="inlineStr">
        <is>
          <t>good</t>
        </is>
      </c>
    </row>
    <row r="941">
      <c r="A941" s="5" t="n">
        <v>936</v>
      </c>
      <c r="B941" s="5" t="inlineStr">
        <is>
          <t>0&lt;=X&lt;200</t>
        </is>
      </c>
      <c r="C941" s="5" t="n">
        <v>30</v>
      </c>
      <c r="D941" s="5" t="inlineStr">
        <is>
          <t>delayed previously</t>
        </is>
      </c>
      <c r="E941" s="5" t="inlineStr">
        <is>
          <t>radio/tv</t>
        </is>
      </c>
      <c r="F941" s="5" t="n">
        <v>1919</v>
      </c>
      <c r="G941" s="5" t="inlineStr">
        <is>
          <t>100&lt;=X&lt;500</t>
        </is>
      </c>
      <c r="H941" s="5" t="inlineStr">
        <is>
          <t>&lt;1</t>
        </is>
      </c>
      <c r="I941" s="5" t="n">
        <v>4</v>
      </c>
      <c r="J941" s="5" t="inlineStr">
        <is>
          <t>male single</t>
        </is>
      </c>
      <c r="K941" s="5" t="inlineStr">
        <is>
          <t>none</t>
        </is>
      </c>
      <c r="L941" s="5" t="n">
        <v>3</v>
      </c>
      <c r="M941" s="5" t="inlineStr">
        <is>
          <t>no known property</t>
        </is>
      </c>
      <c r="N941" s="5" t="n">
        <v>30</v>
      </c>
      <c r="O941" s="5" t="inlineStr">
        <is>
          <t>stores</t>
        </is>
      </c>
      <c r="P941" s="5" t="inlineStr">
        <is>
          <t>own</t>
        </is>
      </c>
      <c r="Q941" s="5" t="n">
        <v>2</v>
      </c>
      <c r="R941" s="5" t="inlineStr">
        <is>
          <t>high qualif/self emp/mgmt</t>
        </is>
      </c>
      <c r="S941" s="5" t="n">
        <v>1</v>
      </c>
      <c r="T941" s="5" t="inlineStr">
        <is>
          <t>none</t>
        </is>
      </c>
      <c r="U941" s="5" t="inlineStr">
        <is>
          <t>yes</t>
        </is>
      </c>
      <c r="V941" s="5" t="inlineStr">
        <is>
          <t>bad</t>
        </is>
      </c>
    </row>
    <row r="942">
      <c r="A942" s="5" t="n">
        <v>937</v>
      </c>
      <c r="B942" s="5" t="inlineStr">
        <is>
          <t>&gt;=200</t>
        </is>
      </c>
      <c r="C942" s="5" t="n">
        <v>9</v>
      </c>
      <c r="D942" s="5" t="inlineStr">
        <is>
          <t>existing paid</t>
        </is>
      </c>
      <c r="E942" s="5" t="inlineStr">
        <is>
          <t>radio/tv</t>
        </is>
      </c>
      <c r="F942" s="5" t="n">
        <v>745</v>
      </c>
      <c r="G942" s="5" t="inlineStr">
        <is>
          <t>&lt;100</t>
        </is>
      </c>
      <c r="H942" s="5" t="inlineStr">
        <is>
          <t>1&lt;=X&lt;4</t>
        </is>
      </c>
      <c r="I942" s="5" t="n">
        <v>3</v>
      </c>
      <c r="J942" s="5" t="inlineStr">
        <is>
          <t>female div/dep/mar</t>
        </is>
      </c>
      <c r="K942" s="5" t="inlineStr">
        <is>
          <t>none</t>
        </is>
      </c>
      <c r="L942" s="5" t="n">
        <v>2</v>
      </c>
      <c r="M942" s="5" t="inlineStr">
        <is>
          <t>real estate</t>
        </is>
      </c>
      <c r="N942" s="5" t="n">
        <v>28</v>
      </c>
      <c r="O942" s="5" t="inlineStr">
        <is>
          <t>none</t>
        </is>
      </c>
      <c r="P942" s="5" t="inlineStr">
        <is>
          <t>own</t>
        </is>
      </c>
      <c r="Q942" s="5" t="n">
        <v>1</v>
      </c>
      <c r="R942" s="5" t="inlineStr">
        <is>
          <t>unskilled resident</t>
        </is>
      </c>
      <c r="S942" s="5" t="n">
        <v>1</v>
      </c>
      <c r="T942" s="5" t="inlineStr">
        <is>
          <t>none</t>
        </is>
      </c>
      <c r="U942" s="5" t="inlineStr">
        <is>
          <t>yes</t>
        </is>
      </c>
      <c r="V942" s="5" t="inlineStr">
        <is>
          <t>bad</t>
        </is>
      </c>
    </row>
    <row r="943">
      <c r="A943" s="5" t="n">
        <v>938</v>
      </c>
      <c r="B943" s="5" t="inlineStr">
        <is>
          <t>0&lt;=X&lt;200</t>
        </is>
      </c>
      <c r="C943" s="5" t="n">
        <v>6</v>
      </c>
      <c r="D943" s="5" t="inlineStr">
        <is>
          <t>existing paid</t>
        </is>
      </c>
      <c r="E943" s="5" t="inlineStr">
        <is>
          <t>radio/tv</t>
        </is>
      </c>
      <c r="F943" s="5" t="n">
        <v>2063</v>
      </c>
      <c r="G943" s="5" t="inlineStr">
        <is>
          <t>&lt;100</t>
        </is>
      </c>
      <c r="H943" s="5" t="inlineStr">
        <is>
          <t>&lt;1</t>
        </is>
      </c>
      <c r="I943" s="5" t="n">
        <v>4</v>
      </c>
      <c r="J943" s="5" t="inlineStr">
        <is>
          <t>male mar/wid</t>
        </is>
      </c>
      <c r="K943" s="5" t="inlineStr">
        <is>
          <t>none</t>
        </is>
      </c>
      <c r="L943" s="5" t="n">
        <v>3</v>
      </c>
      <c r="M943" s="5" t="inlineStr">
        <is>
          <t>car</t>
        </is>
      </c>
      <c r="N943" s="5" t="n">
        <v>30</v>
      </c>
      <c r="O943" s="5" t="inlineStr">
        <is>
          <t>none</t>
        </is>
      </c>
      <c r="P943" s="5" t="inlineStr">
        <is>
          <t>rent</t>
        </is>
      </c>
      <c r="Q943" s="5" t="n">
        <v>1</v>
      </c>
      <c r="R943" s="5" t="inlineStr">
        <is>
          <t>high qualif/self emp/mgmt</t>
        </is>
      </c>
      <c r="S943" s="5" t="n">
        <v>1</v>
      </c>
      <c r="T943" s="5" t="inlineStr">
        <is>
          <t>yes</t>
        </is>
      </c>
      <c r="U943" s="5" t="inlineStr">
        <is>
          <t>yes</t>
        </is>
      </c>
      <c r="V943" s="5" t="inlineStr">
        <is>
          <t>good</t>
        </is>
      </c>
    </row>
    <row r="944">
      <c r="A944" s="5" t="n">
        <v>939</v>
      </c>
      <c r="B944" s="5" t="inlineStr">
        <is>
          <t>0&lt;=X&lt;200</t>
        </is>
      </c>
      <c r="C944" s="5" t="n">
        <v>60</v>
      </c>
      <c r="D944" s="5" t="inlineStr">
        <is>
          <t>existing paid</t>
        </is>
      </c>
      <c r="E944" s="5" t="inlineStr">
        <is>
          <t>education</t>
        </is>
      </c>
      <c r="F944" s="5" t="n">
        <v>6288</v>
      </c>
      <c r="G944" s="5" t="inlineStr">
        <is>
          <t>&lt;100</t>
        </is>
      </c>
      <c r="H944" s="5" t="inlineStr">
        <is>
          <t>1&lt;=X&lt;4</t>
        </is>
      </c>
      <c r="I944" s="5" t="n">
        <v>4</v>
      </c>
      <c r="J944" s="5" t="inlineStr">
        <is>
          <t>male single</t>
        </is>
      </c>
      <c r="K944" s="5" t="inlineStr">
        <is>
          <t>none</t>
        </is>
      </c>
      <c r="L944" s="5" t="n">
        <v>4</v>
      </c>
      <c r="M944" s="5" t="inlineStr">
        <is>
          <t>no known property</t>
        </is>
      </c>
      <c r="N944" s="5" t="n">
        <v>42</v>
      </c>
      <c r="O944" s="5" t="inlineStr">
        <is>
          <t>none</t>
        </is>
      </c>
      <c r="P944" s="5" t="inlineStr">
        <is>
          <t>for free</t>
        </is>
      </c>
      <c r="Q944" s="5" t="n">
        <v>1</v>
      </c>
      <c r="R944" s="5" t="inlineStr">
        <is>
          <t>skilled</t>
        </is>
      </c>
      <c r="S944" s="5" t="n">
        <v>1</v>
      </c>
      <c r="T944" s="5" t="inlineStr">
        <is>
          <t>none</t>
        </is>
      </c>
      <c r="U944" s="5" t="inlineStr">
        <is>
          <t>yes</t>
        </is>
      </c>
      <c r="V944" s="5" t="inlineStr">
        <is>
          <t>bad</t>
        </is>
      </c>
    </row>
    <row r="945">
      <c r="A945" s="5" t="n">
        <v>940</v>
      </c>
      <c r="B945" s="5" t="inlineStr">
        <is>
          <t>no checking</t>
        </is>
      </c>
      <c r="C945" s="5" t="n">
        <v>24</v>
      </c>
      <c r="D945" s="5" t="inlineStr">
        <is>
          <t>critical/other existing credit</t>
        </is>
      </c>
      <c r="E945" s="5" t="inlineStr">
        <is>
          <t>used car</t>
        </is>
      </c>
      <c r="F945" s="5" t="n">
        <v>6842</v>
      </c>
      <c r="G945" s="5" t="inlineStr">
        <is>
          <t>no known savings</t>
        </is>
      </c>
      <c r="H945" s="5" t="inlineStr">
        <is>
          <t>1&lt;=X&lt;4</t>
        </is>
      </c>
      <c r="I945" s="5" t="n">
        <v>2</v>
      </c>
      <c r="J945" s="5" t="inlineStr">
        <is>
          <t>male single</t>
        </is>
      </c>
      <c r="K945" s="5" t="inlineStr">
        <is>
          <t>none</t>
        </is>
      </c>
      <c r="L945" s="5" t="n">
        <v>4</v>
      </c>
      <c r="M945" s="5" t="inlineStr">
        <is>
          <t>life insurance</t>
        </is>
      </c>
      <c r="N945" s="5" t="n">
        <v>46</v>
      </c>
      <c r="O945" s="5" t="inlineStr">
        <is>
          <t>none</t>
        </is>
      </c>
      <c r="P945" s="5" t="inlineStr">
        <is>
          <t>own</t>
        </is>
      </c>
      <c r="Q945" s="5" t="n">
        <v>2</v>
      </c>
      <c r="R945" s="5" t="inlineStr">
        <is>
          <t>high qualif/self emp/mgmt</t>
        </is>
      </c>
      <c r="S945" s="5" t="n">
        <v>2</v>
      </c>
      <c r="T945" s="5" t="inlineStr">
        <is>
          <t>yes</t>
        </is>
      </c>
      <c r="U945" s="5" t="inlineStr">
        <is>
          <t>yes</t>
        </is>
      </c>
      <c r="V945" s="5" t="inlineStr">
        <is>
          <t>good</t>
        </is>
      </c>
    </row>
    <row r="946">
      <c r="A946" s="5" t="n">
        <v>941</v>
      </c>
      <c r="B946" s="5" t="inlineStr">
        <is>
          <t>no checking</t>
        </is>
      </c>
      <c r="C946" s="5" t="n">
        <v>12</v>
      </c>
      <c r="D946" s="5" t="inlineStr">
        <is>
          <t>existing paid</t>
        </is>
      </c>
      <c r="E946" s="5" t="inlineStr">
        <is>
          <t>new car</t>
        </is>
      </c>
      <c r="F946" s="5" t="n">
        <v>3527</v>
      </c>
      <c r="G946" s="5" t="inlineStr">
        <is>
          <t>no known savings</t>
        </is>
      </c>
      <c r="H946" s="5" t="inlineStr">
        <is>
          <t>&lt;1</t>
        </is>
      </c>
      <c r="I946" s="5" t="n">
        <v>2</v>
      </c>
      <c r="J946" s="5" t="inlineStr">
        <is>
          <t>male single</t>
        </is>
      </c>
      <c r="K946" s="5" t="inlineStr">
        <is>
          <t>none</t>
        </is>
      </c>
      <c r="L946" s="5" t="n">
        <v>3</v>
      </c>
      <c r="M946" s="5" t="inlineStr">
        <is>
          <t>life insurance</t>
        </is>
      </c>
      <c r="N946" s="5" t="n">
        <v>45</v>
      </c>
      <c r="O946" s="5" t="inlineStr">
        <is>
          <t>none</t>
        </is>
      </c>
      <c r="P946" s="5" t="inlineStr">
        <is>
          <t>own</t>
        </is>
      </c>
      <c r="Q946" s="5" t="n">
        <v>1</v>
      </c>
      <c r="R946" s="5" t="inlineStr">
        <is>
          <t>high qualif/self emp/mgmt</t>
        </is>
      </c>
      <c r="S946" s="5" t="n">
        <v>2</v>
      </c>
      <c r="T946" s="5" t="inlineStr">
        <is>
          <t>yes</t>
        </is>
      </c>
      <c r="U946" s="5" t="inlineStr">
        <is>
          <t>yes</t>
        </is>
      </c>
      <c r="V946" s="5" t="inlineStr">
        <is>
          <t>good</t>
        </is>
      </c>
    </row>
    <row r="947">
      <c r="A947" s="5" t="n">
        <v>942</v>
      </c>
      <c r="B947" s="5" t="inlineStr">
        <is>
          <t>no checking</t>
        </is>
      </c>
      <c r="C947" s="5" t="n">
        <v>10</v>
      </c>
      <c r="D947" s="5" t="inlineStr">
        <is>
          <t>existing paid</t>
        </is>
      </c>
      <c r="E947" s="5" t="inlineStr">
        <is>
          <t>new car</t>
        </is>
      </c>
      <c r="F947" s="5" t="n">
        <v>1546</v>
      </c>
      <c r="G947" s="5" t="inlineStr">
        <is>
          <t>&lt;100</t>
        </is>
      </c>
      <c r="H947" s="5" t="inlineStr">
        <is>
          <t>1&lt;=X&lt;4</t>
        </is>
      </c>
      <c r="I947" s="5" t="n">
        <v>3</v>
      </c>
      <c r="J947" s="5" t="inlineStr">
        <is>
          <t>male single</t>
        </is>
      </c>
      <c r="K947" s="5" t="inlineStr">
        <is>
          <t>none</t>
        </is>
      </c>
      <c r="L947" s="5" t="n">
        <v>2</v>
      </c>
      <c r="M947" s="5" t="inlineStr">
        <is>
          <t>real estate</t>
        </is>
      </c>
      <c r="N947" s="5" t="n">
        <v>31</v>
      </c>
      <c r="O947" s="5" t="inlineStr">
        <is>
          <t>none</t>
        </is>
      </c>
      <c r="P947" s="5" t="inlineStr">
        <is>
          <t>own</t>
        </is>
      </c>
      <c r="Q947" s="5" t="n">
        <v>1</v>
      </c>
      <c r="R947" s="5" t="inlineStr">
        <is>
          <t>unskilled resident</t>
        </is>
      </c>
      <c r="S947" s="5" t="n">
        <v>2</v>
      </c>
      <c r="T947" s="5" t="inlineStr">
        <is>
          <t>none</t>
        </is>
      </c>
      <c r="U947" s="5" t="inlineStr">
        <is>
          <t>no</t>
        </is>
      </c>
      <c r="V947" s="5" t="inlineStr">
        <is>
          <t>good</t>
        </is>
      </c>
    </row>
    <row r="948">
      <c r="A948" s="5" t="n">
        <v>943</v>
      </c>
      <c r="B948" s="5" t="inlineStr">
        <is>
          <t>no checking</t>
        </is>
      </c>
      <c r="C948" s="5" t="n">
        <v>24</v>
      </c>
      <c r="D948" s="5" t="inlineStr">
        <is>
          <t>existing paid</t>
        </is>
      </c>
      <c r="E948" s="5" t="inlineStr">
        <is>
          <t>furniture/equipment</t>
        </is>
      </c>
      <c r="F948" s="5" t="n">
        <v>929</v>
      </c>
      <c r="G948" s="5" t="inlineStr">
        <is>
          <t>no known savings</t>
        </is>
      </c>
      <c r="H948" s="5" t="inlineStr">
        <is>
          <t>4&lt;=X&lt;7</t>
        </is>
      </c>
      <c r="I948" s="5" t="n">
        <v>4</v>
      </c>
      <c r="J948" s="5" t="inlineStr">
        <is>
          <t>male single</t>
        </is>
      </c>
      <c r="K948" s="5" t="inlineStr">
        <is>
          <t>none</t>
        </is>
      </c>
      <c r="L948" s="5" t="n">
        <v>2</v>
      </c>
      <c r="M948" s="5" t="inlineStr">
        <is>
          <t>car</t>
        </is>
      </c>
      <c r="N948" s="5" t="n">
        <v>31</v>
      </c>
      <c r="O948" s="5" t="inlineStr">
        <is>
          <t>stores</t>
        </is>
      </c>
      <c r="P948" s="5" t="inlineStr">
        <is>
          <t>own</t>
        </is>
      </c>
      <c r="Q948" s="5" t="n">
        <v>1</v>
      </c>
      <c r="R948" s="5" t="inlineStr">
        <is>
          <t>skilled</t>
        </is>
      </c>
      <c r="S948" s="5" t="n">
        <v>1</v>
      </c>
      <c r="T948" s="5" t="inlineStr">
        <is>
          <t>yes</t>
        </is>
      </c>
      <c r="U948" s="5" t="inlineStr">
        <is>
          <t>yes</t>
        </is>
      </c>
      <c r="V948" s="5" t="inlineStr">
        <is>
          <t>good</t>
        </is>
      </c>
    </row>
    <row r="949">
      <c r="A949" s="5" t="n">
        <v>944</v>
      </c>
      <c r="B949" s="5" t="inlineStr">
        <is>
          <t>no checking</t>
        </is>
      </c>
      <c r="C949" s="5" t="n">
        <v>4</v>
      </c>
      <c r="D949" s="5" t="inlineStr">
        <is>
          <t>critical/other existing credit</t>
        </is>
      </c>
      <c r="E949" s="5" t="inlineStr">
        <is>
          <t>new car</t>
        </is>
      </c>
      <c r="F949" s="5" t="n">
        <v>1455</v>
      </c>
      <c r="G949" s="5" t="inlineStr">
        <is>
          <t>&lt;100</t>
        </is>
      </c>
      <c r="H949" s="5" t="inlineStr">
        <is>
          <t>4&lt;=X&lt;7</t>
        </is>
      </c>
      <c r="I949" s="5" t="n">
        <v>2</v>
      </c>
      <c r="J949" s="5" t="inlineStr">
        <is>
          <t>male single</t>
        </is>
      </c>
      <c r="K949" s="5" t="inlineStr">
        <is>
          <t>none</t>
        </is>
      </c>
      <c r="L949" s="5" t="n">
        <v>1</v>
      </c>
      <c r="M949" s="5" t="inlineStr">
        <is>
          <t>real estate</t>
        </is>
      </c>
      <c r="N949" s="5" t="n">
        <v>42</v>
      </c>
      <c r="O949" s="5" t="inlineStr">
        <is>
          <t>none</t>
        </is>
      </c>
      <c r="P949" s="5" t="inlineStr">
        <is>
          <t>own</t>
        </is>
      </c>
      <c r="Q949" s="5" t="n">
        <v>3</v>
      </c>
      <c r="R949" s="5" t="inlineStr">
        <is>
          <t>unskilled resident</t>
        </is>
      </c>
      <c r="S949" s="5" t="n">
        <v>2</v>
      </c>
      <c r="T949" s="5" t="inlineStr">
        <is>
          <t>none</t>
        </is>
      </c>
      <c r="U949" s="5" t="inlineStr">
        <is>
          <t>yes</t>
        </is>
      </c>
      <c r="V949" s="5" t="inlineStr">
        <is>
          <t>good</t>
        </is>
      </c>
    </row>
    <row r="950">
      <c r="A950" s="5" t="n">
        <v>945</v>
      </c>
      <c r="B950" s="5" t="inlineStr">
        <is>
          <t>&lt;0</t>
        </is>
      </c>
      <c r="C950" s="5" t="n">
        <v>15</v>
      </c>
      <c r="D950" s="5" t="inlineStr">
        <is>
          <t>existing paid</t>
        </is>
      </c>
      <c r="E950" s="5" t="inlineStr">
        <is>
          <t>furniture/equipment</t>
        </is>
      </c>
      <c r="F950" s="5" t="n">
        <v>1845</v>
      </c>
      <c r="G950" s="5" t="inlineStr">
        <is>
          <t>&lt;100</t>
        </is>
      </c>
      <c r="H950" s="5" t="inlineStr">
        <is>
          <t>&lt;1</t>
        </is>
      </c>
      <c r="I950" s="5" t="n">
        <v>4</v>
      </c>
      <c r="J950" s="5" t="inlineStr">
        <is>
          <t>female div/dep/mar</t>
        </is>
      </c>
      <c r="K950" s="5" t="inlineStr">
        <is>
          <t>guarantor</t>
        </is>
      </c>
      <c r="L950" s="5" t="n">
        <v>1</v>
      </c>
      <c r="M950" s="5" t="inlineStr">
        <is>
          <t>life insurance</t>
        </is>
      </c>
      <c r="N950" s="5" t="n">
        <v>46</v>
      </c>
      <c r="O950" s="5" t="inlineStr">
        <is>
          <t>none</t>
        </is>
      </c>
      <c r="P950" s="5" t="inlineStr">
        <is>
          <t>rent</t>
        </is>
      </c>
      <c r="Q950" s="5" t="n">
        <v>1</v>
      </c>
      <c r="R950" s="5" t="inlineStr">
        <is>
          <t>skilled</t>
        </is>
      </c>
      <c r="S950" s="5" t="n">
        <v>1</v>
      </c>
      <c r="T950" s="5" t="inlineStr">
        <is>
          <t>none</t>
        </is>
      </c>
      <c r="U950" s="5" t="inlineStr">
        <is>
          <t>yes</t>
        </is>
      </c>
      <c r="V950" s="5" t="inlineStr">
        <is>
          <t>good</t>
        </is>
      </c>
    </row>
    <row r="951">
      <c r="A951" s="5" t="n">
        <v>946</v>
      </c>
      <c r="B951" s="5" t="inlineStr">
        <is>
          <t>0&lt;=X&lt;200</t>
        </is>
      </c>
      <c r="C951" s="5" t="n">
        <v>48</v>
      </c>
      <c r="D951" s="5" t="inlineStr">
        <is>
          <t>no credits/all paid</t>
        </is>
      </c>
      <c r="E951" s="5" t="inlineStr">
        <is>
          <t>new car</t>
        </is>
      </c>
      <c r="F951" s="5" t="n">
        <v>8358</v>
      </c>
      <c r="G951" s="5" t="inlineStr">
        <is>
          <t>500&lt;=X&lt;1000</t>
        </is>
      </c>
      <c r="H951" s="5" t="inlineStr">
        <is>
          <t>&lt;1</t>
        </is>
      </c>
      <c r="I951" s="5" t="n">
        <v>1</v>
      </c>
      <c r="J951" s="5" t="inlineStr">
        <is>
          <t>female div/dep/mar</t>
        </is>
      </c>
      <c r="K951" s="5" t="inlineStr">
        <is>
          <t>none</t>
        </is>
      </c>
      <c r="L951" s="5" t="n">
        <v>1</v>
      </c>
      <c r="M951" s="5" t="inlineStr">
        <is>
          <t>car</t>
        </is>
      </c>
      <c r="N951" s="5" t="n">
        <v>30</v>
      </c>
      <c r="O951" s="5" t="inlineStr">
        <is>
          <t>none</t>
        </is>
      </c>
      <c r="P951" s="5" t="inlineStr">
        <is>
          <t>own</t>
        </is>
      </c>
      <c r="Q951" s="5" t="n">
        <v>2</v>
      </c>
      <c r="R951" s="5" t="inlineStr">
        <is>
          <t>skilled</t>
        </is>
      </c>
      <c r="S951" s="5" t="n">
        <v>1</v>
      </c>
      <c r="T951" s="5" t="inlineStr">
        <is>
          <t>none</t>
        </is>
      </c>
      <c r="U951" s="5" t="inlineStr">
        <is>
          <t>yes</t>
        </is>
      </c>
      <c r="V951" s="5" t="inlineStr">
        <is>
          <t>good</t>
        </is>
      </c>
    </row>
    <row r="952">
      <c r="A952" s="5" t="n">
        <v>947</v>
      </c>
      <c r="B952" s="5" t="inlineStr">
        <is>
          <t>&lt;0</t>
        </is>
      </c>
      <c r="C952" s="5" t="n">
        <v>24</v>
      </c>
      <c r="D952" s="5" t="inlineStr">
        <is>
          <t>all paid</t>
        </is>
      </c>
      <c r="E952" s="5" t="inlineStr">
        <is>
          <t>furniture/equipment</t>
        </is>
      </c>
      <c r="F952" s="5" t="n">
        <v>3349</v>
      </c>
      <c r="G952" s="5" t="inlineStr">
        <is>
          <t>500&lt;=X&lt;1000</t>
        </is>
      </c>
      <c r="H952" s="5" t="inlineStr">
        <is>
          <t>&lt;1</t>
        </is>
      </c>
      <c r="I952" s="5" t="n">
        <v>4</v>
      </c>
      <c r="J952" s="5" t="inlineStr">
        <is>
          <t>male single</t>
        </is>
      </c>
      <c r="K952" s="5" t="inlineStr">
        <is>
          <t>none</t>
        </is>
      </c>
      <c r="L952" s="5" t="n">
        <v>4</v>
      </c>
      <c r="M952" s="5" t="inlineStr">
        <is>
          <t>no known property</t>
        </is>
      </c>
      <c r="N952" s="5" t="n">
        <v>30</v>
      </c>
      <c r="O952" s="5" t="inlineStr">
        <is>
          <t>none</t>
        </is>
      </c>
      <c r="P952" s="5" t="inlineStr">
        <is>
          <t>for free</t>
        </is>
      </c>
      <c r="Q952" s="5" t="n">
        <v>1</v>
      </c>
      <c r="R952" s="5" t="inlineStr">
        <is>
          <t>skilled</t>
        </is>
      </c>
      <c r="S952" s="5" t="n">
        <v>2</v>
      </c>
      <c r="T952" s="5" t="inlineStr">
        <is>
          <t>yes</t>
        </is>
      </c>
      <c r="U952" s="5" t="inlineStr">
        <is>
          <t>yes</t>
        </is>
      </c>
      <c r="V952" s="5" t="inlineStr">
        <is>
          <t>bad</t>
        </is>
      </c>
    </row>
    <row r="953">
      <c r="A953" s="5" t="n">
        <v>948</v>
      </c>
      <c r="B953" s="5" t="inlineStr">
        <is>
          <t>no checking</t>
        </is>
      </c>
      <c r="C953" s="5" t="n">
        <v>12</v>
      </c>
      <c r="D953" s="5" t="inlineStr">
        <is>
          <t>existing paid</t>
        </is>
      </c>
      <c r="E953" s="5" t="inlineStr">
        <is>
          <t>new car</t>
        </is>
      </c>
      <c r="F953" s="5" t="n">
        <v>2859</v>
      </c>
      <c r="G953" s="5" t="inlineStr">
        <is>
          <t>no known savings</t>
        </is>
      </c>
      <c r="H953" s="5" t="inlineStr">
        <is>
          <t>unemployed</t>
        </is>
      </c>
      <c r="I953" s="5" t="n">
        <v>4</v>
      </c>
      <c r="J953" s="5" t="inlineStr">
        <is>
          <t>male single</t>
        </is>
      </c>
      <c r="K953" s="5" t="inlineStr">
        <is>
          <t>none</t>
        </is>
      </c>
      <c r="L953" s="5" t="n">
        <v>4</v>
      </c>
      <c r="M953" s="5" t="inlineStr">
        <is>
          <t>no known property</t>
        </is>
      </c>
      <c r="N953" s="5" t="n">
        <v>38</v>
      </c>
      <c r="O953" s="5" t="inlineStr">
        <is>
          <t>none</t>
        </is>
      </c>
      <c r="P953" s="5" t="inlineStr">
        <is>
          <t>own</t>
        </is>
      </c>
      <c r="Q953" s="5" t="n">
        <v>1</v>
      </c>
      <c r="R953" s="5" t="inlineStr">
        <is>
          <t>high qualif/self emp/mgmt</t>
        </is>
      </c>
      <c r="S953" s="5" t="n">
        <v>1</v>
      </c>
      <c r="T953" s="5" t="inlineStr">
        <is>
          <t>yes</t>
        </is>
      </c>
      <c r="U953" s="5" t="inlineStr">
        <is>
          <t>yes</t>
        </is>
      </c>
      <c r="V953" s="5" t="inlineStr">
        <is>
          <t>good</t>
        </is>
      </c>
    </row>
    <row r="954">
      <c r="A954" s="5" t="n">
        <v>949</v>
      </c>
      <c r="B954" s="5" t="inlineStr">
        <is>
          <t>no checking</t>
        </is>
      </c>
      <c r="C954" s="5" t="n">
        <v>18</v>
      </c>
      <c r="D954" s="5" t="inlineStr">
        <is>
          <t>existing paid</t>
        </is>
      </c>
      <c r="E954" s="5" t="inlineStr">
        <is>
          <t>furniture/equipment</t>
        </is>
      </c>
      <c r="F954" s="5" t="n">
        <v>1533</v>
      </c>
      <c r="G954" s="5" t="inlineStr">
        <is>
          <t>&lt;100</t>
        </is>
      </c>
      <c r="H954" s="5" t="inlineStr">
        <is>
          <t>&lt;1</t>
        </is>
      </c>
      <c r="I954" s="5" t="n">
        <v>4</v>
      </c>
      <c r="J954" s="5" t="inlineStr">
        <is>
          <t>male mar/wid</t>
        </is>
      </c>
      <c r="K954" s="5" t="inlineStr">
        <is>
          <t>co applicant</t>
        </is>
      </c>
      <c r="L954" s="5" t="n">
        <v>1</v>
      </c>
      <c r="M954" s="5" t="inlineStr">
        <is>
          <t>life insurance</t>
        </is>
      </c>
      <c r="N954" s="5" t="n">
        <v>43</v>
      </c>
      <c r="O954" s="5" t="inlineStr">
        <is>
          <t>none</t>
        </is>
      </c>
      <c r="P954" s="5" t="inlineStr">
        <is>
          <t>own</t>
        </is>
      </c>
      <c r="Q954" s="5" t="n">
        <v>1</v>
      </c>
      <c r="R954" s="5" t="inlineStr">
        <is>
          <t>unskilled resident</t>
        </is>
      </c>
      <c r="S954" s="5" t="n">
        <v>2</v>
      </c>
      <c r="T954" s="5" t="inlineStr">
        <is>
          <t>none</t>
        </is>
      </c>
      <c r="U954" s="5" t="inlineStr">
        <is>
          <t>yes</t>
        </is>
      </c>
      <c r="V954" s="5" t="inlineStr">
        <is>
          <t>bad</t>
        </is>
      </c>
    </row>
    <row r="955">
      <c r="A955" s="5" t="n">
        <v>950</v>
      </c>
      <c r="B955" s="5" t="inlineStr">
        <is>
          <t>no checking</t>
        </is>
      </c>
      <c r="C955" s="5" t="n">
        <v>24</v>
      </c>
      <c r="D955" s="5" t="inlineStr">
        <is>
          <t>existing paid</t>
        </is>
      </c>
      <c r="E955" s="5" t="inlineStr">
        <is>
          <t>radio/tv</t>
        </is>
      </c>
      <c r="F955" s="5" t="n">
        <v>3621</v>
      </c>
      <c r="G955" s="5" t="inlineStr">
        <is>
          <t>100&lt;=X&lt;500</t>
        </is>
      </c>
      <c r="H955" s="5" t="inlineStr">
        <is>
          <t>&gt;=7</t>
        </is>
      </c>
      <c r="I955" s="5" t="n">
        <v>2</v>
      </c>
      <c r="J955" s="5" t="inlineStr">
        <is>
          <t>male single</t>
        </is>
      </c>
      <c r="K955" s="5" t="inlineStr">
        <is>
          <t>none</t>
        </is>
      </c>
      <c r="L955" s="5" t="n">
        <v>4</v>
      </c>
      <c r="M955" s="5" t="inlineStr">
        <is>
          <t>car</t>
        </is>
      </c>
      <c r="N955" s="5" t="n">
        <v>31</v>
      </c>
      <c r="O955" s="5" t="inlineStr">
        <is>
          <t>none</t>
        </is>
      </c>
      <c r="P955" s="5" t="inlineStr">
        <is>
          <t>own</t>
        </is>
      </c>
      <c r="Q955" s="5" t="n">
        <v>2</v>
      </c>
      <c r="R955" s="5" t="inlineStr">
        <is>
          <t>skilled</t>
        </is>
      </c>
      <c r="S955" s="5" t="n">
        <v>1</v>
      </c>
      <c r="T955" s="5" t="inlineStr">
        <is>
          <t>none</t>
        </is>
      </c>
      <c r="U955" s="5" t="inlineStr">
        <is>
          <t>yes</t>
        </is>
      </c>
      <c r="V955" s="5" t="inlineStr">
        <is>
          <t>bad</t>
        </is>
      </c>
    </row>
    <row r="956">
      <c r="A956" s="5" t="n">
        <v>951</v>
      </c>
      <c r="B956" s="5" t="inlineStr">
        <is>
          <t>0&lt;=X&lt;200</t>
        </is>
      </c>
      <c r="C956" s="5" t="n">
        <v>18</v>
      </c>
      <c r="D956" s="5" t="inlineStr">
        <is>
          <t>critical/other existing credit</t>
        </is>
      </c>
      <c r="E956" s="5" t="inlineStr">
        <is>
          <t>business</t>
        </is>
      </c>
      <c r="F956" s="5" t="n">
        <v>3590</v>
      </c>
      <c r="G956" s="5" t="inlineStr">
        <is>
          <t>&lt;100</t>
        </is>
      </c>
      <c r="H956" s="5" t="inlineStr">
        <is>
          <t>unemployed</t>
        </is>
      </c>
      <c r="I956" s="5" t="n">
        <v>3</v>
      </c>
      <c r="J956" s="5" t="inlineStr">
        <is>
          <t>male mar/wid</t>
        </is>
      </c>
      <c r="K956" s="5" t="inlineStr">
        <is>
          <t>none</t>
        </is>
      </c>
      <c r="L956" s="5" t="n">
        <v>3</v>
      </c>
      <c r="M956" s="5" t="inlineStr">
        <is>
          <t>car</t>
        </is>
      </c>
      <c r="N956" s="5" t="n">
        <v>40</v>
      </c>
      <c r="O956" s="5" t="inlineStr">
        <is>
          <t>none</t>
        </is>
      </c>
      <c r="P956" s="5" t="inlineStr">
        <is>
          <t>own</t>
        </is>
      </c>
      <c r="Q956" s="5" t="n">
        <v>3</v>
      </c>
      <c r="R956" s="5" t="inlineStr">
        <is>
          <t>unemp/unskilled non res</t>
        </is>
      </c>
      <c r="S956" s="5" t="n">
        <v>2</v>
      </c>
      <c r="T956" s="5" t="inlineStr">
        <is>
          <t>yes</t>
        </is>
      </c>
      <c r="U956" s="5" t="inlineStr">
        <is>
          <t>yes</t>
        </is>
      </c>
      <c r="V956" s="5" t="inlineStr">
        <is>
          <t>good</t>
        </is>
      </c>
    </row>
    <row r="957">
      <c r="A957" s="5" t="n">
        <v>952</v>
      </c>
      <c r="B957" s="5" t="inlineStr">
        <is>
          <t>&lt;0</t>
        </is>
      </c>
      <c r="C957" s="5" t="n">
        <v>36</v>
      </c>
      <c r="D957" s="5" t="inlineStr">
        <is>
          <t>delayed previously</t>
        </is>
      </c>
      <c r="E957" s="5" t="inlineStr">
        <is>
          <t>business</t>
        </is>
      </c>
      <c r="F957" s="5" t="n">
        <v>2145</v>
      </c>
      <c r="G957" s="5" t="inlineStr">
        <is>
          <t>&lt;100</t>
        </is>
      </c>
      <c r="H957" s="5" t="inlineStr">
        <is>
          <t>4&lt;=X&lt;7</t>
        </is>
      </c>
      <c r="I957" s="5" t="n">
        <v>2</v>
      </c>
      <c r="J957" s="5" t="inlineStr">
        <is>
          <t>male single</t>
        </is>
      </c>
      <c r="K957" s="5" t="inlineStr">
        <is>
          <t>none</t>
        </is>
      </c>
      <c r="L957" s="5" t="n">
        <v>1</v>
      </c>
      <c r="M957" s="5" t="inlineStr">
        <is>
          <t>car</t>
        </is>
      </c>
      <c r="N957" s="5" t="n">
        <v>24</v>
      </c>
      <c r="O957" s="5" t="inlineStr">
        <is>
          <t>none</t>
        </is>
      </c>
      <c r="P957" s="5" t="inlineStr">
        <is>
          <t>own</t>
        </is>
      </c>
      <c r="Q957" s="5" t="n">
        <v>2</v>
      </c>
      <c r="R957" s="5" t="inlineStr">
        <is>
          <t>skilled</t>
        </is>
      </c>
      <c r="S957" s="5" t="n">
        <v>1</v>
      </c>
      <c r="T957" s="5" t="inlineStr">
        <is>
          <t>yes</t>
        </is>
      </c>
      <c r="U957" s="5" t="inlineStr">
        <is>
          <t>yes</t>
        </is>
      </c>
      <c r="V957" s="5" t="inlineStr">
        <is>
          <t>bad</t>
        </is>
      </c>
    </row>
    <row r="958">
      <c r="A958" s="5" t="n">
        <v>953</v>
      </c>
      <c r="B958" s="5" t="inlineStr">
        <is>
          <t>0&lt;=X&lt;200</t>
        </is>
      </c>
      <c r="C958" s="5" t="n">
        <v>24</v>
      </c>
      <c r="D958" s="5" t="inlineStr">
        <is>
          <t>existing paid</t>
        </is>
      </c>
      <c r="E958" s="5" t="inlineStr">
        <is>
          <t>used car</t>
        </is>
      </c>
      <c r="F958" s="5" t="n">
        <v>4113</v>
      </c>
      <c r="G958" s="5" t="inlineStr">
        <is>
          <t>500&lt;=X&lt;1000</t>
        </is>
      </c>
      <c r="H958" s="5" t="inlineStr">
        <is>
          <t>&lt;1</t>
        </is>
      </c>
      <c r="I958" s="5" t="n">
        <v>3</v>
      </c>
      <c r="J958" s="5" t="inlineStr">
        <is>
          <t>female div/dep/mar</t>
        </is>
      </c>
      <c r="K958" s="5" t="inlineStr">
        <is>
          <t>none</t>
        </is>
      </c>
      <c r="L958" s="5" t="n">
        <v>4</v>
      </c>
      <c r="M958" s="5" t="inlineStr">
        <is>
          <t>car</t>
        </is>
      </c>
      <c r="N958" s="5" t="n">
        <v>28</v>
      </c>
      <c r="O958" s="5" t="inlineStr">
        <is>
          <t>none</t>
        </is>
      </c>
      <c r="P958" s="5" t="inlineStr">
        <is>
          <t>rent</t>
        </is>
      </c>
      <c r="Q958" s="5" t="n">
        <v>1</v>
      </c>
      <c r="R958" s="5" t="inlineStr">
        <is>
          <t>skilled</t>
        </is>
      </c>
      <c r="S958" s="5" t="n">
        <v>1</v>
      </c>
      <c r="T958" s="5" t="inlineStr">
        <is>
          <t>none</t>
        </is>
      </c>
      <c r="U958" s="5" t="inlineStr">
        <is>
          <t>yes</t>
        </is>
      </c>
      <c r="V958" s="5" t="inlineStr">
        <is>
          <t>bad</t>
        </is>
      </c>
    </row>
    <row r="959">
      <c r="A959" s="5" t="n">
        <v>954</v>
      </c>
      <c r="B959" s="5" t="inlineStr">
        <is>
          <t>no checking</t>
        </is>
      </c>
      <c r="C959" s="5" t="n">
        <v>36</v>
      </c>
      <c r="D959" s="5" t="inlineStr">
        <is>
          <t>existing paid</t>
        </is>
      </c>
      <c r="E959" s="5" t="inlineStr">
        <is>
          <t>furniture/equipment</t>
        </is>
      </c>
      <c r="F959" s="5" t="n">
        <v>10974</v>
      </c>
      <c r="G959" s="5" t="inlineStr">
        <is>
          <t>&lt;100</t>
        </is>
      </c>
      <c r="H959" s="5" t="inlineStr">
        <is>
          <t>unemployed</t>
        </is>
      </c>
      <c r="I959" s="5" t="n">
        <v>4</v>
      </c>
      <c r="J959" s="5" t="inlineStr">
        <is>
          <t>female div/dep/mar</t>
        </is>
      </c>
      <c r="K959" s="5" t="inlineStr">
        <is>
          <t>none</t>
        </is>
      </c>
      <c r="L959" s="5" t="n">
        <v>2</v>
      </c>
      <c r="M959" s="5" t="inlineStr">
        <is>
          <t>car</t>
        </is>
      </c>
      <c r="N959" s="5" t="n">
        <v>26</v>
      </c>
      <c r="O959" s="5" t="inlineStr">
        <is>
          <t>none</t>
        </is>
      </c>
      <c r="P959" s="5" t="inlineStr">
        <is>
          <t>own</t>
        </is>
      </c>
      <c r="Q959" s="5" t="n">
        <v>2</v>
      </c>
      <c r="R959" s="5" t="inlineStr">
        <is>
          <t>high qualif/self emp/mgmt</t>
        </is>
      </c>
      <c r="S959" s="5" t="n">
        <v>1</v>
      </c>
      <c r="T959" s="5" t="inlineStr">
        <is>
          <t>yes</t>
        </is>
      </c>
      <c r="U959" s="5" t="inlineStr">
        <is>
          <t>yes</t>
        </is>
      </c>
      <c r="V959" s="5" t="inlineStr">
        <is>
          <t>bad</t>
        </is>
      </c>
    </row>
    <row r="960">
      <c r="A960" s="5" t="n">
        <v>955</v>
      </c>
      <c r="B960" s="5" t="inlineStr">
        <is>
          <t>&lt;0</t>
        </is>
      </c>
      <c r="C960" s="5" t="n">
        <v>12</v>
      </c>
      <c r="D960" s="5" t="inlineStr">
        <is>
          <t>existing paid</t>
        </is>
      </c>
      <c r="E960" s="5" t="inlineStr">
        <is>
          <t>new car</t>
        </is>
      </c>
      <c r="F960" s="5" t="n">
        <v>1893</v>
      </c>
      <c r="G960" s="5" t="inlineStr">
        <is>
          <t>&lt;100</t>
        </is>
      </c>
      <c r="H960" s="5" t="inlineStr">
        <is>
          <t>1&lt;=X&lt;4</t>
        </is>
      </c>
      <c r="I960" s="5" t="n">
        <v>4</v>
      </c>
      <c r="J960" s="5" t="inlineStr">
        <is>
          <t>female div/dep/mar</t>
        </is>
      </c>
      <c r="K960" s="5" t="inlineStr">
        <is>
          <t>guarantor</t>
        </is>
      </c>
      <c r="L960" s="5" t="n">
        <v>4</v>
      </c>
      <c r="M960" s="5" t="inlineStr">
        <is>
          <t>life insurance</t>
        </is>
      </c>
      <c r="N960" s="5" t="n">
        <v>29</v>
      </c>
      <c r="O960" s="5" t="inlineStr">
        <is>
          <t>none</t>
        </is>
      </c>
      <c r="P960" s="5" t="inlineStr">
        <is>
          <t>own</t>
        </is>
      </c>
      <c r="Q960" s="5" t="n">
        <v>1</v>
      </c>
      <c r="R960" s="5" t="inlineStr">
        <is>
          <t>skilled</t>
        </is>
      </c>
      <c r="S960" s="5" t="n">
        <v>1</v>
      </c>
      <c r="T960" s="5" t="inlineStr">
        <is>
          <t>yes</t>
        </is>
      </c>
      <c r="U960" s="5" t="inlineStr">
        <is>
          <t>yes</t>
        </is>
      </c>
      <c r="V960" s="5" t="inlineStr">
        <is>
          <t>good</t>
        </is>
      </c>
    </row>
    <row r="961">
      <c r="A961" s="5" t="n">
        <v>956</v>
      </c>
      <c r="B961" s="5" t="inlineStr">
        <is>
          <t>&lt;0</t>
        </is>
      </c>
      <c r="C961" s="5" t="n">
        <v>24</v>
      </c>
      <c r="D961" s="5" t="inlineStr">
        <is>
          <t>critical/other existing credit</t>
        </is>
      </c>
      <c r="E961" s="5" t="inlineStr">
        <is>
          <t>radio/tv</t>
        </is>
      </c>
      <c r="F961" s="5" t="n">
        <v>1231</v>
      </c>
      <c r="G961" s="5" t="inlineStr">
        <is>
          <t>&gt;=1000</t>
        </is>
      </c>
      <c r="H961" s="5" t="inlineStr">
        <is>
          <t>&gt;=7</t>
        </is>
      </c>
      <c r="I961" s="5" t="n">
        <v>4</v>
      </c>
      <c r="J961" s="5" t="inlineStr">
        <is>
          <t>female div/dep/mar</t>
        </is>
      </c>
      <c r="K961" s="5" t="inlineStr">
        <is>
          <t>none</t>
        </is>
      </c>
      <c r="L961" s="5" t="n">
        <v>4</v>
      </c>
      <c r="M961" s="5" t="inlineStr">
        <is>
          <t>life insurance</t>
        </is>
      </c>
      <c r="N961" s="5" t="n">
        <v>57</v>
      </c>
      <c r="O961" s="5" t="inlineStr">
        <is>
          <t>none</t>
        </is>
      </c>
      <c r="P961" s="5" t="inlineStr">
        <is>
          <t>rent</t>
        </is>
      </c>
      <c r="Q961" s="5" t="n">
        <v>2</v>
      </c>
      <c r="R961" s="5" t="inlineStr">
        <is>
          <t>high qualif/self emp/mgmt</t>
        </is>
      </c>
      <c r="S961" s="5" t="n">
        <v>1</v>
      </c>
      <c r="T961" s="5" t="inlineStr">
        <is>
          <t>yes</t>
        </is>
      </c>
      <c r="U961" s="5" t="inlineStr">
        <is>
          <t>yes</t>
        </is>
      </c>
      <c r="V961" s="5" t="inlineStr">
        <is>
          <t>good</t>
        </is>
      </c>
    </row>
    <row r="962">
      <c r="A962" s="5" t="n">
        <v>957</v>
      </c>
      <c r="B962" s="5" t="inlineStr">
        <is>
          <t>&gt;=200</t>
        </is>
      </c>
      <c r="C962" s="5" t="n">
        <v>30</v>
      </c>
      <c r="D962" s="5" t="inlineStr">
        <is>
          <t>critical/other existing credit</t>
        </is>
      </c>
      <c r="E962" s="5" t="inlineStr">
        <is>
          <t>radio/tv</t>
        </is>
      </c>
      <c r="F962" s="5" t="n">
        <v>3656</v>
      </c>
      <c r="G962" s="5" t="inlineStr">
        <is>
          <t>no known savings</t>
        </is>
      </c>
      <c r="H962" s="5" t="inlineStr">
        <is>
          <t>&gt;=7</t>
        </is>
      </c>
      <c r="I962" s="5" t="n">
        <v>4</v>
      </c>
      <c r="J962" s="5" t="inlineStr">
        <is>
          <t>male single</t>
        </is>
      </c>
      <c r="K962" s="5" t="inlineStr">
        <is>
          <t>none</t>
        </is>
      </c>
      <c r="L962" s="5" t="n">
        <v>4</v>
      </c>
      <c r="M962" s="5" t="inlineStr">
        <is>
          <t>life insurance</t>
        </is>
      </c>
      <c r="N962" s="5" t="n">
        <v>49</v>
      </c>
      <c r="O962" s="5" t="inlineStr">
        <is>
          <t>stores</t>
        </is>
      </c>
      <c r="P962" s="5" t="inlineStr">
        <is>
          <t>own</t>
        </is>
      </c>
      <c r="Q962" s="5" t="n">
        <v>2</v>
      </c>
      <c r="R962" s="5" t="inlineStr">
        <is>
          <t>unskilled resident</t>
        </is>
      </c>
      <c r="S962" s="5" t="n">
        <v>1</v>
      </c>
      <c r="T962" s="5" t="inlineStr">
        <is>
          <t>none</t>
        </is>
      </c>
      <c r="U962" s="5" t="inlineStr">
        <is>
          <t>yes</t>
        </is>
      </c>
      <c r="V962" s="5" t="inlineStr">
        <is>
          <t>good</t>
        </is>
      </c>
    </row>
    <row r="963">
      <c r="A963" s="5" t="n">
        <v>958</v>
      </c>
      <c r="B963" s="5" t="inlineStr">
        <is>
          <t>0&lt;=X&lt;200</t>
        </is>
      </c>
      <c r="C963" s="5" t="n">
        <v>9</v>
      </c>
      <c r="D963" s="5" t="inlineStr">
        <is>
          <t>critical/other existing credit</t>
        </is>
      </c>
      <c r="E963" s="5" t="inlineStr">
        <is>
          <t>radio/tv</t>
        </is>
      </c>
      <c r="F963" s="5" t="n">
        <v>1154</v>
      </c>
      <c r="G963" s="5" t="inlineStr">
        <is>
          <t>&lt;100</t>
        </is>
      </c>
      <c r="H963" s="5" t="inlineStr">
        <is>
          <t>&gt;=7</t>
        </is>
      </c>
      <c r="I963" s="5" t="n">
        <v>2</v>
      </c>
      <c r="J963" s="5" t="inlineStr">
        <is>
          <t>male single</t>
        </is>
      </c>
      <c r="K963" s="5" t="inlineStr">
        <is>
          <t>none</t>
        </is>
      </c>
      <c r="L963" s="5" t="n">
        <v>4</v>
      </c>
      <c r="M963" s="5" t="inlineStr">
        <is>
          <t>real estate</t>
        </is>
      </c>
      <c r="N963" s="5" t="n">
        <v>37</v>
      </c>
      <c r="O963" s="5" t="inlineStr">
        <is>
          <t>none</t>
        </is>
      </c>
      <c r="P963" s="5" t="inlineStr">
        <is>
          <t>own</t>
        </is>
      </c>
      <c r="Q963" s="5" t="n">
        <v>3</v>
      </c>
      <c r="R963" s="5" t="inlineStr">
        <is>
          <t>unskilled resident</t>
        </is>
      </c>
      <c r="S963" s="5" t="n">
        <v>1</v>
      </c>
      <c r="T963" s="5" t="inlineStr">
        <is>
          <t>none</t>
        </is>
      </c>
      <c r="U963" s="5" t="inlineStr">
        <is>
          <t>yes</t>
        </is>
      </c>
      <c r="V963" s="5" t="inlineStr">
        <is>
          <t>good</t>
        </is>
      </c>
    </row>
    <row r="964">
      <c r="A964" s="5" t="n">
        <v>959</v>
      </c>
      <c r="B964" s="5" t="inlineStr">
        <is>
          <t>&lt;0</t>
        </is>
      </c>
      <c r="C964" s="5" t="n">
        <v>28</v>
      </c>
      <c r="D964" s="5" t="inlineStr">
        <is>
          <t>existing paid</t>
        </is>
      </c>
      <c r="E964" s="5" t="inlineStr">
        <is>
          <t>new car</t>
        </is>
      </c>
      <c r="F964" s="5" t="n">
        <v>4006</v>
      </c>
      <c r="G964" s="5" t="inlineStr">
        <is>
          <t>&lt;100</t>
        </is>
      </c>
      <c r="H964" s="5" t="inlineStr">
        <is>
          <t>1&lt;=X&lt;4</t>
        </is>
      </c>
      <c r="I964" s="5" t="n">
        <v>3</v>
      </c>
      <c r="J964" s="5" t="inlineStr">
        <is>
          <t>male single</t>
        </is>
      </c>
      <c r="K964" s="5" t="inlineStr">
        <is>
          <t>none</t>
        </is>
      </c>
      <c r="L964" s="5" t="n">
        <v>2</v>
      </c>
      <c r="M964" s="5" t="inlineStr">
        <is>
          <t>car</t>
        </is>
      </c>
      <c r="N964" s="5" t="n">
        <v>45</v>
      </c>
      <c r="O964" s="5" t="inlineStr">
        <is>
          <t>none</t>
        </is>
      </c>
      <c r="P964" s="5" t="inlineStr">
        <is>
          <t>own</t>
        </is>
      </c>
      <c r="Q964" s="5" t="n">
        <v>1</v>
      </c>
      <c r="R964" s="5" t="inlineStr">
        <is>
          <t>unskilled resident</t>
        </is>
      </c>
      <c r="S964" s="5" t="n">
        <v>1</v>
      </c>
      <c r="T964" s="5" t="inlineStr">
        <is>
          <t>none</t>
        </is>
      </c>
      <c r="U964" s="5" t="inlineStr">
        <is>
          <t>yes</t>
        </is>
      </c>
      <c r="V964" s="5" t="inlineStr">
        <is>
          <t>bad</t>
        </is>
      </c>
    </row>
    <row r="965">
      <c r="A965" s="5" t="n">
        <v>960</v>
      </c>
      <c r="B965" s="5" t="inlineStr">
        <is>
          <t>0&lt;=X&lt;200</t>
        </is>
      </c>
      <c r="C965" s="5" t="n">
        <v>24</v>
      </c>
      <c r="D965" s="5" t="inlineStr">
        <is>
          <t>existing paid</t>
        </is>
      </c>
      <c r="E965" s="5" t="inlineStr">
        <is>
          <t>furniture/equipment</t>
        </is>
      </c>
      <c r="F965" s="5" t="n">
        <v>3069</v>
      </c>
      <c r="G965" s="5" t="inlineStr">
        <is>
          <t>100&lt;=X&lt;500</t>
        </is>
      </c>
      <c r="H965" s="5" t="inlineStr">
        <is>
          <t>&gt;=7</t>
        </is>
      </c>
      <c r="I965" s="5" t="n">
        <v>4</v>
      </c>
      <c r="J965" s="5" t="inlineStr">
        <is>
          <t>male single</t>
        </is>
      </c>
      <c r="K965" s="5" t="inlineStr">
        <is>
          <t>none</t>
        </is>
      </c>
      <c r="L965" s="5" t="n">
        <v>4</v>
      </c>
      <c r="M965" s="5" t="inlineStr">
        <is>
          <t>no known property</t>
        </is>
      </c>
      <c r="N965" s="5" t="n">
        <v>30</v>
      </c>
      <c r="O965" s="5" t="inlineStr">
        <is>
          <t>none</t>
        </is>
      </c>
      <c r="P965" s="5" t="inlineStr">
        <is>
          <t>for free</t>
        </is>
      </c>
      <c r="Q965" s="5" t="n">
        <v>1</v>
      </c>
      <c r="R965" s="5" t="inlineStr">
        <is>
          <t>skilled</t>
        </is>
      </c>
      <c r="S965" s="5" t="n">
        <v>1</v>
      </c>
      <c r="T965" s="5" t="inlineStr">
        <is>
          <t>none</t>
        </is>
      </c>
      <c r="U965" s="5" t="inlineStr">
        <is>
          <t>yes</t>
        </is>
      </c>
      <c r="V965" s="5" t="inlineStr">
        <is>
          <t>good</t>
        </is>
      </c>
    </row>
    <row r="966">
      <c r="A966" s="5" t="n">
        <v>961</v>
      </c>
      <c r="B966" s="5" t="inlineStr">
        <is>
          <t>no checking</t>
        </is>
      </c>
      <c r="C966" s="5" t="n">
        <v>6</v>
      </c>
      <c r="D966" s="5" t="inlineStr">
        <is>
          <t>critical/other existing credit</t>
        </is>
      </c>
      <c r="E966" s="5" t="inlineStr">
        <is>
          <t>radio/tv</t>
        </is>
      </c>
      <c r="F966" s="5" t="n">
        <v>1740</v>
      </c>
      <c r="G966" s="5" t="inlineStr">
        <is>
          <t>&lt;100</t>
        </is>
      </c>
      <c r="H966" s="5" t="inlineStr">
        <is>
          <t>&gt;=7</t>
        </is>
      </c>
      <c r="I966" s="5" t="n">
        <v>2</v>
      </c>
      <c r="J966" s="5" t="inlineStr">
        <is>
          <t>male mar/wid</t>
        </is>
      </c>
      <c r="K966" s="5" t="inlineStr">
        <is>
          <t>none</t>
        </is>
      </c>
      <c r="L966" s="5" t="n">
        <v>2</v>
      </c>
      <c r="M966" s="5" t="inlineStr">
        <is>
          <t>real estate</t>
        </is>
      </c>
      <c r="N966" s="5" t="n">
        <v>30</v>
      </c>
      <c r="O966" s="5" t="inlineStr">
        <is>
          <t>none</t>
        </is>
      </c>
      <c r="P966" s="5" t="inlineStr">
        <is>
          <t>rent</t>
        </is>
      </c>
      <c r="Q966" s="5" t="n">
        <v>2</v>
      </c>
      <c r="R966" s="5" t="inlineStr">
        <is>
          <t>skilled</t>
        </is>
      </c>
      <c r="S966" s="5" t="n">
        <v>1</v>
      </c>
      <c r="T966" s="5" t="inlineStr">
        <is>
          <t>none</t>
        </is>
      </c>
      <c r="U966" s="5" t="inlineStr">
        <is>
          <t>yes</t>
        </is>
      </c>
      <c r="V966" s="5" t="inlineStr">
        <is>
          <t>good</t>
        </is>
      </c>
    </row>
    <row r="967">
      <c r="A967" s="5" t="n">
        <v>962</v>
      </c>
      <c r="B967" s="5" t="inlineStr">
        <is>
          <t>0&lt;=X&lt;200</t>
        </is>
      </c>
      <c r="C967" s="5" t="n">
        <v>21</v>
      </c>
      <c r="D967" s="5" t="inlineStr">
        <is>
          <t>delayed previously</t>
        </is>
      </c>
      <c r="E967" s="5" t="inlineStr">
        <is>
          <t>new car</t>
        </is>
      </c>
      <c r="F967" s="5" t="n">
        <v>2353</v>
      </c>
      <c r="G967" s="5" t="inlineStr">
        <is>
          <t>&lt;100</t>
        </is>
      </c>
      <c r="H967" s="5" t="inlineStr">
        <is>
          <t>1&lt;=X&lt;4</t>
        </is>
      </c>
      <c r="I967" s="5" t="n">
        <v>1</v>
      </c>
      <c r="J967" s="5" t="inlineStr">
        <is>
          <t>male div/sep</t>
        </is>
      </c>
      <c r="K967" s="5" t="inlineStr">
        <is>
          <t>none</t>
        </is>
      </c>
      <c r="L967" s="5" t="n">
        <v>4</v>
      </c>
      <c r="M967" s="5" t="inlineStr">
        <is>
          <t>life insurance</t>
        </is>
      </c>
      <c r="N967" s="5" t="n">
        <v>47</v>
      </c>
      <c r="O967" s="5" t="inlineStr">
        <is>
          <t>none</t>
        </is>
      </c>
      <c r="P967" s="5" t="inlineStr">
        <is>
          <t>own</t>
        </is>
      </c>
      <c r="Q967" s="5" t="n">
        <v>2</v>
      </c>
      <c r="R967" s="5" t="inlineStr">
        <is>
          <t>skilled</t>
        </is>
      </c>
      <c r="S967" s="5" t="n">
        <v>1</v>
      </c>
      <c r="T967" s="5" t="inlineStr">
        <is>
          <t>none</t>
        </is>
      </c>
      <c r="U967" s="5" t="inlineStr">
        <is>
          <t>yes</t>
        </is>
      </c>
      <c r="V967" s="5" t="inlineStr">
        <is>
          <t>good</t>
        </is>
      </c>
    </row>
    <row r="968">
      <c r="A968" s="5" t="n">
        <v>963</v>
      </c>
      <c r="B968" s="5" t="inlineStr">
        <is>
          <t>no checking</t>
        </is>
      </c>
      <c r="C968" s="5" t="n">
        <v>15</v>
      </c>
      <c r="D968" s="5" t="inlineStr">
        <is>
          <t>existing paid</t>
        </is>
      </c>
      <c r="E968" s="5" t="inlineStr">
        <is>
          <t>new car</t>
        </is>
      </c>
      <c r="F968" s="5" t="n">
        <v>3556</v>
      </c>
      <c r="G968" s="5" t="inlineStr">
        <is>
          <t>no known savings</t>
        </is>
      </c>
      <c r="H968" s="5" t="inlineStr">
        <is>
          <t>1&lt;=X&lt;4</t>
        </is>
      </c>
      <c r="I968" s="5" t="n">
        <v>3</v>
      </c>
      <c r="J968" s="5" t="inlineStr">
        <is>
          <t>male single</t>
        </is>
      </c>
      <c r="K968" s="5" t="inlineStr">
        <is>
          <t>none</t>
        </is>
      </c>
      <c r="L968" s="5" t="n">
        <v>2</v>
      </c>
      <c r="M968" s="5" t="inlineStr">
        <is>
          <t>no known property</t>
        </is>
      </c>
      <c r="N968" s="5" t="n">
        <v>29</v>
      </c>
      <c r="O968" s="5" t="inlineStr">
        <is>
          <t>none</t>
        </is>
      </c>
      <c r="P968" s="5" t="inlineStr">
        <is>
          <t>own</t>
        </is>
      </c>
      <c r="Q968" s="5" t="n">
        <v>1</v>
      </c>
      <c r="R968" s="5" t="inlineStr">
        <is>
          <t>skilled</t>
        </is>
      </c>
      <c r="S968" s="5" t="n">
        <v>1</v>
      </c>
      <c r="T968" s="5" t="inlineStr">
        <is>
          <t>none</t>
        </is>
      </c>
      <c r="U968" s="5" t="inlineStr">
        <is>
          <t>yes</t>
        </is>
      </c>
      <c r="V968" s="5" t="inlineStr">
        <is>
          <t>good</t>
        </is>
      </c>
    </row>
    <row r="969">
      <c r="A969" s="5" t="n">
        <v>964</v>
      </c>
      <c r="B969" s="5" t="inlineStr">
        <is>
          <t>no checking</t>
        </is>
      </c>
      <c r="C969" s="5" t="n">
        <v>24</v>
      </c>
      <c r="D969" s="5" t="inlineStr">
        <is>
          <t>existing paid</t>
        </is>
      </c>
      <c r="E969" s="5" t="inlineStr">
        <is>
          <t>radio/tv</t>
        </is>
      </c>
      <c r="F969" s="5" t="n">
        <v>2397</v>
      </c>
      <c r="G969" s="5" t="inlineStr">
        <is>
          <t>500&lt;=X&lt;1000</t>
        </is>
      </c>
      <c r="H969" s="5" t="inlineStr">
        <is>
          <t>&gt;=7</t>
        </is>
      </c>
      <c r="I969" s="5" t="n">
        <v>3</v>
      </c>
      <c r="J969" s="5" t="inlineStr">
        <is>
          <t>male single</t>
        </is>
      </c>
      <c r="K969" s="5" t="inlineStr">
        <is>
          <t>none</t>
        </is>
      </c>
      <c r="L969" s="5" t="n">
        <v>2</v>
      </c>
      <c r="M969" s="5" t="inlineStr">
        <is>
          <t>car</t>
        </is>
      </c>
      <c r="N969" s="5" t="n">
        <v>35</v>
      </c>
      <c r="O969" s="5" t="inlineStr">
        <is>
          <t>bank</t>
        </is>
      </c>
      <c r="P969" s="5" t="inlineStr">
        <is>
          <t>own</t>
        </is>
      </c>
      <c r="Q969" s="5" t="n">
        <v>2</v>
      </c>
      <c r="R969" s="5" t="inlineStr">
        <is>
          <t>skilled</t>
        </is>
      </c>
      <c r="S969" s="5" t="n">
        <v>1</v>
      </c>
      <c r="T969" s="5" t="inlineStr">
        <is>
          <t>yes</t>
        </is>
      </c>
      <c r="U969" s="5" t="inlineStr">
        <is>
          <t>yes</t>
        </is>
      </c>
      <c r="V969" s="5" t="inlineStr">
        <is>
          <t>bad</t>
        </is>
      </c>
    </row>
    <row r="970">
      <c r="A970" s="5" t="n">
        <v>965</v>
      </c>
      <c r="B970" s="5" t="inlineStr">
        <is>
          <t>0&lt;=X&lt;200</t>
        </is>
      </c>
      <c r="C970" s="5" t="n">
        <v>6</v>
      </c>
      <c r="D970" s="5" t="inlineStr">
        <is>
          <t>existing paid</t>
        </is>
      </c>
      <c r="E970" s="5" t="inlineStr">
        <is>
          <t>repairs</t>
        </is>
      </c>
      <c r="F970" s="5" t="n">
        <v>454</v>
      </c>
      <c r="G970" s="5" t="inlineStr">
        <is>
          <t>&lt;100</t>
        </is>
      </c>
      <c r="H970" s="5" t="inlineStr">
        <is>
          <t>&lt;1</t>
        </is>
      </c>
      <c r="I970" s="5" t="n">
        <v>3</v>
      </c>
      <c r="J970" s="5" t="inlineStr">
        <is>
          <t>male mar/wid</t>
        </is>
      </c>
      <c r="K970" s="5" t="inlineStr">
        <is>
          <t>none</t>
        </is>
      </c>
      <c r="L970" s="5" t="n">
        <v>1</v>
      </c>
      <c r="M970" s="5" t="inlineStr">
        <is>
          <t>life insurance</t>
        </is>
      </c>
      <c r="N970" s="5" t="n">
        <v>22</v>
      </c>
      <c r="O970" s="5" t="inlineStr">
        <is>
          <t>none</t>
        </is>
      </c>
      <c r="P970" s="5" t="inlineStr">
        <is>
          <t>own</t>
        </is>
      </c>
      <c r="Q970" s="5" t="n">
        <v>1</v>
      </c>
      <c r="R970" s="5" t="inlineStr">
        <is>
          <t>unskilled resident</t>
        </is>
      </c>
      <c r="S970" s="5" t="n">
        <v>1</v>
      </c>
      <c r="T970" s="5" t="inlineStr">
        <is>
          <t>none</t>
        </is>
      </c>
      <c r="U970" s="5" t="inlineStr">
        <is>
          <t>yes</t>
        </is>
      </c>
      <c r="V970" s="5" t="inlineStr">
        <is>
          <t>good</t>
        </is>
      </c>
    </row>
    <row r="971">
      <c r="A971" s="5" t="n">
        <v>966</v>
      </c>
      <c r="B971" s="5" t="inlineStr">
        <is>
          <t>0&lt;=X&lt;200</t>
        </is>
      </c>
      <c r="C971" s="5" t="n">
        <v>30</v>
      </c>
      <c r="D971" s="5" t="inlineStr">
        <is>
          <t>existing paid</t>
        </is>
      </c>
      <c r="E971" s="5" t="inlineStr">
        <is>
          <t>radio/tv</t>
        </is>
      </c>
      <c r="F971" s="5" t="n">
        <v>1715</v>
      </c>
      <c r="G971" s="5" t="inlineStr">
        <is>
          <t>no known savings</t>
        </is>
      </c>
      <c r="H971" s="5" t="inlineStr">
        <is>
          <t>1&lt;=X&lt;4</t>
        </is>
      </c>
      <c r="I971" s="5" t="n">
        <v>4</v>
      </c>
      <c r="J971" s="5" t="inlineStr">
        <is>
          <t>female div/dep/mar</t>
        </is>
      </c>
      <c r="K971" s="5" t="inlineStr">
        <is>
          <t>none</t>
        </is>
      </c>
      <c r="L971" s="5" t="n">
        <v>1</v>
      </c>
      <c r="M971" s="5" t="inlineStr">
        <is>
          <t>car</t>
        </is>
      </c>
      <c r="N971" s="5" t="n">
        <v>26</v>
      </c>
      <c r="O971" s="5" t="inlineStr">
        <is>
          <t>none</t>
        </is>
      </c>
      <c r="P971" s="5" t="inlineStr">
        <is>
          <t>own</t>
        </is>
      </c>
      <c r="Q971" s="5" t="n">
        <v>1</v>
      </c>
      <c r="R971" s="5" t="inlineStr">
        <is>
          <t>skilled</t>
        </is>
      </c>
      <c r="S971" s="5" t="n">
        <v>1</v>
      </c>
      <c r="T971" s="5" t="inlineStr">
        <is>
          <t>none</t>
        </is>
      </c>
      <c r="U971" s="5" t="inlineStr">
        <is>
          <t>yes</t>
        </is>
      </c>
      <c r="V971" s="5" t="inlineStr">
        <is>
          <t>good</t>
        </is>
      </c>
    </row>
    <row r="972">
      <c r="A972" s="5" t="n">
        <v>967</v>
      </c>
      <c r="B972" s="5" t="inlineStr">
        <is>
          <t>0&lt;=X&lt;200</t>
        </is>
      </c>
      <c r="C972" s="5" t="n">
        <v>27</v>
      </c>
      <c r="D972" s="5" t="inlineStr">
        <is>
          <t>critical/other existing credit</t>
        </is>
      </c>
      <c r="E972" s="5" t="inlineStr">
        <is>
          <t>radio/tv</t>
        </is>
      </c>
      <c r="F972" s="5" t="n">
        <v>2520</v>
      </c>
      <c r="G972" s="5" t="inlineStr">
        <is>
          <t>500&lt;=X&lt;1000</t>
        </is>
      </c>
      <c r="H972" s="5" t="inlineStr">
        <is>
          <t>1&lt;=X&lt;4</t>
        </is>
      </c>
      <c r="I972" s="5" t="n">
        <v>4</v>
      </c>
      <c r="J972" s="5" t="inlineStr">
        <is>
          <t>male single</t>
        </is>
      </c>
      <c r="K972" s="5" t="inlineStr">
        <is>
          <t>none</t>
        </is>
      </c>
      <c r="L972" s="5" t="n">
        <v>2</v>
      </c>
      <c r="M972" s="5" t="inlineStr">
        <is>
          <t>life insurance</t>
        </is>
      </c>
      <c r="N972" s="5" t="n">
        <v>23</v>
      </c>
      <c r="O972" s="5" t="inlineStr">
        <is>
          <t>none</t>
        </is>
      </c>
      <c r="P972" s="5" t="inlineStr">
        <is>
          <t>own</t>
        </is>
      </c>
      <c r="Q972" s="5" t="n">
        <v>2</v>
      </c>
      <c r="R972" s="5" t="inlineStr">
        <is>
          <t>unskilled resident</t>
        </is>
      </c>
      <c r="S972" s="5" t="n">
        <v>1</v>
      </c>
      <c r="T972" s="5" t="inlineStr">
        <is>
          <t>none</t>
        </is>
      </c>
      <c r="U972" s="5" t="inlineStr">
        <is>
          <t>yes</t>
        </is>
      </c>
      <c r="V972" s="5" t="inlineStr">
        <is>
          <t>bad</t>
        </is>
      </c>
    </row>
    <row r="973">
      <c r="A973" s="5" t="n">
        <v>968</v>
      </c>
      <c r="B973" s="5" t="inlineStr">
        <is>
          <t>no checking</t>
        </is>
      </c>
      <c r="C973" s="5" t="n">
        <v>15</v>
      </c>
      <c r="D973" s="5" t="inlineStr">
        <is>
          <t>existing paid</t>
        </is>
      </c>
      <c r="E973" s="5" t="inlineStr">
        <is>
          <t>radio/tv</t>
        </is>
      </c>
      <c r="F973" s="5" t="n">
        <v>3568</v>
      </c>
      <c r="G973" s="5" t="inlineStr">
        <is>
          <t>&lt;100</t>
        </is>
      </c>
      <c r="H973" s="5" t="inlineStr">
        <is>
          <t>&gt;=7</t>
        </is>
      </c>
      <c r="I973" s="5" t="n">
        <v>4</v>
      </c>
      <c r="J973" s="5" t="inlineStr">
        <is>
          <t>female div/dep/mar</t>
        </is>
      </c>
      <c r="K973" s="5" t="inlineStr">
        <is>
          <t>none</t>
        </is>
      </c>
      <c r="L973" s="5" t="n">
        <v>2</v>
      </c>
      <c r="M973" s="5" t="inlineStr">
        <is>
          <t>car</t>
        </is>
      </c>
      <c r="N973" s="5" t="n">
        <v>54</v>
      </c>
      <c r="O973" s="5" t="inlineStr">
        <is>
          <t>bank</t>
        </is>
      </c>
      <c r="P973" s="5" t="inlineStr">
        <is>
          <t>rent</t>
        </is>
      </c>
      <c r="Q973" s="5" t="n">
        <v>1</v>
      </c>
      <c r="R973" s="5" t="inlineStr">
        <is>
          <t>high qualif/self emp/mgmt</t>
        </is>
      </c>
      <c r="S973" s="5" t="n">
        <v>1</v>
      </c>
      <c r="T973" s="5" t="inlineStr">
        <is>
          <t>yes</t>
        </is>
      </c>
      <c r="U973" s="5" t="inlineStr">
        <is>
          <t>yes</t>
        </is>
      </c>
      <c r="V973" s="5" t="inlineStr">
        <is>
          <t>good</t>
        </is>
      </c>
    </row>
    <row r="974">
      <c r="A974" s="5" t="n">
        <v>969</v>
      </c>
      <c r="B974" s="5" t="inlineStr">
        <is>
          <t>no checking</t>
        </is>
      </c>
      <c r="C974" s="5" t="n">
        <v>42</v>
      </c>
      <c r="D974" s="5" t="inlineStr">
        <is>
          <t>existing paid</t>
        </is>
      </c>
      <c r="E974" s="5" t="inlineStr">
        <is>
          <t>radio/tv</t>
        </is>
      </c>
      <c r="F974" s="5" t="n">
        <v>7166</v>
      </c>
      <c r="G974" s="5" t="inlineStr">
        <is>
          <t>no known savings</t>
        </is>
      </c>
      <c r="H974" s="5" t="inlineStr">
        <is>
          <t>4&lt;=X&lt;7</t>
        </is>
      </c>
      <c r="I974" s="5" t="n">
        <v>2</v>
      </c>
      <c r="J974" s="5" t="inlineStr">
        <is>
          <t>male mar/wid</t>
        </is>
      </c>
      <c r="K974" s="5" t="inlineStr">
        <is>
          <t>none</t>
        </is>
      </c>
      <c r="L974" s="5" t="n">
        <v>4</v>
      </c>
      <c r="M974" s="5" t="inlineStr">
        <is>
          <t>life insurance</t>
        </is>
      </c>
      <c r="N974" s="5" t="n">
        <v>29</v>
      </c>
      <c r="O974" s="5" t="inlineStr">
        <is>
          <t>none</t>
        </is>
      </c>
      <c r="P974" s="5" t="inlineStr">
        <is>
          <t>rent</t>
        </is>
      </c>
      <c r="Q974" s="5" t="n">
        <v>1</v>
      </c>
      <c r="R974" s="5" t="inlineStr">
        <is>
          <t>skilled</t>
        </is>
      </c>
      <c r="S974" s="5" t="n">
        <v>1</v>
      </c>
      <c r="T974" s="5" t="inlineStr">
        <is>
          <t>yes</t>
        </is>
      </c>
      <c r="U974" s="5" t="inlineStr">
        <is>
          <t>yes</t>
        </is>
      </c>
      <c r="V974" s="5" t="inlineStr">
        <is>
          <t>good</t>
        </is>
      </c>
    </row>
    <row r="975">
      <c r="A975" s="5" t="n">
        <v>970</v>
      </c>
      <c r="B975" s="5" t="inlineStr">
        <is>
          <t>&lt;0</t>
        </is>
      </c>
      <c r="C975" s="5" t="n">
        <v>11</v>
      </c>
      <c r="D975" s="5" t="inlineStr">
        <is>
          <t>critical/other existing credit</t>
        </is>
      </c>
      <c r="E975" s="5" t="inlineStr">
        <is>
          <t>new car</t>
        </is>
      </c>
      <c r="F975" s="5" t="n">
        <v>3939</v>
      </c>
      <c r="G975" s="5" t="inlineStr">
        <is>
          <t>&lt;100</t>
        </is>
      </c>
      <c r="H975" s="5" t="inlineStr">
        <is>
          <t>1&lt;=X&lt;4</t>
        </is>
      </c>
      <c r="I975" s="5" t="n">
        <v>1</v>
      </c>
      <c r="J975" s="5" t="inlineStr">
        <is>
          <t>male single</t>
        </is>
      </c>
      <c r="K975" s="5" t="inlineStr">
        <is>
          <t>none</t>
        </is>
      </c>
      <c r="L975" s="5" t="n">
        <v>2</v>
      </c>
      <c r="M975" s="5" t="inlineStr">
        <is>
          <t>real estate</t>
        </is>
      </c>
      <c r="N975" s="5" t="n">
        <v>40</v>
      </c>
      <c r="O975" s="5" t="inlineStr">
        <is>
          <t>none</t>
        </is>
      </c>
      <c r="P975" s="5" t="inlineStr">
        <is>
          <t>own</t>
        </is>
      </c>
      <c r="Q975" s="5" t="n">
        <v>2</v>
      </c>
      <c r="R975" s="5" t="inlineStr">
        <is>
          <t>unskilled resident</t>
        </is>
      </c>
      <c r="S975" s="5" t="n">
        <v>2</v>
      </c>
      <c r="T975" s="5" t="inlineStr">
        <is>
          <t>none</t>
        </is>
      </c>
      <c r="U975" s="5" t="inlineStr">
        <is>
          <t>yes</t>
        </is>
      </c>
      <c r="V975" s="5" t="inlineStr">
        <is>
          <t>good</t>
        </is>
      </c>
    </row>
    <row r="976">
      <c r="A976" s="5" t="n">
        <v>971</v>
      </c>
      <c r="B976" s="5" t="inlineStr">
        <is>
          <t>0&lt;=X&lt;200</t>
        </is>
      </c>
      <c r="C976" s="5" t="n">
        <v>15</v>
      </c>
      <c r="D976" s="5" t="inlineStr">
        <is>
          <t>existing paid</t>
        </is>
      </c>
      <c r="E976" s="5" t="inlineStr">
        <is>
          <t>repairs</t>
        </is>
      </c>
      <c r="F976" s="5" t="n">
        <v>1514</v>
      </c>
      <c r="G976" s="5" t="inlineStr">
        <is>
          <t>100&lt;=X&lt;500</t>
        </is>
      </c>
      <c r="H976" s="5" t="inlineStr">
        <is>
          <t>1&lt;=X&lt;4</t>
        </is>
      </c>
      <c r="I976" s="5" t="n">
        <v>4</v>
      </c>
      <c r="J976" s="5" t="inlineStr">
        <is>
          <t>male single</t>
        </is>
      </c>
      <c r="K976" s="5" t="inlineStr">
        <is>
          <t>guarantor</t>
        </is>
      </c>
      <c r="L976" s="5" t="n">
        <v>2</v>
      </c>
      <c r="M976" s="5" t="inlineStr">
        <is>
          <t>real estate</t>
        </is>
      </c>
      <c r="N976" s="5" t="n">
        <v>22</v>
      </c>
      <c r="O976" s="5" t="inlineStr">
        <is>
          <t>none</t>
        </is>
      </c>
      <c r="P976" s="5" t="inlineStr">
        <is>
          <t>own</t>
        </is>
      </c>
      <c r="Q976" s="5" t="n">
        <v>1</v>
      </c>
      <c r="R976" s="5" t="inlineStr">
        <is>
          <t>skilled</t>
        </is>
      </c>
      <c r="S976" s="5" t="n">
        <v>1</v>
      </c>
      <c r="T976" s="5" t="inlineStr">
        <is>
          <t>none</t>
        </is>
      </c>
      <c r="U976" s="5" t="inlineStr">
        <is>
          <t>yes</t>
        </is>
      </c>
      <c r="V976" s="5" t="inlineStr">
        <is>
          <t>good</t>
        </is>
      </c>
    </row>
    <row r="977">
      <c r="A977" s="5" t="n">
        <v>972</v>
      </c>
      <c r="B977" s="5" t="inlineStr">
        <is>
          <t>no checking</t>
        </is>
      </c>
      <c r="C977" s="5" t="n">
        <v>24</v>
      </c>
      <c r="D977" s="5" t="inlineStr">
        <is>
          <t>existing paid</t>
        </is>
      </c>
      <c r="E977" s="5" t="inlineStr">
        <is>
          <t>new car</t>
        </is>
      </c>
      <c r="F977" s="5" t="n">
        <v>7393</v>
      </c>
      <c r="G977" s="5" t="inlineStr">
        <is>
          <t>&lt;100</t>
        </is>
      </c>
      <c r="H977" s="5" t="inlineStr">
        <is>
          <t>1&lt;=X&lt;4</t>
        </is>
      </c>
      <c r="I977" s="5" t="n">
        <v>1</v>
      </c>
      <c r="J977" s="5" t="inlineStr">
        <is>
          <t>male single</t>
        </is>
      </c>
      <c r="K977" s="5" t="inlineStr">
        <is>
          <t>none</t>
        </is>
      </c>
      <c r="L977" s="5" t="n">
        <v>4</v>
      </c>
      <c r="M977" s="5" t="inlineStr">
        <is>
          <t>life insurance</t>
        </is>
      </c>
      <c r="N977" s="5" t="n">
        <v>43</v>
      </c>
      <c r="O977" s="5" t="inlineStr">
        <is>
          <t>none</t>
        </is>
      </c>
      <c r="P977" s="5" t="inlineStr">
        <is>
          <t>own</t>
        </is>
      </c>
      <c r="Q977" s="5" t="n">
        <v>1</v>
      </c>
      <c r="R977" s="5" t="inlineStr">
        <is>
          <t>unskilled resident</t>
        </is>
      </c>
      <c r="S977" s="5" t="n">
        <v>2</v>
      </c>
      <c r="T977" s="5" t="inlineStr">
        <is>
          <t>none</t>
        </is>
      </c>
      <c r="U977" s="5" t="inlineStr">
        <is>
          <t>yes</t>
        </is>
      </c>
      <c r="V977" s="5" t="inlineStr">
        <is>
          <t>good</t>
        </is>
      </c>
    </row>
    <row r="978">
      <c r="A978" s="5" t="n">
        <v>973</v>
      </c>
      <c r="B978" s="5" t="inlineStr">
        <is>
          <t>&lt;0</t>
        </is>
      </c>
      <c r="C978" s="5" t="n">
        <v>24</v>
      </c>
      <c r="D978" s="5" t="inlineStr">
        <is>
          <t>all paid</t>
        </is>
      </c>
      <c r="E978" s="5" t="inlineStr">
        <is>
          <t>new car</t>
        </is>
      </c>
      <c r="F978" s="5" t="n">
        <v>1193</v>
      </c>
      <c r="G978" s="5" t="inlineStr">
        <is>
          <t>&lt;100</t>
        </is>
      </c>
      <c r="H978" s="5" t="inlineStr">
        <is>
          <t>unemployed</t>
        </is>
      </c>
      <c r="I978" s="5" t="n">
        <v>1</v>
      </c>
      <c r="J978" s="5" t="inlineStr">
        <is>
          <t>female div/dep/mar</t>
        </is>
      </c>
      <c r="K978" s="5" t="inlineStr">
        <is>
          <t>co applicant</t>
        </is>
      </c>
      <c r="L978" s="5" t="n">
        <v>4</v>
      </c>
      <c r="M978" s="5" t="inlineStr">
        <is>
          <t>no known property</t>
        </is>
      </c>
      <c r="N978" s="5" t="n">
        <v>29</v>
      </c>
      <c r="O978" s="5" t="inlineStr">
        <is>
          <t>none</t>
        </is>
      </c>
      <c r="P978" s="5" t="inlineStr">
        <is>
          <t>rent</t>
        </is>
      </c>
      <c r="Q978" s="5" t="n">
        <v>2</v>
      </c>
      <c r="R978" s="5" t="inlineStr">
        <is>
          <t>unemp/unskilled non res</t>
        </is>
      </c>
      <c r="S978" s="5" t="n">
        <v>1</v>
      </c>
      <c r="T978" s="5" t="inlineStr">
        <is>
          <t>none</t>
        </is>
      </c>
      <c r="U978" s="5" t="inlineStr">
        <is>
          <t>yes</t>
        </is>
      </c>
      <c r="V978" s="5" t="inlineStr">
        <is>
          <t>bad</t>
        </is>
      </c>
    </row>
    <row r="979">
      <c r="A979" s="5" t="n">
        <v>974</v>
      </c>
      <c r="B979" s="5" t="inlineStr">
        <is>
          <t>&lt;0</t>
        </is>
      </c>
      <c r="C979" s="5" t="n">
        <v>60</v>
      </c>
      <c r="D979" s="5" t="inlineStr">
        <is>
          <t>existing paid</t>
        </is>
      </c>
      <c r="E979" s="5" t="inlineStr">
        <is>
          <t>business</t>
        </is>
      </c>
      <c r="F979" s="5" t="n">
        <v>7297</v>
      </c>
      <c r="G979" s="5" t="inlineStr">
        <is>
          <t>&lt;100</t>
        </is>
      </c>
      <c r="H979" s="5" t="inlineStr">
        <is>
          <t>&gt;=7</t>
        </is>
      </c>
      <c r="I979" s="5" t="n">
        <v>4</v>
      </c>
      <c r="J979" s="5" t="inlineStr">
        <is>
          <t>male single</t>
        </is>
      </c>
      <c r="K979" s="5" t="inlineStr">
        <is>
          <t>co applicant</t>
        </is>
      </c>
      <c r="L979" s="5" t="n">
        <v>4</v>
      </c>
      <c r="M979" s="5" t="inlineStr">
        <is>
          <t>no known property</t>
        </is>
      </c>
      <c r="N979" s="5" t="n">
        <v>36</v>
      </c>
      <c r="O979" s="5" t="inlineStr">
        <is>
          <t>none</t>
        </is>
      </c>
      <c r="P979" s="5" t="inlineStr">
        <is>
          <t>rent</t>
        </is>
      </c>
      <c r="Q979" s="5" t="n">
        <v>1</v>
      </c>
      <c r="R979" s="5" t="inlineStr">
        <is>
          <t>skilled</t>
        </is>
      </c>
      <c r="S979" s="5" t="n">
        <v>1</v>
      </c>
      <c r="T979" s="5" t="inlineStr">
        <is>
          <t>none</t>
        </is>
      </c>
      <c r="U979" s="5" t="inlineStr">
        <is>
          <t>yes</t>
        </is>
      </c>
      <c r="V979" s="5" t="inlineStr">
        <is>
          <t>bad</t>
        </is>
      </c>
    </row>
    <row r="980">
      <c r="A980" s="5" t="n">
        <v>975</v>
      </c>
      <c r="B980" s="5" t="inlineStr">
        <is>
          <t>no checking</t>
        </is>
      </c>
      <c r="C980" s="5" t="n">
        <v>30</v>
      </c>
      <c r="D980" s="5" t="inlineStr">
        <is>
          <t>critical/other existing credit</t>
        </is>
      </c>
      <c r="E980" s="5" t="inlineStr">
        <is>
          <t>radio/tv</t>
        </is>
      </c>
      <c r="F980" s="5" t="n">
        <v>2831</v>
      </c>
      <c r="G980" s="5" t="inlineStr">
        <is>
          <t>&lt;100</t>
        </is>
      </c>
      <c r="H980" s="5" t="inlineStr">
        <is>
          <t>1&lt;=X&lt;4</t>
        </is>
      </c>
      <c r="I980" s="5" t="n">
        <v>4</v>
      </c>
      <c r="J980" s="5" t="inlineStr">
        <is>
          <t>female div/dep/mar</t>
        </is>
      </c>
      <c r="K980" s="5" t="inlineStr">
        <is>
          <t>none</t>
        </is>
      </c>
      <c r="L980" s="5" t="n">
        <v>2</v>
      </c>
      <c r="M980" s="5" t="inlineStr">
        <is>
          <t>car</t>
        </is>
      </c>
      <c r="N980" s="5" t="n">
        <v>33</v>
      </c>
      <c r="O980" s="5" t="inlineStr">
        <is>
          <t>none</t>
        </is>
      </c>
      <c r="P980" s="5" t="inlineStr">
        <is>
          <t>own</t>
        </is>
      </c>
      <c r="Q980" s="5" t="n">
        <v>1</v>
      </c>
      <c r="R980" s="5" t="inlineStr">
        <is>
          <t>skilled</t>
        </is>
      </c>
      <c r="S980" s="5" t="n">
        <v>1</v>
      </c>
      <c r="T980" s="5" t="inlineStr">
        <is>
          <t>yes</t>
        </is>
      </c>
      <c r="U980" s="5" t="inlineStr">
        <is>
          <t>yes</t>
        </is>
      </c>
      <c r="V980" s="5" t="inlineStr">
        <is>
          <t>good</t>
        </is>
      </c>
    </row>
    <row r="981">
      <c r="A981" s="5" t="n">
        <v>976</v>
      </c>
      <c r="B981" s="5" t="inlineStr">
        <is>
          <t>&gt;=200</t>
        </is>
      </c>
      <c r="C981" s="5" t="n">
        <v>24</v>
      </c>
      <c r="D981" s="5" t="inlineStr">
        <is>
          <t>existing paid</t>
        </is>
      </c>
      <c r="E981" s="5" t="inlineStr">
        <is>
          <t>radio/tv</t>
        </is>
      </c>
      <c r="F981" s="5" t="n">
        <v>1258</v>
      </c>
      <c r="G981" s="5" t="inlineStr">
        <is>
          <t>500&lt;=X&lt;1000</t>
        </is>
      </c>
      <c r="H981" s="5" t="inlineStr">
        <is>
          <t>1&lt;=X&lt;4</t>
        </is>
      </c>
      <c r="I981" s="5" t="n">
        <v>3</v>
      </c>
      <c r="J981" s="5" t="inlineStr">
        <is>
          <t>female div/dep/mar</t>
        </is>
      </c>
      <c r="K981" s="5" t="inlineStr">
        <is>
          <t>none</t>
        </is>
      </c>
      <c r="L981" s="5" t="n">
        <v>3</v>
      </c>
      <c r="M981" s="5" t="inlineStr">
        <is>
          <t>car</t>
        </is>
      </c>
      <c r="N981" s="5" t="n">
        <v>57</v>
      </c>
      <c r="O981" s="5" t="inlineStr">
        <is>
          <t>none</t>
        </is>
      </c>
      <c r="P981" s="5" t="inlineStr">
        <is>
          <t>own</t>
        </is>
      </c>
      <c r="Q981" s="5" t="n">
        <v>1</v>
      </c>
      <c r="R981" s="5" t="inlineStr">
        <is>
          <t>unskilled resident</t>
        </is>
      </c>
      <c r="S981" s="5" t="n">
        <v>1</v>
      </c>
      <c r="T981" s="5" t="inlineStr">
        <is>
          <t>none</t>
        </is>
      </c>
      <c r="U981" s="5" t="inlineStr">
        <is>
          <t>yes</t>
        </is>
      </c>
      <c r="V981" s="5" t="inlineStr">
        <is>
          <t>good</t>
        </is>
      </c>
    </row>
    <row r="982">
      <c r="A982" s="5" t="n">
        <v>977</v>
      </c>
      <c r="B982" s="5" t="inlineStr">
        <is>
          <t>0&lt;=X&lt;200</t>
        </is>
      </c>
      <c r="C982" s="5" t="n">
        <v>6</v>
      </c>
      <c r="D982" s="5" t="inlineStr">
        <is>
          <t>existing paid</t>
        </is>
      </c>
      <c r="E982" s="5" t="inlineStr">
        <is>
          <t>radio/tv</t>
        </is>
      </c>
      <c r="F982" s="5" t="n">
        <v>753</v>
      </c>
      <c r="G982" s="5" t="inlineStr">
        <is>
          <t>&lt;100</t>
        </is>
      </c>
      <c r="H982" s="5" t="inlineStr">
        <is>
          <t>1&lt;=X&lt;4</t>
        </is>
      </c>
      <c r="I982" s="5" t="n">
        <v>2</v>
      </c>
      <c r="J982" s="5" t="inlineStr">
        <is>
          <t>female div/dep/mar</t>
        </is>
      </c>
      <c r="K982" s="5" t="inlineStr">
        <is>
          <t>guarantor</t>
        </is>
      </c>
      <c r="L982" s="5" t="n">
        <v>3</v>
      </c>
      <c r="M982" s="5" t="inlineStr">
        <is>
          <t>real estate</t>
        </is>
      </c>
      <c r="N982" s="5" t="n">
        <v>64</v>
      </c>
      <c r="O982" s="5" t="inlineStr">
        <is>
          <t>none</t>
        </is>
      </c>
      <c r="P982" s="5" t="inlineStr">
        <is>
          <t>own</t>
        </is>
      </c>
      <c r="Q982" s="5" t="n">
        <v>1</v>
      </c>
      <c r="R982" s="5" t="inlineStr">
        <is>
          <t>skilled</t>
        </is>
      </c>
      <c r="S982" s="5" t="n">
        <v>1</v>
      </c>
      <c r="T982" s="5" t="inlineStr">
        <is>
          <t>none</t>
        </is>
      </c>
      <c r="U982" s="5" t="inlineStr">
        <is>
          <t>yes</t>
        </is>
      </c>
      <c r="V982" s="5" t="inlineStr">
        <is>
          <t>good</t>
        </is>
      </c>
    </row>
    <row r="983">
      <c r="A983" s="5" t="n">
        <v>978</v>
      </c>
      <c r="B983" s="5" t="inlineStr">
        <is>
          <t>0&lt;=X&lt;200</t>
        </is>
      </c>
      <c r="C983" s="5" t="n">
        <v>18</v>
      </c>
      <c r="D983" s="5" t="inlineStr">
        <is>
          <t>delayed previously</t>
        </is>
      </c>
      <c r="E983" s="5" t="inlineStr">
        <is>
          <t>business</t>
        </is>
      </c>
      <c r="F983" s="5" t="n">
        <v>2427</v>
      </c>
      <c r="G983" s="5" t="inlineStr">
        <is>
          <t>no known savings</t>
        </is>
      </c>
      <c r="H983" s="5" t="inlineStr">
        <is>
          <t>&gt;=7</t>
        </is>
      </c>
      <c r="I983" s="5" t="n">
        <v>4</v>
      </c>
      <c r="J983" s="5" t="inlineStr">
        <is>
          <t>male single</t>
        </is>
      </c>
      <c r="K983" s="5" t="inlineStr">
        <is>
          <t>none</t>
        </is>
      </c>
      <c r="L983" s="5" t="n">
        <v>2</v>
      </c>
      <c r="M983" s="5" t="inlineStr">
        <is>
          <t>life insurance</t>
        </is>
      </c>
      <c r="N983" s="5" t="n">
        <v>42</v>
      </c>
      <c r="O983" s="5" t="inlineStr">
        <is>
          <t>none</t>
        </is>
      </c>
      <c r="P983" s="5" t="inlineStr">
        <is>
          <t>own</t>
        </is>
      </c>
      <c r="Q983" s="5" t="n">
        <v>2</v>
      </c>
      <c r="R983" s="5" t="inlineStr">
        <is>
          <t>skilled</t>
        </is>
      </c>
      <c r="S983" s="5" t="n">
        <v>1</v>
      </c>
      <c r="T983" s="5" t="inlineStr">
        <is>
          <t>none</t>
        </is>
      </c>
      <c r="U983" s="5" t="inlineStr">
        <is>
          <t>yes</t>
        </is>
      </c>
      <c r="V983" s="5" t="inlineStr">
        <is>
          <t>good</t>
        </is>
      </c>
    </row>
    <row r="984">
      <c r="A984" s="5" t="n">
        <v>979</v>
      </c>
      <c r="B984" s="5" t="inlineStr">
        <is>
          <t>no checking</t>
        </is>
      </c>
      <c r="C984" s="5" t="n">
        <v>24</v>
      </c>
      <c r="D984" s="5" t="inlineStr">
        <is>
          <t>delayed previously</t>
        </is>
      </c>
      <c r="E984" s="5" t="inlineStr">
        <is>
          <t>new car</t>
        </is>
      </c>
      <c r="F984" s="5" t="n">
        <v>2538</v>
      </c>
      <c r="G984" s="5" t="inlineStr">
        <is>
          <t>&lt;100</t>
        </is>
      </c>
      <c r="H984" s="5" t="inlineStr">
        <is>
          <t>&gt;=7</t>
        </is>
      </c>
      <c r="I984" s="5" t="n">
        <v>4</v>
      </c>
      <c r="J984" s="5" t="inlineStr">
        <is>
          <t>male single</t>
        </is>
      </c>
      <c r="K984" s="5" t="inlineStr">
        <is>
          <t>none</t>
        </is>
      </c>
      <c r="L984" s="5" t="n">
        <v>4</v>
      </c>
      <c r="M984" s="5" t="inlineStr">
        <is>
          <t>car</t>
        </is>
      </c>
      <c r="N984" s="5" t="n">
        <v>47</v>
      </c>
      <c r="O984" s="5" t="inlineStr">
        <is>
          <t>none</t>
        </is>
      </c>
      <c r="P984" s="5" t="inlineStr">
        <is>
          <t>own</t>
        </is>
      </c>
      <c r="Q984" s="5" t="n">
        <v>2</v>
      </c>
      <c r="R984" s="5" t="inlineStr">
        <is>
          <t>unskilled resident</t>
        </is>
      </c>
      <c r="S984" s="5" t="n">
        <v>2</v>
      </c>
      <c r="T984" s="5" t="inlineStr">
        <is>
          <t>none</t>
        </is>
      </c>
      <c r="U984" s="5" t="inlineStr">
        <is>
          <t>yes</t>
        </is>
      </c>
      <c r="V984" s="5" t="inlineStr">
        <is>
          <t>bad</t>
        </is>
      </c>
    </row>
    <row r="985">
      <c r="A985" s="5" t="n">
        <v>980</v>
      </c>
      <c r="B985" s="5" t="inlineStr">
        <is>
          <t>0&lt;=X&lt;200</t>
        </is>
      </c>
      <c r="C985" s="5" t="n">
        <v>15</v>
      </c>
      <c r="D985" s="5" t="inlineStr">
        <is>
          <t>all paid</t>
        </is>
      </c>
      <c r="E985" s="5" t="inlineStr">
        <is>
          <t>new car</t>
        </is>
      </c>
      <c r="F985" s="5" t="n">
        <v>1264</v>
      </c>
      <c r="G985" s="5" t="inlineStr">
        <is>
          <t>100&lt;=X&lt;500</t>
        </is>
      </c>
      <c r="H985" s="5" t="inlineStr">
        <is>
          <t>1&lt;=X&lt;4</t>
        </is>
      </c>
      <c r="I985" s="5" t="n">
        <v>2</v>
      </c>
      <c r="J985" s="5" t="inlineStr">
        <is>
          <t>male mar/wid</t>
        </is>
      </c>
      <c r="K985" s="5" t="inlineStr">
        <is>
          <t>none</t>
        </is>
      </c>
      <c r="L985" s="5" t="n">
        <v>2</v>
      </c>
      <c r="M985" s="5" t="inlineStr">
        <is>
          <t>life insurance</t>
        </is>
      </c>
      <c r="N985" s="5" t="n">
        <v>25</v>
      </c>
      <c r="O985" s="5" t="inlineStr">
        <is>
          <t>none</t>
        </is>
      </c>
      <c r="P985" s="5" t="inlineStr">
        <is>
          <t>rent</t>
        </is>
      </c>
      <c r="Q985" s="5" t="n">
        <v>1</v>
      </c>
      <c r="R985" s="5" t="inlineStr">
        <is>
          <t>skilled</t>
        </is>
      </c>
      <c r="S985" s="5" t="n">
        <v>1</v>
      </c>
      <c r="T985" s="5" t="inlineStr">
        <is>
          <t>none</t>
        </is>
      </c>
      <c r="U985" s="5" t="inlineStr">
        <is>
          <t>yes</t>
        </is>
      </c>
      <c r="V985" s="5" t="inlineStr">
        <is>
          <t>bad</t>
        </is>
      </c>
    </row>
    <row r="986">
      <c r="A986" s="5" t="n">
        <v>981</v>
      </c>
      <c r="B986" s="5" t="inlineStr">
        <is>
          <t>0&lt;=X&lt;200</t>
        </is>
      </c>
      <c r="C986" s="5" t="n">
        <v>30</v>
      </c>
      <c r="D986" s="5" t="inlineStr">
        <is>
          <t>critical/other existing credit</t>
        </is>
      </c>
      <c r="E986" s="5" t="inlineStr">
        <is>
          <t>furniture/equipment</t>
        </is>
      </c>
      <c r="F986" s="5" t="n">
        <v>8386</v>
      </c>
      <c r="G986" s="5" t="inlineStr">
        <is>
          <t>&lt;100</t>
        </is>
      </c>
      <c r="H986" s="5" t="inlineStr">
        <is>
          <t>4&lt;=X&lt;7</t>
        </is>
      </c>
      <c r="I986" s="5" t="n">
        <v>2</v>
      </c>
      <c r="J986" s="5" t="inlineStr">
        <is>
          <t>male single</t>
        </is>
      </c>
      <c r="K986" s="5" t="inlineStr">
        <is>
          <t>none</t>
        </is>
      </c>
      <c r="L986" s="5" t="n">
        <v>2</v>
      </c>
      <c r="M986" s="5" t="inlineStr">
        <is>
          <t>life insurance</t>
        </is>
      </c>
      <c r="N986" s="5" t="n">
        <v>49</v>
      </c>
      <c r="O986" s="5" t="inlineStr">
        <is>
          <t>none</t>
        </is>
      </c>
      <c r="P986" s="5" t="inlineStr">
        <is>
          <t>own</t>
        </is>
      </c>
      <c r="Q986" s="5" t="n">
        <v>1</v>
      </c>
      <c r="R986" s="5" t="inlineStr">
        <is>
          <t>skilled</t>
        </is>
      </c>
      <c r="S986" s="5" t="n">
        <v>1</v>
      </c>
      <c r="T986" s="5" t="inlineStr">
        <is>
          <t>none</t>
        </is>
      </c>
      <c r="U986" s="5" t="inlineStr">
        <is>
          <t>yes</t>
        </is>
      </c>
      <c r="V986" s="5" t="inlineStr">
        <is>
          <t>bad</t>
        </is>
      </c>
    </row>
    <row r="987">
      <c r="A987" s="5" t="n">
        <v>982</v>
      </c>
      <c r="B987" s="5" t="inlineStr">
        <is>
          <t>no checking</t>
        </is>
      </c>
      <c r="C987" s="5" t="n">
        <v>48</v>
      </c>
      <c r="D987" s="5" t="inlineStr">
        <is>
          <t>existing paid</t>
        </is>
      </c>
      <c r="E987" s="5" t="inlineStr">
        <is>
          <t>business</t>
        </is>
      </c>
      <c r="F987" s="5" t="n">
        <v>4844</v>
      </c>
      <c r="G987" s="5" t="inlineStr">
        <is>
          <t>&lt;100</t>
        </is>
      </c>
      <c r="H987" s="5" t="inlineStr">
        <is>
          <t>unemployed</t>
        </is>
      </c>
      <c r="I987" s="5" t="n">
        <v>3</v>
      </c>
      <c r="J987" s="5" t="inlineStr">
        <is>
          <t>male single</t>
        </is>
      </c>
      <c r="K987" s="5" t="inlineStr">
        <is>
          <t>none</t>
        </is>
      </c>
      <c r="L987" s="5" t="n">
        <v>2</v>
      </c>
      <c r="M987" s="5" t="inlineStr">
        <is>
          <t>car</t>
        </is>
      </c>
      <c r="N987" s="5" t="n">
        <v>33</v>
      </c>
      <c r="O987" s="5" t="inlineStr">
        <is>
          <t>bank</t>
        </is>
      </c>
      <c r="P987" s="5" t="inlineStr">
        <is>
          <t>rent</t>
        </is>
      </c>
      <c r="Q987" s="5" t="n">
        <v>1</v>
      </c>
      <c r="R987" s="5" t="inlineStr">
        <is>
          <t>high qualif/self emp/mgmt</t>
        </is>
      </c>
      <c r="S987" s="5" t="n">
        <v>1</v>
      </c>
      <c r="T987" s="5" t="inlineStr">
        <is>
          <t>yes</t>
        </is>
      </c>
      <c r="U987" s="5" t="inlineStr">
        <is>
          <t>yes</t>
        </is>
      </c>
      <c r="V987" s="5" t="inlineStr">
        <is>
          <t>bad</t>
        </is>
      </c>
    </row>
    <row r="988">
      <c r="A988" s="5" t="n">
        <v>983</v>
      </c>
      <c r="B988" s="5" t="inlineStr">
        <is>
          <t>&gt;=200</t>
        </is>
      </c>
      <c r="C988" s="5" t="n">
        <v>21</v>
      </c>
      <c r="D988" s="5" t="inlineStr">
        <is>
          <t>existing paid</t>
        </is>
      </c>
      <c r="E988" s="5" t="inlineStr">
        <is>
          <t>new car</t>
        </is>
      </c>
      <c r="F988" s="5" t="n">
        <v>2923</v>
      </c>
      <c r="G988" s="5" t="inlineStr">
        <is>
          <t>100&lt;=X&lt;500</t>
        </is>
      </c>
      <c r="H988" s="5" t="inlineStr">
        <is>
          <t>1&lt;=X&lt;4</t>
        </is>
      </c>
      <c r="I988" s="5" t="n">
        <v>1</v>
      </c>
      <c r="J988" s="5" t="inlineStr">
        <is>
          <t>female div/dep/mar</t>
        </is>
      </c>
      <c r="K988" s="5" t="inlineStr">
        <is>
          <t>none</t>
        </is>
      </c>
      <c r="L988" s="5" t="n">
        <v>1</v>
      </c>
      <c r="M988" s="5" t="inlineStr">
        <is>
          <t>car</t>
        </is>
      </c>
      <c r="N988" s="5" t="n">
        <v>28</v>
      </c>
      <c r="O988" s="5" t="inlineStr">
        <is>
          <t>bank</t>
        </is>
      </c>
      <c r="P988" s="5" t="inlineStr">
        <is>
          <t>own</t>
        </is>
      </c>
      <c r="Q988" s="5" t="n">
        <v>1</v>
      </c>
      <c r="R988" s="5" t="inlineStr">
        <is>
          <t>high qualif/self emp/mgmt</t>
        </is>
      </c>
      <c r="S988" s="5" t="n">
        <v>1</v>
      </c>
      <c r="T988" s="5" t="inlineStr">
        <is>
          <t>yes</t>
        </is>
      </c>
      <c r="U988" s="5" t="inlineStr">
        <is>
          <t>yes</t>
        </is>
      </c>
      <c r="V988" s="5" t="inlineStr">
        <is>
          <t>good</t>
        </is>
      </c>
    </row>
    <row r="989">
      <c r="A989" s="5" t="n">
        <v>984</v>
      </c>
      <c r="B989" s="5" t="inlineStr">
        <is>
          <t>&lt;0</t>
        </is>
      </c>
      <c r="C989" s="5" t="n">
        <v>36</v>
      </c>
      <c r="D989" s="5" t="inlineStr">
        <is>
          <t>existing paid</t>
        </is>
      </c>
      <c r="E989" s="5" t="inlineStr">
        <is>
          <t>used car</t>
        </is>
      </c>
      <c r="F989" s="5" t="n">
        <v>8229</v>
      </c>
      <c r="G989" s="5" t="inlineStr">
        <is>
          <t>&lt;100</t>
        </is>
      </c>
      <c r="H989" s="5" t="inlineStr">
        <is>
          <t>1&lt;=X&lt;4</t>
        </is>
      </c>
      <c r="I989" s="5" t="n">
        <v>2</v>
      </c>
      <c r="J989" s="5" t="inlineStr">
        <is>
          <t>male single</t>
        </is>
      </c>
      <c r="K989" s="5" t="inlineStr">
        <is>
          <t>none</t>
        </is>
      </c>
      <c r="L989" s="5" t="n">
        <v>2</v>
      </c>
      <c r="M989" s="5" t="inlineStr">
        <is>
          <t>life insurance</t>
        </is>
      </c>
      <c r="N989" s="5" t="n">
        <v>26</v>
      </c>
      <c r="O989" s="5" t="inlineStr">
        <is>
          <t>none</t>
        </is>
      </c>
      <c r="P989" s="5" t="inlineStr">
        <is>
          <t>own</t>
        </is>
      </c>
      <c r="Q989" s="5" t="n">
        <v>1</v>
      </c>
      <c r="R989" s="5" t="inlineStr">
        <is>
          <t>skilled</t>
        </is>
      </c>
      <c r="S989" s="5" t="n">
        <v>2</v>
      </c>
      <c r="T989" s="5" t="inlineStr">
        <is>
          <t>none</t>
        </is>
      </c>
      <c r="U989" s="5" t="inlineStr">
        <is>
          <t>yes</t>
        </is>
      </c>
      <c r="V989" s="5" t="inlineStr">
        <is>
          <t>bad</t>
        </is>
      </c>
    </row>
    <row r="990">
      <c r="A990" s="5" t="n">
        <v>985</v>
      </c>
      <c r="B990" s="5" t="inlineStr">
        <is>
          <t>no checking</t>
        </is>
      </c>
      <c r="C990" s="5" t="n">
        <v>24</v>
      </c>
      <c r="D990" s="5" t="inlineStr">
        <is>
          <t>critical/other existing credit</t>
        </is>
      </c>
      <c r="E990" s="5" t="inlineStr">
        <is>
          <t>furniture/equipment</t>
        </is>
      </c>
      <c r="F990" s="5" t="n">
        <v>2028</v>
      </c>
      <c r="G990" s="5" t="inlineStr">
        <is>
          <t>&lt;100</t>
        </is>
      </c>
      <c r="H990" s="5" t="inlineStr">
        <is>
          <t>4&lt;=X&lt;7</t>
        </is>
      </c>
      <c r="I990" s="5" t="n">
        <v>2</v>
      </c>
      <c r="J990" s="5" t="inlineStr">
        <is>
          <t>male single</t>
        </is>
      </c>
      <c r="K990" s="5" t="inlineStr">
        <is>
          <t>none</t>
        </is>
      </c>
      <c r="L990" s="5" t="n">
        <v>2</v>
      </c>
      <c r="M990" s="5" t="inlineStr">
        <is>
          <t>life insurance</t>
        </is>
      </c>
      <c r="N990" s="5" t="n">
        <v>30</v>
      </c>
      <c r="O990" s="5" t="inlineStr">
        <is>
          <t>none</t>
        </is>
      </c>
      <c r="P990" s="5" t="inlineStr">
        <is>
          <t>own</t>
        </is>
      </c>
      <c r="Q990" s="5" t="n">
        <v>2</v>
      </c>
      <c r="R990" s="5" t="inlineStr">
        <is>
          <t>unskilled resident</t>
        </is>
      </c>
      <c r="S990" s="5" t="n">
        <v>1</v>
      </c>
      <c r="T990" s="5" t="inlineStr">
        <is>
          <t>none</t>
        </is>
      </c>
      <c r="U990" s="5" t="inlineStr">
        <is>
          <t>yes</t>
        </is>
      </c>
      <c r="V990" s="5" t="inlineStr">
        <is>
          <t>good</t>
        </is>
      </c>
    </row>
    <row r="991">
      <c r="A991" s="5" t="n">
        <v>986</v>
      </c>
      <c r="B991" s="5" t="inlineStr">
        <is>
          <t>&lt;0</t>
        </is>
      </c>
      <c r="C991" s="5" t="n">
        <v>15</v>
      </c>
      <c r="D991" s="5" t="inlineStr">
        <is>
          <t>critical/other existing credit</t>
        </is>
      </c>
      <c r="E991" s="5" t="inlineStr">
        <is>
          <t>furniture/equipment</t>
        </is>
      </c>
      <c r="F991" s="5" t="n">
        <v>1433</v>
      </c>
      <c r="G991" s="5" t="inlineStr">
        <is>
          <t>&lt;100</t>
        </is>
      </c>
      <c r="H991" s="5" t="inlineStr">
        <is>
          <t>1&lt;=X&lt;4</t>
        </is>
      </c>
      <c r="I991" s="5" t="n">
        <v>4</v>
      </c>
      <c r="J991" s="5" t="inlineStr">
        <is>
          <t>female div/dep/mar</t>
        </is>
      </c>
      <c r="K991" s="5" t="inlineStr">
        <is>
          <t>none</t>
        </is>
      </c>
      <c r="L991" s="5" t="n">
        <v>3</v>
      </c>
      <c r="M991" s="5" t="inlineStr">
        <is>
          <t>life insurance</t>
        </is>
      </c>
      <c r="N991" s="5" t="n">
        <v>25</v>
      </c>
      <c r="O991" s="5" t="inlineStr">
        <is>
          <t>none</t>
        </is>
      </c>
      <c r="P991" s="5" t="inlineStr">
        <is>
          <t>rent</t>
        </is>
      </c>
      <c r="Q991" s="5" t="n">
        <v>2</v>
      </c>
      <c r="R991" s="5" t="inlineStr">
        <is>
          <t>skilled</t>
        </is>
      </c>
      <c r="S991" s="5" t="n">
        <v>1</v>
      </c>
      <c r="T991" s="5" t="inlineStr">
        <is>
          <t>none</t>
        </is>
      </c>
      <c r="U991" s="5" t="inlineStr">
        <is>
          <t>yes</t>
        </is>
      </c>
      <c r="V991" s="5" t="inlineStr">
        <is>
          <t>good</t>
        </is>
      </c>
    </row>
    <row r="992">
      <c r="A992" s="5" t="n">
        <v>987</v>
      </c>
      <c r="B992" s="5" t="inlineStr">
        <is>
          <t>&gt;=200</t>
        </is>
      </c>
      <c r="C992" s="5" t="n">
        <v>42</v>
      </c>
      <c r="D992" s="5" t="inlineStr">
        <is>
          <t>no credits/all paid</t>
        </is>
      </c>
      <c r="E992" s="5" t="inlineStr">
        <is>
          <t>business</t>
        </is>
      </c>
      <c r="F992" s="5" t="n">
        <v>6289</v>
      </c>
      <c r="G992" s="5" t="inlineStr">
        <is>
          <t>&lt;100</t>
        </is>
      </c>
      <c r="H992" s="5" t="inlineStr">
        <is>
          <t>&lt;1</t>
        </is>
      </c>
      <c r="I992" s="5" t="n">
        <v>2</v>
      </c>
      <c r="J992" s="5" t="inlineStr">
        <is>
          <t>male div/sep</t>
        </is>
      </c>
      <c r="K992" s="5" t="inlineStr">
        <is>
          <t>none</t>
        </is>
      </c>
      <c r="L992" s="5" t="n">
        <v>1</v>
      </c>
      <c r="M992" s="5" t="inlineStr">
        <is>
          <t>life insurance</t>
        </is>
      </c>
      <c r="N992" s="5" t="n">
        <v>33</v>
      </c>
      <c r="O992" s="5" t="inlineStr">
        <is>
          <t>none</t>
        </is>
      </c>
      <c r="P992" s="5" t="inlineStr">
        <is>
          <t>own</t>
        </is>
      </c>
      <c r="Q992" s="5" t="n">
        <v>2</v>
      </c>
      <c r="R992" s="5" t="inlineStr">
        <is>
          <t>skilled</t>
        </is>
      </c>
      <c r="S992" s="5" t="n">
        <v>1</v>
      </c>
      <c r="T992" s="5" t="inlineStr">
        <is>
          <t>none</t>
        </is>
      </c>
      <c r="U992" s="5" t="inlineStr">
        <is>
          <t>yes</t>
        </is>
      </c>
      <c r="V992" s="5" t="inlineStr">
        <is>
          <t>good</t>
        </is>
      </c>
    </row>
    <row r="993">
      <c r="A993" s="5" t="n">
        <v>988</v>
      </c>
      <c r="B993" s="5" t="inlineStr">
        <is>
          <t>no checking</t>
        </is>
      </c>
      <c r="C993" s="5" t="n">
        <v>13</v>
      </c>
      <c r="D993" s="5" t="inlineStr">
        <is>
          <t>existing paid</t>
        </is>
      </c>
      <c r="E993" s="5" t="inlineStr">
        <is>
          <t>radio/tv</t>
        </is>
      </c>
      <c r="F993" s="5" t="n">
        <v>1409</v>
      </c>
      <c r="G993" s="5" t="inlineStr">
        <is>
          <t>100&lt;=X&lt;500</t>
        </is>
      </c>
      <c r="H993" s="5" t="inlineStr">
        <is>
          <t>unemployed</t>
        </is>
      </c>
      <c r="I993" s="5" t="n">
        <v>2</v>
      </c>
      <c r="J993" s="5" t="inlineStr">
        <is>
          <t>female div/dep/mar</t>
        </is>
      </c>
      <c r="K993" s="5" t="inlineStr">
        <is>
          <t>none</t>
        </is>
      </c>
      <c r="L993" s="5" t="n">
        <v>4</v>
      </c>
      <c r="M993" s="5" t="inlineStr">
        <is>
          <t>real estate</t>
        </is>
      </c>
      <c r="N993" s="5" t="n">
        <v>64</v>
      </c>
      <c r="O993" s="5" t="inlineStr">
        <is>
          <t>none</t>
        </is>
      </c>
      <c r="P993" s="5" t="inlineStr">
        <is>
          <t>own</t>
        </is>
      </c>
      <c r="Q993" s="5" t="n">
        <v>1</v>
      </c>
      <c r="R993" s="5" t="inlineStr">
        <is>
          <t>skilled</t>
        </is>
      </c>
      <c r="S993" s="5" t="n">
        <v>1</v>
      </c>
      <c r="T993" s="5" t="inlineStr">
        <is>
          <t>none</t>
        </is>
      </c>
      <c r="U993" s="5" t="inlineStr">
        <is>
          <t>yes</t>
        </is>
      </c>
      <c r="V993" s="5" t="inlineStr">
        <is>
          <t>good</t>
        </is>
      </c>
    </row>
    <row r="994">
      <c r="A994" s="5" t="n">
        <v>989</v>
      </c>
      <c r="B994" s="5" t="inlineStr">
        <is>
          <t>&lt;0</t>
        </is>
      </c>
      <c r="C994" s="5" t="n">
        <v>24</v>
      </c>
      <c r="D994" s="5" t="inlineStr">
        <is>
          <t>existing paid</t>
        </is>
      </c>
      <c r="E994" s="5" t="inlineStr">
        <is>
          <t>used car</t>
        </is>
      </c>
      <c r="F994" s="5" t="n">
        <v>6579</v>
      </c>
      <c r="G994" s="5" t="inlineStr">
        <is>
          <t>&lt;100</t>
        </is>
      </c>
      <c r="H994" s="5" t="inlineStr">
        <is>
          <t>unemployed</t>
        </is>
      </c>
      <c r="I994" s="5" t="n">
        <v>4</v>
      </c>
      <c r="J994" s="5" t="inlineStr">
        <is>
          <t>male single</t>
        </is>
      </c>
      <c r="K994" s="5" t="inlineStr">
        <is>
          <t>none</t>
        </is>
      </c>
      <c r="L994" s="5" t="n">
        <v>2</v>
      </c>
      <c r="M994" s="5" t="inlineStr">
        <is>
          <t>no known property</t>
        </is>
      </c>
      <c r="N994" s="5" t="n">
        <v>29</v>
      </c>
      <c r="O994" s="5" t="inlineStr">
        <is>
          <t>none</t>
        </is>
      </c>
      <c r="P994" s="5" t="inlineStr">
        <is>
          <t>for free</t>
        </is>
      </c>
      <c r="Q994" s="5" t="n">
        <v>1</v>
      </c>
      <c r="R994" s="5" t="inlineStr">
        <is>
          <t>high qualif/self emp/mgmt</t>
        </is>
      </c>
      <c r="S994" s="5" t="n">
        <v>1</v>
      </c>
      <c r="T994" s="5" t="inlineStr">
        <is>
          <t>yes</t>
        </is>
      </c>
      <c r="U994" s="5" t="inlineStr">
        <is>
          <t>yes</t>
        </is>
      </c>
      <c r="V994" s="5" t="inlineStr">
        <is>
          <t>good</t>
        </is>
      </c>
    </row>
    <row r="995">
      <c r="A995" s="5" t="n">
        <v>990</v>
      </c>
      <c r="B995" s="5" t="inlineStr">
        <is>
          <t>0&lt;=X&lt;200</t>
        </is>
      </c>
      <c r="C995" s="5" t="n">
        <v>24</v>
      </c>
      <c r="D995" s="5" t="inlineStr">
        <is>
          <t>critical/other existing credit</t>
        </is>
      </c>
      <c r="E995" s="5" t="inlineStr">
        <is>
          <t>radio/tv</t>
        </is>
      </c>
      <c r="F995" s="5" t="n">
        <v>1743</v>
      </c>
      <c r="G995" s="5" t="inlineStr">
        <is>
          <t>&lt;100</t>
        </is>
      </c>
      <c r="H995" s="5" t="inlineStr">
        <is>
          <t>&gt;=7</t>
        </is>
      </c>
      <c r="I995" s="5" t="n">
        <v>4</v>
      </c>
      <c r="J995" s="5" t="inlineStr">
        <is>
          <t>male single</t>
        </is>
      </c>
      <c r="K995" s="5" t="inlineStr">
        <is>
          <t>none</t>
        </is>
      </c>
      <c r="L995" s="5" t="n">
        <v>2</v>
      </c>
      <c r="M995" s="5" t="inlineStr">
        <is>
          <t>life insurance</t>
        </is>
      </c>
      <c r="N995" s="5" t="n">
        <v>48</v>
      </c>
      <c r="O995" s="5" t="inlineStr">
        <is>
          <t>none</t>
        </is>
      </c>
      <c r="P995" s="5" t="inlineStr">
        <is>
          <t>own</t>
        </is>
      </c>
      <c r="Q995" s="5" t="n">
        <v>2</v>
      </c>
      <c r="R995" s="5" t="inlineStr">
        <is>
          <t>unskilled resident</t>
        </is>
      </c>
      <c r="S995" s="5" t="n">
        <v>1</v>
      </c>
      <c r="T995" s="5" t="inlineStr">
        <is>
          <t>none</t>
        </is>
      </c>
      <c r="U995" s="5" t="inlineStr">
        <is>
          <t>yes</t>
        </is>
      </c>
      <c r="V995" s="5" t="inlineStr">
        <is>
          <t>good</t>
        </is>
      </c>
    </row>
    <row r="996">
      <c r="A996" s="5" t="n">
        <v>991</v>
      </c>
      <c r="B996" s="5" t="inlineStr">
        <is>
          <t>no checking</t>
        </is>
      </c>
      <c r="C996" s="5" t="n">
        <v>12</v>
      </c>
      <c r="D996" s="5" t="inlineStr">
        <is>
          <t>critical/other existing credit</t>
        </is>
      </c>
      <c r="E996" s="5" t="inlineStr">
        <is>
          <t>education</t>
        </is>
      </c>
      <c r="F996" s="5" t="n">
        <v>3565</v>
      </c>
      <c r="G996" s="5" t="inlineStr">
        <is>
          <t>no known savings</t>
        </is>
      </c>
      <c r="H996" s="5" t="inlineStr">
        <is>
          <t>&lt;1</t>
        </is>
      </c>
      <c r="I996" s="5" t="n">
        <v>2</v>
      </c>
      <c r="J996" s="5" t="inlineStr">
        <is>
          <t>male single</t>
        </is>
      </c>
      <c r="K996" s="5" t="inlineStr">
        <is>
          <t>none</t>
        </is>
      </c>
      <c r="L996" s="5" t="n">
        <v>1</v>
      </c>
      <c r="M996" s="5" t="inlineStr">
        <is>
          <t>life insurance</t>
        </is>
      </c>
      <c r="N996" s="5" t="n">
        <v>37</v>
      </c>
      <c r="O996" s="5" t="inlineStr">
        <is>
          <t>none</t>
        </is>
      </c>
      <c r="P996" s="5" t="inlineStr">
        <is>
          <t>own</t>
        </is>
      </c>
      <c r="Q996" s="5" t="n">
        <v>2</v>
      </c>
      <c r="R996" s="5" t="inlineStr">
        <is>
          <t>unskilled resident</t>
        </is>
      </c>
      <c r="S996" s="5" t="n">
        <v>2</v>
      </c>
      <c r="T996" s="5" t="inlineStr">
        <is>
          <t>none</t>
        </is>
      </c>
      <c r="U996" s="5" t="inlineStr">
        <is>
          <t>yes</t>
        </is>
      </c>
      <c r="V996" s="5" t="inlineStr">
        <is>
          <t>good</t>
        </is>
      </c>
    </row>
    <row r="997">
      <c r="A997" s="5" t="n">
        <v>992</v>
      </c>
      <c r="B997" s="5" t="inlineStr">
        <is>
          <t>no checking</t>
        </is>
      </c>
      <c r="C997" s="5" t="n">
        <v>15</v>
      </c>
      <c r="D997" s="5" t="inlineStr">
        <is>
          <t>all paid</t>
        </is>
      </c>
      <c r="E997" s="5" t="inlineStr">
        <is>
          <t>radio/tv</t>
        </is>
      </c>
      <c r="F997" s="5" t="n">
        <v>1569</v>
      </c>
      <c r="G997" s="5" t="inlineStr">
        <is>
          <t>100&lt;=X&lt;500</t>
        </is>
      </c>
      <c r="H997" s="5" t="inlineStr">
        <is>
          <t>&gt;=7</t>
        </is>
      </c>
      <c r="I997" s="5" t="n">
        <v>4</v>
      </c>
      <c r="J997" s="5" t="inlineStr">
        <is>
          <t>male single</t>
        </is>
      </c>
      <c r="K997" s="5" t="inlineStr">
        <is>
          <t>none</t>
        </is>
      </c>
      <c r="L997" s="5" t="n">
        <v>4</v>
      </c>
      <c r="M997" s="5" t="inlineStr">
        <is>
          <t>car</t>
        </is>
      </c>
      <c r="N997" s="5" t="n">
        <v>34</v>
      </c>
      <c r="O997" s="5" t="inlineStr">
        <is>
          <t>bank</t>
        </is>
      </c>
      <c r="P997" s="5" t="inlineStr">
        <is>
          <t>own</t>
        </is>
      </c>
      <c r="Q997" s="5" t="n">
        <v>1</v>
      </c>
      <c r="R997" s="5" t="inlineStr">
        <is>
          <t>unskilled resident</t>
        </is>
      </c>
      <c r="S997" s="5" t="n">
        <v>2</v>
      </c>
      <c r="T997" s="5" t="inlineStr">
        <is>
          <t>none</t>
        </is>
      </c>
      <c r="U997" s="5" t="inlineStr">
        <is>
          <t>yes</t>
        </is>
      </c>
      <c r="V997" s="5" t="inlineStr">
        <is>
          <t>good</t>
        </is>
      </c>
    </row>
    <row r="998">
      <c r="A998" s="5" t="n">
        <v>993</v>
      </c>
      <c r="B998" s="5" t="inlineStr">
        <is>
          <t>&lt;0</t>
        </is>
      </c>
      <c r="C998" s="5" t="n">
        <v>18</v>
      </c>
      <c r="D998" s="5" t="inlineStr">
        <is>
          <t>existing paid</t>
        </is>
      </c>
      <c r="E998" s="5" t="inlineStr">
        <is>
          <t>radio/tv</t>
        </is>
      </c>
      <c r="F998" s="5" t="n">
        <v>1936</v>
      </c>
      <c r="G998" s="5" t="inlineStr">
        <is>
          <t>no known savings</t>
        </is>
      </c>
      <c r="H998" s="5" t="inlineStr">
        <is>
          <t>4&lt;=X&lt;7</t>
        </is>
      </c>
      <c r="I998" s="5" t="n">
        <v>2</v>
      </c>
      <c r="J998" s="5" t="inlineStr">
        <is>
          <t>male mar/wid</t>
        </is>
      </c>
      <c r="K998" s="5" t="inlineStr">
        <is>
          <t>none</t>
        </is>
      </c>
      <c r="L998" s="5" t="n">
        <v>4</v>
      </c>
      <c r="M998" s="5" t="inlineStr">
        <is>
          <t>car</t>
        </is>
      </c>
      <c r="N998" s="5" t="n">
        <v>23</v>
      </c>
      <c r="O998" s="5" t="inlineStr">
        <is>
          <t>none</t>
        </is>
      </c>
      <c r="P998" s="5" t="inlineStr">
        <is>
          <t>rent</t>
        </is>
      </c>
      <c r="Q998" s="5" t="n">
        <v>2</v>
      </c>
      <c r="R998" s="5" t="inlineStr">
        <is>
          <t>unskilled resident</t>
        </is>
      </c>
      <c r="S998" s="5" t="n">
        <v>1</v>
      </c>
      <c r="T998" s="5" t="inlineStr">
        <is>
          <t>none</t>
        </is>
      </c>
      <c r="U998" s="5" t="inlineStr">
        <is>
          <t>yes</t>
        </is>
      </c>
      <c r="V998" s="5" t="inlineStr">
        <is>
          <t>good</t>
        </is>
      </c>
    </row>
    <row r="999">
      <c r="A999" s="5" t="n">
        <v>994</v>
      </c>
      <c r="B999" s="5" t="inlineStr">
        <is>
          <t>&lt;0</t>
        </is>
      </c>
      <c r="C999" s="5" t="n">
        <v>36</v>
      </c>
      <c r="D999" s="5" t="inlineStr">
        <is>
          <t>existing paid</t>
        </is>
      </c>
      <c r="E999" s="5" t="inlineStr">
        <is>
          <t>furniture/equipment</t>
        </is>
      </c>
      <c r="F999" s="5" t="n">
        <v>3959</v>
      </c>
      <c r="G999" s="5" t="inlineStr">
        <is>
          <t>&lt;100</t>
        </is>
      </c>
      <c r="H999" s="5" t="inlineStr">
        <is>
          <t>unemployed</t>
        </is>
      </c>
      <c r="I999" s="5" t="n">
        <v>4</v>
      </c>
      <c r="J999" s="5" t="inlineStr">
        <is>
          <t>male single</t>
        </is>
      </c>
      <c r="K999" s="5" t="inlineStr">
        <is>
          <t>none</t>
        </is>
      </c>
      <c r="L999" s="5" t="n">
        <v>3</v>
      </c>
      <c r="M999" s="5" t="inlineStr">
        <is>
          <t>life insurance</t>
        </is>
      </c>
      <c r="N999" s="5" t="n">
        <v>30</v>
      </c>
      <c r="O999" s="5" t="inlineStr">
        <is>
          <t>none</t>
        </is>
      </c>
      <c r="P999" s="5" t="inlineStr">
        <is>
          <t>own</t>
        </is>
      </c>
      <c r="Q999" s="5" t="n">
        <v>1</v>
      </c>
      <c r="R999" s="5" t="inlineStr">
        <is>
          <t>high qualif/self emp/mgmt</t>
        </is>
      </c>
      <c r="S999" s="5" t="n">
        <v>1</v>
      </c>
      <c r="T999" s="5" t="inlineStr">
        <is>
          <t>yes</t>
        </is>
      </c>
      <c r="U999" s="5" t="inlineStr">
        <is>
          <t>yes</t>
        </is>
      </c>
      <c r="V999" s="5" t="inlineStr">
        <is>
          <t>good</t>
        </is>
      </c>
    </row>
    <row r="1000">
      <c r="A1000" s="5" t="n">
        <v>995</v>
      </c>
      <c r="B1000" s="5" t="inlineStr">
        <is>
          <t>no checking</t>
        </is>
      </c>
      <c r="C1000" s="5" t="n">
        <v>12</v>
      </c>
      <c r="D1000" s="5" t="inlineStr">
        <is>
          <t>existing paid</t>
        </is>
      </c>
      <c r="E1000" s="5" t="inlineStr">
        <is>
          <t>new car</t>
        </is>
      </c>
      <c r="F1000" s="5" t="n">
        <v>2390</v>
      </c>
      <c r="G1000" s="5" t="inlineStr">
        <is>
          <t>no known savings</t>
        </is>
      </c>
      <c r="H1000" s="5" t="inlineStr">
        <is>
          <t>&gt;=7</t>
        </is>
      </c>
      <c r="I1000" s="5" t="n">
        <v>4</v>
      </c>
      <c r="J1000" s="5" t="inlineStr">
        <is>
          <t>male single</t>
        </is>
      </c>
      <c r="K1000" s="5" t="inlineStr">
        <is>
          <t>none</t>
        </is>
      </c>
      <c r="L1000" s="5" t="n">
        <v>3</v>
      </c>
      <c r="M1000" s="5" t="inlineStr">
        <is>
          <t>car</t>
        </is>
      </c>
      <c r="N1000" s="5" t="n">
        <v>50</v>
      </c>
      <c r="O1000" s="5" t="inlineStr">
        <is>
          <t>none</t>
        </is>
      </c>
      <c r="P1000" s="5" t="inlineStr">
        <is>
          <t>own</t>
        </is>
      </c>
      <c r="Q1000" s="5" t="n">
        <v>1</v>
      </c>
      <c r="R1000" s="5" t="inlineStr">
        <is>
          <t>skilled</t>
        </is>
      </c>
      <c r="S1000" s="5" t="n">
        <v>1</v>
      </c>
      <c r="T1000" s="5" t="inlineStr">
        <is>
          <t>yes</t>
        </is>
      </c>
      <c r="U1000" s="5" t="inlineStr">
        <is>
          <t>yes</t>
        </is>
      </c>
      <c r="V1000" s="5" t="inlineStr">
        <is>
          <t>good</t>
        </is>
      </c>
    </row>
    <row r="1001">
      <c r="A1001" s="5" t="n">
        <v>996</v>
      </c>
      <c r="B1001" s="5" t="inlineStr">
        <is>
          <t>no checking</t>
        </is>
      </c>
      <c r="C1001" s="5" t="n">
        <v>12</v>
      </c>
      <c r="D1001" s="5" t="inlineStr">
        <is>
          <t>existing paid</t>
        </is>
      </c>
      <c r="E1001" s="5" t="inlineStr">
        <is>
          <t>furniture/equipment</t>
        </is>
      </c>
      <c r="F1001" s="5" t="n">
        <v>1736</v>
      </c>
      <c r="G1001" s="5" t="inlineStr">
        <is>
          <t>&lt;100</t>
        </is>
      </c>
      <c r="H1001" s="5" t="inlineStr">
        <is>
          <t>4&lt;=X&lt;7</t>
        </is>
      </c>
      <c r="I1001" s="5" t="n">
        <v>3</v>
      </c>
      <c r="J1001" s="5" t="inlineStr">
        <is>
          <t>female div/dep/mar</t>
        </is>
      </c>
      <c r="K1001" s="5" t="inlineStr">
        <is>
          <t>none</t>
        </is>
      </c>
      <c r="L1001" s="5" t="n">
        <v>4</v>
      </c>
      <c r="M1001" s="5" t="inlineStr">
        <is>
          <t>real estate</t>
        </is>
      </c>
      <c r="N1001" s="5" t="n">
        <v>31</v>
      </c>
      <c r="O1001" s="5" t="inlineStr">
        <is>
          <t>none</t>
        </is>
      </c>
      <c r="P1001" s="5" t="inlineStr">
        <is>
          <t>own</t>
        </is>
      </c>
      <c r="Q1001" s="5" t="n">
        <v>1</v>
      </c>
      <c r="R1001" s="5" t="inlineStr">
        <is>
          <t>unskilled resident</t>
        </is>
      </c>
      <c r="S1001" s="5" t="n">
        <v>1</v>
      </c>
      <c r="T1001" s="5" t="inlineStr">
        <is>
          <t>none</t>
        </is>
      </c>
      <c r="U1001" s="5" t="inlineStr">
        <is>
          <t>yes</t>
        </is>
      </c>
      <c r="V1001" s="5" t="inlineStr">
        <is>
          <t>good</t>
        </is>
      </c>
    </row>
    <row r="1002">
      <c r="A1002" s="5" t="n">
        <v>997</v>
      </c>
      <c r="B1002" s="5" t="inlineStr">
        <is>
          <t>&lt;0</t>
        </is>
      </c>
      <c r="C1002" s="5" t="n">
        <v>30</v>
      </c>
      <c r="D1002" s="5" t="inlineStr">
        <is>
          <t>existing paid</t>
        </is>
      </c>
      <c r="E1002" s="5" t="inlineStr">
        <is>
          <t>used car</t>
        </is>
      </c>
      <c r="F1002" s="5" t="n">
        <v>3857</v>
      </c>
      <c r="G1002" s="5" t="inlineStr">
        <is>
          <t>&lt;100</t>
        </is>
      </c>
      <c r="H1002" s="5" t="inlineStr">
        <is>
          <t>1&lt;=X&lt;4</t>
        </is>
      </c>
      <c r="I1002" s="5" t="n">
        <v>4</v>
      </c>
      <c r="J1002" s="5" t="inlineStr">
        <is>
          <t>male div/sep</t>
        </is>
      </c>
      <c r="K1002" s="5" t="inlineStr">
        <is>
          <t>none</t>
        </is>
      </c>
      <c r="L1002" s="5" t="n">
        <v>4</v>
      </c>
      <c r="M1002" s="5" t="inlineStr">
        <is>
          <t>life insurance</t>
        </is>
      </c>
      <c r="N1002" s="5" t="n">
        <v>40</v>
      </c>
      <c r="O1002" s="5" t="inlineStr">
        <is>
          <t>none</t>
        </is>
      </c>
      <c r="P1002" s="5" t="inlineStr">
        <is>
          <t>own</t>
        </is>
      </c>
      <c r="Q1002" s="5" t="n">
        <v>1</v>
      </c>
      <c r="R1002" s="5" t="inlineStr">
        <is>
          <t>high qualif/self emp/mgmt</t>
        </is>
      </c>
      <c r="S1002" s="5" t="n">
        <v>1</v>
      </c>
      <c r="T1002" s="5" t="inlineStr">
        <is>
          <t>yes</t>
        </is>
      </c>
      <c r="U1002" s="5" t="inlineStr">
        <is>
          <t>yes</t>
        </is>
      </c>
      <c r="V1002" s="5" t="inlineStr">
        <is>
          <t>good</t>
        </is>
      </c>
    </row>
    <row r="1003">
      <c r="A1003" s="5" t="n">
        <v>998</v>
      </c>
      <c r="B1003" s="5" t="inlineStr">
        <is>
          <t>no checking</t>
        </is>
      </c>
      <c r="C1003" s="5" t="n">
        <v>12</v>
      </c>
      <c r="D1003" s="5" t="inlineStr">
        <is>
          <t>existing paid</t>
        </is>
      </c>
      <c r="E1003" s="5" t="inlineStr">
        <is>
          <t>radio/tv</t>
        </is>
      </c>
      <c r="F1003" s="5" t="n">
        <v>804</v>
      </c>
      <c r="G1003" s="5" t="inlineStr">
        <is>
          <t>&lt;100</t>
        </is>
      </c>
      <c r="H1003" s="5" t="inlineStr">
        <is>
          <t>&gt;=7</t>
        </is>
      </c>
      <c r="I1003" s="5" t="n">
        <v>4</v>
      </c>
      <c r="J1003" s="5" t="inlineStr">
        <is>
          <t>male single</t>
        </is>
      </c>
      <c r="K1003" s="5" t="inlineStr">
        <is>
          <t>none</t>
        </is>
      </c>
      <c r="L1003" s="5" t="n">
        <v>4</v>
      </c>
      <c r="M1003" s="5" t="inlineStr">
        <is>
          <t>car</t>
        </is>
      </c>
      <c r="N1003" s="5" t="n">
        <v>38</v>
      </c>
      <c r="O1003" s="5" t="inlineStr">
        <is>
          <t>none</t>
        </is>
      </c>
      <c r="P1003" s="5" t="inlineStr">
        <is>
          <t>own</t>
        </is>
      </c>
      <c r="Q1003" s="5" t="n">
        <v>1</v>
      </c>
      <c r="R1003" s="5" t="inlineStr">
        <is>
          <t>skilled</t>
        </is>
      </c>
      <c r="S1003" s="5" t="n">
        <v>1</v>
      </c>
      <c r="T1003" s="5" t="inlineStr">
        <is>
          <t>none</t>
        </is>
      </c>
      <c r="U1003" s="5" t="inlineStr">
        <is>
          <t>yes</t>
        </is>
      </c>
      <c r="V1003" s="5" t="inlineStr">
        <is>
          <t>good</t>
        </is>
      </c>
    </row>
    <row r="1004">
      <c r="A1004" s="5" t="n">
        <v>999</v>
      </c>
      <c r="B1004" s="5" t="inlineStr">
        <is>
          <t>&lt;0</t>
        </is>
      </c>
      <c r="C1004" s="5" t="n">
        <v>45</v>
      </c>
      <c r="D1004" s="5" t="inlineStr">
        <is>
          <t>existing paid</t>
        </is>
      </c>
      <c r="E1004" s="5" t="inlineStr">
        <is>
          <t>radio/tv</t>
        </is>
      </c>
      <c r="F1004" s="5" t="n">
        <v>1845</v>
      </c>
      <c r="G1004" s="5" t="inlineStr">
        <is>
          <t>&lt;100</t>
        </is>
      </c>
      <c r="H1004" s="5" t="inlineStr">
        <is>
          <t>1&lt;=X&lt;4</t>
        </is>
      </c>
      <c r="I1004" s="5" t="n">
        <v>4</v>
      </c>
      <c r="J1004" s="5" t="inlineStr">
        <is>
          <t>male single</t>
        </is>
      </c>
      <c r="K1004" s="5" t="inlineStr">
        <is>
          <t>none</t>
        </is>
      </c>
      <c r="L1004" s="5" t="n">
        <v>4</v>
      </c>
      <c r="M1004" s="5" t="inlineStr">
        <is>
          <t>no known property</t>
        </is>
      </c>
      <c r="N1004" s="5" t="n">
        <v>23</v>
      </c>
      <c r="O1004" s="5" t="inlineStr">
        <is>
          <t>none</t>
        </is>
      </c>
      <c r="P1004" s="5" t="inlineStr">
        <is>
          <t>for free</t>
        </is>
      </c>
      <c r="Q1004" s="5" t="n">
        <v>1</v>
      </c>
      <c r="R1004" s="5" t="inlineStr">
        <is>
          <t>skilled</t>
        </is>
      </c>
      <c r="S1004" s="5" t="n">
        <v>1</v>
      </c>
      <c r="T1004" s="5" t="inlineStr">
        <is>
          <t>yes</t>
        </is>
      </c>
      <c r="U1004" s="5" t="inlineStr">
        <is>
          <t>yes</t>
        </is>
      </c>
      <c r="V1004" s="5" t="inlineStr">
        <is>
          <t>bad</t>
        </is>
      </c>
    </row>
    <row r="1005">
      <c r="A1005" s="5" t="n">
        <v>1000</v>
      </c>
      <c r="B1005" s="5" t="inlineStr">
        <is>
          <t>0&lt;=X&lt;200</t>
        </is>
      </c>
      <c r="C1005" s="5" t="n">
        <v>45</v>
      </c>
      <c r="D1005" s="5" t="inlineStr">
        <is>
          <t>critical/other existing credit</t>
        </is>
      </c>
      <c r="E1005" s="5" t="inlineStr">
        <is>
          <t>used car</t>
        </is>
      </c>
      <c r="F1005" s="5" t="n">
        <v>4576</v>
      </c>
      <c r="G1005" s="5" t="inlineStr">
        <is>
          <t>100&lt;=X&lt;500</t>
        </is>
      </c>
      <c r="H1005" s="5" t="inlineStr">
        <is>
          <t>unemployed</t>
        </is>
      </c>
      <c r="I1005" s="5" t="n">
        <v>3</v>
      </c>
      <c r="J1005" s="5" t="inlineStr">
        <is>
          <t>male single</t>
        </is>
      </c>
      <c r="K1005" s="5" t="inlineStr">
        <is>
          <t>none</t>
        </is>
      </c>
      <c r="L1005" s="5" t="n">
        <v>4</v>
      </c>
      <c r="M1005" s="5" t="inlineStr">
        <is>
          <t>car</t>
        </is>
      </c>
      <c r="N1005" s="5" t="n">
        <v>27</v>
      </c>
      <c r="O1005" s="5" t="inlineStr">
        <is>
          <t>none</t>
        </is>
      </c>
      <c r="P1005" s="5" t="inlineStr">
        <is>
          <t>own</t>
        </is>
      </c>
      <c r="Q1005" s="5" t="n">
        <v>1</v>
      </c>
      <c r="R1005" s="5" t="inlineStr">
        <is>
          <t>skilled</t>
        </is>
      </c>
      <c r="S1005" s="5" t="n">
        <v>1</v>
      </c>
      <c r="T1005" s="5" t="inlineStr">
        <is>
          <t>none</t>
        </is>
      </c>
      <c r="U1005" s="5" t="inlineStr">
        <is>
          <t>yes</t>
        </is>
      </c>
      <c r="V1005" s="5" t="inlineStr">
        <is>
          <t>good</t>
        </is>
      </c>
    </row>
  </sheetData>
  <mergeCells count="2">
    <mergeCell ref="A3:N3"/>
    <mergeCell ref="A2:N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28"/>
  <sheetViews>
    <sheetView workbookViewId="0">
      <pane xSplit="2" ySplit="28" topLeftCell="C29" activePane="bottomRight" state="frozen"/>
      <selection pane="topRight"/>
      <selection pane="bottomLeft"/>
      <selection pane="bottomRight" activeCell="A1" sqref="A1"/>
    </sheetView>
  </sheetViews>
  <sheetFormatPr baseColWidth="8" defaultRowHeight="15"/>
  <cols>
    <col width="61" customWidth="1" min="1" max="1"/>
    <col width="23" customWidth="1" min="2" max="2"/>
    <col width="95" customWidth="1" min="3" max="3"/>
    <col width="7" customWidth="1" min="4" max="4"/>
    <col width="7" customWidth="1" min="5" max="5"/>
    <col width="18" customWidth="1" min="6" max="6"/>
    <col width="16" customWidth="1" min="7" max="7"/>
    <col width="10" customWidth="1" min="8" max="8"/>
    <col width="14" customWidth="1" min="9" max="9"/>
    <col width="13" customWidth="1" min="10" max="10"/>
    <col width="18" customWidth="1" min="11" max="11"/>
    <col width="18" customWidth="1" min="12" max="12"/>
    <col width="16" customWidth="1" min="13" max="13"/>
    <col width="18" customWidth="1" min="14" max="14"/>
    <col width="19" customWidth="1" min="15" max="15"/>
    <col width="18" customWidth="1" min="16" max="16"/>
    <col width="16" customWidth="1" min="17" max="17"/>
    <col width="15" customWidth="1" min="18" max="18"/>
    <col width="19" customWidth="1" min="19" max="19"/>
    <col width="18" customWidth="1" min="20" max="20"/>
    <col width="9" customWidth="1" min="21" max="21"/>
  </cols>
  <sheetData>
    <row r="1">
      <c r="A1" s="3" t="inlineStr">
        <is>
          <t>Preparación, paso 1: de palabras a columnas 0/1, y la variable objetivo</t>
        </is>
      </c>
    </row>
    <row r="2" ht="65" customHeight="1">
      <c r="A2" s="2" t="inlineStr">
        <is>
          <t>Primer paso de la preparación: transformar y limpiar. Un modelo lineal solo puede multiplicar números por pesos, así que las columnas con palabras (cuenta corriente, historial, ahorros, vivienda, propósito) se convierten en columnas 0/1, una por categoría, dejando una categoría fuera como base. La variable objetivo pasa a ser y = 1 si el cliente fue mal pagador, que es el evento que queremos detectar. De las 20 columnas originales nos quedamos con 9, elegidas por ser las que un analista de crédito miraría primero; el notebook usa las 20.</t>
        </is>
      </c>
    </row>
    <row r="3" ht="49.5" customHeight="1">
      <c r="A3" s="2" t="inlineStr">
        <is>
          <t>La tabla de arriba dice, columna por columna, de dónde sale cada una. La columna conjunto marca qué filas son training (700) y cuáles testing (300); la separación es al azar pero mantiene la proporción de malos pagadores (30%) en los dos grupos. Esta transformación se hizo en Python: en Excel sería una fórmula por celda que no enseña nada nuevo.</t>
        </is>
      </c>
    </row>
    <row r="4"/>
    <row r="5">
      <c r="A5" s="4" t="inlineStr">
        <is>
          <t>columna nueva</t>
        </is>
      </c>
      <c r="B5" s="4" t="inlineStr">
        <is>
          <t>columna original</t>
        </is>
      </c>
      <c r="C5" s="4" t="inlineStr">
        <is>
          <t>cómo se construye</t>
        </is>
      </c>
    </row>
    <row r="6">
      <c r="A6" t="inlineStr">
        <is>
          <t>y</t>
        </is>
      </c>
      <c r="B6" t="inlineStr">
        <is>
          <t>class</t>
        </is>
      </c>
      <c r="C6" t="inlineStr">
        <is>
          <t>1 si class = bad (mal pagador), 0 si good. Es el evento que queremos detectar.</t>
        </is>
      </c>
    </row>
    <row r="7">
      <c r="A7" t="inlineStr">
        <is>
          <t>duracion</t>
        </is>
      </c>
      <c r="B7" t="inlineStr">
        <is>
          <t>duration</t>
        </is>
      </c>
      <c r="C7" t="inlineStr">
        <is>
          <t>meses del crédito, tal cual</t>
        </is>
      </c>
    </row>
    <row r="8">
      <c r="A8" t="inlineStr">
        <is>
          <t>monto</t>
        </is>
      </c>
      <c r="B8" t="inlineStr">
        <is>
          <t>credit_amount</t>
        </is>
      </c>
      <c r="C8" t="inlineStr">
        <is>
          <t>monto del crédito en marcos alemanes, tal cual</t>
        </is>
      </c>
    </row>
    <row r="9">
      <c r="A9" t="inlineStr">
        <is>
          <t>edad</t>
        </is>
      </c>
      <c r="B9" t="inlineStr">
        <is>
          <t>age</t>
        </is>
      </c>
      <c r="C9" t="inlineStr">
        <is>
          <t>años, tal cual</t>
        </is>
      </c>
    </row>
    <row r="10">
      <c r="A10" t="inlineStr">
        <is>
          <t>cuota_pct_ingreso</t>
        </is>
      </c>
      <c r="B10" t="inlineStr">
        <is>
          <t>installment_commitment</t>
        </is>
      </c>
      <c r="C10" t="inlineStr">
        <is>
          <t>tramo de la cuota como porcentaje del ingreso, de 1 (baja) a 4 (alta), tal cual</t>
        </is>
      </c>
    </row>
    <row r="11">
      <c r="A11" t="inlineStr">
        <is>
          <t>cta_negativa</t>
        </is>
      </c>
      <c r="B11" t="inlineStr">
        <is>
          <t>checking_status</t>
        </is>
      </c>
      <c r="C11" t="inlineStr">
        <is>
          <t>1 si la cuenta corriente está en menos de 0 DM</t>
        </is>
      </c>
    </row>
    <row r="12">
      <c r="A12" t="inlineStr">
        <is>
          <t>cta_0_200</t>
        </is>
      </c>
      <c r="B12" t="inlineStr">
        <is>
          <t>checking_status</t>
        </is>
      </c>
      <c r="C12" t="inlineStr">
        <is>
          <t>1 si tiene entre 0 y 200 DM</t>
        </is>
      </c>
    </row>
    <row r="13">
      <c r="A13" t="inlineStr">
        <is>
          <t>cta_sobre_200</t>
        </is>
      </c>
      <c r="B13" t="inlineStr">
        <is>
          <t>checking_status</t>
        </is>
      </c>
      <c r="C13" t="inlineStr">
        <is>
          <t>1 si tiene 200 DM o más. Base (las tres en 0): no tiene cuenta corriente</t>
        </is>
      </c>
    </row>
    <row r="14">
      <c r="A14" t="inlineStr">
        <is>
          <t>hist_critico</t>
        </is>
      </c>
      <c r="B14" t="inlineStr">
        <is>
          <t>credit_history</t>
        </is>
      </c>
      <c r="C14" t="inlineStr">
        <is>
          <t>1 si tiene cuenta crítica u otros créditos en otro banco</t>
        </is>
      </c>
    </row>
    <row r="15">
      <c r="A15" t="inlineStr">
        <is>
          <t>hist_atrasos</t>
        </is>
      </c>
      <c r="B15" t="inlineStr">
        <is>
          <t>credit_history</t>
        </is>
      </c>
      <c r="C15" t="inlineStr">
        <is>
          <t>1 si se atrasó en el pasado</t>
        </is>
      </c>
    </row>
    <row r="16">
      <c r="A16" t="inlineStr">
        <is>
          <t>hist_sin_creditos</t>
        </is>
      </c>
      <c r="B16" t="inlineStr">
        <is>
          <t>credit_history</t>
        </is>
      </c>
      <c r="C16" t="inlineStr">
        <is>
          <t>1 si no ha tenido créditos o los pagó todos. Base: créditos vigentes al día</t>
        </is>
      </c>
    </row>
    <row r="17">
      <c r="A17" t="inlineStr">
        <is>
          <t>ahorro_100_1000</t>
        </is>
      </c>
      <c r="B17" t="inlineStr">
        <is>
          <t>savings_status</t>
        </is>
      </c>
      <c r="C17" t="inlineStr">
        <is>
          <t>1 si tiene entre 100 y 1.000 DM en ahorros</t>
        </is>
      </c>
    </row>
    <row r="18">
      <c r="A18" t="inlineStr">
        <is>
          <t>ahorro_sobre_1000</t>
        </is>
      </c>
      <c r="B18" t="inlineStr">
        <is>
          <t>savings_status</t>
        </is>
      </c>
      <c r="C18" t="inlineStr">
        <is>
          <t>1 si tiene 1.000 DM o más</t>
        </is>
      </c>
    </row>
    <row r="19">
      <c r="A19" t="inlineStr">
        <is>
          <t>ahorro_desconocido</t>
        </is>
      </c>
      <c r="B19" t="inlineStr">
        <is>
          <t>savings_status</t>
        </is>
      </c>
      <c r="C19" t="inlineStr">
        <is>
          <t>1 si no se conoce su ahorro. Base: menos de 100 DM</t>
        </is>
      </c>
    </row>
    <row r="20">
      <c r="A20" t="inlineStr">
        <is>
          <t>vivienda_arriendo</t>
        </is>
      </c>
      <c r="B20" t="inlineStr">
        <is>
          <t>housing</t>
        </is>
      </c>
      <c r="C20" t="inlineStr">
        <is>
          <t>1 si arrienda</t>
        </is>
      </c>
    </row>
    <row r="21">
      <c r="A21" t="inlineStr">
        <is>
          <t>vivienda_gratis</t>
        </is>
      </c>
      <c r="B21" t="inlineStr">
        <is>
          <t>housing</t>
        </is>
      </c>
      <c r="C21" t="inlineStr">
        <is>
          <t>1 si vive gratis (casa de otro). Base: vivienda propia</t>
        </is>
      </c>
    </row>
    <row r="22">
      <c r="A22" t="inlineStr">
        <is>
          <t>proposito_auto</t>
        </is>
      </c>
      <c r="B22" t="inlineStr">
        <is>
          <t>purpose</t>
        </is>
      </c>
      <c r="C22" t="inlineStr">
        <is>
          <t>1 si el crédito es para auto (nuevo o usado)</t>
        </is>
      </c>
    </row>
    <row r="23">
      <c r="A23" t="inlineStr">
        <is>
          <t>proposito_radio_tv</t>
        </is>
      </c>
      <c r="B23" t="inlineStr">
        <is>
          <t>purpose</t>
        </is>
      </c>
      <c r="C23" t="inlineStr">
        <is>
          <t>1 si es para radio o televisión</t>
        </is>
      </c>
    </row>
    <row r="24">
      <c r="A24" t="inlineStr">
        <is>
          <t>proposito_muebles</t>
        </is>
      </c>
      <c r="B24" t="inlineStr">
        <is>
          <t>purpose</t>
        </is>
      </c>
      <c r="C24" t="inlineStr">
        <is>
          <t>1 si es para muebles o equipamiento. Base: otros (negocio, educación, reparaciones, etc.)</t>
        </is>
      </c>
    </row>
    <row r="25">
      <c r="A25" t="inlineStr">
        <is>
          <t>conjunto</t>
        </is>
      </c>
      <c r="B25" t="inlineStr"/>
      <c r="C25" t="inlineStr">
        <is>
          <t>training (700 filas) o testing (300 filas), al azar con semilla fija, manteniendo el 30% de malos pagadores en cada grupo</t>
        </is>
      </c>
    </row>
    <row r="26"/>
    <row r="27">
      <c r="A27" s="3" t="inlineStr">
        <is>
          <t>La tabla transformada (valores calculados en Python)</t>
        </is>
      </c>
      <c r="F27" s="3" t="inlineStr">
        <is>
          <t>Control:</t>
        </is>
      </c>
      <c r="G27" t="inlineStr">
        <is>
          <t>malos pagadores</t>
        </is>
      </c>
      <c r="H27">
        <f>SUM(B29:B1028)</f>
        <v/>
      </c>
      <c r="I27" t="inlineStr">
        <is>
          <t>training</t>
        </is>
      </c>
      <c r="J27">
        <f>COUNTIF(U29:U1028,"training")</f>
        <v/>
      </c>
      <c r="K27" t="inlineStr">
        <is>
          <t>malos en training</t>
        </is>
      </c>
      <c r="L27">
        <f>COUNTIFS(U29:U1028,"training",B29:B1028,1)</f>
        <v/>
      </c>
    </row>
    <row r="28">
      <c r="A28" s="4" t="inlineStr">
        <is>
          <t>id</t>
        </is>
      </c>
      <c r="B28" s="4" t="inlineStr">
        <is>
          <t>y</t>
        </is>
      </c>
      <c r="C28" s="4" t="inlineStr">
        <is>
          <t>duracion</t>
        </is>
      </c>
      <c r="D28" s="4" t="inlineStr">
        <is>
          <t>monto</t>
        </is>
      </c>
      <c r="E28" s="4" t="inlineStr">
        <is>
          <t>edad</t>
        </is>
      </c>
      <c r="F28" s="4" t="inlineStr">
        <is>
          <t>cuota_pct_ingreso</t>
        </is>
      </c>
      <c r="G28" s="4" t="inlineStr">
        <is>
          <t>cta_negativa</t>
        </is>
      </c>
      <c r="H28" s="4" t="inlineStr">
        <is>
          <t>cta_0_200</t>
        </is>
      </c>
      <c r="I28" s="4" t="inlineStr">
        <is>
          <t>cta_sobre_200</t>
        </is>
      </c>
      <c r="J28" s="4" t="inlineStr">
        <is>
          <t>hist_critico</t>
        </is>
      </c>
      <c r="K28" s="4" t="inlineStr">
        <is>
          <t>hist_atrasos</t>
        </is>
      </c>
      <c r="L28" s="4" t="inlineStr">
        <is>
          <t>hist_sin_creditos</t>
        </is>
      </c>
      <c r="M28" s="4" t="inlineStr">
        <is>
          <t>ahorro_100_1000</t>
        </is>
      </c>
      <c r="N28" s="4" t="inlineStr">
        <is>
          <t>ahorro_sobre_1000</t>
        </is>
      </c>
      <c r="O28" s="4" t="inlineStr">
        <is>
          <t>ahorro_desconocido</t>
        </is>
      </c>
      <c r="P28" s="4" t="inlineStr">
        <is>
          <t>vivienda_arriendo</t>
        </is>
      </c>
      <c r="Q28" s="4" t="inlineStr">
        <is>
          <t>vivienda_gratis</t>
        </is>
      </c>
      <c r="R28" s="4" t="inlineStr">
        <is>
          <t>proposito_auto</t>
        </is>
      </c>
      <c r="S28" s="4" t="inlineStr">
        <is>
          <t>proposito_radio_tv</t>
        </is>
      </c>
      <c r="T28" s="4" t="inlineStr">
        <is>
          <t>proposito_muebles</t>
        </is>
      </c>
      <c r="U28" s="4" t="inlineStr">
        <is>
          <t>conjunto</t>
        </is>
      </c>
    </row>
    <row r="29">
      <c r="A29" s="5" t="n">
        <v>1</v>
      </c>
      <c r="B29" s="5" t="n">
        <v>0</v>
      </c>
      <c r="C29" s="5" t="n">
        <v>6</v>
      </c>
      <c r="D29" s="5" t="n">
        <v>1169</v>
      </c>
      <c r="E29" s="5" t="n">
        <v>67</v>
      </c>
      <c r="F29" s="5" t="n">
        <v>4</v>
      </c>
      <c r="G29" s="5" t="n">
        <v>1</v>
      </c>
      <c r="H29" s="5" t="n">
        <v>0</v>
      </c>
      <c r="I29" s="5" t="n">
        <v>0</v>
      </c>
      <c r="J29" s="5" t="n">
        <v>1</v>
      </c>
      <c r="K29" s="5" t="n">
        <v>0</v>
      </c>
      <c r="L29" s="5" t="n">
        <v>0</v>
      </c>
      <c r="M29" s="5" t="n">
        <v>0</v>
      </c>
      <c r="N29" s="5" t="n">
        <v>0</v>
      </c>
      <c r="O29" s="5" t="n">
        <v>1</v>
      </c>
      <c r="P29" s="5" t="n">
        <v>0</v>
      </c>
      <c r="Q29" s="5" t="n">
        <v>0</v>
      </c>
      <c r="R29" s="5" t="n">
        <v>0</v>
      </c>
      <c r="S29" s="5" t="n">
        <v>1</v>
      </c>
      <c r="T29" s="5" t="n">
        <v>0</v>
      </c>
      <c r="U29" s="5" t="inlineStr">
        <is>
          <t>training</t>
        </is>
      </c>
    </row>
    <row r="30">
      <c r="A30" s="5" t="n">
        <v>2</v>
      </c>
      <c r="B30" s="5" t="n">
        <v>1</v>
      </c>
      <c r="C30" s="5" t="n">
        <v>48</v>
      </c>
      <c r="D30" s="5" t="n">
        <v>5951</v>
      </c>
      <c r="E30" s="5" t="n">
        <v>22</v>
      </c>
      <c r="F30" s="5" t="n">
        <v>2</v>
      </c>
      <c r="G30" s="5" t="n">
        <v>0</v>
      </c>
      <c r="H30" s="5" t="n">
        <v>1</v>
      </c>
      <c r="I30" s="5" t="n">
        <v>0</v>
      </c>
      <c r="J30" s="5" t="n">
        <v>0</v>
      </c>
      <c r="K30" s="5" t="n">
        <v>0</v>
      </c>
      <c r="L30" s="5" t="n">
        <v>0</v>
      </c>
      <c r="M30" s="5" t="n">
        <v>0</v>
      </c>
      <c r="N30" s="5" t="n">
        <v>0</v>
      </c>
      <c r="O30" s="5" t="n">
        <v>0</v>
      </c>
      <c r="P30" s="5" t="n">
        <v>0</v>
      </c>
      <c r="Q30" s="5" t="n">
        <v>0</v>
      </c>
      <c r="R30" s="5" t="n">
        <v>0</v>
      </c>
      <c r="S30" s="5" t="n">
        <v>1</v>
      </c>
      <c r="T30" s="5" t="n">
        <v>0</v>
      </c>
      <c r="U30" s="5" t="inlineStr">
        <is>
          <t>training</t>
        </is>
      </c>
    </row>
    <row r="31">
      <c r="A31" s="5" t="n">
        <v>3</v>
      </c>
      <c r="B31" s="5" t="n">
        <v>0</v>
      </c>
      <c r="C31" s="5" t="n">
        <v>12</v>
      </c>
      <c r="D31" s="5" t="n">
        <v>2096</v>
      </c>
      <c r="E31" s="5" t="n">
        <v>49</v>
      </c>
      <c r="F31" s="5" t="n">
        <v>2</v>
      </c>
      <c r="G31" s="5" t="n">
        <v>0</v>
      </c>
      <c r="H31" s="5" t="n">
        <v>0</v>
      </c>
      <c r="I31" s="5" t="n">
        <v>0</v>
      </c>
      <c r="J31" s="5" t="n">
        <v>1</v>
      </c>
      <c r="K31" s="5" t="n">
        <v>0</v>
      </c>
      <c r="L31" s="5" t="n">
        <v>0</v>
      </c>
      <c r="M31" s="5" t="n">
        <v>0</v>
      </c>
      <c r="N31" s="5" t="n">
        <v>0</v>
      </c>
      <c r="O31" s="5" t="n">
        <v>0</v>
      </c>
      <c r="P31" s="5" t="n">
        <v>0</v>
      </c>
      <c r="Q31" s="5" t="n">
        <v>0</v>
      </c>
      <c r="R31" s="5" t="n">
        <v>0</v>
      </c>
      <c r="S31" s="5" t="n">
        <v>0</v>
      </c>
      <c r="T31" s="5" t="n">
        <v>0</v>
      </c>
      <c r="U31" s="5" t="inlineStr">
        <is>
          <t>training</t>
        </is>
      </c>
    </row>
    <row r="32">
      <c r="A32" s="5" t="n">
        <v>4</v>
      </c>
      <c r="B32" s="5" t="n">
        <v>0</v>
      </c>
      <c r="C32" s="5" t="n">
        <v>42</v>
      </c>
      <c r="D32" s="5" t="n">
        <v>7882</v>
      </c>
      <c r="E32" s="5" t="n">
        <v>45</v>
      </c>
      <c r="F32" s="5" t="n">
        <v>2</v>
      </c>
      <c r="G32" s="5" t="n">
        <v>1</v>
      </c>
      <c r="H32" s="5" t="n">
        <v>0</v>
      </c>
      <c r="I32" s="5" t="n">
        <v>0</v>
      </c>
      <c r="J32" s="5" t="n">
        <v>0</v>
      </c>
      <c r="K32" s="5" t="n">
        <v>0</v>
      </c>
      <c r="L32" s="5" t="n">
        <v>0</v>
      </c>
      <c r="M32" s="5" t="n">
        <v>0</v>
      </c>
      <c r="N32" s="5" t="n">
        <v>0</v>
      </c>
      <c r="O32" s="5" t="n">
        <v>0</v>
      </c>
      <c r="P32" s="5" t="n">
        <v>0</v>
      </c>
      <c r="Q32" s="5" t="n">
        <v>1</v>
      </c>
      <c r="R32" s="5" t="n">
        <v>0</v>
      </c>
      <c r="S32" s="5" t="n">
        <v>0</v>
      </c>
      <c r="T32" s="5" t="n">
        <v>1</v>
      </c>
      <c r="U32" s="5" t="inlineStr">
        <is>
          <t>testing</t>
        </is>
      </c>
    </row>
    <row r="33">
      <c r="A33" s="5" t="n">
        <v>5</v>
      </c>
      <c r="B33" s="5" t="n">
        <v>1</v>
      </c>
      <c r="C33" s="5" t="n">
        <v>24</v>
      </c>
      <c r="D33" s="5" t="n">
        <v>4870</v>
      </c>
      <c r="E33" s="5" t="n">
        <v>53</v>
      </c>
      <c r="F33" s="5" t="n">
        <v>3</v>
      </c>
      <c r="G33" s="5" t="n">
        <v>1</v>
      </c>
      <c r="H33" s="5" t="n">
        <v>0</v>
      </c>
      <c r="I33" s="5" t="n">
        <v>0</v>
      </c>
      <c r="J33" s="5" t="n">
        <v>0</v>
      </c>
      <c r="K33" s="5" t="n">
        <v>1</v>
      </c>
      <c r="L33" s="5" t="n">
        <v>0</v>
      </c>
      <c r="M33" s="5" t="n">
        <v>0</v>
      </c>
      <c r="N33" s="5" t="n">
        <v>0</v>
      </c>
      <c r="O33" s="5" t="n">
        <v>0</v>
      </c>
      <c r="P33" s="5" t="n">
        <v>0</v>
      </c>
      <c r="Q33" s="5" t="n">
        <v>1</v>
      </c>
      <c r="R33" s="5" t="n">
        <v>1</v>
      </c>
      <c r="S33" s="5" t="n">
        <v>0</v>
      </c>
      <c r="T33" s="5" t="n">
        <v>0</v>
      </c>
      <c r="U33" s="5" t="inlineStr">
        <is>
          <t>training</t>
        </is>
      </c>
    </row>
    <row r="34">
      <c r="A34" s="5" t="n">
        <v>6</v>
      </c>
      <c r="B34" s="5" t="n">
        <v>0</v>
      </c>
      <c r="C34" s="5" t="n">
        <v>36</v>
      </c>
      <c r="D34" s="5" t="n">
        <v>9055</v>
      </c>
      <c r="E34" s="5" t="n">
        <v>35</v>
      </c>
      <c r="F34" s="5" t="n">
        <v>2</v>
      </c>
      <c r="G34" s="5" t="n">
        <v>0</v>
      </c>
      <c r="H34" s="5" t="n">
        <v>0</v>
      </c>
      <c r="I34" s="5" t="n">
        <v>0</v>
      </c>
      <c r="J34" s="5" t="n">
        <v>0</v>
      </c>
      <c r="K34" s="5" t="n">
        <v>0</v>
      </c>
      <c r="L34" s="5" t="n">
        <v>0</v>
      </c>
      <c r="M34" s="5" t="n">
        <v>0</v>
      </c>
      <c r="N34" s="5" t="n">
        <v>0</v>
      </c>
      <c r="O34" s="5" t="n">
        <v>1</v>
      </c>
      <c r="P34" s="5" t="n">
        <v>0</v>
      </c>
      <c r="Q34" s="5" t="n">
        <v>1</v>
      </c>
      <c r="R34" s="5" t="n">
        <v>0</v>
      </c>
      <c r="S34" s="5" t="n">
        <v>0</v>
      </c>
      <c r="T34" s="5" t="n">
        <v>0</v>
      </c>
      <c r="U34" s="5" t="inlineStr">
        <is>
          <t>testing</t>
        </is>
      </c>
    </row>
    <row r="35">
      <c r="A35" s="5" t="n">
        <v>7</v>
      </c>
      <c r="B35" s="5" t="n">
        <v>0</v>
      </c>
      <c r="C35" s="5" t="n">
        <v>24</v>
      </c>
      <c r="D35" s="5" t="n">
        <v>2835</v>
      </c>
      <c r="E35" s="5" t="n">
        <v>53</v>
      </c>
      <c r="F35" s="5" t="n">
        <v>3</v>
      </c>
      <c r="G35" s="5" t="n">
        <v>0</v>
      </c>
      <c r="H35" s="5" t="n">
        <v>0</v>
      </c>
      <c r="I35" s="5" t="n">
        <v>0</v>
      </c>
      <c r="J35" s="5" t="n">
        <v>0</v>
      </c>
      <c r="K35" s="5" t="n">
        <v>0</v>
      </c>
      <c r="L35" s="5" t="n">
        <v>0</v>
      </c>
      <c r="M35" s="5" t="n">
        <v>1</v>
      </c>
      <c r="N35" s="5" t="n">
        <v>0</v>
      </c>
      <c r="O35" s="5" t="n">
        <v>0</v>
      </c>
      <c r="P35" s="5" t="n">
        <v>0</v>
      </c>
      <c r="Q35" s="5" t="n">
        <v>0</v>
      </c>
      <c r="R35" s="5" t="n">
        <v>0</v>
      </c>
      <c r="S35" s="5" t="n">
        <v>0</v>
      </c>
      <c r="T35" s="5" t="n">
        <v>1</v>
      </c>
      <c r="U35" s="5" t="inlineStr">
        <is>
          <t>training</t>
        </is>
      </c>
    </row>
    <row r="36">
      <c r="A36" s="5" t="n">
        <v>8</v>
      </c>
      <c r="B36" s="5" t="n">
        <v>0</v>
      </c>
      <c r="C36" s="5" t="n">
        <v>36</v>
      </c>
      <c r="D36" s="5" t="n">
        <v>6948</v>
      </c>
      <c r="E36" s="5" t="n">
        <v>35</v>
      </c>
      <c r="F36" s="5" t="n">
        <v>2</v>
      </c>
      <c r="G36" s="5" t="n">
        <v>0</v>
      </c>
      <c r="H36" s="5" t="n">
        <v>1</v>
      </c>
      <c r="I36" s="5" t="n">
        <v>0</v>
      </c>
      <c r="J36" s="5" t="n">
        <v>0</v>
      </c>
      <c r="K36" s="5" t="n">
        <v>0</v>
      </c>
      <c r="L36" s="5" t="n">
        <v>0</v>
      </c>
      <c r="M36" s="5" t="n">
        <v>0</v>
      </c>
      <c r="N36" s="5" t="n">
        <v>0</v>
      </c>
      <c r="O36" s="5" t="n">
        <v>0</v>
      </c>
      <c r="P36" s="5" t="n">
        <v>1</v>
      </c>
      <c r="Q36" s="5" t="n">
        <v>0</v>
      </c>
      <c r="R36" s="5" t="n">
        <v>1</v>
      </c>
      <c r="S36" s="5" t="n">
        <v>0</v>
      </c>
      <c r="T36" s="5" t="n">
        <v>0</v>
      </c>
      <c r="U36" s="5" t="inlineStr">
        <is>
          <t>training</t>
        </is>
      </c>
    </row>
    <row r="37">
      <c r="A37" s="5" t="n">
        <v>9</v>
      </c>
      <c r="B37" s="5" t="n">
        <v>0</v>
      </c>
      <c r="C37" s="5" t="n">
        <v>12</v>
      </c>
      <c r="D37" s="5" t="n">
        <v>3059</v>
      </c>
      <c r="E37" s="5" t="n">
        <v>61</v>
      </c>
      <c r="F37" s="5" t="n">
        <v>2</v>
      </c>
      <c r="G37" s="5" t="n">
        <v>0</v>
      </c>
      <c r="H37" s="5" t="n">
        <v>0</v>
      </c>
      <c r="I37" s="5" t="n">
        <v>0</v>
      </c>
      <c r="J37" s="5" t="n">
        <v>0</v>
      </c>
      <c r="K37" s="5" t="n">
        <v>0</v>
      </c>
      <c r="L37" s="5" t="n">
        <v>0</v>
      </c>
      <c r="M37" s="5" t="n">
        <v>0</v>
      </c>
      <c r="N37" s="5" t="n">
        <v>1</v>
      </c>
      <c r="O37" s="5" t="n">
        <v>0</v>
      </c>
      <c r="P37" s="5" t="n">
        <v>0</v>
      </c>
      <c r="Q37" s="5" t="n">
        <v>0</v>
      </c>
      <c r="R37" s="5" t="n">
        <v>0</v>
      </c>
      <c r="S37" s="5" t="n">
        <v>1</v>
      </c>
      <c r="T37" s="5" t="n">
        <v>0</v>
      </c>
      <c r="U37" s="5" t="inlineStr">
        <is>
          <t>training</t>
        </is>
      </c>
    </row>
    <row r="38">
      <c r="A38" s="5" t="n">
        <v>10</v>
      </c>
      <c r="B38" s="5" t="n">
        <v>1</v>
      </c>
      <c r="C38" s="5" t="n">
        <v>30</v>
      </c>
      <c r="D38" s="5" t="n">
        <v>5234</v>
      </c>
      <c r="E38" s="5" t="n">
        <v>28</v>
      </c>
      <c r="F38" s="5" t="n">
        <v>4</v>
      </c>
      <c r="G38" s="5" t="n">
        <v>0</v>
      </c>
      <c r="H38" s="5" t="n">
        <v>1</v>
      </c>
      <c r="I38" s="5" t="n">
        <v>0</v>
      </c>
      <c r="J38" s="5" t="n">
        <v>1</v>
      </c>
      <c r="K38" s="5" t="n">
        <v>0</v>
      </c>
      <c r="L38" s="5" t="n">
        <v>0</v>
      </c>
      <c r="M38" s="5" t="n">
        <v>0</v>
      </c>
      <c r="N38" s="5" t="n">
        <v>0</v>
      </c>
      <c r="O38" s="5" t="n">
        <v>0</v>
      </c>
      <c r="P38" s="5" t="n">
        <v>0</v>
      </c>
      <c r="Q38" s="5" t="n">
        <v>0</v>
      </c>
      <c r="R38" s="5" t="n">
        <v>1</v>
      </c>
      <c r="S38" s="5" t="n">
        <v>0</v>
      </c>
      <c r="T38" s="5" t="n">
        <v>0</v>
      </c>
      <c r="U38" s="5" t="inlineStr">
        <is>
          <t>training</t>
        </is>
      </c>
    </row>
    <row r="39">
      <c r="A39" s="5" t="n">
        <v>11</v>
      </c>
      <c r="B39" s="5" t="n">
        <v>1</v>
      </c>
      <c r="C39" s="5" t="n">
        <v>12</v>
      </c>
      <c r="D39" s="5" t="n">
        <v>1295</v>
      </c>
      <c r="E39" s="5" t="n">
        <v>25</v>
      </c>
      <c r="F39" s="5" t="n">
        <v>3</v>
      </c>
      <c r="G39" s="5" t="n">
        <v>0</v>
      </c>
      <c r="H39" s="5" t="n">
        <v>1</v>
      </c>
      <c r="I39" s="5" t="n">
        <v>0</v>
      </c>
      <c r="J39" s="5" t="n">
        <v>0</v>
      </c>
      <c r="K39" s="5" t="n">
        <v>0</v>
      </c>
      <c r="L39" s="5" t="n">
        <v>0</v>
      </c>
      <c r="M39" s="5" t="n">
        <v>0</v>
      </c>
      <c r="N39" s="5" t="n">
        <v>0</v>
      </c>
      <c r="O39" s="5" t="n">
        <v>0</v>
      </c>
      <c r="P39" s="5" t="n">
        <v>1</v>
      </c>
      <c r="Q39" s="5" t="n">
        <v>0</v>
      </c>
      <c r="R39" s="5" t="n">
        <v>1</v>
      </c>
      <c r="S39" s="5" t="n">
        <v>0</v>
      </c>
      <c r="T39" s="5" t="n">
        <v>0</v>
      </c>
      <c r="U39" s="5" t="inlineStr">
        <is>
          <t>training</t>
        </is>
      </c>
    </row>
    <row r="40">
      <c r="A40" s="5" t="n">
        <v>12</v>
      </c>
      <c r="B40" s="5" t="n">
        <v>1</v>
      </c>
      <c r="C40" s="5" t="n">
        <v>48</v>
      </c>
      <c r="D40" s="5" t="n">
        <v>4308</v>
      </c>
      <c r="E40" s="5" t="n">
        <v>24</v>
      </c>
      <c r="F40" s="5" t="n">
        <v>3</v>
      </c>
      <c r="G40" s="5" t="n">
        <v>1</v>
      </c>
      <c r="H40" s="5" t="n">
        <v>0</v>
      </c>
      <c r="I40" s="5" t="n">
        <v>0</v>
      </c>
      <c r="J40" s="5" t="n">
        <v>0</v>
      </c>
      <c r="K40" s="5" t="n">
        <v>0</v>
      </c>
      <c r="L40" s="5" t="n">
        <v>0</v>
      </c>
      <c r="M40" s="5" t="n">
        <v>0</v>
      </c>
      <c r="N40" s="5" t="n">
        <v>0</v>
      </c>
      <c r="O40" s="5" t="n">
        <v>0</v>
      </c>
      <c r="P40" s="5" t="n">
        <v>1</v>
      </c>
      <c r="Q40" s="5" t="n">
        <v>0</v>
      </c>
      <c r="R40" s="5" t="n">
        <v>0</v>
      </c>
      <c r="S40" s="5" t="n">
        <v>0</v>
      </c>
      <c r="T40" s="5" t="n">
        <v>0</v>
      </c>
      <c r="U40" s="5" t="inlineStr">
        <is>
          <t>training</t>
        </is>
      </c>
    </row>
    <row r="41">
      <c r="A41" s="5" t="n">
        <v>13</v>
      </c>
      <c r="B41" s="5" t="n">
        <v>0</v>
      </c>
      <c r="C41" s="5" t="n">
        <v>12</v>
      </c>
      <c r="D41" s="5" t="n">
        <v>1567</v>
      </c>
      <c r="E41" s="5" t="n">
        <v>22</v>
      </c>
      <c r="F41" s="5" t="n">
        <v>1</v>
      </c>
      <c r="G41" s="5" t="n">
        <v>0</v>
      </c>
      <c r="H41" s="5" t="n">
        <v>1</v>
      </c>
      <c r="I41" s="5" t="n">
        <v>0</v>
      </c>
      <c r="J41" s="5" t="n">
        <v>0</v>
      </c>
      <c r="K41" s="5" t="n">
        <v>0</v>
      </c>
      <c r="L41" s="5" t="n">
        <v>0</v>
      </c>
      <c r="M41" s="5" t="n">
        <v>0</v>
      </c>
      <c r="N41" s="5" t="n">
        <v>0</v>
      </c>
      <c r="O41" s="5" t="n">
        <v>0</v>
      </c>
      <c r="P41" s="5" t="n">
        <v>0</v>
      </c>
      <c r="Q41" s="5" t="n">
        <v>0</v>
      </c>
      <c r="R41" s="5" t="n">
        <v>0</v>
      </c>
      <c r="S41" s="5" t="n">
        <v>1</v>
      </c>
      <c r="T41" s="5" t="n">
        <v>0</v>
      </c>
      <c r="U41" s="5" t="inlineStr">
        <is>
          <t>training</t>
        </is>
      </c>
    </row>
    <row r="42">
      <c r="A42" s="5" t="n">
        <v>14</v>
      </c>
      <c r="B42" s="5" t="n">
        <v>1</v>
      </c>
      <c r="C42" s="5" t="n">
        <v>24</v>
      </c>
      <c r="D42" s="5" t="n">
        <v>1199</v>
      </c>
      <c r="E42" s="5" t="n">
        <v>60</v>
      </c>
      <c r="F42" s="5" t="n">
        <v>4</v>
      </c>
      <c r="G42" s="5" t="n">
        <v>1</v>
      </c>
      <c r="H42" s="5" t="n">
        <v>0</v>
      </c>
      <c r="I42" s="5" t="n">
        <v>0</v>
      </c>
      <c r="J42" s="5" t="n">
        <v>1</v>
      </c>
      <c r="K42" s="5" t="n">
        <v>0</v>
      </c>
      <c r="L42" s="5" t="n">
        <v>0</v>
      </c>
      <c r="M42" s="5" t="n">
        <v>0</v>
      </c>
      <c r="N42" s="5" t="n">
        <v>0</v>
      </c>
      <c r="O42" s="5" t="n">
        <v>0</v>
      </c>
      <c r="P42" s="5" t="n">
        <v>0</v>
      </c>
      <c r="Q42" s="5" t="n">
        <v>0</v>
      </c>
      <c r="R42" s="5" t="n">
        <v>1</v>
      </c>
      <c r="S42" s="5" t="n">
        <v>0</v>
      </c>
      <c r="T42" s="5" t="n">
        <v>0</v>
      </c>
      <c r="U42" s="5" t="inlineStr">
        <is>
          <t>training</t>
        </is>
      </c>
    </row>
    <row r="43">
      <c r="A43" s="5" t="n">
        <v>15</v>
      </c>
      <c r="B43" s="5" t="n">
        <v>0</v>
      </c>
      <c r="C43" s="5" t="n">
        <v>15</v>
      </c>
      <c r="D43" s="5" t="n">
        <v>1403</v>
      </c>
      <c r="E43" s="5" t="n">
        <v>28</v>
      </c>
      <c r="F43" s="5" t="n">
        <v>2</v>
      </c>
      <c r="G43" s="5" t="n">
        <v>1</v>
      </c>
      <c r="H43" s="5" t="n">
        <v>0</v>
      </c>
      <c r="I43" s="5" t="n">
        <v>0</v>
      </c>
      <c r="J43" s="5" t="n">
        <v>0</v>
      </c>
      <c r="K43" s="5" t="n">
        <v>0</v>
      </c>
      <c r="L43" s="5" t="n">
        <v>0</v>
      </c>
      <c r="M43" s="5" t="n">
        <v>0</v>
      </c>
      <c r="N43" s="5" t="n">
        <v>0</v>
      </c>
      <c r="O43" s="5" t="n">
        <v>0</v>
      </c>
      <c r="P43" s="5" t="n">
        <v>1</v>
      </c>
      <c r="Q43" s="5" t="n">
        <v>0</v>
      </c>
      <c r="R43" s="5" t="n">
        <v>1</v>
      </c>
      <c r="S43" s="5" t="n">
        <v>0</v>
      </c>
      <c r="T43" s="5" t="n">
        <v>0</v>
      </c>
      <c r="U43" s="5" t="inlineStr">
        <is>
          <t>testing</t>
        </is>
      </c>
    </row>
    <row r="44">
      <c r="A44" s="5" t="n">
        <v>16</v>
      </c>
      <c r="B44" s="5" t="n">
        <v>1</v>
      </c>
      <c r="C44" s="5" t="n">
        <v>24</v>
      </c>
      <c r="D44" s="5" t="n">
        <v>1282</v>
      </c>
      <c r="E44" s="5" t="n">
        <v>32</v>
      </c>
      <c r="F44" s="5" t="n">
        <v>4</v>
      </c>
      <c r="G44" s="5" t="n">
        <v>1</v>
      </c>
      <c r="H44" s="5" t="n">
        <v>0</v>
      </c>
      <c r="I44" s="5" t="n">
        <v>0</v>
      </c>
      <c r="J44" s="5" t="n">
        <v>0</v>
      </c>
      <c r="K44" s="5" t="n">
        <v>0</v>
      </c>
      <c r="L44" s="5" t="n">
        <v>0</v>
      </c>
      <c r="M44" s="5" t="n">
        <v>1</v>
      </c>
      <c r="N44" s="5" t="n">
        <v>0</v>
      </c>
      <c r="O44" s="5" t="n">
        <v>0</v>
      </c>
      <c r="P44" s="5" t="n">
        <v>0</v>
      </c>
      <c r="Q44" s="5" t="n">
        <v>0</v>
      </c>
      <c r="R44" s="5" t="n">
        <v>0</v>
      </c>
      <c r="S44" s="5" t="n">
        <v>1</v>
      </c>
      <c r="T44" s="5" t="n">
        <v>0</v>
      </c>
      <c r="U44" s="5" t="inlineStr">
        <is>
          <t>training</t>
        </is>
      </c>
    </row>
    <row r="45">
      <c r="A45" s="5" t="n">
        <v>17</v>
      </c>
      <c r="B45" s="5" t="n">
        <v>0</v>
      </c>
      <c r="C45" s="5" t="n">
        <v>24</v>
      </c>
      <c r="D45" s="5" t="n">
        <v>2424</v>
      </c>
      <c r="E45" s="5" t="n">
        <v>53</v>
      </c>
      <c r="F45" s="5" t="n">
        <v>4</v>
      </c>
      <c r="G45" s="5" t="n">
        <v>0</v>
      </c>
      <c r="H45" s="5" t="n">
        <v>0</v>
      </c>
      <c r="I45" s="5" t="n">
        <v>0</v>
      </c>
      <c r="J45" s="5" t="n">
        <v>1</v>
      </c>
      <c r="K45" s="5" t="n">
        <v>0</v>
      </c>
      <c r="L45" s="5" t="n">
        <v>0</v>
      </c>
      <c r="M45" s="5" t="n">
        <v>0</v>
      </c>
      <c r="N45" s="5" t="n">
        <v>0</v>
      </c>
      <c r="O45" s="5" t="n">
        <v>1</v>
      </c>
      <c r="P45" s="5" t="n">
        <v>0</v>
      </c>
      <c r="Q45" s="5" t="n">
        <v>0</v>
      </c>
      <c r="R45" s="5" t="n">
        <v>0</v>
      </c>
      <c r="S45" s="5" t="n">
        <v>1</v>
      </c>
      <c r="T45" s="5" t="n">
        <v>0</v>
      </c>
      <c r="U45" s="5" t="inlineStr">
        <is>
          <t>training</t>
        </is>
      </c>
    </row>
    <row r="46">
      <c r="A46" s="5" t="n">
        <v>18</v>
      </c>
      <c r="B46" s="5" t="n">
        <v>0</v>
      </c>
      <c r="C46" s="5" t="n">
        <v>30</v>
      </c>
      <c r="D46" s="5" t="n">
        <v>8072</v>
      </c>
      <c r="E46" s="5" t="n">
        <v>25</v>
      </c>
      <c r="F46" s="5" t="n">
        <v>2</v>
      </c>
      <c r="G46" s="5" t="n">
        <v>1</v>
      </c>
      <c r="H46" s="5" t="n">
        <v>0</v>
      </c>
      <c r="I46" s="5" t="n">
        <v>0</v>
      </c>
      <c r="J46" s="5" t="n">
        <v>0</v>
      </c>
      <c r="K46" s="5" t="n">
        <v>0</v>
      </c>
      <c r="L46" s="5" t="n">
        <v>1</v>
      </c>
      <c r="M46" s="5" t="n">
        <v>0</v>
      </c>
      <c r="N46" s="5" t="n">
        <v>0</v>
      </c>
      <c r="O46" s="5" t="n">
        <v>1</v>
      </c>
      <c r="P46" s="5" t="n">
        <v>0</v>
      </c>
      <c r="Q46" s="5" t="n">
        <v>0</v>
      </c>
      <c r="R46" s="5" t="n">
        <v>0</v>
      </c>
      <c r="S46" s="5" t="n">
        <v>0</v>
      </c>
      <c r="T46" s="5" t="n">
        <v>0</v>
      </c>
      <c r="U46" s="5" t="inlineStr">
        <is>
          <t>training</t>
        </is>
      </c>
    </row>
    <row r="47">
      <c r="A47" s="5" t="n">
        <v>19</v>
      </c>
      <c r="B47" s="5" t="n">
        <v>1</v>
      </c>
      <c r="C47" s="5" t="n">
        <v>24</v>
      </c>
      <c r="D47" s="5" t="n">
        <v>12579</v>
      </c>
      <c r="E47" s="5" t="n">
        <v>44</v>
      </c>
      <c r="F47" s="5" t="n">
        <v>4</v>
      </c>
      <c r="G47" s="5" t="n">
        <v>0</v>
      </c>
      <c r="H47" s="5" t="n">
        <v>1</v>
      </c>
      <c r="I47" s="5" t="n">
        <v>0</v>
      </c>
      <c r="J47" s="5" t="n">
        <v>0</v>
      </c>
      <c r="K47" s="5" t="n">
        <v>0</v>
      </c>
      <c r="L47" s="5" t="n">
        <v>0</v>
      </c>
      <c r="M47" s="5" t="n">
        <v>0</v>
      </c>
      <c r="N47" s="5" t="n">
        <v>0</v>
      </c>
      <c r="O47" s="5" t="n">
        <v>0</v>
      </c>
      <c r="P47" s="5" t="n">
        <v>0</v>
      </c>
      <c r="Q47" s="5" t="n">
        <v>1</v>
      </c>
      <c r="R47" s="5" t="n">
        <v>1</v>
      </c>
      <c r="S47" s="5" t="n">
        <v>0</v>
      </c>
      <c r="T47" s="5" t="n">
        <v>0</v>
      </c>
      <c r="U47" s="5" t="inlineStr">
        <is>
          <t>training</t>
        </is>
      </c>
    </row>
    <row r="48">
      <c r="A48" s="5" t="n">
        <v>20</v>
      </c>
      <c r="B48" s="5" t="n">
        <v>0</v>
      </c>
      <c r="C48" s="5" t="n">
        <v>24</v>
      </c>
      <c r="D48" s="5" t="n">
        <v>3430</v>
      </c>
      <c r="E48" s="5" t="n">
        <v>31</v>
      </c>
      <c r="F48" s="5" t="n">
        <v>3</v>
      </c>
      <c r="G48" s="5" t="n">
        <v>0</v>
      </c>
      <c r="H48" s="5" t="n">
        <v>0</v>
      </c>
      <c r="I48" s="5" t="n">
        <v>0</v>
      </c>
      <c r="J48" s="5" t="n">
        <v>0</v>
      </c>
      <c r="K48" s="5" t="n">
        <v>0</v>
      </c>
      <c r="L48" s="5" t="n">
        <v>0</v>
      </c>
      <c r="M48" s="5" t="n">
        <v>1</v>
      </c>
      <c r="N48" s="5" t="n">
        <v>0</v>
      </c>
      <c r="O48" s="5" t="n">
        <v>0</v>
      </c>
      <c r="P48" s="5" t="n">
        <v>0</v>
      </c>
      <c r="Q48" s="5" t="n">
        <v>0</v>
      </c>
      <c r="R48" s="5" t="n">
        <v>0</v>
      </c>
      <c r="S48" s="5" t="n">
        <v>1</v>
      </c>
      <c r="T48" s="5" t="n">
        <v>0</v>
      </c>
      <c r="U48" s="5" t="inlineStr">
        <is>
          <t>training</t>
        </is>
      </c>
    </row>
    <row r="49">
      <c r="A49" s="5" t="n">
        <v>21</v>
      </c>
      <c r="B49" s="5" t="n">
        <v>0</v>
      </c>
      <c r="C49" s="5" t="n">
        <v>9</v>
      </c>
      <c r="D49" s="5" t="n">
        <v>2134</v>
      </c>
      <c r="E49" s="5" t="n">
        <v>48</v>
      </c>
      <c r="F49" s="5" t="n">
        <v>4</v>
      </c>
      <c r="G49" s="5" t="n">
        <v>0</v>
      </c>
      <c r="H49" s="5" t="n">
        <v>0</v>
      </c>
      <c r="I49" s="5" t="n">
        <v>0</v>
      </c>
      <c r="J49" s="5" t="n">
        <v>1</v>
      </c>
      <c r="K49" s="5" t="n">
        <v>0</v>
      </c>
      <c r="L49" s="5" t="n">
        <v>0</v>
      </c>
      <c r="M49" s="5" t="n">
        <v>0</v>
      </c>
      <c r="N49" s="5" t="n">
        <v>0</v>
      </c>
      <c r="O49" s="5" t="n">
        <v>0</v>
      </c>
      <c r="P49" s="5" t="n">
        <v>0</v>
      </c>
      <c r="Q49" s="5" t="n">
        <v>0</v>
      </c>
      <c r="R49" s="5" t="n">
        <v>1</v>
      </c>
      <c r="S49" s="5" t="n">
        <v>0</v>
      </c>
      <c r="T49" s="5" t="n">
        <v>0</v>
      </c>
      <c r="U49" s="5" t="inlineStr">
        <is>
          <t>training</t>
        </is>
      </c>
    </row>
    <row r="50">
      <c r="A50" s="5" t="n">
        <v>22</v>
      </c>
      <c r="B50" s="5" t="n">
        <v>0</v>
      </c>
      <c r="C50" s="5" t="n">
        <v>6</v>
      </c>
      <c r="D50" s="5" t="n">
        <v>2647</v>
      </c>
      <c r="E50" s="5" t="n">
        <v>44</v>
      </c>
      <c r="F50" s="5" t="n">
        <v>2</v>
      </c>
      <c r="G50" s="5" t="n">
        <v>1</v>
      </c>
      <c r="H50" s="5" t="n">
        <v>0</v>
      </c>
      <c r="I50" s="5" t="n">
        <v>0</v>
      </c>
      <c r="J50" s="5" t="n">
        <v>0</v>
      </c>
      <c r="K50" s="5" t="n">
        <v>0</v>
      </c>
      <c r="L50" s="5" t="n">
        <v>0</v>
      </c>
      <c r="M50" s="5" t="n">
        <v>1</v>
      </c>
      <c r="N50" s="5" t="n">
        <v>0</v>
      </c>
      <c r="O50" s="5" t="n">
        <v>0</v>
      </c>
      <c r="P50" s="5" t="n">
        <v>1</v>
      </c>
      <c r="Q50" s="5" t="n">
        <v>0</v>
      </c>
      <c r="R50" s="5" t="n">
        <v>0</v>
      </c>
      <c r="S50" s="5" t="n">
        <v>1</v>
      </c>
      <c r="T50" s="5" t="n">
        <v>0</v>
      </c>
      <c r="U50" s="5" t="inlineStr">
        <is>
          <t>testing</t>
        </is>
      </c>
    </row>
    <row r="51">
      <c r="A51" s="5" t="n">
        <v>23</v>
      </c>
      <c r="B51" s="5" t="n">
        <v>0</v>
      </c>
      <c r="C51" s="5" t="n">
        <v>10</v>
      </c>
      <c r="D51" s="5" t="n">
        <v>2241</v>
      </c>
      <c r="E51" s="5" t="n">
        <v>48</v>
      </c>
      <c r="F51" s="5" t="n">
        <v>1</v>
      </c>
      <c r="G51" s="5" t="n">
        <v>1</v>
      </c>
      <c r="H51" s="5" t="n">
        <v>0</v>
      </c>
      <c r="I51" s="5" t="n">
        <v>0</v>
      </c>
      <c r="J51" s="5" t="n">
        <v>1</v>
      </c>
      <c r="K51" s="5" t="n">
        <v>0</v>
      </c>
      <c r="L51" s="5" t="n">
        <v>0</v>
      </c>
      <c r="M51" s="5" t="n">
        <v>0</v>
      </c>
      <c r="N51" s="5" t="n">
        <v>0</v>
      </c>
      <c r="O51" s="5" t="n">
        <v>0</v>
      </c>
      <c r="P51" s="5" t="n">
        <v>1</v>
      </c>
      <c r="Q51" s="5" t="n">
        <v>0</v>
      </c>
      <c r="R51" s="5" t="n">
        <v>1</v>
      </c>
      <c r="S51" s="5" t="n">
        <v>0</v>
      </c>
      <c r="T51" s="5" t="n">
        <v>0</v>
      </c>
      <c r="U51" s="5" t="inlineStr">
        <is>
          <t>training</t>
        </is>
      </c>
    </row>
    <row r="52">
      <c r="A52" s="5" t="n">
        <v>24</v>
      </c>
      <c r="B52" s="5" t="n">
        <v>0</v>
      </c>
      <c r="C52" s="5" t="n">
        <v>12</v>
      </c>
      <c r="D52" s="5" t="n">
        <v>1804</v>
      </c>
      <c r="E52" s="5" t="n">
        <v>44</v>
      </c>
      <c r="F52" s="5" t="n">
        <v>3</v>
      </c>
      <c r="G52" s="5" t="n">
        <v>0</v>
      </c>
      <c r="H52" s="5" t="n">
        <v>1</v>
      </c>
      <c r="I52" s="5" t="n">
        <v>0</v>
      </c>
      <c r="J52" s="5" t="n">
        <v>1</v>
      </c>
      <c r="K52" s="5" t="n">
        <v>0</v>
      </c>
      <c r="L52" s="5" t="n">
        <v>0</v>
      </c>
      <c r="M52" s="5" t="n">
        <v>1</v>
      </c>
      <c r="N52" s="5" t="n">
        <v>0</v>
      </c>
      <c r="O52" s="5" t="n">
        <v>0</v>
      </c>
      <c r="P52" s="5" t="n">
        <v>0</v>
      </c>
      <c r="Q52" s="5" t="n">
        <v>0</v>
      </c>
      <c r="R52" s="5" t="n">
        <v>1</v>
      </c>
      <c r="S52" s="5" t="n">
        <v>0</v>
      </c>
      <c r="T52" s="5" t="n">
        <v>0</v>
      </c>
      <c r="U52" s="5" t="inlineStr">
        <is>
          <t>training</t>
        </is>
      </c>
    </row>
    <row r="53">
      <c r="A53" s="5" t="n">
        <v>25</v>
      </c>
      <c r="B53" s="5" t="n">
        <v>0</v>
      </c>
      <c r="C53" s="5" t="n">
        <v>10</v>
      </c>
      <c r="D53" s="5" t="n">
        <v>2069</v>
      </c>
      <c r="E53" s="5" t="n">
        <v>26</v>
      </c>
      <c r="F53" s="5" t="n">
        <v>2</v>
      </c>
      <c r="G53" s="5" t="n">
        <v>0</v>
      </c>
      <c r="H53" s="5" t="n">
        <v>0</v>
      </c>
      <c r="I53" s="5" t="n">
        <v>0</v>
      </c>
      <c r="J53" s="5" t="n">
        <v>1</v>
      </c>
      <c r="K53" s="5" t="n">
        <v>0</v>
      </c>
      <c r="L53" s="5" t="n">
        <v>0</v>
      </c>
      <c r="M53" s="5" t="n">
        <v>0</v>
      </c>
      <c r="N53" s="5" t="n">
        <v>0</v>
      </c>
      <c r="O53" s="5" t="n">
        <v>1</v>
      </c>
      <c r="P53" s="5" t="n">
        <v>0</v>
      </c>
      <c r="Q53" s="5" t="n">
        <v>0</v>
      </c>
      <c r="R53" s="5" t="n">
        <v>0</v>
      </c>
      <c r="S53" s="5" t="n">
        <v>0</v>
      </c>
      <c r="T53" s="5" t="n">
        <v>1</v>
      </c>
      <c r="U53" s="5" t="inlineStr">
        <is>
          <t>training</t>
        </is>
      </c>
    </row>
    <row r="54">
      <c r="A54" s="5" t="n">
        <v>26</v>
      </c>
      <c r="B54" s="5" t="n">
        <v>0</v>
      </c>
      <c r="C54" s="5" t="n">
        <v>6</v>
      </c>
      <c r="D54" s="5" t="n">
        <v>1374</v>
      </c>
      <c r="E54" s="5" t="n">
        <v>36</v>
      </c>
      <c r="F54" s="5" t="n">
        <v>1</v>
      </c>
      <c r="G54" s="5" t="n">
        <v>1</v>
      </c>
      <c r="H54" s="5" t="n">
        <v>0</v>
      </c>
      <c r="I54" s="5" t="n">
        <v>0</v>
      </c>
      <c r="J54" s="5" t="n">
        <v>0</v>
      </c>
      <c r="K54" s="5" t="n">
        <v>0</v>
      </c>
      <c r="L54" s="5" t="n">
        <v>0</v>
      </c>
      <c r="M54" s="5" t="n">
        <v>0</v>
      </c>
      <c r="N54" s="5" t="n">
        <v>0</v>
      </c>
      <c r="O54" s="5" t="n">
        <v>0</v>
      </c>
      <c r="P54" s="5" t="n">
        <v>0</v>
      </c>
      <c r="Q54" s="5" t="n">
        <v>0</v>
      </c>
      <c r="R54" s="5" t="n">
        <v>0</v>
      </c>
      <c r="S54" s="5" t="n">
        <v>0</v>
      </c>
      <c r="T54" s="5" t="n">
        <v>1</v>
      </c>
      <c r="U54" s="5" t="inlineStr">
        <is>
          <t>training</t>
        </is>
      </c>
    </row>
    <row r="55">
      <c r="A55" s="5" t="n">
        <v>27</v>
      </c>
      <c r="B55" s="5" t="n">
        <v>0</v>
      </c>
      <c r="C55" s="5" t="n">
        <v>6</v>
      </c>
      <c r="D55" s="5" t="n">
        <v>426</v>
      </c>
      <c r="E55" s="5" t="n">
        <v>39</v>
      </c>
      <c r="F55" s="5" t="n">
        <v>4</v>
      </c>
      <c r="G55" s="5" t="n">
        <v>0</v>
      </c>
      <c r="H55" s="5" t="n">
        <v>0</v>
      </c>
      <c r="I55" s="5" t="n">
        <v>0</v>
      </c>
      <c r="J55" s="5" t="n">
        <v>0</v>
      </c>
      <c r="K55" s="5" t="n">
        <v>0</v>
      </c>
      <c r="L55" s="5" t="n">
        <v>1</v>
      </c>
      <c r="M55" s="5" t="n">
        <v>0</v>
      </c>
      <c r="N55" s="5" t="n">
        <v>0</v>
      </c>
      <c r="O55" s="5" t="n">
        <v>0</v>
      </c>
      <c r="P55" s="5" t="n">
        <v>0</v>
      </c>
      <c r="Q55" s="5" t="n">
        <v>0</v>
      </c>
      <c r="R55" s="5" t="n">
        <v>0</v>
      </c>
      <c r="S55" s="5" t="n">
        <v>1</v>
      </c>
      <c r="T55" s="5" t="n">
        <v>0</v>
      </c>
      <c r="U55" s="5" t="inlineStr">
        <is>
          <t>training</t>
        </is>
      </c>
    </row>
    <row r="56">
      <c r="A56" s="5" t="n">
        <v>28</v>
      </c>
      <c r="B56" s="5" t="n">
        <v>0</v>
      </c>
      <c r="C56" s="5" t="n">
        <v>12</v>
      </c>
      <c r="D56" s="5" t="n">
        <v>409</v>
      </c>
      <c r="E56" s="5" t="n">
        <v>42</v>
      </c>
      <c r="F56" s="5" t="n">
        <v>3</v>
      </c>
      <c r="G56" s="5" t="n">
        <v>0</v>
      </c>
      <c r="H56" s="5" t="n">
        <v>0</v>
      </c>
      <c r="I56" s="5" t="n">
        <v>1</v>
      </c>
      <c r="J56" s="5" t="n">
        <v>0</v>
      </c>
      <c r="K56" s="5" t="n">
        <v>0</v>
      </c>
      <c r="L56" s="5" t="n">
        <v>1</v>
      </c>
      <c r="M56" s="5" t="n">
        <v>0</v>
      </c>
      <c r="N56" s="5" t="n">
        <v>1</v>
      </c>
      <c r="O56" s="5" t="n">
        <v>0</v>
      </c>
      <c r="P56" s="5" t="n">
        <v>1</v>
      </c>
      <c r="Q56" s="5" t="n">
        <v>0</v>
      </c>
      <c r="R56" s="5" t="n">
        <v>0</v>
      </c>
      <c r="S56" s="5" t="n">
        <v>1</v>
      </c>
      <c r="T56" s="5" t="n">
        <v>0</v>
      </c>
      <c r="U56" s="5" t="inlineStr">
        <is>
          <t>training</t>
        </is>
      </c>
    </row>
    <row r="57">
      <c r="A57" s="5" t="n">
        <v>29</v>
      </c>
      <c r="B57" s="5" t="n">
        <v>0</v>
      </c>
      <c r="C57" s="5" t="n">
        <v>7</v>
      </c>
      <c r="D57" s="5" t="n">
        <v>2415</v>
      </c>
      <c r="E57" s="5" t="n">
        <v>34</v>
      </c>
      <c r="F57" s="5" t="n">
        <v>3</v>
      </c>
      <c r="G57" s="5" t="n">
        <v>0</v>
      </c>
      <c r="H57" s="5" t="n">
        <v>1</v>
      </c>
      <c r="I57" s="5" t="n">
        <v>0</v>
      </c>
      <c r="J57" s="5" t="n">
        <v>0</v>
      </c>
      <c r="K57" s="5" t="n">
        <v>0</v>
      </c>
      <c r="L57" s="5" t="n">
        <v>0</v>
      </c>
      <c r="M57" s="5" t="n">
        <v>0</v>
      </c>
      <c r="N57" s="5" t="n">
        <v>0</v>
      </c>
      <c r="O57" s="5" t="n">
        <v>0</v>
      </c>
      <c r="P57" s="5" t="n">
        <v>0</v>
      </c>
      <c r="Q57" s="5" t="n">
        <v>0</v>
      </c>
      <c r="R57" s="5" t="n">
        <v>0</v>
      </c>
      <c r="S57" s="5" t="n">
        <v>1</v>
      </c>
      <c r="T57" s="5" t="n">
        <v>0</v>
      </c>
      <c r="U57" s="5" t="inlineStr">
        <is>
          <t>training</t>
        </is>
      </c>
    </row>
    <row r="58">
      <c r="A58" s="5" t="n">
        <v>30</v>
      </c>
      <c r="B58" s="5" t="n">
        <v>1</v>
      </c>
      <c r="C58" s="5" t="n">
        <v>60</v>
      </c>
      <c r="D58" s="5" t="n">
        <v>6836</v>
      </c>
      <c r="E58" s="5" t="n">
        <v>63</v>
      </c>
      <c r="F58" s="5" t="n">
        <v>3</v>
      </c>
      <c r="G58" s="5" t="n">
        <v>1</v>
      </c>
      <c r="H58" s="5" t="n">
        <v>0</v>
      </c>
      <c r="I58" s="5" t="n">
        <v>0</v>
      </c>
      <c r="J58" s="5" t="n">
        <v>0</v>
      </c>
      <c r="K58" s="5" t="n">
        <v>1</v>
      </c>
      <c r="L58" s="5" t="n">
        <v>0</v>
      </c>
      <c r="M58" s="5" t="n">
        <v>0</v>
      </c>
      <c r="N58" s="5" t="n">
        <v>0</v>
      </c>
      <c r="O58" s="5" t="n">
        <v>0</v>
      </c>
      <c r="P58" s="5" t="n">
        <v>0</v>
      </c>
      <c r="Q58" s="5" t="n">
        <v>0</v>
      </c>
      <c r="R58" s="5" t="n">
        <v>0</v>
      </c>
      <c r="S58" s="5" t="n">
        <v>0</v>
      </c>
      <c r="T58" s="5" t="n">
        <v>0</v>
      </c>
      <c r="U58" s="5" t="inlineStr">
        <is>
          <t>testing</t>
        </is>
      </c>
    </row>
    <row r="59">
      <c r="A59" s="5" t="n">
        <v>31</v>
      </c>
      <c r="B59" s="5" t="n">
        <v>0</v>
      </c>
      <c r="C59" s="5" t="n">
        <v>18</v>
      </c>
      <c r="D59" s="5" t="n">
        <v>1913</v>
      </c>
      <c r="E59" s="5" t="n">
        <v>36</v>
      </c>
      <c r="F59" s="5" t="n">
        <v>3</v>
      </c>
      <c r="G59" s="5" t="n">
        <v>0</v>
      </c>
      <c r="H59" s="5" t="n">
        <v>1</v>
      </c>
      <c r="I59" s="5" t="n">
        <v>0</v>
      </c>
      <c r="J59" s="5" t="n">
        <v>0</v>
      </c>
      <c r="K59" s="5" t="n">
        <v>0</v>
      </c>
      <c r="L59" s="5" t="n">
        <v>0</v>
      </c>
      <c r="M59" s="5" t="n">
        <v>0</v>
      </c>
      <c r="N59" s="5" t="n">
        <v>1</v>
      </c>
      <c r="O59" s="5" t="n">
        <v>0</v>
      </c>
      <c r="P59" s="5" t="n">
        <v>0</v>
      </c>
      <c r="Q59" s="5" t="n">
        <v>0</v>
      </c>
      <c r="R59" s="5" t="n">
        <v>0</v>
      </c>
      <c r="S59" s="5" t="n">
        <v>0</v>
      </c>
      <c r="T59" s="5" t="n">
        <v>0</v>
      </c>
      <c r="U59" s="5" t="inlineStr">
        <is>
          <t>training</t>
        </is>
      </c>
    </row>
    <row r="60">
      <c r="A60" s="5" t="n">
        <v>32</v>
      </c>
      <c r="B60" s="5" t="n">
        <v>0</v>
      </c>
      <c r="C60" s="5" t="n">
        <v>24</v>
      </c>
      <c r="D60" s="5" t="n">
        <v>4020</v>
      </c>
      <c r="E60" s="5" t="n">
        <v>27</v>
      </c>
      <c r="F60" s="5" t="n">
        <v>2</v>
      </c>
      <c r="G60" s="5" t="n">
        <v>1</v>
      </c>
      <c r="H60" s="5" t="n">
        <v>0</v>
      </c>
      <c r="I60" s="5" t="n">
        <v>0</v>
      </c>
      <c r="J60" s="5" t="n">
        <v>0</v>
      </c>
      <c r="K60" s="5" t="n">
        <v>0</v>
      </c>
      <c r="L60" s="5" t="n">
        <v>0</v>
      </c>
      <c r="M60" s="5" t="n">
        <v>0</v>
      </c>
      <c r="N60" s="5" t="n">
        <v>0</v>
      </c>
      <c r="O60" s="5" t="n">
        <v>0</v>
      </c>
      <c r="P60" s="5" t="n">
        <v>0</v>
      </c>
      <c r="Q60" s="5" t="n">
        <v>0</v>
      </c>
      <c r="R60" s="5" t="n">
        <v>0</v>
      </c>
      <c r="S60" s="5" t="n">
        <v>0</v>
      </c>
      <c r="T60" s="5" t="n">
        <v>1</v>
      </c>
      <c r="U60" s="5" t="inlineStr">
        <is>
          <t>testing</t>
        </is>
      </c>
    </row>
    <row r="61">
      <c r="A61" s="5" t="n">
        <v>33</v>
      </c>
      <c r="B61" s="5" t="n">
        <v>0</v>
      </c>
      <c r="C61" s="5" t="n">
        <v>18</v>
      </c>
      <c r="D61" s="5" t="n">
        <v>5866</v>
      </c>
      <c r="E61" s="5" t="n">
        <v>30</v>
      </c>
      <c r="F61" s="5" t="n">
        <v>2</v>
      </c>
      <c r="G61" s="5" t="n">
        <v>0</v>
      </c>
      <c r="H61" s="5" t="n">
        <v>1</v>
      </c>
      <c r="I61" s="5" t="n">
        <v>0</v>
      </c>
      <c r="J61" s="5" t="n">
        <v>0</v>
      </c>
      <c r="K61" s="5" t="n">
        <v>0</v>
      </c>
      <c r="L61" s="5" t="n">
        <v>0</v>
      </c>
      <c r="M61" s="5" t="n">
        <v>1</v>
      </c>
      <c r="N61" s="5" t="n">
        <v>0</v>
      </c>
      <c r="O61" s="5" t="n">
        <v>0</v>
      </c>
      <c r="P61" s="5" t="n">
        <v>0</v>
      </c>
      <c r="Q61" s="5" t="n">
        <v>0</v>
      </c>
      <c r="R61" s="5" t="n">
        <v>1</v>
      </c>
      <c r="S61" s="5" t="n">
        <v>0</v>
      </c>
      <c r="T61" s="5" t="n">
        <v>0</v>
      </c>
      <c r="U61" s="5" t="inlineStr">
        <is>
          <t>training</t>
        </is>
      </c>
    </row>
    <row r="62">
      <c r="A62" s="5" t="n">
        <v>34</v>
      </c>
      <c r="B62" s="5" t="n">
        <v>0</v>
      </c>
      <c r="C62" s="5" t="n">
        <v>12</v>
      </c>
      <c r="D62" s="5" t="n">
        <v>1264</v>
      </c>
      <c r="E62" s="5" t="n">
        <v>57</v>
      </c>
      <c r="F62" s="5" t="n">
        <v>4</v>
      </c>
      <c r="G62" s="5" t="n">
        <v>0</v>
      </c>
      <c r="H62" s="5" t="n">
        <v>0</v>
      </c>
      <c r="I62" s="5" t="n">
        <v>0</v>
      </c>
      <c r="J62" s="5" t="n">
        <v>1</v>
      </c>
      <c r="K62" s="5" t="n">
        <v>0</v>
      </c>
      <c r="L62" s="5" t="n">
        <v>0</v>
      </c>
      <c r="M62" s="5" t="n">
        <v>0</v>
      </c>
      <c r="N62" s="5" t="n">
        <v>0</v>
      </c>
      <c r="O62" s="5" t="n">
        <v>1</v>
      </c>
      <c r="P62" s="5" t="n">
        <v>1</v>
      </c>
      <c r="Q62" s="5" t="n">
        <v>0</v>
      </c>
      <c r="R62" s="5" t="n">
        <v>0</v>
      </c>
      <c r="S62" s="5" t="n">
        <v>0</v>
      </c>
      <c r="T62" s="5" t="n">
        <v>0</v>
      </c>
      <c r="U62" s="5" t="inlineStr">
        <is>
          <t>training</t>
        </is>
      </c>
    </row>
    <row r="63">
      <c r="A63" s="5" t="n">
        <v>35</v>
      </c>
      <c r="B63" s="5" t="n">
        <v>0</v>
      </c>
      <c r="C63" s="5" t="n">
        <v>12</v>
      </c>
      <c r="D63" s="5" t="n">
        <v>1474</v>
      </c>
      <c r="E63" s="5" t="n">
        <v>33</v>
      </c>
      <c r="F63" s="5" t="n">
        <v>4</v>
      </c>
      <c r="G63" s="5" t="n">
        <v>0</v>
      </c>
      <c r="H63" s="5" t="n">
        <v>0</v>
      </c>
      <c r="I63" s="5" t="n">
        <v>1</v>
      </c>
      <c r="J63" s="5" t="n">
        <v>0</v>
      </c>
      <c r="K63" s="5" t="n">
        <v>0</v>
      </c>
      <c r="L63" s="5" t="n">
        <v>0</v>
      </c>
      <c r="M63" s="5" t="n">
        <v>0</v>
      </c>
      <c r="N63" s="5" t="n">
        <v>0</v>
      </c>
      <c r="O63" s="5" t="n">
        <v>0</v>
      </c>
      <c r="P63" s="5" t="n">
        <v>0</v>
      </c>
      <c r="Q63" s="5" t="n">
        <v>0</v>
      </c>
      <c r="R63" s="5" t="n">
        <v>0</v>
      </c>
      <c r="S63" s="5" t="n">
        <v>0</v>
      </c>
      <c r="T63" s="5" t="n">
        <v>1</v>
      </c>
      <c r="U63" s="5" t="inlineStr">
        <is>
          <t>testing</t>
        </is>
      </c>
    </row>
    <row r="64">
      <c r="A64" s="5" t="n">
        <v>36</v>
      </c>
      <c r="B64" s="5" t="n">
        <v>1</v>
      </c>
      <c r="C64" s="5" t="n">
        <v>45</v>
      </c>
      <c r="D64" s="5" t="n">
        <v>4746</v>
      </c>
      <c r="E64" s="5" t="n">
        <v>25</v>
      </c>
      <c r="F64" s="5" t="n">
        <v>4</v>
      </c>
      <c r="G64" s="5" t="n">
        <v>0</v>
      </c>
      <c r="H64" s="5" t="n">
        <v>1</v>
      </c>
      <c r="I64" s="5" t="n">
        <v>0</v>
      </c>
      <c r="J64" s="5" t="n">
        <v>1</v>
      </c>
      <c r="K64" s="5" t="n">
        <v>0</v>
      </c>
      <c r="L64" s="5" t="n">
        <v>0</v>
      </c>
      <c r="M64" s="5" t="n">
        <v>0</v>
      </c>
      <c r="N64" s="5" t="n">
        <v>0</v>
      </c>
      <c r="O64" s="5" t="n">
        <v>0</v>
      </c>
      <c r="P64" s="5" t="n">
        <v>0</v>
      </c>
      <c r="Q64" s="5" t="n">
        <v>0</v>
      </c>
      <c r="R64" s="5" t="n">
        <v>0</v>
      </c>
      <c r="S64" s="5" t="n">
        <v>1</v>
      </c>
      <c r="T64" s="5" t="n">
        <v>0</v>
      </c>
      <c r="U64" s="5" t="inlineStr">
        <is>
          <t>training</t>
        </is>
      </c>
    </row>
    <row r="65">
      <c r="A65" s="5" t="n">
        <v>37</v>
      </c>
      <c r="B65" s="5" t="n">
        <v>0</v>
      </c>
      <c r="C65" s="5" t="n">
        <v>48</v>
      </c>
      <c r="D65" s="5" t="n">
        <v>6110</v>
      </c>
      <c r="E65" s="5" t="n">
        <v>31</v>
      </c>
      <c r="F65" s="5" t="n">
        <v>1</v>
      </c>
      <c r="G65" s="5" t="n">
        <v>0</v>
      </c>
      <c r="H65" s="5" t="n">
        <v>0</v>
      </c>
      <c r="I65" s="5" t="n">
        <v>0</v>
      </c>
      <c r="J65" s="5" t="n">
        <v>1</v>
      </c>
      <c r="K65" s="5" t="n">
        <v>0</v>
      </c>
      <c r="L65" s="5" t="n">
        <v>0</v>
      </c>
      <c r="M65" s="5" t="n">
        <v>0</v>
      </c>
      <c r="N65" s="5" t="n">
        <v>0</v>
      </c>
      <c r="O65" s="5" t="n">
        <v>0</v>
      </c>
      <c r="P65" s="5" t="n">
        <v>0</v>
      </c>
      <c r="Q65" s="5" t="n">
        <v>1</v>
      </c>
      <c r="R65" s="5" t="n">
        <v>0</v>
      </c>
      <c r="S65" s="5" t="n">
        <v>0</v>
      </c>
      <c r="T65" s="5" t="n">
        <v>0</v>
      </c>
      <c r="U65" s="5" t="inlineStr">
        <is>
          <t>testing</t>
        </is>
      </c>
    </row>
    <row r="66">
      <c r="A66" s="5" t="n">
        <v>38</v>
      </c>
      <c r="B66" s="5" t="n">
        <v>1</v>
      </c>
      <c r="C66" s="5" t="n">
        <v>18</v>
      </c>
      <c r="D66" s="5" t="n">
        <v>2100</v>
      </c>
      <c r="E66" s="5" t="n">
        <v>37</v>
      </c>
      <c r="F66" s="5" t="n">
        <v>4</v>
      </c>
      <c r="G66" s="5" t="n">
        <v>0</v>
      </c>
      <c r="H66" s="5" t="n">
        <v>0</v>
      </c>
      <c r="I66" s="5" t="n">
        <v>1</v>
      </c>
      <c r="J66" s="5" t="n">
        <v>0</v>
      </c>
      <c r="K66" s="5" t="n">
        <v>0</v>
      </c>
      <c r="L66" s="5" t="n">
        <v>0</v>
      </c>
      <c r="M66" s="5" t="n">
        <v>0</v>
      </c>
      <c r="N66" s="5" t="n">
        <v>0</v>
      </c>
      <c r="O66" s="5" t="n">
        <v>0</v>
      </c>
      <c r="P66" s="5" t="n">
        <v>0</v>
      </c>
      <c r="Q66" s="5" t="n">
        <v>0</v>
      </c>
      <c r="R66" s="5" t="n">
        <v>0</v>
      </c>
      <c r="S66" s="5" t="n">
        <v>1</v>
      </c>
      <c r="T66" s="5" t="n">
        <v>0</v>
      </c>
      <c r="U66" s="5" t="inlineStr">
        <is>
          <t>training</t>
        </is>
      </c>
    </row>
    <row r="67">
      <c r="A67" s="5" t="n">
        <v>39</v>
      </c>
      <c r="B67" s="5" t="n">
        <v>0</v>
      </c>
      <c r="C67" s="5" t="n">
        <v>10</v>
      </c>
      <c r="D67" s="5" t="n">
        <v>1225</v>
      </c>
      <c r="E67" s="5" t="n">
        <v>37</v>
      </c>
      <c r="F67" s="5" t="n">
        <v>2</v>
      </c>
      <c r="G67" s="5" t="n">
        <v>0</v>
      </c>
      <c r="H67" s="5" t="n">
        <v>0</v>
      </c>
      <c r="I67" s="5" t="n">
        <v>1</v>
      </c>
      <c r="J67" s="5" t="n">
        <v>0</v>
      </c>
      <c r="K67" s="5" t="n">
        <v>0</v>
      </c>
      <c r="L67" s="5" t="n">
        <v>0</v>
      </c>
      <c r="M67" s="5" t="n">
        <v>0</v>
      </c>
      <c r="N67" s="5" t="n">
        <v>0</v>
      </c>
      <c r="O67" s="5" t="n">
        <v>0</v>
      </c>
      <c r="P67" s="5" t="n">
        <v>0</v>
      </c>
      <c r="Q67" s="5" t="n">
        <v>0</v>
      </c>
      <c r="R67" s="5" t="n">
        <v>0</v>
      </c>
      <c r="S67" s="5" t="n">
        <v>0</v>
      </c>
      <c r="T67" s="5" t="n">
        <v>0</v>
      </c>
      <c r="U67" s="5" t="inlineStr">
        <is>
          <t>training</t>
        </is>
      </c>
    </row>
    <row r="68">
      <c r="A68" s="5" t="n">
        <v>40</v>
      </c>
      <c r="B68" s="5" t="n">
        <v>0</v>
      </c>
      <c r="C68" s="5" t="n">
        <v>9</v>
      </c>
      <c r="D68" s="5" t="n">
        <v>458</v>
      </c>
      <c r="E68" s="5" t="n">
        <v>24</v>
      </c>
      <c r="F68" s="5" t="n">
        <v>4</v>
      </c>
      <c r="G68" s="5" t="n">
        <v>0</v>
      </c>
      <c r="H68" s="5" t="n">
        <v>1</v>
      </c>
      <c r="I68" s="5" t="n">
        <v>0</v>
      </c>
      <c r="J68" s="5" t="n">
        <v>0</v>
      </c>
      <c r="K68" s="5" t="n">
        <v>0</v>
      </c>
      <c r="L68" s="5" t="n">
        <v>0</v>
      </c>
      <c r="M68" s="5" t="n">
        <v>0</v>
      </c>
      <c r="N68" s="5" t="n">
        <v>0</v>
      </c>
      <c r="O68" s="5" t="n">
        <v>0</v>
      </c>
      <c r="P68" s="5" t="n">
        <v>0</v>
      </c>
      <c r="Q68" s="5" t="n">
        <v>0</v>
      </c>
      <c r="R68" s="5" t="n">
        <v>0</v>
      </c>
      <c r="S68" s="5" t="n">
        <v>1</v>
      </c>
      <c r="T68" s="5" t="n">
        <v>0</v>
      </c>
      <c r="U68" s="5" t="inlineStr">
        <is>
          <t>training</t>
        </is>
      </c>
    </row>
    <row r="69">
      <c r="A69" s="5" t="n">
        <v>41</v>
      </c>
      <c r="B69" s="5" t="n">
        <v>0</v>
      </c>
      <c r="C69" s="5" t="n">
        <v>30</v>
      </c>
      <c r="D69" s="5" t="n">
        <v>2333</v>
      </c>
      <c r="E69" s="5" t="n">
        <v>30</v>
      </c>
      <c r="F69" s="5" t="n">
        <v>4</v>
      </c>
      <c r="G69" s="5" t="n">
        <v>0</v>
      </c>
      <c r="H69" s="5" t="n">
        <v>0</v>
      </c>
      <c r="I69" s="5" t="n">
        <v>0</v>
      </c>
      <c r="J69" s="5" t="n">
        <v>0</v>
      </c>
      <c r="K69" s="5" t="n">
        <v>0</v>
      </c>
      <c r="L69" s="5" t="n">
        <v>0</v>
      </c>
      <c r="M69" s="5" t="n">
        <v>1</v>
      </c>
      <c r="N69" s="5" t="n">
        <v>0</v>
      </c>
      <c r="O69" s="5" t="n">
        <v>0</v>
      </c>
      <c r="P69" s="5" t="n">
        <v>0</v>
      </c>
      <c r="Q69" s="5" t="n">
        <v>0</v>
      </c>
      <c r="R69" s="5" t="n">
        <v>0</v>
      </c>
      <c r="S69" s="5" t="n">
        <v>1</v>
      </c>
      <c r="T69" s="5" t="n">
        <v>0</v>
      </c>
      <c r="U69" s="5" t="inlineStr">
        <is>
          <t>testing</t>
        </is>
      </c>
    </row>
    <row r="70">
      <c r="A70" s="5" t="n">
        <v>42</v>
      </c>
      <c r="B70" s="5" t="n">
        <v>0</v>
      </c>
      <c r="C70" s="5" t="n">
        <v>12</v>
      </c>
      <c r="D70" s="5" t="n">
        <v>1158</v>
      </c>
      <c r="E70" s="5" t="n">
        <v>26</v>
      </c>
      <c r="F70" s="5" t="n">
        <v>3</v>
      </c>
      <c r="G70" s="5" t="n">
        <v>0</v>
      </c>
      <c r="H70" s="5" t="n">
        <v>1</v>
      </c>
      <c r="I70" s="5" t="n">
        <v>0</v>
      </c>
      <c r="J70" s="5" t="n">
        <v>0</v>
      </c>
      <c r="K70" s="5" t="n">
        <v>0</v>
      </c>
      <c r="L70" s="5" t="n">
        <v>0</v>
      </c>
      <c r="M70" s="5" t="n">
        <v>1</v>
      </c>
      <c r="N70" s="5" t="n">
        <v>0</v>
      </c>
      <c r="O70" s="5" t="n">
        <v>0</v>
      </c>
      <c r="P70" s="5" t="n">
        <v>0</v>
      </c>
      <c r="Q70" s="5" t="n">
        <v>0</v>
      </c>
      <c r="R70" s="5" t="n">
        <v>0</v>
      </c>
      <c r="S70" s="5" t="n">
        <v>1</v>
      </c>
      <c r="T70" s="5" t="n">
        <v>0</v>
      </c>
      <c r="U70" s="5" t="inlineStr">
        <is>
          <t>training</t>
        </is>
      </c>
    </row>
    <row r="71">
      <c r="A71" s="5" t="n">
        <v>43</v>
      </c>
      <c r="B71" s="5" t="n">
        <v>0</v>
      </c>
      <c r="C71" s="5" t="n">
        <v>18</v>
      </c>
      <c r="D71" s="5" t="n">
        <v>6204</v>
      </c>
      <c r="E71" s="5" t="n">
        <v>44</v>
      </c>
      <c r="F71" s="5" t="n">
        <v>2</v>
      </c>
      <c r="G71" s="5" t="n">
        <v>0</v>
      </c>
      <c r="H71" s="5" t="n">
        <v>1</v>
      </c>
      <c r="I71" s="5" t="n">
        <v>0</v>
      </c>
      <c r="J71" s="5" t="n">
        <v>0</v>
      </c>
      <c r="K71" s="5" t="n">
        <v>1</v>
      </c>
      <c r="L71" s="5" t="n">
        <v>0</v>
      </c>
      <c r="M71" s="5" t="n">
        <v>0</v>
      </c>
      <c r="N71" s="5" t="n">
        <v>0</v>
      </c>
      <c r="O71" s="5" t="n">
        <v>0</v>
      </c>
      <c r="P71" s="5" t="n">
        <v>0</v>
      </c>
      <c r="Q71" s="5" t="n">
        <v>0</v>
      </c>
      <c r="R71" s="5" t="n">
        <v>0</v>
      </c>
      <c r="S71" s="5" t="n">
        <v>0</v>
      </c>
      <c r="T71" s="5" t="n">
        <v>0</v>
      </c>
      <c r="U71" s="5" t="inlineStr">
        <is>
          <t>training</t>
        </is>
      </c>
    </row>
    <row r="72">
      <c r="A72" s="5" t="n">
        <v>44</v>
      </c>
      <c r="B72" s="5" t="n">
        <v>0</v>
      </c>
      <c r="C72" s="5" t="n">
        <v>30</v>
      </c>
      <c r="D72" s="5" t="n">
        <v>6187</v>
      </c>
      <c r="E72" s="5" t="n">
        <v>24</v>
      </c>
      <c r="F72" s="5" t="n">
        <v>1</v>
      </c>
      <c r="G72" s="5" t="n">
        <v>1</v>
      </c>
      <c r="H72" s="5" t="n">
        <v>0</v>
      </c>
      <c r="I72" s="5" t="n">
        <v>0</v>
      </c>
      <c r="J72" s="5" t="n">
        <v>1</v>
      </c>
      <c r="K72" s="5" t="n">
        <v>0</v>
      </c>
      <c r="L72" s="5" t="n">
        <v>0</v>
      </c>
      <c r="M72" s="5" t="n">
        <v>1</v>
      </c>
      <c r="N72" s="5" t="n">
        <v>0</v>
      </c>
      <c r="O72" s="5" t="n">
        <v>0</v>
      </c>
      <c r="P72" s="5" t="n">
        <v>1</v>
      </c>
      <c r="Q72" s="5" t="n">
        <v>0</v>
      </c>
      <c r="R72" s="5" t="n">
        <v>1</v>
      </c>
      <c r="S72" s="5" t="n">
        <v>0</v>
      </c>
      <c r="T72" s="5" t="n">
        <v>0</v>
      </c>
      <c r="U72" s="5" t="inlineStr">
        <is>
          <t>testing</t>
        </is>
      </c>
    </row>
    <row r="73">
      <c r="A73" s="5" t="n">
        <v>45</v>
      </c>
      <c r="B73" s="5" t="n">
        <v>1</v>
      </c>
      <c r="C73" s="5" t="n">
        <v>48</v>
      </c>
      <c r="D73" s="5" t="n">
        <v>6143</v>
      </c>
      <c r="E73" s="5" t="n">
        <v>58</v>
      </c>
      <c r="F73" s="5" t="n">
        <v>4</v>
      </c>
      <c r="G73" s="5" t="n">
        <v>1</v>
      </c>
      <c r="H73" s="5" t="n">
        <v>0</v>
      </c>
      <c r="I73" s="5" t="n">
        <v>0</v>
      </c>
      <c r="J73" s="5" t="n">
        <v>1</v>
      </c>
      <c r="K73" s="5" t="n">
        <v>0</v>
      </c>
      <c r="L73" s="5" t="n">
        <v>0</v>
      </c>
      <c r="M73" s="5" t="n">
        <v>0</v>
      </c>
      <c r="N73" s="5" t="n">
        <v>0</v>
      </c>
      <c r="O73" s="5" t="n">
        <v>0</v>
      </c>
      <c r="P73" s="5" t="n">
        <v>0</v>
      </c>
      <c r="Q73" s="5" t="n">
        <v>1</v>
      </c>
      <c r="R73" s="5" t="n">
        <v>1</v>
      </c>
      <c r="S73" s="5" t="n">
        <v>0</v>
      </c>
      <c r="T73" s="5" t="n">
        <v>0</v>
      </c>
      <c r="U73" s="5" t="inlineStr">
        <is>
          <t>testing</t>
        </is>
      </c>
    </row>
    <row r="74">
      <c r="A74" s="5" t="n">
        <v>46</v>
      </c>
      <c r="B74" s="5" t="n">
        <v>0</v>
      </c>
      <c r="C74" s="5" t="n">
        <v>11</v>
      </c>
      <c r="D74" s="5" t="n">
        <v>1393</v>
      </c>
      <c r="E74" s="5" t="n">
        <v>35</v>
      </c>
      <c r="F74" s="5" t="n">
        <v>4</v>
      </c>
      <c r="G74" s="5" t="n">
        <v>0</v>
      </c>
      <c r="H74" s="5" t="n">
        <v>0</v>
      </c>
      <c r="I74" s="5" t="n">
        <v>0</v>
      </c>
      <c r="J74" s="5" t="n">
        <v>1</v>
      </c>
      <c r="K74" s="5" t="n">
        <v>0</v>
      </c>
      <c r="L74" s="5" t="n">
        <v>0</v>
      </c>
      <c r="M74" s="5" t="n">
        <v>0</v>
      </c>
      <c r="N74" s="5" t="n">
        <v>0</v>
      </c>
      <c r="O74" s="5" t="n">
        <v>0</v>
      </c>
      <c r="P74" s="5" t="n">
        <v>0</v>
      </c>
      <c r="Q74" s="5" t="n">
        <v>0</v>
      </c>
      <c r="R74" s="5" t="n">
        <v>1</v>
      </c>
      <c r="S74" s="5" t="n">
        <v>0</v>
      </c>
      <c r="T74" s="5" t="n">
        <v>0</v>
      </c>
      <c r="U74" s="5" t="inlineStr">
        <is>
          <t>testing</t>
        </is>
      </c>
    </row>
    <row r="75">
      <c r="A75" s="5" t="n">
        <v>47</v>
      </c>
      <c r="B75" s="5" t="n">
        <v>0</v>
      </c>
      <c r="C75" s="5" t="n">
        <v>36</v>
      </c>
      <c r="D75" s="5" t="n">
        <v>2299</v>
      </c>
      <c r="E75" s="5" t="n">
        <v>39</v>
      </c>
      <c r="F75" s="5" t="n">
        <v>4</v>
      </c>
      <c r="G75" s="5" t="n">
        <v>0</v>
      </c>
      <c r="H75" s="5" t="n">
        <v>0</v>
      </c>
      <c r="I75" s="5" t="n">
        <v>0</v>
      </c>
      <c r="J75" s="5" t="n">
        <v>0</v>
      </c>
      <c r="K75" s="5" t="n">
        <v>0</v>
      </c>
      <c r="L75" s="5" t="n">
        <v>0</v>
      </c>
      <c r="M75" s="5" t="n">
        <v>1</v>
      </c>
      <c r="N75" s="5" t="n">
        <v>0</v>
      </c>
      <c r="O75" s="5" t="n">
        <v>0</v>
      </c>
      <c r="P75" s="5" t="n">
        <v>0</v>
      </c>
      <c r="Q75" s="5" t="n">
        <v>0</v>
      </c>
      <c r="R75" s="5" t="n">
        <v>0</v>
      </c>
      <c r="S75" s="5" t="n">
        <v>1</v>
      </c>
      <c r="T75" s="5" t="n">
        <v>0</v>
      </c>
      <c r="U75" s="5" t="inlineStr">
        <is>
          <t>testing</t>
        </is>
      </c>
    </row>
    <row r="76">
      <c r="A76" s="5" t="n">
        <v>48</v>
      </c>
      <c r="B76" s="5" t="n">
        <v>0</v>
      </c>
      <c r="C76" s="5" t="n">
        <v>6</v>
      </c>
      <c r="D76" s="5" t="n">
        <v>1352</v>
      </c>
      <c r="E76" s="5" t="n">
        <v>23</v>
      </c>
      <c r="F76" s="5" t="n">
        <v>1</v>
      </c>
      <c r="G76" s="5" t="n">
        <v>1</v>
      </c>
      <c r="H76" s="5" t="n">
        <v>0</v>
      </c>
      <c r="I76" s="5" t="n">
        <v>0</v>
      </c>
      <c r="J76" s="5" t="n">
        <v>0</v>
      </c>
      <c r="K76" s="5" t="n">
        <v>0</v>
      </c>
      <c r="L76" s="5" t="n">
        <v>0</v>
      </c>
      <c r="M76" s="5" t="n">
        <v>1</v>
      </c>
      <c r="N76" s="5" t="n">
        <v>0</v>
      </c>
      <c r="O76" s="5" t="n">
        <v>0</v>
      </c>
      <c r="P76" s="5" t="n">
        <v>1</v>
      </c>
      <c r="Q76" s="5" t="n">
        <v>0</v>
      </c>
      <c r="R76" s="5" t="n">
        <v>1</v>
      </c>
      <c r="S76" s="5" t="n">
        <v>0</v>
      </c>
      <c r="T76" s="5" t="n">
        <v>0</v>
      </c>
      <c r="U76" s="5" t="inlineStr">
        <is>
          <t>training</t>
        </is>
      </c>
    </row>
    <row r="77">
      <c r="A77" s="5" t="n">
        <v>49</v>
      </c>
      <c r="B77" s="5" t="n">
        <v>0</v>
      </c>
      <c r="C77" s="5" t="n">
        <v>11</v>
      </c>
      <c r="D77" s="5" t="n">
        <v>7228</v>
      </c>
      <c r="E77" s="5" t="n">
        <v>39</v>
      </c>
      <c r="F77" s="5" t="n">
        <v>1</v>
      </c>
      <c r="G77" s="5" t="n">
        <v>0</v>
      </c>
      <c r="H77" s="5" t="n">
        <v>0</v>
      </c>
      <c r="I77" s="5" t="n">
        <v>0</v>
      </c>
      <c r="J77" s="5" t="n">
        <v>1</v>
      </c>
      <c r="K77" s="5" t="n">
        <v>0</v>
      </c>
      <c r="L77" s="5" t="n">
        <v>0</v>
      </c>
      <c r="M77" s="5" t="n">
        <v>0</v>
      </c>
      <c r="N77" s="5" t="n">
        <v>0</v>
      </c>
      <c r="O77" s="5" t="n">
        <v>0</v>
      </c>
      <c r="P77" s="5" t="n">
        <v>0</v>
      </c>
      <c r="Q77" s="5" t="n">
        <v>0</v>
      </c>
      <c r="R77" s="5" t="n">
        <v>1</v>
      </c>
      <c r="S77" s="5" t="n">
        <v>0</v>
      </c>
      <c r="T77" s="5" t="n">
        <v>0</v>
      </c>
      <c r="U77" s="5" t="inlineStr">
        <is>
          <t>training</t>
        </is>
      </c>
    </row>
    <row r="78">
      <c r="A78" s="5" t="n">
        <v>50</v>
      </c>
      <c r="B78" s="5" t="n">
        <v>0</v>
      </c>
      <c r="C78" s="5" t="n">
        <v>12</v>
      </c>
      <c r="D78" s="5" t="n">
        <v>2073</v>
      </c>
      <c r="E78" s="5" t="n">
        <v>28</v>
      </c>
      <c r="F78" s="5" t="n">
        <v>4</v>
      </c>
      <c r="G78" s="5" t="n">
        <v>0</v>
      </c>
      <c r="H78" s="5" t="n">
        <v>0</v>
      </c>
      <c r="I78" s="5" t="n">
        <v>0</v>
      </c>
      <c r="J78" s="5" t="n">
        <v>0</v>
      </c>
      <c r="K78" s="5" t="n">
        <v>0</v>
      </c>
      <c r="L78" s="5" t="n">
        <v>0</v>
      </c>
      <c r="M78" s="5" t="n">
        <v>1</v>
      </c>
      <c r="N78" s="5" t="n">
        <v>0</v>
      </c>
      <c r="O78" s="5" t="n">
        <v>0</v>
      </c>
      <c r="P78" s="5" t="n">
        <v>0</v>
      </c>
      <c r="Q78" s="5" t="n">
        <v>0</v>
      </c>
      <c r="R78" s="5" t="n">
        <v>0</v>
      </c>
      <c r="S78" s="5" t="n">
        <v>1</v>
      </c>
      <c r="T78" s="5" t="n">
        <v>0</v>
      </c>
      <c r="U78" s="5" t="inlineStr">
        <is>
          <t>training</t>
        </is>
      </c>
    </row>
    <row r="79">
      <c r="A79" s="5" t="n">
        <v>51</v>
      </c>
      <c r="B79" s="5" t="n">
        <v>0</v>
      </c>
      <c r="C79" s="5" t="n">
        <v>24</v>
      </c>
      <c r="D79" s="5" t="n">
        <v>2333</v>
      </c>
      <c r="E79" s="5" t="n">
        <v>29</v>
      </c>
      <c r="F79" s="5" t="n">
        <v>4</v>
      </c>
      <c r="G79" s="5" t="n">
        <v>0</v>
      </c>
      <c r="H79" s="5" t="n">
        <v>1</v>
      </c>
      <c r="I79" s="5" t="n">
        <v>0</v>
      </c>
      <c r="J79" s="5" t="n">
        <v>0</v>
      </c>
      <c r="K79" s="5" t="n">
        <v>1</v>
      </c>
      <c r="L79" s="5" t="n">
        <v>0</v>
      </c>
      <c r="M79" s="5" t="n">
        <v>0</v>
      </c>
      <c r="N79" s="5" t="n">
        <v>0</v>
      </c>
      <c r="O79" s="5" t="n">
        <v>1</v>
      </c>
      <c r="P79" s="5" t="n">
        <v>0</v>
      </c>
      <c r="Q79" s="5" t="n">
        <v>0</v>
      </c>
      <c r="R79" s="5" t="n">
        <v>0</v>
      </c>
      <c r="S79" s="5" t="n">
        <v>0</v>
      </c>
      <c r="T79" s="5" t="n">
        <v>1</v>
      </c>
      <c r="U79" s="5" t="inlineStr">
        <is>
          <t>testing</t>
        </is>
      </c>
    </row>
    <row r="80">
      <c r="A80" s="5" t="n">
        <v>52</v>
      </c>
      <c r="B80" s="5" t="n">
        <v>0</v>
      </c>
      <c r="C80" s="5" t="n">
        <v>27</v>
      </c>
      <c r="D80" s="5" t="n">
        <v>5965</v>
      </c>
      <c r="E80" s="5" t="n">
        <v>30</v>
      </c>
      <c r="F80" s="5" t="n">
        <v>1</v>
      </c>
      <c r="G80" s="5" t="n">
        <v>0</v>
      </c>
      <c r="H80" s="5" t="n">
        <v>1</v>
      </c>
      <c r="I80" s="5" t="n">
        <v>0</v>
      </c>
      <c r="J80" s="5" t="n">
        <v>0</v>
      </c>
      <c r="K80" s="5" t="n">
        <v>1</v>
      </c>
      <c r="L80" s="5" t="n">
        <v>0</v>
      </c>
      <c r="M80" s="5" t="n">
        <v>0</v>
      </c>
      <c r="N80" s="5" t="n">
        <v>0</v>
      </c>
      <c r="O80" s="5" t="n">
        <v>0</v>
      </c>
      <c r="P80" s="5" t="n">
        <v>0</v>
      </c>
      <c r="Q80" s="5" t="n">
        <v>0</v>
      </c>
      <c r="R80" s="5" t="n">
        <v>1</v>
      </c>
      <c r="S80" s="5" t="n">
        <v>0</v>
      </c>
      <c r="T80" s="5" t="n">
        <v>0</v>
      </c>
      <c r="U80" s="5" t="inlineStr">
        <is>
          <t>training</t>
        </is>
      </c>
    </row>
    <row r="81">
      <c r="A81" s="5" t="n">
        <v>53</v>
      </c>
      <c r="B81" s="5" t="n">
        <v>0</v>
      </c>
      <c r="C81" s="5" t="n">
        <v>12</v>
      </c>
      <c r="D81" s="5" t="n">
        <v>1262</v>
      </c>
      <c r="E81" s="5" t="n">
        <v>25</v>
      </c>
      <c r="F81" s="5" t="n">
        <v>3</v>
      </c>
      <c r="G81" s="5" t="n">
        <v>0</v>
      </c>
      <c r="H81" s="5" t="n">
        <v>0</v>
      </c>
      <c r="I81" s="5" t="n">
        <v>0</v>
      </c>
      <c r="J81" s="5" t="n">
        <v>0</v>
      </c>
      <c r="K81" s="5" t="n">
        <v>0</v>
      </c>
      <c r="L81" s="5" t="n">
        <v>0</v>
      </c>
      <c r="M81" s="5" t="n">
        <v>0</v>
      </c>
      <c r="N81" s="5" t="n">
        <v>0</v>
      </c>
      <c r="O81" s="5" t="n">
        <v>0</v>
      </c>
      <c r="P81" s="5" t="n">
        <v>0</v>
      </c>
      <c r="Q81" s="5" t="n">
        <v>0</v>
      </c>
      <c r="R81" s="5" t="n">
        <v>0</v>
      </c>
      <c r="S81" s="5" t="n">
        <v>1</v>
      </c>
      <c r="T81" s="5" t="n">
        <v>0</v>
      </c>
      <c r="U81" s="5" t="inlineStr">
        <is>
          <t>testing</t>
        </is>
      </c>
    </row>
    <row r="82">
      <c r="A82" s="5" t="n">
        <v>54</v>
      </c>
      <c r="B82" s="5" t="n">
        <v>0</v>
      </c>
      <c r="C82" s="5" t="n">
        <v>18</v>
      </c>
      <c r="D82" s="5" t="n">
        <v>3378</v>
      </c>
      <c r="E82" s="5" t="n">
        <v>31</v>
      </c>
      <c r="F82" s="5" t="n">
        <v>2</v>
      </c>
      <c r="G82" s="5" t="n">
        <v>0</v>
      </c>
      <c r="H82" s="5" t="n">
        <v>0</v>
      </c>
      <c r="I82" s="5" t="n">
        <v>0</v>
      </c>
      <c r="J82" s="5" t="n">
        <v>0</v>
      </c>
      <c r="K82" s="5" t="n">
        <v>0</v>
      </c>
      <c r="L82" s="5" t="n">
        <v>0</v>
      </c>
      <c r="M82" s="5" t="n">
        <v>0</v>
      </c>
      <c r="N82" s="5" t="n">
        <v>0</v>
      </c>
      <c r="O82" s="5" t="n">
        <v>1</v>
      </c>
      <c r="P82" s="5" t="n">
        <v>0</v>
      </c>
      <c r="Q82" s="5" t="n">
        <v>0</v>
      </c>
      <c r="R82" s="5" t="n">
        <v>1</v>
      </c>
      <c r="S82" s="5" t="n">
        <v>0</v>
      </c>
      <c r="T82" s="5" t="n">
        <v>0</v>
      </c>
      <c r="U82" s="5" t="inlineStr">
        <is>
          <t>testing</t>
        </is>
      </c>
    </row>
    <row r="83">
      <c r="A83" s="5" t="n">
        <v>55</v>
      </c>
      <c r="B83" s="5" t="n">
        <v>1</v>
      </c>
      <c r="C83" s="5" t="n">
        <v>36</v>
      </c>
      <c r="D83" s="5" t="n">
        <v>2225</v>
      </c>
      <c r="E83" s="5" t="n">
        <v>57</v>
      </c>
      <c r="F83" s="5" t="n">
        <v>4</v>
      </c>
      <c r="G83" s="5" t="n">
        <v>0</v>
      </c>
      <c r="H83" s="5" t="n">
        <v>1</v>
      </c>
      <c r="I83" s="5" t="n">
        <v>0</v>
      </c>
      <c r="J83" s="5" t="n">
        <v>0</v>
      </c>
      <c r="K83" s="5" t="n">
        <v>1</v>
      </c>
      <c r="L83" s="5" t="n">
        <v>0</v>
      </c>
      <c r="M83" s="5" t="n">
        <v>0</v>
      </c>
      <c r="N83" s="5" t="n">
        <v>0</v>
      </c>
      <c r="O83" s="5" t="n">
        <v>0</v>
      </c>
      <c r="P83" s="5" t="n">
        <v>0</v>
      </c>
      <c r="Q83" s="5" t="n">
        <v>1</v>
      </c>
      <c r="R83" s="5" t="n">
        <v>1</v>
      </c>
      <c r="S83" s="5" t="n">
        <v>0</v>
      </c>
      <c r="T83" s="5" t="n">
        <v>0</v>
      </c>
      <c r="U83" s="5" t="inlineStr">
        <is>
          <t>training</t>
        </is>
      </c>
    </row>
    <row r="84">
      <c r="A84" s="5" t="n">
        <v>56</v>
      </c>
      <c r="B84" s="5" t="n">
        <v>0</v>
      </c>
      <c r="C84" s="5" t="n">
        <v>6</v>
      </c>
      <c r="D84" s="5" t="n">
        <v>783</v>
      </c>
      <c r="E84" s="5" t="n">
        <v>26</v>
      </c>
      <c r="F84" s="5" t="n">
        <v>1</v>
      </c>
      <c r="G84" s="5" t="n">
        <v>0</v>
      </c>
      <c r="H84" s="5" t="n">
        <v>0</v>
      </c>
      <c r="I84" s="5" t="n">
        <v>0</v>
      </c>
      <c r="J84" s="5" t="n">
        <v>0</v>
      </c>
      <c r="K84" s="5" t="n">
        <v>0</v>
      </c>
      <c r="L84" s="5" t="n">
        <v>1</v>
      </c>
      <c r="M84" s="5" t="n">
        <v>0</v>
      </c>
      <c r="N84" s="5" t="n">
        <v>0</v>
      </c>
      <c r="O84" s="5" t="n">
        <v>1</v>
      </c>
      <c r="P84" s="5" t="n">
        <v>0</v>
      </c>
      <c r="Q84" s="5" t="n">
        <v>0</v>
      </c>
      <c r="R84" s="5" t="n">
        <v>1</v>
      </c>
      <c r="S84" s="5" t="n">
        <v>0</v>
      </c>
      <c r="T84" s="5" t="n">
        <v>0</v>
      </c>
      <c r="U84" s="5" t="inlineStr">
        <is>
          <t>testing</t>
        </is>
      </c>
    </row>
    <row r="85">
      <c r="A85" s="5" t="n">
        <v>57</v>
      </c>
      <c r="B85" s="5" t="n">
        <v>1</v>
      </c>
      <c r="C85" s="5" t="n">
        <v>12</v>
      </c>
      <c r="D85" s="5" t="n">
        <v>6468</v>
      </c>
      <c r="E85" s="5" t="n">
        <v>52</v>
      </c>
      <c r="F85" s="5" t="n">
        <v>2</v>
      </c>
      <c r="G85" s="5" t="n">
        <v>0</v>
      </c>
      <c r="H85" s="5" t="n">
        <v>1</v>
      </c>
      <c r="I85" s="5" t="n">
        <v>0</v>
      </c>
      <c r="J85" s="5" t="n">
        <v>0</v>
      </c>
      <c r="K85" s="5" t="n">
        <v>0</v>
      </c>
      <c r="L85" s="5" t="n">
        <v>0</v>
      </c>
      <c r="M85" s="5" t="n">
        <v>0</v>
      </c>
      <c r="N85" s="5" t="n">
        <v>0</v>
      </c>
      <c r="O85" s="5" t="n">
        <v>1</v>
      </c>
      <c r="P85" s="5" t="n">
        <v>0</v>
      </c>
      <c r="Q85" s="5" t="n">
        <v>0</v>
      </c>
      <c r="R85" s="5" t="n">
        <v>0</v>
      </c>
      <c r="S85" s="5" t="n">
        <v>1</v>
      </c>
      <c r="T85" s="5" t="n">
        <v>0</v>
      </c>
      <c r="U85" s="5" t="inlineStr">
        <is>
          <t>training</t>
        </is>
      </c>
    </row>
    <row r="86">
      <c r="A86" s="5" t="n">
        <v>58</v>
      </c>
      <c r="B86" s="5" t="n">
        <v>0</v>
      </c>
      <c r="C86" s="5" t="n">
        <v>36</v>
      </c>
      <c r="D86" s="5" t="n">
        <v>9566</v>
      </c>
      <c r="E86" s="5" t="n">
        <v>31</v>
      </c>
      <c r="F86" s="5" t="n">
        <v>2</v>
      </c>
      <c r="G86" s="5" t="n">
        <v>0</v>
      </c>
      <c r="H86" s="5" t="n">
        <v>0</v>
      </c>
      <c r="I86" s="5" t="n">
        <v>0</v>
      </c>
      <c r="J86" s="5" t="n">
        <v>1</v>
      </c>
      <c r="K86" s="5" t="n">
        <v>0</v>
      </c>
      <c r="L86" s="5" t="n">
        <v>0</v>
      </c>
      <c r="M86" s="5" t="n">
        <v>0</v>
      </c>
      <c r="N86" s="5" t="n">
        <v>0</v>
      </c>
      <c r="O86" s="5" t="n">
        <v>0</v>
      </c>
      <c r="P86" s="5" t="n">
        <v>0</v>
      </c>
      <c r="Q86" s="5" t="n">
        <v>0</v>
      </c>
      <c r="R86" s="5" t="n">
        <v>0</v>
      </c>
      <c r="S86" s="5" t="n">
        <v>1</v>
      </c>
      <c r="T86" s="5" t="n">
        <v>0</v>
      </c>
      <c r="U86" s="5" t="inlineStr">
        <is>
          <t>testing</t>
        </is>
      </c>
    </row>
    <row r="87">
      <c r="A87" s="5" t="n">
        <v>59</v>
      </c>
      <c r="B87" s="5" t="n">
        <v>0</v>
      </c>
      <c r="C87" s="5" t="n">
        <v>18</v>
      </c>
      <c r="D87" s="5" t="n">
        <v>1961</v>
      </c>
      <c r="E87" s="5" t="n">
        <v>23</v>
      </c>
      <c r="F87" s="5" t="n">
        <v>3</v>
      </c>
      <c r="G87" s="5" t="n">
        <v>0</v>
      </c>
      <c r="H87" s="5" t="n">
        <v>0</v>
      </c>
      <c r="I87" s="5" t="n">
        <v>1</v>
      </c>
      <c r="J87" s="5" t="n">
        <v>0</v>
      </c>
      <c r="K87" s="5" t="n">
        <v>0</v>
      </c>
      <c r="L87" s="5" t="n">
        <v>0</v>
      </c>
      <c r="M87" s="5" t="n">
        <v>0</v>
      </c>
      <c r="N87" s="5" t="n">
        <v>0</v>
      </c>
      <c r="O87" s="5" t="n">
        <v>0</v>
      </c>
      <c r="P87" s="5" t="n">
        <v>0</v>
      </c>
      <c r="Q87" s="5" t="n">
        <v>0</v>
      </c>
      <c r="R87" s="5" t="n">
        <v>1</v>
      </c>
      <c r="S87" s="5" t="n">
        <v>0</v>
      </c>
      <c r="T87" s="5" t="n">
        <v>0</v>
      </c>
      <c r="U87" s="5" t="inlineStr">
        <is>
          <t>training</t>
        </is>
      </c>
    </row>
    <row r="88">
      <c r="A88" s="5" t="n">
        <v>60</v>
      </c>
      <c r="B88" s="5" t="n">
        <v>1</v>
      </c>
      <c r="C88" s="5" t="n">
        <v>36</v>
      </c>
      <c r="D88" s="5" t="n">
        <v>6229</v>
      </c>
      <c r="E88" s="5" t="n">
        <v>23</v>
      </c>
      <c r="F88" s="5" t="n">
        <v>4</v>
      </c>
      <c r="G88" s="5" t="n">
        <v>1</v>
      </c>
      <c r="H88" s="5" t="n">
        <v>0</v>
      </c>
      <c r="I88" s="5" t="n">
        <v>0</v>
      </c>
      <c r="J88" s="5" t="n">
        <v>1</v>
      </c>
      <c r="K88" s="5" t="n">
        <v>0</v>
      </c>
      <c r="L88" s="5" t="n">
        <v>0</v>
      </c>
      <c r="M88" s="5" t="n">
        <v>0</v>
      </c>
      <c r="N88" s="5" t="n">
        <v>0</v>
      </c>
      <c r="O88" s="5" t="n">
        <v>0</v>
      </c>
      <c r="P88" s="5" t="n">
        <v>1</v>
      </c>
      <c r="Q88" s="5" t="n">
        <v>0</v>
      </c>
      <c r="R88" s="5" t="n">
        <v>0</v>
      </c>
      <c r="S88" s="5" t="n">
        <v>0</v>
      </c>
      <c r="T88" s="5" t="n">
        <v>1</v>
      </c>
      <c r="U88" s="5" t="inlineStr">
        <is>
          <t>training</t>
        </is>
      </c>
    </row>
    <row r="89">
      <c r="A89" s="5" t="n">
        <v>61</v>
      </c>
      <c r="B89" s="5" t="n">
        <v>0</v>
      </c>
      <c r="C89" s="5" t="n">
        <v>9</v>
      </c>
      <c r="D89" s="5" t="n">
        <v>1391</v>
      </c>
      <c r="E89" s="5" t="n">
        <v>27</v>
      </c>
      <c r="F89" s="5" t="n">
        <v>2</v>
      </c>
      <c r="G89" s="5" t="n">
        <v>0</v>
      </c>
      <c r="H89" s="5" t="n">
        <v>1</v>
      </c>
      <c r="I89" s="5" t="n">
        <v>0</v>
      </c>
      <c r="J89" s="5" t="n">
        <v>0</v>
      </c>
      <c r="K89" s="5" t="n">
        <v>0</v>
      </c>
      <c r="L89" s="5" t="n">
        <v>0</v>
      </c>
      <c r="M89" s="5" t="n">
        <v>0</v>
      </c>
      <c r="N89" s="5" t="n">
        <v>0</v>
      </c>
      <c r="O89" s="5" t="n">
        <v>0</v>
      </c>
      <c r="P89" s="5" t="n">
        <v>0</v>
      </c>
      <c r="Q89" s="5" t="n">
        <v>0</v>
      </c>
      <c r="R89" s="5" t="n">
        <v>0</v>
      </c>
      <c r="S89" s="5" t="n">
        <v>0</v>
      </c>
      <c r="T89" s="5" t="n">
        <v>0</v>
      </c>
      <c r="U89" s="5" t="inlineStr">
        <is>
          <t>testing</t>
        </is>
      </c>
    </row>
    <row r="90">
      <c r="A90" s="5" t="n">
        <v>62</v>
      </c>
      <c r="B90" s="5" t="n">
        <v>0</v>
      </c>
      <c r="C90" s="5" t="n">
        <v>15</v>
      </c>
      <c r="D90" s="5" t="n">
        <v>1537</v>
      </c>
      <c r="E90" s="5" t="n">
        <v>50</v>
      </c>
      <c r="F90" s="5" t="n">
        <v>4</v>
      </c>
      <c r="G90" s="5" t="n">
        <v>0</v>
      </c>
      <c r="H90" s="5" t="n">
        <v>1</v>
      </c>
      <c r="I90" s="5" t="n">
        <v>0</v>
      </c>
      <c r="J90" s="5" t="n">
        <v>1</v>
      </c>
      <c r="K90" s="5" t="n">
        <v>0</v>
      </c>
      <c r="L90" s="5" t="n">
        <v>0</v>
      </c>
      <c r="M90" s="5" t="n">
        <v>0</v>
      </c>
      <c r="N90" s="5" t="n">
        <v>0</v>
      </c>
      <c r="O90" s="5" t="n">
        <v>1</v>
      </c>
      <c r="P90" s="5" t="n">
        <v>0</v>
      </c>
      <c r="Q90" s="5" t="n">
        <v>0</v>
      </c>
      <c r="R90" s="5" t="n">
        <v>0</v>
      </c>
      <c r="S90" s="5" t="n">
        <v>1</v>
      </c>
      <c r="T90" s="5" t="n">
        <v>0</v>
      </c>
      <c r="U90" s="5" t="inlineStr">
        <is>
          <t>training</t>
        </is>
      </c>
    </row>
    <row r="91">
      <c r="A91" s="5" t="n">
        <v>63</v>
      </c>
      <c r="B91" s="5" t="n">
        <v>1</v>
      </c>
      <c r="C91" s="5" t="n">
        <v>36</v>
      </c>
      <c r="D91" s="5" t="n">
        <v>1953</v>
      </c>
      <c r="E91" s="5" t="n">
        <v>61</v>
      </c>
      <c r="F91" s="5" t="n">
        <v>4</v>
      </c>
      <c r="G91" s="5" t="n">
        <v>0</v>
      </c>
      <c r="H91" s="5" t="n">
        <v>1</v>
      </c>
      <c r="I91" s="5" t="n">
        <v>0</v>
      </c>
      <c r="J91" s="5" t="n">
        <v>0</v>
      </c>
      <c r="K91" s="5" t="n">
        <v>0</v>
      </c>
      <c r="L91" s="5" t="n">
        <v>1</v>
      </c>
      <c r="M91" s="5" t="n">
        <v>0</v>
      </c>
      <c r="N91" s="5" t="n">
        <v>0</v>
      </c>
      <c r="O91" s="5" t="n">
        <v>0</v>
      </c>
      <c r="P91" s="5" t="n">
        <v>0</v>
      </c>
      <c r="Q91" s="5" t="n">
        <v>1</v>
      </c>
      <c r="R91" s="5" t="n">
        <v>0</v>
      </c>
      <c r="S91" s="5" t="n">
        <v>0</v>
      </c>
      <c r="T91" s="5" t="n">
        <v>0</v>
      </c>
      <c r="U91" s="5" t="inlineStr">
        <is>
          <t>training</t>
        </is>
      </c>
    </row>
    <row r="92">
      <c r="A92" s="5" t="n">
        <v>64</v>
      </c>
      <c r="B92" s="5" t="n">
        <v>1</v>
      </c>
      <c r="C92" s="5" t="n">
        <v>48</v>
      </c>
      <c r="D92" s="5" t="n">
        <v>14421</v>
      </c>
      <c r="E92" s="5" t="n">
        <v>25</v>
      </c>
      <c r="F92" s="5" t="n">
        <v>2</v>
      </c>
      <c r="G92" s="5" t="n">
        <v>0</v>
      </c>
      <c r="H92" s="5" t="n">
        <v>1</v>
      </c>
      <c r="I92" s="5" t="n">
        <v>0</v>
      </c>
      <c r="J92" s="5" t="n">
        <v>0</v>
      </c>
      <c r="K92" s="5" t="n">
        <v>0</v>
      </c>
      <c r="L92" s="5" t="n">
        <v>1</v>
      </c>
      <c r="M92" s="5" t="n">
        <v>0</v>
      </c>
      <c r="N92" s="5" t="n">
        <v>0</v>
      </c>
      <c r="O92" s="5" t="n">
        <v>0</v>
      </c>
      <c r="P92" s="5" t="n">
        <v>0</v>
      </c>
      <c r="Q92" s="5" t="n">
        <v>0</v>
      </c>
      <c r="R92" s="5" t="n">
        <v>0</v>
      </c>
      <c r="S92" s="5" t="n">
        <v>0</v>
      </c>
      <c r="T92" s="5" t="n">
        <v>0</v>
      </c>
      <c r="U92" s="5" t="inlineStr">
        <is>
          <t>training</t>
        </is>
      </c>
    </row>
    <row r="93">
      <c r="A93" s="5" t="n">
        <v>65</v>
      </c>
      <c r="B93" s="5" t="n">
        <v>0</v>
      </c>
      <c r="C93" s="5" t="n">
        <v>24</v>
      </c>
      <c r="D93" s="5" t="n">
        <v>3181</v>
      </c>
      <c r="E93" s="5" t="n">
        <v>26</v>
      </c>
      <c r="F93" s="5" t="n">
        <v>4</v>
      </c>
      <c r="G93" s="5" t="n">
        <v>0</v>
      </c>
      <c r="H93" s="5" t="n">
        <v>0</v>
      </c>
      <c r="I93" s="5" t="n">
        <v>0</v>
      </c>
      <c r="J93" s="5" t="n">
        <v>0</v>
      </c>
      <c r="K93" s="5" t="n">
        <v>0</v>
      </c>
      <c r="L93" s="5" t="n">
        <v>0</v>
      </c>
      <c r="M93" s="5" t="n">
        <v>0</v>
      </c>
      <c r="N93" s="5" t="n">
        <v>0</v>
      </c>
      <c r="O93" s="5" t="n">
        <v>0</v>
      </c>
      <c r="P93" s="5" t="n">
        <v>0</v>
      </c>
      <c r="Q93" s="5" t="n">
        <v>0</v>
      </c>
      <c r="R93" s="5" t="n">
        <v>0</v>
      </c>
      <c r="S93" s="5" t="n">
        <v>1</v>
      </c>
      <c r="T93" s="5" t="n">
        <v>0</v>
      </c>
      <c r="U93" s="5" t="inlineStr">
        <is>
          <t>training</t>
        </is>
      </c>
    </row>
    <row r="94">
      <c r="A94" s="5" t="n">
        <v>66</v>
      </c>
      <c r="B94" s="5" t="n">
        <v>0</v>
      </c>
      <c r="C94" s="5" t="n">
        <v>27</v>
      </c>
      <c r="D94" s="5" t="n">
        <v>5190</v>
      </c>
      <c r="E94" s="5" t="n">
        <v>48</v>
      </c>
      <c r="F94" s="5" t="n">
        <v>4</v>
      </c>
      <c r="G94" s="5" t="n">
        <v>0</v>
      </c>
      <c r="H94" s="5" t="n">
        <v>0</v>
      </c>
      <c r="I94" s="5" t="n">
        <v>0</v>
      </c>
      <c r="J94" s="5" t="n">
        <v>0</v>
      </c>
      <c r="K94" s="5" t="n">
        <v>0</v>
      </c>
      <c r="L94" s="5" t="n">
        <v>0</v>
      </c>
      <c r="M94" s="5" t="n">
        <v>0</v>
      </c>
      <c r="N94" s="5" t="n">
        <v>0</v>
      </c>
      <c r="O94" s="5" t="n">
        <v>1</v>
      </c>
      <c r="P94" s="5" t="n">
        <v>0</v>
      </c>
      <c r="Q94" s="5" t="n">
        <v>0</v>
      </c>
      <c r="R94" s="5" t="n">
        <v>0</v>
      </c>
      <c r="S94" s="5" t="n">
        <v>0</v>
      </c>
      <c r="T94" s="5" t="n">
        <v>0</v>
      </c>
      <c r="U94" s="5" t="inlineStr">
        <is>
          <t>training</t>
        </is>
      </c>
    </row>
    <row r="95">
      <c r="A95" s="5" t="n">
        <v>67</v>
      </c>
      <c r="B95" s="5" t="n">
        <v>0</v>
      </c>
      <c r="C95" s="5" t="n">
        <v>12</v>
      </c>
      <c r="D95" s="5" t="n">
        <v>2171</v>
      </c>
      <c r="E95" s="5" t="n">
        <v>29</v>
      </c>
      <c r="F95" s="5" t="n">
        <v>2</v>
      </c>
      <c r="G95" s="5" t="n">
        <v>0</v>
      </c>
      <c r="H95" s="5" t="n">
        <v>0</v>
      </c>
      <c r="I95" s="5" t="n">
        <v>0</v>
      </c>
      <c r="J95" s="5" t="n">
        <v>0</v>
      </c>
      <c r="K95" s="5" t="n">
        <v>0</v>
      </c>
      <c r="L95" s="5" t="n">
        <v>0</v>
      </c>
      <c r="M95" s="5" t="n">
        <v>0</v>
      </c>
      <c r="N95" s="5" t="n">
        <v>0</v>
      </c>
      <c r="O95" s="5" t="n">
        <v>0</v>
      </c>
      <c r="P95" s="5" t="n">
        <v>0</v>
      </c>
      <c r="Q95" s="5" t="n">
        <v>0</v>
      </c>
      <c r="R95" s="5" t="n">
        <v>0</v>
      </c>
      <c r="S95" s="5" t="n">
        <v>1</v>
      </c>
      <c r="T95" s="5" t="n">
        <v>0</v>
      </c>
      <c r="U95" s="5" t="inlineStr">
        <is>
          <t>training</t>
        </is>
      </c>
    </row>
    <row r="96">
      <c r="A96" s="5" t="n">
        <v>68</v>
      </c>
      <c r="B96" s="5" t="n">
        <v>0</v>
      </c>
      <c r="C96" s="5" t="n">
        <v>12</v>
      </c>
      <c r="D96" s="5" t="n">
        <v>1007</v>
      </c>
      <c r="E96" s="5" t="n">
        <v>22</v>
      </c>
      <c r="F96" s="5" t="n">
        <v>4</v>
      </c>
      <c r="G96" s="5" t="n">
        <v>0</v>
      </c>
      <c r="H96" s="5" t="n">
        <v>1</v>
      </c>
      <c r="I96" s="5" t="n">
        <v>0</v>
      </c>
      <c r="J96" s="5" t="n">
        <v>0</v>
      </c>
      <c r="K96" s="5" t="n">
        <v>0</v>
      </c>
      <c r="L96" s="5" t="n">
        <v>0</v>
      </c>
      <c r="M96" s="5" t="n">
        <v>0</v>
      </c>
      <c r="N96" s="5" t="n">
        <v>1</v>
      </c>
      <c r="O96" s="5" t="n">
        <v>0</v>
      </c>
      <c r="P96" s="5" t="n">
        <v>0</v>
      </c>
      <c r="Q96" s="5" t="n">
        <v>0</v>
      </c>
      <c r="R96" s="5" t="n">
        <v>1</v>
      </c>
      <c r="S96" s="5" t="n">
        <v>0</v>
      </c>
      <c r="T96" s="5" t="n">
        <v>0</v>
      </c>
      <c r="U96" s="5" t="inlineStr">
        <is>
          <t>training</t>
        </is>
      </c>
    </row>
    <row r="97">
      <c r="A97" s="5" t="n">
        <v>69</v>
      </c>
      <c r="B97" s="5" t="n">
        <v>1</v>
      </c>
      <c r="C97" s="5" t="n">
        <v>36</v>
      </c>
      <c r="D97" s="5" t="n">
        <v>1819</v>
      </c>
      <c r="E97" s="5" t="n">
        <v>37</v>
      </c>
      <c r="F97" s="5" t="n">
        <v>4</v>
      </c>
      <c r="G97" s="5" t="n">
        <v>0</v>
      </c>
      <c r="H97" s="5" t="n">
        <v>0</v>
      </c>
      <c r="I97" s="5" t="n">
        <v>0</v>
      </c>
      <c r="J97" s="5" t="n">
        <v>0</v>
      </c>
      <c r="K97" s="5" t="n">
        <v>0</v>
      </c>
      <c r="L97" s="5" t="n">
        <v>0</v>
      </c>
      <c r="M97" s="5" t="n">
        <v>0</v>
      </c>
      <c r="N97" s="5" t="n">
        <v>0</v>
      </c>
      <c r="O97" s="5" t="n">
        <v>0</v>
      </c>
      <c r="P97" s="5" t="n">
        <v>0</v>
      </c>
      <c r="Q97" s="5" t="n">
        <v>1</v>
      </c>
      <c r="R97" s="5" t="n">
        <v>0</v>
      </c>
      <c r="S97" s="5" t="n">
        <v>0</v>
      </c>
      <c r="T97" s="5" t="n">
        <v>0</v>
      </c>
      <c r="U97" s="5" t="inlineStr">
        <is>
          <t>training</t>
        </is>
      </c>
    </row>
    <row r="98">
      <c r="A98" s="5" t="n">
        <v>70</v>
      </c>
      <c r="B98" s="5" t="n">
        <v>0</v>
      </c>
      <c r="C98" s="5" t="n">
        <v>36</v>
      </c>
      <c r="D98" s="5" t="n">
        <v>2394</v>
      </c>
      <c r="E98" s="5" t="n">
        <v>25</v>
      </c>
      <c r="F98" s="5" t="n">
        <v>4</v>
      </c>
      <c r="G98" s="5" t="n">
        <v>0</v>
      </c>
      <c r="H98" s="5" t="n">
        <v>0</v>
      </c>
      <c r="I98" s="5" t="n">
        <v>0</v>
      </c>
      <c r="J98" s="5" t="n">
        <v>0</v>
      </c>
      <c r="K98" s="5" t="n">
        <v>0</v>
      </c>
      <c r="L98" s="5" t="n">
        <v>0</v>
      </c>
      <c r="M98" s="5" t="n">
        <v>0</v>
      </c>
      <c r="N98" s="5" t="n">
        <v>0</v>
      </c>
      <c r="O98" s="5" t="n">
        <v>1</v>
      </c>
      <c r="P98" s="5" t="n">
        <v>0</v>
      </c>
      <c r="Q98" s="5" t="n">
        <v>0</v>
      </c>
      <c r="R98" s="5" t="n">
        <v>0</v>
      </c>
      <c r="S98" s="5" t="n">
        <v>1</v>
      </c>
      <c r="T98" s="5" t="n">
        <v>0</v>
      </c>
      <c r="U98" s="5" t="inlineStr">
        <is>
          <t>testing</t>
        </is>
      </c>
    </row>
    <row r="99">
      <c r="A99" s="5" t="n">
        <v>71</v>
      </c>
      <c r="B99" s="5" t="n">
        <v>0</v>
      </c>
      <c r="C99" s="5" t="n">
        <v>36</v>
      </c>
      <c r="D99" s="5" t="n">
        <v>8133</v>
      </c>
      <c r="E99" s="5" t="n">
        <v>30</v>
      </c>
      <c r="F99" s="5" t="n">
        <v>1</v>
      </c>
      <c r="G99" s="5" t="n">
        <v>0</v>
      </c>
      <c r="H99" s="5" t="n">
        <v>0</v>
      </c>
      <c r="I99" s="5" t="n">
        <v>0</v>
      </c>
      <c r="J99" s="5" t="n">
        <v>0</v>
      </c>
      <c r="K99" s="5" t="n">
        <v>0</v>
      </c>
      <c r="L99" s="5" t="n">
        <v>0</v>
      </c>
      <c r="M99" s="5" t="n">
        <v>0</v>
      </c>
      <c r="N99" s="5" t="n">
        <v>0</v>
      </c>
      <c r="O99" s="5" t="n">
        <v>0</v>
      </c>
      <c r="P99" s="5" t="n">
        <v>0</v>
      </c>
      <c r="Q99" s="5" t="n">
        <v>0</v>
      </c>
      <c r="R99" s="5" t="n">
        <v>1</v>
      </c>
      <c r="S99" s="5" t="n">
        <v>0</v>
      </c>
      <c r="T99" s="5" t="n">
        <v>0</v>
      </c>
      <c r="U99" s="5" t="inlineStr">
        <is>
          <t>training</t>
        </is>
      </c>
    </row>
    <row r="100">
      <c r="A100" s="5" t="n">
        <v>72</v>
      </c>
      <c r="B100" s="5" t="n">
        <v>0</v>
      </c>
      <c r="C100" s="5" t="n">
        <v>7</v>
      </c>
      <c r="D100" s="5" t="n">
        <v>730</v>
      </c>
      <c r="E100" s="5" t="n">
        <v>46</v>
      </c>
      <c r="F100" s="5" t="n">
        <v>4</v>
      </c>
      <c r="G100" s="5" t="n">
        <v>0</v>
      </c>
      <c r="H100" s="5" t="n">
        <v>0</v>
      </c>
      <c r="I100" s="5" t="n">
        <v>0</v>
      </c>
      <c r="J100" s="5" t="n">
        <v>1</v>
      </c>
      <c r="K100" s="5" t="n">
        <v>0</v>
      </c>
      <c r="L100" s="5" t="n">
        <v>0</v>
      </c>
      <c r="M100" s="5" t="n">
        <v>0</v>
      </c>
      <c r="N100" s="5" t="n">
        <v>0</v>
      </c>
      <c r="O100" s="5" t="n">
        <v>1</v>
      </c>
      <c r="P100" s="5" t="n">
        <v>1</v>
      </c>
      <c r="Q100" s="5" t="n">
        <v>0</v>
      </c>
      <c r="R100" s="5" t="n">
        <v>0</v>
      </c>
      <c r="S100" s="5" t="n">
        <v>1</v>
      </c>
      <c r="T100" s="5" t="n">
        <v>0</v>
      </c>
      <c r="U100" s="5" t="inlineStr">
        <is>
          <t>testing</t>
        </is>
      </c>
    </row>
    <row r="101">
      <c r="A101" s="5" t="n">
        <v>73</v>
      </c>
      <c r="B101" s="5" t="n">
        <v>0</v>
      </c>
      <c r="C101" s="5" t="n">
        <v>8</v>
      </c>
      <c r="D101" s="5" t="n">
        <v>1164</v>
      </c>
      <c r="E101" s="5" t="n">
        <v>51</v>
      </c>
      <c r="F101" s="5" t="n">
        <v>3</v>
      </c>
      <c r="G101" s="5" t="n">
        <v>1</v>
      </c>
      <c r="H101" s="5" t="n">
        <v>0</v>
      </c>
      <c r="I101" s="5" t="n">
        <v>0</v>
      </c>
      <c r="J101" s="5" t="n">
        <v>1</v>
      </c>
      <c r="K101" s="5" t="n">
        <v>0</v>
      </c>
      <c r="L101" s="5" t="n">
        <v>0</v>
      </c>
      <c r="M101" s="5" t="n">
        <v>0</v>
      </c>
      <c r="N101" s="5" t="n">
        <v>0</v>
      </c>
      <c r="O101" s="5" t="n">
        <v>0</v>
      </c>
      <c r="P101" s="5" t="n">
        <v>0</v>
      </c>
      <c r="Q101" s="5" t="n">
        <v>1</v>
      </c>
      <c r="R101" s="5" t="n">
        <v>0</v>
      </c>
      <c r="S101" s="5" t="n">
        <v>0</v>
      </c>
      <c r="T101" s="5" t="n">
        <v>0</v>
      </c>
      <c r="U101" s="5" t="inlineStr">
        <is>
          <t>training</t>
        </is>
      </c>
    </row>
    <row r="102">
      <c r="A102" s="5" t="n">
        <v>74</v>
      </c>
      <c r="B102" s="5" t="n">
        <v>0</v>
      </c>
      <c r="C102" s="5" t="n">
        <v>42</v>
      </c>
      <c r="D102" s="5" t="n">
        <v>5954</v>
      </c>
      <c r="E102" s="5" t="n">
        <v>41</v>
      </c>
      <c r="F102" s="5" t="n">
        <v>2</v>
      </c>
      <c r="G102" s="5" t="n">
        <v>0</v>
      </c>
      <c r="H102" s="5" t="n">
        <v>1</v>
      </c>
      <c r="I102" s="5" t="n">
        <v>0</v>
      </c>
      <c r="J102" s="5" t="n">
        <v>1</v>
      </c>
      <c r="K102" s="5" t="n">
        <v>0</v>
      </c>
      <c r="L102" s="5" t="n">
        <v>0</v>
      </c>
      <c r="M102" s="5" t="n">
        <v>0</v>
      </c>
      <c r="N102" s="5" t="n">
        <v>0</v>
      </c>
      <c r="O102" s="5" t="n">
        <v>0</v>
      </c>
      <c r="P102" s="5" t="n">
        <v>0</v>
      </c>
      <c r="Q102" s="5" t="n">
        <v>0</v>
      </c>
      <c r="R102" s="5" t="n">
        <v>0</v>
      </c>
      <c r="S102" s="5" t="n">
        <v>0</v>
      </c>
      <c r="T102" s="5" t="n">
        <v>0</v>
      </c>
      <c r="U102" s="5" t="inlineStr">
        <is>
          <t>testing</t>
        </is>
      </c>
    </row>
    <row r="103">
      <c r="A103" s="5" t="n">
        <v>75</v>
      </c>
      <c r="B103" s="5" t="n">
        <v>1</v>
      </c>
      <c r="C103" s="5" t="n">
        <v>36</v>
      </c>
      <c r="D103" s="5" t="n">
        <v>1977</v>
      </c>
      <c r="E103" s="5" t="n">
        <v>40</v>
      </c>
      <c r="F103" s="5" t="n">
        <v>4</v>
      </c>
      <c r="G103" s="5" t="n">
        <v>1</v>
      </c>
      <c r="H103" s="5" t="n">
        <v>0</v>
      </c>
      <c r="I103" s="5" t="n">
        <v>0</v>
      </c>
      <c r="J103" s="5" t="n">
        <v>0</v>
      </c>
      <c r="K103" s="5" t="n">
        <v>0</v>
      </c>
      <c r="L103" s="5" t="n">
        <v>0</v>
      </c>
      <c r="M103" s="5" t="n">
        <v>0</v>
      </c>
      <c r="N103" s="5" t="n">
        <v>0</v>
      </c>
      <c r="O103" s="5" t="n">
        <v>1</v>
      </c>
      <c r="P103" s="5" t="n">
        <v>0</v>
      </c>
      <c r="Q103" s="5" t="n">
        <v>0</v>
      </c>
      <c r="R103" s="5" t="n">
        <v>0</v>
      </c>
      <c r="S103" s="5" t="n">
        <v>0</v>
      </c>
      <c r="T103" s="5" t="n">
        <v>0</v>
      </c>
      <c r="U103" s="5" t="inlineStr">
        <is>
          <t>training</t>
        </is>
      </c>
    </row>
    <row r="104">
      <c r="A104" s="5" t="n">
        <v>76</v>
      </c>
      <c r="B104" s="5" t="n">
        <v>0</v>
      </c>
      <c r="C104" s="5" t="n">
        <v>12</v>
      </c>
      <c r="D104" s="5" t="n">
        <v>1526</v>
      </c>
      <c r="E104" s="5" t="n">
        <v>66</v>
      </c>
      <c r="F104" s="5" t="n">
        <v>4</v>
      </c>
      <c r="G104" s="5" t="n">
        <v>1</v>
      </c>
      <c r="H104" s="5" t="n">
        <v>0</v>
      </c>
      <c r="I104" s="5" t="n">
        <v>0</v>
      </c>
      <c r="J104" s="5" t="n">
        <v>1</v>
      </c>
      <c r="K104" s="5" t="n">
        <v>0</v>
      </c>
      <c r="L104" s="5" t="n">
        <v>0</v>
      </c>
      <c r="M104" s="5" t="n">
        <v>0</v>
      </c>
      <c r="N104" s="5" t="n">
        <v>0</v>
      </c>
      <c r="O104" s="5" t="n">
        <v>0</v>
      </c>
      <c r="P104" s="5" t="n">
        <v>0</v>
      </c>
      <c r="Q104" s="5" t="n">
        <v>1</v>
      </c>
      <c r="R104" s="5" t="n">
        <v>1</v>
      </c>
      <c r="S104" s="5" t="n">
        <v>0</v>
      </c>
      <c r="T104" s="5" t="n">
        <v>0</v>
      </c>
      <c r="U104" s="5" t="inlineStr">
        <is>
          <t>training</t>
        </is>
      </c>
    </row>
    <row r="105">
      <c r="A105" s="5" t="n">
        <v>77</v>
      </c>
      <c r="B105" s="5" t="n">
        <v>1</v>
      </c>
      <c r="C105" s="5" t="n">
        <v>42</v>
      </c>
      <c r="D105" s="5" t="n">
        <v>3965</v>
      </c>
      <c r="E105" s="5" t="n">
        <v>34</v>
      </c>
      <c r="F105" s="5" t="n">
        <v>4</v>
      </c>
      <c r="G105" s="5" t="n">
        <v>1</v>
      </c>
      <c r="H105" s="5" t="n">
        <v>0</v>
      </c>
      <c r="I105" s="5" t="n">
        <v>0</v>
      </c>
      <c r="J105" s="5" t="n">
        <v>0</v>
      </c>
      <c r="K105" s="5" t="n">
        <v>0</v>
      </c>
      <c r="L105" s="5" t="n">
        <v>0</v>
      </c>
      <c r="M105" s="5" t="n">
        <v>0</v>
      </c>
      <c r="N105" s="5" t="n">
        <v>0</v>
      </c>
      <c r="O105" s="5" t="n">
        <v>0</v>
      </c>
      <c r="P105" s="5" t="n">
        <v>0</v>
      </c>
      <c r="Q105" s="5" t="n">
        <v>0</v>
      </c>
      <c r="R105" s="5" t="n">
        <v>0</v>
      </c>
      <c r="S105" s="5" t="n">
        <v>1</v>
      </c>
      <c r="T105" s="5" t="n">
        <v>0</v>
      </c>
      <c r="U105" s="5" t="inlineStr">
        <is>
          <t>training</t>
        </is>
      </c>
    </row>
    <row r="106">
      <c r="A106" s="5" t="n">
        <v>78</v>
      </c>
      <c r="B106" s="5" t="n">
        <v>0</v>
      </c>
      <c r="C106" s="5" t="n">
        <v>11</v>
      </c>
      <c r="D106" s="5" t="n">
        <v>4771</v>
      </c>
      <c r="E106" s="5" t="n">
        <v>51</v>
      </c>
      <c r="F106" s="5" t="n">
        <v>2</v>
      </c>
      <c r="G106" s="5" t="n">
        <v>0</v>
      </c>
      <c r="H106" s="5" t="n">
        <v>1</v>
      </c>
      <c r="I106" s="5" t="n">
        <v>0</v>
      </c>
      <c r="J106" s="5" t="n">
        <v>0</v>
      </c>
      <c r="K106" s="5" t="n">
        <v>1</v>
      </c>
      <c r="L106" s="5" t="n">
        <v>0</v>
      </c>
      <c r="M106" s="5" t="n">
        <v>0</v>
      </c>
      <c r="N106" s="5" t="n">
        <v>0</v>
      </c>
      <c r="O106" s="5" t="n">
        <v>0</v>
      </c>
      <c r="P106" s="5" t="n">
        <v>0</v>
      </c>
      <c r="Q106" s="5" t="n">
        <v>0</v>
      </c>
      <c r="R106" s="5" t="n">
        <v>0</v>
      </c>
      <c r="S106" s="5" t="n">
        <v>1</v>
      </c>
      <c r="T106" s="5" t="n">
        <v>0</v>
      </c>
      <c r="U106" s="5" t="inlineStr">
        <is>
          <t>testing</t>
        </is>
      </c>
    </row>
    <row r="107">
      <c r="A107" s="5" t="n">
        <v>79</v>
      </c>
      <c r="B107" s="5" t="n">
        <v>0</v>
      </c>
      <c r="C107" s="5" t="n">
        <v>54</v>
      </c>
      <c r="D107" s="5" t="n">
        <v>9436</v>
      </c>
      <c r="E107" s="5" t="n">
        <v>39</v>
      </c>
      <c r="F107" s="5" t="n">
        <v>2</v>
      </c>
      <c r="G107" s="5" t="n">
        <v>0</v>
      </c>
      <c r="H107" s="5" t="n">
        <v>0</v>
      </c>
      <c r="I107" s="5" t="n">
        <v>0</v>
      </c>
      <c r="J107" s="5" t="n">
        <v>0</v>
      </c>
      <c r="K107" s="5" t="n">
        <v>0</v>
      </c>
      <c r="L107" s="5" t="n">
        <v>1</v>
      </c>
      <c r="M107" s="5" t="n">
        <v>0</v>
      </c>
      <c r="N107" s="5" t="n">
        <v>0</v>
      </c>
      <c r="O107" s="5" t="n">
        <v>1</v>
      </c>
      <c r="P107" s="5" t="n">
        <v>0</v>
      </c>
      <c r="Q107" s="5" t="n">
        <v>0</v>
      </c>
      <c r="R107" s="5" t="n">
        <v>1</v>
      </c>
      <c r="S107" s="5" t="n">
        <v>0</v>
      </c>
      <c r="T107" s="5" t="n">
        <v>0</v>
      </c>
      <c r="U107" s="5" t="inlineStr">
        <is>
          <t>training</t>
        </is>
      </c>
    </row>
    <row r="108">
      <c r="A108" s="5" t="n">
        <v>80</v>
      </c>
      <c r="B108" s="5" t="n">
        <v>0</v>
      </c>
      <c r="C108" s="5" t="n">
        <v>30</v>
      </c>
      <c r="D108" s="5" t="n">
        <v>3832</v>
      </c>
      <c r="E108" s="5" t="n">
        <v>22</v>
      </c>
      <c r="F108" s="5" t="n">
        <v>2</v>
      </c>
      <c r="G108" s="5" t="n">
        <v>0</v>
      </c>
      <c r="H108" s="5" t="n">
        <v>1</v>
      </c>
      <c r="I108" s="5" t="n">
        <v>0</v>
      </c>
      <c r="J108" s="5" t="n">
        <v>0</v>
      </c>
      <c r="K108" s="5" t="n">
        <v>0</v>
      </c>
      <c r="L108" s="5" t="n">
        <v>0</v>
      </c>
      <c r="M108" s="5" t="n">
        <v>0</v>
      </c>
      <c r="N108" s="5" t="n">
        <v>0</v>
      </c>
      <c r="O108" s="5" t="n">
        <v>0</v>
      </c>
      <c r="P108" s="5" t="n">
        <v>0</v>
      </c>
      <c r="Q108" s="5" t="n">
        <v>0</v>
      </c>
      <c r="R108" s="5" t="n">
        <v>0</v>
      </c>
      <c r="S108" s="5" t="n">
        <v>0</v>
      </c>
      <c r="T108" s="5" t="n">
        <v>1</v>
      </c>
      <c r="U108" s="5" t="inlineStr">
        <is>
          <t>training</t>
        </is>
      </c>
    </row>
    <row r="109">
      <c r="A109" s="5" t="n">
        <v>81</v>
      </c>
      <c r="B109" s="5" t="n">
        <v>1</v>
      </c>
      <c r="C109" s="5" t="n">
        <v>24</v>
      </c>
      <c r="D109" s="5" t="n">
        <v>5943</v>
      </c>
      <c r="E109" s="5" t="n">
        <v>44</v>
      </c>
      <c r="F109" s="5" t="n">
        <v>1</v>
      </c>
      <c r="G109" s="5" t="n">
        <v>0</v>
      </c>
      <c r="H109" s="5" t="n">
        <v>0</v>
      </c>
      <c r="I109" s="5" t="n">
        <v>0</v>
      </c>
      <c r="J109" s="5" t="n">
        <v>0</v>
      </c>
      <c r="K109" s="5" t="n">
        <v>0</v>
      </c>
      <c r="L109" s="5" t="n">
        <v>0</v>
      </c>
      <c r="M109" s="5" t="n">
        <v>0</v>
      </c>
      <c r="N109" s="5" t="n">
        <v>0</v>
      </c>
      <c r="O109" s="5" t="n">
        <v>1</v>
      </c>
      <c r="P109" s="5" t="n">
        <v>0</v>
      </c>
      <c r="Q109" s="5" t="n">
        <v>0</v>
      </c>
      <c r="R109" s="5" t="n">
        <v>0</v>
      </c>
      <c r="S109" s="5" t="n">
        <v>1</v>
      </c>
      <c r="T109" s="5" t="n">
        <v>0</v>
      </c>
      <c r="U109" s="5" t="inlineStr">
        <is>
          <t>testing</t>
        </is>
      </c>
    </row>
    <row r="110">
      <c r="A110" s="5" t="n">
        <v>82</v>
      </c>
      <c r="B110" s="5" t="n">
        <v>0</v>
      </c>
      <c r="C110" s="5" t="n">
        <v>15</v>
      </c>
      <c r="D110" s="5" t="n">
        <v>1213</v>
      </c>
      <c r="E110" s="5" t="n">
        <v>47</v>
      </c>
      <c r="F110" s="5" t="n">
        <v>4</v>
      </c>
      <c r="G110" s="5" t="n">
        <v>0</v>
      </c>
      <c r="H110" s="5" t="n">
        <v>0</v>
      </c>
      <c r="I110" s="5" t="n">
        <v>0</v>
      </c>
      <c r="J110" s="5" t="n">
        <v>0</v>
      </c>
      <c r="K110" s="5" t="n">
        <v>0</v>
      </c>
      <c r="L110" s="5" t="n">
        <v>0</v>
      </c>
      <c r="M110" s="5" t="n">
        <v>1</v>
      </c>
      <c r="N110" s="5" t="n">
        <v>0</v>
      </c>
      <c r="O110" s="5" t="n">
        <v>0</v>
      </c>
      <c r="P110" s="5" t="n">
        <v>0</v>
      </c>
      <c r="Q110" s="5" t="n">
        <v>0</v>
      </c>
      <c r="R110" s="5" t="n">
        <v>0</v>
      </c>
      <c r="S110" s="5" t="n">
        <v>1</v>
      </c>
      <c r="T110" s="5" t="n">
        <v>0</v>
      </c>
      <c r="U110" s="5" t="inlineStr">
        <is>
          <t>training</t>
        </is>
      </c>
    </row>
    <row r="111">
      <c r="A111" s="5" t="n">
        <v>83</v>
      </c>
      <c r="B111" s="5" t="n">
        <v>0</v>
      </c>
      <c r="C111" s="5" t="n">
        <v>18</v>
      </c>
      <c r="D111" s="5" t="n">
        <v>1568</v>
      </c>
      <c r="E111" s="5" t="n">
        <v>24</v>
      </c>
      <c r="F111" s="5" t="n">
        <v>3</v>
      </c>
      <c r="G111" s="5" t="n">
        <v>0</v>
      </c>
      <c r="H111" s="5" t="n">
        <v>0</v>
      </c>
      <c r="I111" s="5" t="n">
        <v>0</v>
      </c>
      <c r="J111" s="5" t="n">
        <v>0</v>
      </c>
      <c r="K111" s="5" t="n">
        <v>0</v>
      </c>
      <c r="L111" s="5" t="n">
        <v>0</v>
      </c>
      <c r="M111" s="5" t="n">
        <v>1</v>
      </c>
      <c r="N111" s="5" t="n">
        <v>0</v>
      </c>
      <c r="O111" s="5" t="n">
        <v>0</v>
      </c>
      <c r="P111" s="5" t="n">
        <v>1</v>
      </c>
      <c r="Q111" s="5" t="n">
        <v>0</v>
      </c>
      <c r="R111" s="5" t="n">
        <v>0</v>
      </c>
      <c r="S111" s="5" t="n">
        <v>0</v>
      </c>
      <c r="T111" s="5" t="n">
        <v>0</v>
      </c>
      <c r="U111" s="5" t="inlineStr">
        <is>
          <t>testing</t>
        </is>
      </c>
    </row>
    <row r="112">
      <c r="A112" s="5" t="n">
        <v>84</v>
      </c>
      <c r="B112" s="5" t="n">
        <v>0</v>
      </c>
      <c r="C112" s="5" t="n">
        <v>24</v>
      </c>
      <c r="D112" s="5" t="n">
        <v>1755</v>
      </c>
      <c r="E112" s="5" t="n">
        <v>58</v>
      </c>
      <c r="F112" s="5" t="n">
        <v>4</v>
      </c>
      <c r="G112" s="5" t="n">
        <v>1</v>
      </c>
      <c r="H112" s="5" t="n">
        <v>0</v>
      </c>
      <c r="I112" s="5" t="n">
        <v>0</v>
      </c>
      <c r="J112" s="5" t="n">
        <v>0</v>
      </c>
      <c r="K112" s="5" t="n">
        <v>0</v>
      </c>
      <c r="L112" s="5" t="n">
        <v>0</v>
      </c>
      <c r="M112" s="5" t="n">
        <v>0</v>
      </c>
      <c r="N112" s="5" t="n">
        <v>0</v>
      </c>
      <c r="O112" s="5" t="n">
        <v>0</v>
      </c>
      <c r="P112" s="5" t="n">
        <v>0</v>
      </c>
      <c r="Q112" s="5" t="n">
        <v>0</v>
      </c>
      <c r="R112" s="5" t="n">
        <v>0</v>
      </c>
      <c r="S112" s="5" t="n">
        <v>0</v>
      </c>
      <c r="T112" s="5" t="n">
        <v>0</v>
      </c>
      <c r="U112" s="5" t="inlineStr">
        <is>
          <t>testing</t>
        </is>
      </c>
    </row>
    <row r="113">
      <c r="A113" s="5" t="n">
        <v>85</v>
      </c>
      <c r="B113" s="5" t="n">
        <v>0</v>
      </c>
      <c r="C113" s="5" t="n">
        <v>10</v>
      </c>
      <c r="D113" s="5" t="n">
        <v>2315</v>
      </c>
      <c r="E113" s="5" t="n">
        <v>52</v>
      </c>
      <c r="F113" s="5" t="n">
        <v>3</v>
      </c>
      <c r="G113" s="5" t="n">
        <v>1</v>
      </c>
      <c r="H113" s="5" t="n">
        <v>0</v>
      </c>
      <c r="I113" s="5" t="n">
        <v>0</v>
      </c>
      <c r="J113" s="5" t="n">
        <v>0</v>
      </c>
      <c r="K113" s="5" t="n">
        <v>0</v>
      </c>
      <c r="L113" s="5" t="n">
        <v>0</v>
      </c>
      <c r="M113" s="5" t="n">
        <v>0</v>
      </c>
      <c r="N113" s="5" t="n">
        <v>0</v>
      </c>
      <c r="O113" s="5" t="n">
        <v>0</v>
      </c>
      <c r="P113" s="5" t="n">
        <v>0</v>
      </c>
      <c r="Q113" s="5" t="n">
        <v>0</v>
      </c>
      <c r="R113" s="5" t="n">
        <v>0</v>
      </c>
      <c r="S113" s="5" t="n">
        <v>1</v>
      </c>
      <c r="T113" s="5" t="n">
        <v>0</v>
      </c>
      <c r="U113" s="5" t="inlineStr">
        <is>
          <t>testing</t>
        </is>
      </c>
    </row>
    <row r="114">
      <c r="A114" s="5" t="n">
        <v>86</v>
      </c>
      <c r="B114" s="5" t="n">
        <v>0</v>
      </c>
      <c r="C114" s="5" t="n">
        <v>12</v>
      </c>
      <c r="D114" s="5" t="n">
        <v>1412</v>
      </c>
      <c r="E114" s="5" t="n">
        <v>29</v>
      </c>
      <c r="F114" s="5" t="n">
        <v>4</v>
      </c>
      <c r="G114" s="5" t="n">
        <v>0</v>
      </c>
      <c r="H114" s="5" t="n">
        <v>0</v>
      </c>
      <c r="I114" s="5" t="n">
        <v>0</v>
      </c>
      <c r="J114" s="5" t="n">
        <v>1</v>
      </c>
      <c r="K114" s="5" t="n">
        <v>0</v>
      </c>
      <c r="L114" s="5" t="n">
        <v>0</v>
      </c>
      <c r="M114" s="5" t="n">
        <v>0</v>
      </c>
      <c r="N114" s="5" t="n">
        <v>0</v>
      </c>
      <c r="O114" s="5" t="n">
        <v>0</v>
      </c>
      <c r="P114" s="5" t="n">
        <v>0</v>
      </c>
      <c r="Q114" s="5" t="n">
        <v>0</v>
      </c>
      <c r="R114" s="5" t="n">
        <v>0</v>
      </c>
      <c r="S114" s="5" t="n">
        <v>0</v>
      </c>
      <c r="T114" s="5" t="n">
        <v>0</v>
      </c>
      <c r="U114" s="5" t="inlineStr">
        <is>
          <t>testing</t>
        </is>
      </c>
    </row>
    <row r="115">
      <c r="A115" s="5" t="n">
        <v>87</v>
      </c>
      <c r="B115" s="5" t="n">
        <v>0</v>
      </c>
      <c r="C115" s="5" t="n">
        <v>18</v>
      </c>
      <c r="D115" s="5" t="n">
        <v>1295</v>
      </c>
      <c r="E115" s="5" t="n">
        <v>27</v>
      </c>
      <c r="F115" s="5" t="n">
        <v>4</v>
      </c>
      <c r="G115" s="5" t="n">
        <v>0</v>
      </c>
      <c r="H115" s="5" t="n">
        <v>1</v>
      </c>
      <c r="I115" s="5" t="n">
        <v>0</v>
      </c>
      <c r="J115" s="5" t="n">
        <v>1</v>
      </c>
      <c r="K115" s="5" t="n">
        <v>0</v>
      </c>
      <c r="L115" s="5" t="n">
        <v>0</v>
      </c>
      <c r="M115" s="5" t="n">
        <v>0</v>
      </c>
      <c r="N115" s="5" t="n">
        <v>0</v>
      </c>
      <c r="O115" s="5" t="n">
        <v>0</v>
      </c>
      <c r="P115" s="5" t="n">
        <v>0</v>
      </c>
      <c r="Q115" s="5" t="n">
        <v>0</v>
      </c>
      <c r="R115" s="5" t="n">
        <v>0</v>
      </c>
      <c r="S115" s="5" t="n">
        <v>0</v>
      </c>
      <c r="T115" s="5" t="n">
        <v>1</v>
      </c>
      <c r="U115" s="5" t="inlineStr">
        <is>
          <t>testing</t>
        </is>
      </c>
    </row>
    <row r="116">
      <c r="A116" s="5" t="n">
        <v>88</v>
      </c>
      <c r="B116" s="5" t="n">
        <v>1</v>
      </c>
      <c r="C116" s="5" t="n">
        <v>36</v>
      </c>
      <c r="D116" s="5" t="n">
        <v>12612</v>
      </c>
      <c r="E116" s="5" t="n">
        <v>47</v>
      </c>
      <c r="F116" s="5" t="n">
        <v>1</v>
      </c>
      <c r="G116" s="5" t="n">
        <v>0</v>
      </c>
      <c r="H116" s="5" t="n">
        <v>1</v>
      </c>
      <c r="I116" s="5" t="n">
        <v>0</v>
      </c>
      <c r="J116" s="5" t="n">
        <v>0</v>
      </c>
      <c r="K116" s="5" t="n">
        <v>0</v>
      </c>
      <c r="L116" s="5" t="n">
        <v>0</v>
      </c>
      <c r="M116" s="5" t="n">
        <v>1</v>
      </c>
      <c r="N116" s="5" t="n">
        <v>0</v>
      </c>
      <c r="O116" s="5" t="n">
        <v>0</v>
      </c>
      <c r="P116" s="5" t="n">
        <v>0</v>
      </c>
      <c r="Q116" s="5" t="n">
        <v>1</v>
      </c>
      <c r="R116" s="5" t="n">
        <v>0</v>
      </c>
      <c r="S116" s="5" t="n">
        <v>0</v>
      </c>
      <c r="T116" s="5" t="n">
        <v>0</v>
      </c>
      <c r="U116" s="5" t="inlineStr">
        <is>
          <t>training</t>
        </is>
      </c>
    </row>
    <row r="117">
      <c r="A117" s="5" t="n">
        <v>89</v>
      </c>
      <c r="B117" s="5" t="n">
        <v>0</v>
      </c>
      <c r="C117" s="5" t="n">
        <v>18</v>
      </c>
      <c r="D117" s="5" t="n">
        <v>2249</v>
      </c>
      <c r="E117" s="5" t="n">
        <v>30</v>
      </c>
      <c r="F117" s="5" t="n">
        <v>4</v>
      </c>
      <c r="G117" s="5" t="n">
        <v>1</v>
      </c>
      <c r="H117" s="5" t="n">
        <v>0</v>
      </c>
      <c r="I117" s="5" t="n">
        <v>0</v>
      </c>
      <c r="J117" s="5" t="n">
        <v>0</v>
      </c>
      <c r="K117" s="5" t="n">
        <v>0</v>
      </c>
      <c r="L117" s="5" t="n">
        <v>0</v>
      </c>
      <c r="M117" s="5" t="n">
        <v>1</v>
      </c>
      <c r="N117" s="5" t="n">
        <v>0</v>
      </c>
      <c r="O117" s="5" t="n">
        <v>0</v>
      </c>
      <c r="P117" s="5" t="n">
        <v>0</v>
      </c>
      <c r="Q117" s="5" t="n">
        <v>0</v>
      </c>
      <c r="R117" s="5" t="n">
        <v>1</v>
      </c>
      <c r="S117" s="5" t="n">
        <v>0</v>
      </c>
      <c r="T117" s="5" t="n">
        <v>0</v>
      </c>
      <c r="U117" s="5" t="inlineStr">
        <is>
          <t>testing</t>
        </is>
      </c>
    </row>
    <row r="118">
      <c r="A118" s="5" t="n">
        <v>90</v>
      </c>
      <c r="B118" s="5" t="n">
        <v>1</v>
      </c>
      <c r="C118" s="5" t="n">
        <v>12</v>
      </c>
      <c r="D118" s="5" t="n">
        <v>1108</v>
      </c>
      <c r="E118" s="5" t="n">
        <v>28</v>
      </c>
      <c r="F118" s="5" t="n">
        <v>4</v>
      </c>
      <c r="G118" s="5" t="n">
        <v>1</v>
      </c>
      <c r="H118" s="5" t="n">
        <v>0</v>
      </c>
      <c r="I118" s="5" t="n">
        <v>0</v>
      </c>
      <c r="J118" s="5" t="n">
        <v>0</v>
      </c>
      <c r="K118" s="5" t="n">
        <v>0</v>
      </c>
      <c r="L118" s="5" t="n">
        <v>1</v>
      </c>
      <c r="M118" s="5" t="n">
        <v>0</v>
      </c>
      <c r="N118" s="5" t="n">
        <v>0</v>
      </c>
      <c r="O118" s="5" t="n">
        <v>0</v>
      </c>
      <c r="P118" s="5" t="n">
        <v>0</v>
      </c>
      <c r="Q118" s="5" t="n">
        <v>0</v>
      </c>
      <c r="R118" s="5" t="n">
        <v>0</v>
      </c>
      <c r="S118" s="5" t="n">
        <v>0</v>
      </c>
      <c r="T118" s="5" t="n">
        <v>0</v>
      </c>
      <c r="U118" s="5" t="inlineStr">
        <is>
          <t>testing</t>
        </is>
      </c>
    </row>
    <row r="119">
      <c r="A119" s="5" t="n">
        <v>91</v>
      </c>
      <c r="B119" s="5" t="n">
        <v>0</v>
      </c>
      <c r="C119" s="5" t="n">
        <v>12</v>
      </c>
      <c r="D119" s="5" t="n">
        <v>618</v>
      </c>
      <c r="E119" s="5" t="n">
        <v>56</v>
      </c>
      <c r="F119" s="5" t="n">
        <v>4</v>
      </c>
      <c r="G119" s="5" t="n">
        <v>0</v>
      </c>
      <c r="H119" s="5" t="n">
        <v>0</v>
      </c>
      <c r="I119" s="5" t="n">
        <v>0</v>
      </c>
      <c r="J119" s="5" t="n">
        <v>1</v>
      </c>
      <c r="K119" s="5" t="n">
        <v>0</v>
      </c>
      <c r="L119" s="5" t="n">
        <v>0</v>
      </c>
      <c r="M119" s="5" t="n">
        <v>0</v>
      </c>
      <c r="N119" s="5" t="n">
        <v>0</v>
      </c>
      <c r="O119" s="5" t="n">
        <v>0</v>
      </c>
      <c r="P119" s="5" t="n">
        <v>0</v>
      </c>
      <c r="Q119" s="5" t="n">
        <v>0</v>
      </c>
      <c r="R119" s="5" t="n">
        <v>0</v>
      </c>
      <c r="S119" s="5" t="n">
        <v>1</v>
      </c>
      <c r="T119" s="5" t="n">
        <v>0</v>
      </c>
      <c r="U119" s="5" t="inlineStr">
        <is>
          <t>training</t>
        </is>
      </c>
    </row>
    <row r="120">
      <c r="A120" s="5" t="n">
        <v>92</v>
      </c>
      <c r="B120" s="5" t="n">
        <v>0</v>
      </c>
      <c r="C120" s="5" t="n">
        <v>12</v>
      </c>
      <c r="D120" s="5" t="n">
        <v>1409</v>
      </c>
      <c r="E120" s="5" t="n">
        <v>54</v>
      </c>
      <c r="F120" s="5" t="n">
        <v>4</v>
      </c>
      <c r="G120" s="5" t="n">
        <v>1</v>
      </c>
      <c r="H120" s="5" t="n">
        <v>0</v>
      </c>
      <c r="I120" s="5" t="n">
        <v>0</v>
      </c>
      <c r="J120" s="5" t="n">
        <v>1</v>
      </c>
      <c r="K120" s="5" t="n">
        <v>0</v>
      </c>
      <c r="L120" s="5" t="n">
        <v>0</v>
      </c>
      <c r="M120" s="5" t="n">
        <v>0</v>
      </c>
      <c r="N120" s="5" t="n">
        <v>0</v>
      </c>
      <c r="O120" s="5" t="n">
        <v>0</v>
      </c>
      <c r="P120" s="5" t="n">
        <v>0</v>
      </c>
      <c r="Q120" s="5" t="n">
        <v>0</v>
      </c>
      <c r="R120" s="5" t="n">
        <v>1</v>
      </c>
      <c r="S120" s="5" t="n">
        <v>0</v>
      </c>
      <c r="T120" s="5" t="n">
        <v>0</v>
      </c>
      <c r="U120" s="5" t="inlineStr">
        <is>
          <t>testing</t>
        </is>
      </c>
    </row>
    <row r="121">
      <c r="A121" s="5" t="n">
        <v>93</v>
      </c>
      <c r="B121" s="5" t="n">
        <v>1</v>
      </c>
      <c r="C121" s="5" t="n">
        <v>12</v>
      </c>
      <c r="D121" s="5" t="n">
        <v>797</v>
      </c>
      <c r="E121" s="5" t="n">
        <v>33</v>
      </c>
      <c r="F121" s="5" t="n">
        <v>4</v>
      </c>
      <c r="G121" s="5" t="n">
        <v>0</v>
      </c>
      <c r="H121" s="5" t="n">
        <v>0</v>
      </c>
      <c r="I121" s="5" t="n">
        <v>0</v>
      </c>
      <c r="J121" s="5" t="n">
        <v>1</v>
      </c>
      <c r="K121" s="5" t="n">
        <v>0</v>
      </c>
      <c r="L121" s="5" t="n">
        <v>0</v>
      </c>
      <c r="M121" s="5" t="n">
        <v>0</v>
      </c>
      <c r="N121" s="5" t="n">
        <v>0</v>
      </c>
      <c r="O121" s="5" t="n">
        <v>1</v>
      </c>
      <c r="P121" s="5" t="n">
        <v>0</v>
      </c>
      <c r="Q121" s="5" t="n">
        <v>0</v>
      </c>
      <c r="R121" s="5" t="n">
        <v>0</v>
      </c>
      <c r="S121" s="5" t="n">
        <v>1</v>
      </c>
      <c r="T121" s="5" t="n">
        <v>0</v>
      </c>
      <c r="U121" s="5" t="inlineStr">
        <is>
          <t>testing</t>
        </is>
      </c>
    </row>
    <row r="122">
      <c r="A122" s="5" t="n">
        <v>94</v>
      </c>
      <c r="B122" s="5" t="n">
        <v>0</v>
      </c>
      <c r="C122" s="5" t="n">
        <v>24</v>
      </c>
      <c r="D122" s="5" t="n">
        <v>3617</v>
      </c>
      <c r="E122" s="5" t="n">
        <v>20</v>
      </c>
      <c r="F122" s="5" t="n">
        <v>4</v>
      </c>
      <c r="G122" s="5" t="n">
        <v>0</v>
      </c>
      <c r="H122" s="5" t="n">
        <v>0</v>
      </c>
      <c r="I122" s="5" t="n">
        <v>1</v>
      </c>
      <c r="J122" s="5" t="n">
        <v>1</v>
      </c>
      <c r="K122" s="5" t="n">
        <v>0</v>
      </c>
      <c r="L122" s="5" t="n">
        <v>0</v>
      </c>
      <c r="M122" s="5" t="n">
        <v>0</v>
      </c>
      <c r="N122" s="5" t="n">
        <v>0</v>
      </c>
      <c r="O122" s="5" t="n">
        <v>1</v>
      </c>
      <c r="P122" s="5" t="n">
        <v>1</v>
      </c>
      <c r="Q122" s="5" t="n">
        <v>0</v>
      </c>
      <c r="R122" s="5" t="n">
        <v>0</v>
      </c>
      <c r="S122" s="5" t="n">
        <v>0</v>
      </c>
      <c r="T122" s="5" t="n">
        <v>1</v>
      </c>
      <c r="U122" s="5" t="inlineStr">
        <is>
          <t>training</t>
        </is>
      </c>
    </row>
    <row r="123">
      <c r="A123" s="5" t="n">
        <v>95</v>
      </c>
      <c r="B123" s="5" t="n">
        <v>0</v>
      </c>
      <c r="C123" s="5" t="n">
        <v>12</v>
      </c>
      <c r="D123" s="5" t="n">
        <v>1318</v>
      </c>
      <c r="E123" s="5" t="n">
        <v>54</v>
      </c>
      <c r="F123" s="5" t="n">
        <v>4</v>
      </c>
      <c r="G123" s="5" t="n">
        <v>0</v>
      </c>
      <c r="H123" s="5" t="n">
        <v>1</v>
      </c>
      <c r="I123" s="5" t="n">
        <v>0</v>
      </c>
      <c r="J123" s="5" t="n">
        <v>0</v>
      </c>
      <c r="K123" s="5" t="n">
        <v>0</v>
      </c>
      <c r="L123" s="5" t="n">
        <v>0</v>
      </c>
      <c r="M123" s="5" t="n">
        <v>0</v>
      </c>
      <c r="N123" s="5" t="n">
        <v>1</v>
      </c>
      <c r="O123" s="5" t="n">
        <v>0</v>
      </c>
      <c r="P123" s="5" t="n">
        <v>0</v>
      </c>
      <c r="Q123" s="5" t="n">
        <v>0</v>
      </c>
      <c r="R123" s="5" t="n">
        <v>1</v>
      </c>
      <c r="S123" s="5" t="n">
        <v>0</v>
      </c>
      <c r="T123" s="5" t="n">
        <v>0</v>
      </c>
      <c r="U123" s="5" t="inlineStr">
        <is>
          <t>testing</t>
        </is>
      </c>
    </row>
    <row r="124">
      <c r="A124" s="5" t="n">
        <v>96</v>
      </c>
      <c r="B124" s="5" t="n">
        <v>1</v>
      </c>
      <c r="C124" s="5" t="n">
        <v>54</v>
      </c>
      <c r="D124" s="5" t="n">
        <v>15945</v>
      </c>
      <c r="E124" s="5" t="n">
        <v>58</v>
      </c>
      <c r="F124" s="5" t="n">
        <v>3</v>
      </c>
      <c r="G124" s="5" t="n">
        <v>0</v>
      </c>
      <c r="H124" s="5" t="n">
        <v>1</v>
      </c>
      <c r="I124" s="5" t="n">
        <v>0</v>
      </c>
      <c r="J124" s="5" t="n">
        <v>0</v>
      </c>
      <c r="K124" s="5" t="n">
        <v>0</v>
      </c>
      <c r="L124" s="5" t="n">
        <v>1</v>
      </c>
      <c r="M124" s="5" t="n">
        <v>0</v>
      </c>
      <c r="N124" s="5" t="n">
        <v>0</v>
      </c>
      <c r="O124" s="5" t="n">
        <v>0</v>
      </c>
      <c r="P124" s="5" t="n">
        <v>1</v>
      </c>
      <c r="Q124" s="5" t="n">
        <v>0</v>
      </c>
      <c r="R124" s="5" t="n">
        <v>0</v>
      </c>
      <c r="S124" s="5" t="n">
        <v>0</v>
      </c>
      <c r="T124" s="5" t="n">
        <v>0</v>
      </c>
      <c r="U124" s="5" t="inlineStr">
        <is>
          <t>training</t>
        </is>
      </c>
    </row>
    <row r="125">
      <c r="A125" s="5" t="n">
        <v>97</v>
      </c>
      <c r="B125" s="5" t="n">
        <v>0</v>
      </c>
      <c r="C125" s="5" t="n">
        <v>12</v>
      </c>
      <c r="D125" s="5" t="n">
        <v>2012</v>
      </c>
      <c r="E125" s="5" t="n">
        <v>61</v>
      </c>
      <c r="F125" s="5" t="n">
        <v>4</v>
      </c>
      <c r="G125" s="5" t="n">
        <v>0</v>
      </c>
      <c r="H125" s="5" t="n">
        <v>0</v>
      </c>
      <c r="I125" s="5" t="n">
        <v>0</v>
      </c>
      <c r="J125" s="5" t="n">
        <v>1</v>
      </c>
      <c r="K125" s="5" t="n">
        <v>0</v>
      </c>
      <c r="L125" s="5" t="n">
        <v>0</v>
      </c>
      <c r="M125" s="5" t="n">
        <v>0</v>
      </c>
      <c r="N125" s="5" t="n">
        <v>0</v>
      </c>
      <c r="O125" s="5" t="n">
        <v>1</v>
      </c>
      <c r="P125" s="5" t="n">
        <v>0</v>
      </c>
      <c r="Q125" s="5" t="n">
        <v>0</v>
      </c>
      <c r="R125" s="5" t="n">
        <v>0</v>
      </c>
      <c r="S125" s="5" t="n">
        <v>0</v>
      </c>
      <c r="T125" s="5" t="n">
        <v>0</v>
      </c>
      <c r="U125" s="5" t="inlineStr">
        <is>
          <t>training</t>
        </is>
      </c>
    </row>
    <row r="126">
      <c r="A126" s="5" t="n">
        <v>98</v>
      </c>
      <c r="B126" s="5" t="n">
        <v>0</v>
      </c>
      <c r="C126" s="5" t="n">
        <v>18</v>
      </c>
      <c r="D126" s="5" t="n">
        <v>2622</v>
      </c>
      <c r="E126" s="5" t="n">
        <v>34</v>
      </c>
      <c r="F126" s="5" t="n">
        <v>4</v>
      </c>
      <c r="G126" s="5" t="n">
        <v>0</v>
      </c>
      <c r="H126" s="5" t="n">
        <v>1</v>
      </c>
      <c r="I126" s="5" t="n">
        <v>0</v>
      </c>
      <c r="J126" s="5" t="n">
        <v>0</v>
      </c>
      <c r="K126" s="5" t="n">
        <v>0</v>
      </c>
      <c r="L126" s="5" t="n">
        <v>0</v>
      </c>
      <c r="M126" s="5" t="n">
        <v>1</v>
      </c>
      <c r="N126" s="5" t="n">
        <v>0</v>
      </c>
      <c r="O126" s="5" t="n">
        <v>0</v>
      </c>
      <c r="P126" s="5" t="n">
        <v>0</v>
      </c>
      <c r="Q126" s="5" t="n">
        <v>0</v>
      </c>
      <c r="R126" s="5" t="n">
        <v>0</v>
      </c>
      <c r="S126" s="5" t="n">
        <v>0</v>
      </c>
      <c r="T126" s="5" t="n">
        <v>0</v>
      </c>
      <c r="U126" s="5" t="inlineStr">
        <is>
          <t>training</t>
        </is>
      </c>
    </row>
    <row r="127">
      <c r="A127" s="5" t="n">
        <v>99</v>
      </c>
      <c r="B127" s="5" t="n">
        <v>0</v>
      </c>
      <c r="C127" s="5" t="n">
        <v>36</v>
      </c>
      <c r="D127" s="5" t="n">
        <v>2337</v>
      </c>
      <c r="E127" s="5" t="n">
        <v>36</v>
      </c>
      <c r="F127" s="5" t="n">
        <v>4</v>
      </c>
      <c r="G127" s="5" t="n">
        <v>0</v>
      </c>
      <c r="H127" s="5" t="n">
        <v>1</v>
      </c>
      <c r="I127" s="5" t="n">
        <v>0</v>
      </c>
      <c r="J127" s="5" t="n">
        <v>1</v>
      </c>
      <c r="K127" s="5" t="n">
        <v>0</v>
      </c>
      <c r="L127" s="5" t="n">
        <v>0</v>
      </c>
      <c r="M127" s="5" t="n">
        <v>0</v>
      </c>
      <c r="N127" s="5" t="n">
        <v>0</v>
      </c>
      <c r="O127" s="5" t="n">
        <v>0</v>
      </c>
      <c r="P127" s="5" t="n">
        <v>0</v>
      </c>
      <c r="Q127" s="5" t="n">
        <v>0</v>
      </c>
      <c r="R127" s="5" t="n">
        <v>0</v>
      </c>
      <c r="S127" s="5" t="n">
        <v>1</v>
      </c>
      <c r="T127" s="5" t="n">
        <v>0</v>
      </c>
      <c r="U127" s="5" t="inlineStr">
        <is>
          <t>training</t>
        </is>
      </c>
    </row>
    <row r="128">
      <c r="A128" s="5" t="n">
        <v>100</v>
      </c>
      <c r="B128" s="5" t="n">
        <v>0</v>
      </c>
      <c r="C128" s="5" t="n">
        <v>20</v>
      </c>
      <c r="D128" s="5" t="n">
        <v>7057</v>
      </c>
      <c r="E128" s="5" t="n">
        <v>36</v>
      </c>
      <c r="F128" s="5" t="n">
        <v>3</v>
      </c>
      <c r="G128" s="5" t="n">
        <v>0</v>
      </c>
      <c r="H128" s="5" t="n">
        <v>1</v>
      </c>
      <c r="I128" s="5" t="n">
        <v>0</v>
      </c>
      <c r="J128" s="5" t="n">
        <v>0</v>
      </c>
      <c r="K128" s="5" t="n">
        <v>1</v>
      </c>
      <c r="L128" s="5" t="n">
        <v>0</v>
      </c>
      <c r="M128" s="5" t="n">
        <v>0</v>
      </c>
      <c r="N128" s="5" t="n">
        <v>0</v>
      </c>
      <c r="O128" s="5" t="n">
        <v>1</v>
      </c>
      <c r="P128" s="5" t="n">
        <v>1</v>
      </c>
      <c r="Q128" s="5" t="n">
        <v>0</v>
      </c>
      <c r="R128" s="5" t="n">
        <v>1</v>
      </c>
      <c r="S128" s="5" t="n">
        <v>0</v>
      </c>
      <c r="T128" s="5" t="n">
        <v>0</v>
      </c>
      <c r="U128" s="5" t="inlineStr">
        <is>
          <t>training</t>
        </is>
      </c>
    </row>
    <row r="129">
      <c r="A129" s="5" t="n">
        <v>101</v>
      </c>
      <c r="B129" s="5" t="n">
        <v>0</v>
      </c>
      <c r="C129" s="5" t="n">
        <v>24</v>
      </c>
      <c r="D129" s="5" t="n">
        <v>1469</v>
      </c>
      <c r="E129" s="5" t="n">
        <v>41</v>
      </c>
      <c r="F129" s="5" t="n">
        <v>4</v>
      </c>
      <c r="G129" s="5" t="n">
        <v>0</v>
      </c>
      <c r="H129" s="5" t="n">
        <v>0</v>
      </c>
      <c r="I129" s="5" t="n">
        <v>0</v>
      </c>
      <c r="J129" s="5" t="n">
        <v>0</v>
      </c>
      <c r="K129" s="5" t="n">
        <v>0</v>
      </c>
      <c r="L129" s="5" t="n">
        <v>0</v>
      </c>
      <c r="M129" s="5" t="n">
        <v>1</v>
      </c>
      <c r="N129" s="5" t="n">
        <v>0</v>
      </c>
      <c r="O129" s="5" t="n">
        <v>0</v>
      </c>
      <c r="P129" s="5" t="n">
        <v>1</v>
      </c>
      <c r="Q129" s="5" t="n">
        <v>0</v>
      </c>
      <c r="R129" s="5" t="n">
        <v>1</v>
      </c>
      <c r="S129" s="5" t="n">
        <v>0</v>
      </c>
      <c r="T129" s="5" t="n">
        <v>0</v>
      </c>
      <c r="U129" s="5" t="inlineStr">
        <is>
          <t>training</t>
        </is>
      </c>
    </row>
    <row r="130">
      <c r="A130" s="5" t="n">
        <v>102</v>
      </c>
      <c r="B130" s="5" t="n">
        <v>0</v>
      </c>
      <c r="C130" s="5" t="n">
        <v>36</v>
      </c>
      <c r="D130" s="5" t="n">
        <v>2323</v>
      </c>
      <c r="E130" s="5" t="n">
        <v>24</v>
      </c>
      <c r="F130" s="5" t="n">
        <v>4</v>
      </c>
      <c r="G130" s="5" t="n">
        <v>0</v>
      </c>
      <c r="H130" s="5" t="n">
        <v>1</v>
      </c>
      <c r="I130" s="5" t="n">
        <v>0</v>
      </c>
      <c r="J130" s="5" t="n">
        <v>0</v>
      </c>
      <c r="K130" s="5" t="n">
        <v>0</v>
      </c>
      <c r="L130" s="5" t="n">
        <v>0</v>
      </c>
      <c r="M130" s="5" t="n">
        <v>0</v>
      </c>
      <c r="N130" s="5" t="n">
        <v>0</v>
      </c>
      <c r="O130" s="5" t="n">
        <v>0</v>
      </c>
      <c r="P130" s="5" t="n">
        <v>1</v>
      </c>
      <c r="Q130" s="5" t="n">
        <v>0</v>
      </c>
      <c r="R130" s="5" t="n">
        <v>0</v>
      </c>
      <c r="S130" s="5" t="n">
        <v>1</v>
      </c>
      <c r="T130" s="5" t="n">
        <v>0</v>
      </c>
      <c r="U130" s="5" t="inlineStr">
        <is>
          <t>testing</t>
        </is>
      </c>
    </row>
    <row r="131">
      <c r="A131" s="5" t="n">
        <v>103</v>
      </c>
      <c r="B131" s="5" t="n">
        <v>0</v>
      </c>
      <c r="C131" s="5" t="n">
        <v>6</v>
      </c>
      <c r="D131" s="5" t="n">
        <v>932</v>
      </c>
      <c r="E131" s="5" t="n">
        <v>24</v>
      </c>
      <c r="F131" s="5" t="n">
        <v>3</v>
      </c>
      <c r="G131" s="5" t="n">
        <v>0</v>
      </c>
      <c r="H131" s="5" t="n">
        <v>0</v>
      </c>
      <c r="I131" s="5" t="n">
        <v>0</v>
      </c>
      <c r="J131" s="5" t="n">
        <v>0</v>
      </c>
      <c r="K131" s="5" t="n">
        <v>1</v>
      </c>
      <c r="L131" s="5" t="n">
        <v>0</v>
      </c>
      <c r="M131" s="5" t="n">
        <v>0</v>
      </c>
      <c r="N131" s="5" t="n">
        <v>0</v>
      </c>
      <c r="O131" s="5" t="n">
        <v>0</v>
      </c>
      <c r="P131" s="5" t="n">
        <v>0</v>
      </c>
      <c r="Q131" s="5" t="n">
        <v>0</v>
      </c>
      <c r="R131" s="5" t="n">
        <v>0</v>
      </c>
      <c r="S131" s="5" t="n">
        <v>1</v>
      </c>
      <c r="T131" s="5" t="n">
        <v>0</v>
      </c>
      <c r="U131" s="5" t="inlineStr">
        <is>
          <t>training</t>
        </is>
      </c>
    </row>
    <row r="132">
      <c r="A132" s="5" t="n">
        <v>104</v>
      </c>
      <c r="B132" s="5" t="n">
        <v>0</v>
      </c>
      <c r="C132" s="5" t="n">
        <v>9</v>
      </c>
      <c r="D132" s="5" t="n">
        <v>1919</v>
      </c>
      <c r="E132" s="5" t="n">
        <v>35</v>
      </c>
      <c r="F132" s="5" t="n">
        <v>4</v>
      </c>
      <c r="G132" s="5" t="n">
        <v>0</v>
      </c>
      <c r="H132" s="5" t="n">
        <v>1</v>
      </c>
      <c r="I132" s="5" t="n">
        <v>0</v>
      </c>
      <c r="J132" s="5" t="n">
        <v>1</v>
      </c>
      <c r="K132" s="5" t="n">
        <v>0</v>
      </c>
      <c r="L132" s="5" t="n">
        <v>0</v>
      </c>
      <c r="M132" s="5" t="n">
        <v>0</v>
      </c>
      <c r="N132" s="5" t="n">
        <v>0</v>
      </c>
      <c r="O132" s="5" t="n">
        <v>0</v>
      </c>
      <c r="P132" s="5" t="n">
        <v>1</v>
      </c>
      <c r="Q132" s="5" t="n">
        <v>0</v>
      </c>
      <c r="R132" s="5" t="n">
        <v>0</v>
      </c>
      <c r="S132" s="5" t="n">
        <v>0</v>
      </c>
      <c r="T132" s="5" t="n">
        <v>1</v>
      </c>
      <c r="U132" s="5" t="inlineStr">
        <is>
          <t>training</t>
        </is>
      </c>
    </row>
    <row r="133">
      <c r="A133" s="5" t="n">
        <v>105</v>
      </c>
      <c r="B133" s="5" t="n">
        <v>0</v>
      </c>
      <c r="C133" s="5" t="n">
        <v>12</v>
      </c>
      <c r="D133" s="5" t="n">
        <v>2445</v>
      </c>
      <c r="E133" s="5" t="n">
        <v>26</v>
      </c>
      <c r="F133" s="5" t="n">
        <v>2</v>
      </c>
      <c r="G133" s="5" t="n">
        <v>0</v>
      </c>
      <c r="H133" s="5" t="n">
        <v>0</v>
      </c>
      <c r="I133" s="5" t="n">
        <v>0</v>
      </c>
      <c r="J133" s="5" t="n">
        <v>0</v>
      </c>
      <c r="K133" s="5" t="n">
        <v>0</v>
      </c>
      <c r="L133" s="5" t="n">
        <v>0</v>
      </c>
      <c r="M133" s="5" t="n">
        <v>0</v>
      </c>
      <c r="N133" s="5" t="n">
        <v>0</v>
      </c>
      <c r="O133" s="5" t="n">
        <v>1</v>
      </c>
      <c r="P133" s="5" t="n">
        <v>1</v>
      </c>
      <c r="Q133" s="5" t="n">
        <v>0</v>
      </c>
      <c r="R133" s="5" t="n">
        <v>1</v>
      </c>
      <c r="S133" s="5" t="n">
        <v>0</v>
      </c>
      <c r="T133" s="5" t="n">
        <v>0</v>
      </c>
      <c r="U133" s="5" t="inlineStr">
        <is>
          <t>training</t>
        </is>
      </c>
    </row>
    <row r="134">
      <c r="A134" s="5" t="n">
        <v>106</v>
      </c>
      <c r="B134" s="5" t="n">
        <v>1</v>
      </c>
      <c r="C134" s="5" t="n">
        <v>24</v>
      </c>
      <c r="D134" s="5" t="n">
        <v>11938</v>
      </c>
      <c r="E134" s="5" t="n">
        <v>39</v>
      </c>
      <c r="F134" s="5" t="n">
        <v>2</v>
      </c>
      <c r="G134" s="5" t="n">
        <v>0</v>
      </c>
      <c r="H134" s="5" t="n">
        <v>1</v>
      </c>
      <c r="I134" s="5" t="n">
        <v>0</v>
      </c>
      <c r="J134" s="5" t="n">
        <v>1</v>
      </c>
      <c r="K134" s="5" t="n">
        <v>0</v>
      </c>
      <c r="L134" s="5" t="n">
        <v>0</v>
      </c>
      <c r="M134" s="5" t="n">
        <v>0</v>
      </c>
      <c r="N134" s="5" t="n">
        <v>0</v>
      </c>
      <c r="O134" s="5" t="n">
        <v>0</v>
      </c>
      <c r="P134" s="5" t="n">
        <v>0</v>
      </c>
      <c r="Q134" s="5" t="n">
        <v>0</v>
      </c>
      <c r="R134" s="5" t="n">
        <v>0</v>
      </c>
      <c r="S134" s="5" t="n">
        <v>0</v>
      </c>
      <c r="T134" s="5" t="n">
        <v>0</v>
      </c>
      <c r="U134" s="5" t="inlineStr">
        <is>
          <t>training</t>
        </is>
      </c>
    </row>
    <row r="135">
      <c r="A135" s="5" t="n">
        <v>107</v>
      </c>
      <c r="B135" s="5" t="n">
        <v>1</v>
      </c>
      <c r="C135" s="5" t="n">
        <v>18</v>
      </c>
      <c r="D135" s="5" t="n">
        <v>6458</v>
      </c>
      <c r="E135" s="5" t="n">
        <v>39</v>
      </c>
      <c r="F135" s="5" t="n">
        <v>2</v>
      </c>
      <c r="G135" s="5" t="n">
        <v>0</v>
      </c>
      <c r="H135" s="5" t="n">
        <v>0</v>
      </c>
      <c r="I135" s="5" t="n">
        <v>0</v>
      </c>
      <c r="J135" s="5" t="n">
        <v>0</v>
      </c>
      <c r="K135" s="5" t="n">
        <v>0</v>
      </c>
      <c r="L135" s="5" t="n">
        <v>1</v>
      </c>
      <c r="M135" s="5" t="n">
        <v>0</v>
      </c>
      <c r="N135" s="5" t="n">
        <v>0</v>
      </c>
      <c r="O135" s="5" t="n">
        <v>0</v>
      </c>
      <c r="P135" s="5" t="n">
        <v>0</v>
      </c>
      <c r="Q135" s="5" t="n">
        <v>0</v>
      </c>
      <c r="R135" s="5" t="n">
        <v>1</v>
      </c>
      <c r="S135" s="5" t="n">
        <v>0</v>
      </c>
      <c r="T135" s="5" t="n">
        <v>0</v>
      </c>
      <c r="U135" s="5" t="inlineStr">
        <is>
          <t>training</t>
        </is>
      </c>
    </row>
    <row r="136">
      <c r="A136" s="5" t="n">
        <v>108</v>
      </c>
      <c r="B136" s="5" t="n">
        <v>0</v>
      </c>
      <c r="C136" s="5" t="n">
        <v>12</v>
      </c>
      <c r="D136" s="5" t="n">
        <v>6078</v>
      </c>
      <c r="E136" s="5" t="n">
        <v>32</v>
      </c>
      <c r="F136" s="5" t="n">
        <v>2</v>
      </c>
      <c r="G136" s="5" t="n">
        <v>0</v>
      </c>
      <c r="H136" s="5" t="n">
        <v>1</v>
      </c>
      <c r="I136" s="5" t="n">
        <v>0</v>
      </c>
      <c r="J136" s="5" t="n">
        <v>0</v>
      </c>
      <c r="K136" s="5" t="n">
        <v>0</v>
      </c>
      <c r="L136" s="5" t="n">
        <v>0</v>
      </c>
      <c r="M136" s="5" t="n">
        <v>0</v>
      </c>
      <c r="N136" s="5" t="n">
        <v>0</v>
      </c>
      <c r="O136" s="5" t="n">
        <v>0</v>
      </c>
      <c r="P136" s="5" t="n">
        <v>0</v>
      </c>
      <c r="Q136" s="5" t="n">
        <v>0</v>
      </c>
      <c r="R136" s="5" t="n">
        <v>1</v>
      </c>
      <c r="S136" s="5" t="n">
        <v>0</v>
      </c>
      <c r="T136" s="5" t="n">
        <v>0</v>
      </c>
      <c r="U136" s="5" t="inlineStr">
        <is>
          <t>testing</t>
        </is>
      </c>
    </row>
    <row r="137">
      <c r="A137" s="5" t="n">
        <v>109</v>
      </c>
      <c r="B137" s="5" t="n">
        <v>0</v>
      </c>
      <c r="C137" s="5" t="n">
        <v>24</v>
      </c>
      <c r="D137" s="5" t="n">
        <v>7721</v>
      </c>
      <c r="E137" s="5" t="n">
        <v>30</v>
      </c>
      <c r="F137" s="5" t="n">
        <v>1</v>
      </c>
      <c r="G137" s="5" t="n">
        <v>1</v>
      </c>
      <c r="H137" s="5" t="n">
        <v>0</v>
      </c>
      <c r="I137" s="5" t="n">
        <v>0</v>
      </c>
      <c r="J137" s="5" t="n">
        <v>0</v>
      </c>
      <c r="K137" s="5" t="n">
        <v>0</v>
      </c>
      <c r="L137" s="5" t="n">
        <v>0</v>
      </c>
      <c r="M137" s="5" t="n">
        <v>0</v>
      </c>
      <c r="N137" s="5" t="n">
        <v>0</v>
      </c>
      <c r="O137" s="5" t="n">
        <v>1</v>
      </c>
      <c r="P137" s="5" t="n">
        <v>0</v>
      </c>
      <c r="Q137" s="5" t="n">
        <v>0</v>
      </c>
      <c r="R137" s="5" t="n">
        <v>0</v>
      </c>
      <c r="S137" s="5" t="n">
        <v>0</v>
      </c>
      <c r="T137" s="5" t="n">
        <v>1</v>
      </c>
      <c r="U137" s="5" t="inlineStr">
        <is>
          <t>training</t>
        </is>
      </c>
    </row>
    <row r="138">
      <c r="A138" s="5" t="n">
        <v>110</v>
      </c>
      <c r="B138" s="5" t="n">
        <v>0</v>
      </c>
      <c r="C138" s="5" t="n">
        <v>14</v>
      </c>
      <c r="D138" s="5" t="n">
        <v>1410</v>
      </c>
      <c r="E138" s="5" t="n">
        <v>35</v>
      </c>
      <c r="F138" s="5" t="n">
        <v>1</v>
      </c>
      <c r="G138" s="5" t="n">
        <v>0</v>
      </c>
      <c r="H138" s="5" t="n">
        <v>1</v>
      </c>
      <c r="I138" s="5" t="n">
        <v>0</v>
      </c>
      <c r="J138" s="5" t="n">
        <v>0</v>
      </c>
      <c r="K138" s="5" t="n">
        <v>0</v>
      </c>
      <c r="L138" s="5" t="n">
        <v>0</v>
      </c>
      <c r="M138" s="5" t="n">
        <v>1</v>
      </c>
      <c r="N138" s="5" t="n">
        <v>0</v>
      </c>
      <c r="O138" s="5" t="n">
        <v>0</v>
      </c>
      <c r="P138" s="5" t="n">
        <v>0</v>
      </c>
      <c r="Q138" s="5" t="n">
        <v>0</v>
      </c>
      <c r="R138" s="5" t="n">
        <v>0</v>
      </c>
      <c r="S138" s="5" t="n">
        <v>0</v>
      </c>
      <c r="T138" s="5" t="n">
        <v>0</v>
      </c>
      <c r="U138" s="5" t="inlineStr">
        <is>
          <t>training</t>
        </is>
      </c>
    </row>
    <row r="139">
      <c r="A139" s="5" t="n">
        <v>111</v>
      </c>
      <c r="B139" s="5" t="n">
        <v>0</v>
      </c>
      <c r="C139" s="5" t="n">
        <v>6</v>
      </c>
      <c r="D139" s="5" t="n">
        <v>1449</v>
      </c>
      <c r="E139" s="5" t="n">
        <v>31</v>
      </c>
      <c r="F139" s="5" t="n">
        <v>1</v>
      </c>
      <c r="G139" s="5" t="n">
        <v>0</v>
      </c>
      <c r="H139" s="5" t="n">
        <v>1</v>
      </c>
      <c r="I139" s="5" t="n">
        <v>0</v>
      </c>
      <c r="J139" s="5" t="n">
        <v>0</v>
      </c>
      <c r="K139" s="5" t="n">
        <v>1</v>
      </c>
      <c r="L139" s="5" t="n">
        <v>0</v>
      </c>
      <c r="M139" s="5" t="n">
        <v>1</v>
      </c>
      <c r="N139" s="5" t="n">
        <v>0</v>
      </c>
      <c r="O139" s="5" t="n">
        <v>0</v>
      </c>
      <c r="P139" s="5" t="n">
        <v>0</v>
      </c>
      <c r="Q139" s="5" t="n">
        <v>0</v>
      </c>
      <c r="R139" s="5" t="n">
        <v>0</v>
      </c>
      <c r="S139" s="5" t="n">
        <v>0</v>
      </c>
      <c r="T139" s="5" t="n">
        <v>0</v>
      </c>
      <c r="U139" s="5" t="inlineStr">
        <is>
          <t>training</t>
        </is>
      </c>
    </row>
    <row r="140">
      <c r="A140" s="5" t="n">
        <v>112</v>
      </c>
      <c r="B140" s="5" t="n">
        <v>0</v>
      </c>
      <c r="C140" s="5" t="n">
        <v>15</v>
      </c>
      <c r="D140" s="5" t="n">
        <v>392</v>
      </c>
      <c r="E140" s="5" t="n">
        <v>23</v>
      </c>
      <c r="F140" s="5" t="n">
        <v>4</v>
      </c>
      <c r="G140" s="5" t="n">
        <v>0</v>
      </c>
      <c r="H140" s="5" t="n">
        <v>0</v>
      </c>
      <c r="I140" s="5" t="n">
        <v>1</v>
      </c>
      <c r="J140" s="5" t="n">
        <v>0</v>
      </c>
      <c r="K140" s="5" t="n">
        <v>0</v>
      </c>
      <c r="L140" s="5" t="n">
        <v>0</v>
      </c>
      <c r="M140" s="5" t="n">
        <v>0</v>
      </c>
      <c r="N140" s="5" t="n">
        <v>0</v>
      </c>
      <c r="O140" s="5" t="n">
        <v>0</v>
      </c>
      <c r="P140" s="5" t="n">
        <v>1</v>
      </c>
      <c r="Q140" s="5" t="n">
        <v>0</v>
      </c>
      <c r="R140" s="5" t="n">
        <v>0</v>
      </c>
      <c r="S140" s="5" t="n">
        <v>0</v>
      </c>
      <c r="T140" s="5" t="n">
        <v>0</v>
      </c>
      <c r="U140" s="5" t="inlineStr">
        <is>
          <t>testing</t>
        </is>
      </c>
    </row>
    <row r="141">
      <c r="A141" s="5" t="n">
        <v>113</v>
      </c>
      <c r="B141" s="5" t="n">
        <v>0</v>
      </c>
      <c r="C141" s="5" t="n">
        <v>18</v>
      </c>
      <c r="D141" s="5" t="n">
        <v>6260</v>
      </c>
      <c r="E141" s="5" t="n">
        <v>28</v>
      </c>
      <c r="F141" s="5" t="n">
        <v>3</v>
      </c>
      <c r="G141" s="5" t="n">
        <v>0</v>
      </c>
      <c r="H141" s="5" t="n">
        <v>1</v>
      </c>
      <c r="I141" s="5" t="n">
        <v>0</v>
      </c>
      <c r="J141" s="5" t="n">
        <v>0</v>
      </c>
      <c r="K141" s="5" t="n">
        <v>0</v>
      </c>
      <c r="L141" s="5" t="n">
        <v>0</v>
      </c>
      <c r="M141" s="5" t="n">
        <v>0</v>
      </c>
      <c r="N141" s="5" t="n">
        <v>0</v>
      </c>
      <c r="O141" s="5" t="n">
        <v>0</v>
      </c>
      <c r="P141" s="5" t="n">
        <v>1</v>
      </c>
      <c r="Q141" s="5" t="n">
        <v>0</v>
      </c>
      <c r="R141" s="5" t="n">
        <v>1</v>
      </c>
      <c r="S141" s="5" t="n">
        <v>0</v>
      </c>
      <c r="T141" s="5" t="n">
        <v>0</v>
      </c>
      <c r="U141" s="5" t="inlineStr">
        <is>
          <t>training</t>
        </is>
      </c>
    </row>
    <row r="142">
      <c r="A142" s="5" t="n">
        <v>114</v>
      </c>
      <c r="B142" s="5" t="n">
        <v>1</v>
      </c>
      <c r="C142" s="5" t="n">
        <v>36</v>
      </c>
      <c r="D142" s="5" t="n">
        <v>7855</v>
      </c>
      <c r="E142" s="5" t="n">
        <v>25</v>
      </c>
      <c r="F142" s="5" t="n">
        <v>4</v>
      </c>
      <c r="G142" s="5" t="n">
        <v>0</v>
      </c>
      <c r="H142" s="5" t="n">
        <v>0</v>
      </c>
      <c r="I142" s="5" t="n">
        <v>0</v>
      </c>
      <c r="J142" s="5" t="n">
        <v>1</v>
      </c>
      <c r="K142" s="5" t="n">
        <v>0</v>
      </c>
      <c r="L142" s="5" t="n">
        <v>0</v>
      </c>
      <c r="M142" s="5" t="n">
        <v>0</v>
      </c>
      <c r="N142" s="5" t="n">
        <v>0</v>
      </c>
      <c r="O142" s="5" t="n">
        <v>0</v>
      </c>
      <c r="P142" s="5" t="n">
        <v>0</v>
      </c>
      <c r="Q142" s="5" t="n">
        <v>0</v>
      </c>
      <c r="R142" s="5" t="n">
        <v>1</v>
      </c>
      <c r="S142" s="5" t="n">
        <v>0</v>
      </c>
      <c r="T142" s="5" t="n">
        <v>0</v>
      </c>
      <c r="U142" s="5" t="inlineStr">
        <is>
          <t>training</t>
        </is>
      </c>
    </row>
    <row r="143">
      <c r="A143" s="5" t="n">
        <v>115</v>
      </c>
      <c r="B143" s="5" t="n">
        <v>0</v>
      </c>
      <c r="C143" s="5" t="n">
        <v>12</v>
      </c>
      <c r="D143" s="5" t="n">
        <v>1680</v>
      </c>
      <c r="E143" s="5" t="n">
        <v>35</v>
      </c>
      <c r="F143" s="5" t="n">
        <v>3</v>
      </c>
      <c r="G143" s="5" t="n">
        <v>1</v>
      </c>
      <c r="H143" s="5" t="n">
        <v>0</v>
      </c>
      <c r="I143" s="5" t="n">
        <v>0</v>
      </c>
      <c r="J143" s="5" t="n">
        <v>0</v>
      </c>
      <c r="K143" s="5" t="n">
        <v>0</v>
      </c>
      <c r="L143" s="5" t="n">
        <v>0</v>
      </c>
      <c r="M143" s="5" t="n">
        <v>1</v>
      </c>
      <c r="N143" s="5" t="n">
        <v>0</v>
      </c>
      <c r="O143" s="5" t="n">
        <v>0</v>
      </c>
      <c r="P143" s="5" t="n">
        <v>0</v>
      </c>
      <c r="Q143" s="5" t="n">
        <v>0</v>
      </c>
      <c r="R143" s="5" t="n">
        <v>0</v>
      </c>
      <c r="S143" s="5" t="n">
        <v>1</v>
      </c>
      <c r="T143" s="5" t="n">
        <v>0</v>
      </c>
      <c r="U143" s="5" t="inlineStr">
        <is>
          <t>training</t>
        </is>
      </c>
    </row>
    <row r="144">
      <c r="A144" s="5" t="n">
        <v>116</v>
      </c>
      <c r="B144" s="5" t="n">
        <v>0</v>
      </c>
      <c r="C144" s="5" t="n">
        <v>48</v>
      </c>
      <c r="D144" s="5" t="n">
        <v>3578</v>
      </c>
      <c r="E144" s="5" t="n">
        <v>47</v>
      </c>
      <c r="F144" s="5" t="n">
        <v>4</v>
      </c>
      <c r="G144" s="5" t="n">
        <v>0</v>
      </c>
      <c r="H144" s="5" t="n">
        <v>0</v>
      </c>
      <c r="I144" s="5" t="n">
        <v>0</v>
      </c>
      <c r="J144" s="5" t="n">
        <v>1</v>
      </c>
      <c r="K144" s="5" t="n">
        <v>0</v>
      </c>
      <c r="L144" s="5" t="n">
        <v>0</v>
      </c>
      <c r="M144" s="5" t="n">
        <v>0</v>
      </c>
      <c r="N144" s="5" t="n">
        <v>0</v>
      </c>
      <c r="O144" s="5" t="n">
        <v>1</v>
      </c>
      <c r="P144" s="5" t="n">
        <v>0</v>
      </c>
      <c r="Q144" s="5" t="n">
        <v>0</v>
      </c>
      <c r="R144" s="5" t="n">
        <v>0</v>
      </c>
      <c r="S144" s="5" t="n">
        <v>1</v>
      </c>
      <c r="T144" s="5" t="n">
        <v>0</v>
      </c>
      <c r="U144" s="5" t="inlineStr">
        <is>
          <t>training</t>
        </is>
      </c>
    </row>
    <row r="145">
      <c r="A145" s="5" t="n">
        <v>117</v>
      </c>
      <c r="B145" s="5" t="n">
        <v>1</v>
      </c>
      <c r="C145" s="5" t="n">
        <v>42</v>
      </c>
      <c r="D145" s="5" t="n">
        <v>7174</v>
      </c>
      <c r="E145" s="5" t="n">
        <v>30</v>
      </c>
      <c r="F145" s="5" t="n">
        <v>4</v>
      </c>
      <c r="G145" s="5" t="n">
        <v>1</v>
      </c>
      <c r="H145" s="5" t="n">
        <v>0</v>
      </c>
      <c r="I145" s="5" t="n">
        <v>0</v>
      </c>
      <c r="J145" s="5" t="n">
        <v>0</v>
      </c>
      <c r="K145" s="5" t="n">
        <v>0</v>
      </c>
      <c r="L145" s="5" t="n">
        <v>0</v>
      </c>
      <c r="M145" s="5" t="n">
        <v>0</v>
      </c>
      <c r="N145" s="5" t="n">
        <v>0</v>
      </c>
      <c r="O145" s="5" t="n">
        <v>1</v>
      </c>
      <c r="P145" s="5" t="n">
        <v>0</v>
      </c>
      <c r="Q145" s="5" t="n">
        <v>0</v>
      </c>
      <c r="R145" s="5" t="n">
        <v>0</v>
      </c>
      <c r="S145" s="5" t="n">
        <v>1</v>
      </c>
      <c r="T145" s="5" t="n">
        <v>0</v>
      </c>
      <c r="U145" s="5" t="inlineStr">
        <is>
          <t>testing</t>
        </is>
      </c>
    </row>
    <row r="146">
      <c r="A146" s="5" t="n">
        <v>118</v>
      </c>
      <c r="B146" s="5" t="n">
        <v>0</v>
      </c>
      <c r="C146" s="5" t="n">
        <v>10</v>
      </c>
      <c r="D146" s="5" t="n">
        <v>2132</v>
      </c>
      <c r="E146" s="5" t="n">
        <v>27</v>
      </c>
      <c r="F146" s="5" t="n">
        <v>2</v>
      </c>
      <c r="G146" s="5" t="n">
        <v>1</v>
      </c>
      <c r="H146" s="5" t="n">
        <v>0</v>
      </c>
      <c r="I146" s="5" t="n">
        <v>0</v>
      </c>
      <c r="J146" s="5" t="n">
        <v>1</v>
      </c>
      <c r="K146" s="5" t="n">
        <v>0</v>
      </c>
      <c r="L146" s="5" t="n">
        <v>0</v>
      </c>
      <c r="M146" s="5" t="n">
        <v>0</v>
      </c>
      <c r="N146" s="5" t="n">
        <v>0</v>
      </c>
      <c r="O146" s="5" t="n">
        <v>1</v>
      </c>
      <c r="P146" s="5" t="n">
        <v>1</v>
      </c>
      <c r="Q146" s="5" t="n">
        <v>0</v>
      </c>
      <c r="R146" s="5" t="n">
        <v>0</v>
      </c>
      <c r="S146" s="5" t="n">
        <v>0</v>
      </c>
      <c r="T146" s="5" t="n">
        <v>1</v>
      </c>
      <c r="U146" s="5" t="inlineStr">
        <is>
          <t>testing</t>
        </is>
      </c>
    </row>
    <row r="147">
      <c r="A147" s="5" t="n">
        <v>119</v>
      </c>
      <c r="B147" s="5" t="n">
        <v>1</v>
      </c>
      <c r="C147" s="5" t="n">
        <v>33</v>
      </c>
      <c r="D147" s="5" t="n">
        <v>4281</v>
      </c>
      <c r="E147" s="5" t="n">
        <v>23</v>
      </c>
      <c r="F147" s="5" t="n">
        <v>1</v>
      </c>
      <c r="G147" s="5" t="n">
        <v>1</v>
      </c>
      <c r="H147" s="5" t="n">
        <v>0</v>
      </c>
      <c r="I147" s="5" t="n">
        <v>0</v>
      </c>
      <c r="J147" s="5" t="n">
        <v>1</v>
      </c>
      <c r="K147" s="5" t="n">
        <v>0</v>
      </c>
      <c r="L147" s="5" t="n">
        <v>0</v>
      </c>
      <c r="M147" s="5" t="n">
        <v>1</v>
      </c>
      <c r="N147" s="5" t="n">
        <v>0</v>
      </c>
      <c r="O147" s="5" t="n">
        <v>0</v>
      </c>
      <c r="P147" s="5" t="n">
        <v>0</v>
      </c>
      <c r="Q147" s="5" t="n">
        <v>0</v>
      </c>
      <c r="R147" s="5" t="n">
        <v>0</v>
      </c>
      <c r="S147" s="5" t="n">
        <v>0</v>
      </c>
      <c r="T147" s="5" t="n">
        <v>1</v>
      </c>
      <c r="U147" s="5" t="inlineStr">
        <is>
          <t>training</t>
        </is>
      </c>
    </row>
    <row r="148">
      <c r="A148" s="5" t="n">
        <v>120</v>
      </c>
      <c r="B148" s="5" t="n">
        <v>0</v>
      </c>
      <c r="C148" s="5" t="n">
        <v>12</v>
      </c>
      <c r="D148" s="5" t="n">
        <v>2366</v>
      </c>
      <c r="E148" s="5" t="n">
        <v>36</v>
      </c>
      <c r="F148" s="5" t="n">
        <v>3</v>
      </c>
      <c r="G148" s="5" t="n">
        <v>0</v>
      </c>
      <c r="H148" s="5" t="n">
        <v>1</v>
      </c>
      <c r="I148" s="5" t="n">
        <v>0</v>
      </c>
      <c r="J148" s="5" t="n">
        <v>1</v>
      </c>
      <c r="K148" s="5" t="n">
        <v>0</v>
      </c>
      <c r="L148" s="5" t="n">
        <v>0</v>
      </c>
      <c r="M148" s="5" t="n">
        <v>1</v>
      </c>
      <c r="N148" s="5" t="n">
        <v>0</v>
      </c>
      <c r="O148" s="5" t="n">
        <v>0</v>
      </c>
      <c r="P148" s="5" t="n">
        <v>0</v>
      </c>
      <c r="Q148" s="5" t="n">
        <v>0</v>
      </c>
      <c r="R148" s="5" t="n">
        <v>1</v>
      </c>
      <c r="S148" s="5" t="n">
        <v>0</v>
      </c>
      <c r="T148" s="5" t="n">
        <v>0</v>
      </c>
      <c r="U148" s="5" t="inlineStr">
        <is>
          <t>training</t>
        </is>
      </c>
    </row>
    <row r="149">
      <c r="A149" s="5" t="n">
        <v>121</v>
      </c>
      <c r="B149" s="5" t="n">
        <v>1</v>
      </c>
      <c r="C149" s="5" t="n">
        <v>21</v>
      </c>
      <c r="D149" s="5" t="n">
        <v>1835</v>
      </c>
      <c r="E149" s="5" t="n">
        <v>25</v>
      </c>
      <c r="F149" s="5" t="n">
        <v>3</v>
      </c>
      <c r="G149" s="5" t="n">
        <v>1</v>
      </c>
      <c r="H149" s="5" t="n">
        <v>0</v>
      </c>
      <c r="I149" s="5" t="n">
        <v>0</v>
      </c>
      <c r="J149" s="5" t="n">
        <v>0</v>
      </c>
      <c r="K149" s="5" t="n">
        <v>0</v>
      </c>
      <c r="L149" s="5" t="n">
        <v>0</v>
      </c>
      <c r="M149" s="5" t="n">
        <v>0</v>
      </c>
      <c r="N149" s="5" t="n">
        <v>0</v>
      </c>
      <c r="O149" s="5" t="n">
        <v>0</v>
      </c>
      <c r="P149" s="5" t="n">
        <v>0</v>
      </c>
      <c r="Q149" s="5" t="n">
        <v>0</v>
      </c>
      <c r="R149" s="5" t="n">
        <v>0</v>
      </c>
      <c r="S149" s="5" t="n">
        <v>1</v>
      </c>
      <c r="T149" s="5" t="n">
        <v>0</v>
      </c>
      <c r="U149" s="5" t="inlineStr">
        <is>
          <t>training</t>
        </is>
      </c>
    </row>
    <row r="150">
      <c r="A150" s="5" t="n">
        <v>122</v>
      </c>
      <c r="B150" s="5" t="n">
        <v>0</v>
      </c>
      <c r="C150" s="5" t="n">
        <v>24</v>
      </c>
      <c r="D150" s="5" t="n">
        <v>3868</v>
      </c>
      <c r="E150" s="5" t="n">
        <v>41</v>
      </c>
      <c r="F150" s="5" t="n">
        <v>4</v>
      </c>
      <c r="G150" s="5" t="n">
        <v>0</v>
      </c>
      <c r="H150" s="5" t="n">
        <v>0</v>
      </c>
      <c r="I150" s="5" t="n">
        <v>0</v>
      </c>
      <c r="J150" s="5" t="n">
        <v>1</v>
      </c>
      <c r="K150" s="5" t="n">
        <v>0</v>
      </c>
      <c r="L150" s="5" t="n">
        <v>0</v>
      </c>
      <c r="M150" s="5" t="n">
        <v>0</v>
      </c>
      <c r="N150" s="5" t="n">
        <v>0</v>
      </c>
      <c r="O150" s="5" t="n">
        <v>0</v>
      </c>
      <c r="P150" s="5" t="n">
        <v>1</v>
      </c>
      <c r="Q150" s="5" t="n">
        <v>0</v>
      </c>
      <c r="R150" s="5" t="n">
        <v>1</v>
      </c>
      <c r="S150" s="5" t="n">
        <v>0</v>
      </c>
      <c r="T150" s="5" t="n">
        <v>0</v>
      </c>
      <c r="U150" s="5" t="inlineStr">
        <is>
          <t>training</t>
        </is>
      </c>
    </row>
    <row r="151">
      <c r="A151" s="5" t="n">
        <v>123</v>
      </c>
      <c r="B151" s="5" t="n">
        <v>0</v>
      </c>
      <c r="C151" s="5" t="n">
        <v>12</v>
      </c>
      <c r="D151" s="5" t="n">
        <v>1768</v>
      </c>
      <c r="E151" s="5" t="n">
        <v>24</v>
      </c>
      <c r="F151" s="5" t="n">
        <v>3</v>
      </c>
      <c r="G151" s="5" t="n">
        <v>0</v>
      </c>
      <c r="H151" s="5" t="n">
        <v>0</v>
      </c>
      <c r="I151" s="5" t="n">
        <v>0</v>
      </c>
      <c r="J151" s="5" t="n">
        <v>0</v>
      </c>
      <c r="K151" s="5" t="n">
        <v>0</v>
      </c>
      <c r="L151" s="5" t="n">
        <v>0</v>
      </c>
      <c r="M151" s="5" t="n">
        <v>0</v>
      </c>
      <c r="N151" s="5" t="n">
        <v>0</v>
      </c>
      <c r="O151" s="5" t="n">
        <v>0</v>
      </c>
      <c r="P151" s="5" t="n">
        <v>1</v>
      </c>
      <c r="Q151" s="5" t="n">
        <v>0</v>
      </c>
      <c r="R151" s="5" t="n">
        <v>0</v>
      </c>
      <c r="S151" s="5" t="n">
        <v>0</v>
      </c>
      <c r="T151" s="5" t="n">
        <v>1</v>
      </c>
      <c r="U151" s="5" t="inlineStr">
        <is>
          <t>training</t>
        </is>
      </c>
    </row>
    <row r="152">
      <c r="A152" s="5" t="n">
        <v>124</v>
      </c>
      <c r="B152" s="5" t="n">
        <v>0</v>
      </c>
      <c r="C152" s="5" t="n">
        <v>10</v>
      </c>
      <c r="D152" s="5" t="n">
        <v>781</v>
      </c>
      <c r="E152" s="5" t="n">
        <v>63</v>
      </c>
      <c r="F152" s="5" t="n">
        <v>4</v>
      </c>
      <c r="G152" s="5" t="n">
        <v>0</v>
      </c>
      <c r="H152" s="5" t="n">
        <v>0</v>
      </c>
      <c r="I152" s="5" t="n">
        <v>1</v>
      </c>
      <c r="J152" s="5" t="n">
        <v>1</v>
      </c>
      <c r="K152" s="5" t="n">
        <v>0</v>
      </c>
      <c r="L152" s="5" t="n">
        <v>0</v>
      </c>
      <c r="M152" s="5" t="n">
        <v>0</v>
      </c>
      <c r="N152" s="5" t="n">
        <v>0</v>
      </c>
      <c r="O152" s="5" t="n">
        <v>0</v>
      </c>
      <c r="P152" s="5" t="n">
        <v>0</v>
      </c>
      <c r="Q152" s="5" t="n">
        <v>1</v>
      </c>
      <c r="R152" s="5" t="n">
        <v>1</v>
      </c>
      <c r="S152" s="5" t="n">
        <v>0</v>
      </c>
      <c r="T152" s="5" t="n">
        <v>0</v>
      </c>
      <c r="U152" s="5" t="inlineStr">
        <is>
          <t>training</t>
        </is>
      </c>
    </row>
    <row r="153">
      <c r="A153" s="5" t="n">
        <v>125</v>
      </c>
      <c r="B153" s="5" t="n">
        <v>1</v>
      </c>
      <c r="C153" s="5" t="n">
        <v>18</v>
      </c>
      <c r="D153" s="5" t="n">
        <v>1924</v>
      </c>
      <c r="E153" s="5" t="n">
        <v>27</v>
      </c>
      <c r="F153" s="5" t="n">
        <v>4</v>
      </c>
      <c r="G153" s="5" t="n">
        <v>0</v>
      </c>
      <c r="H153" s="5" t="n">
        <v>1</v>
      </c>
      <c r="I153" s="5" t="n">
        <v>0</v>
      </c>
      <c r="J153" s="5" t="n">
        <v>0</v>
      </c>
      <c r="K153" s="5" t="n">
        <v>0</v>
      </c>
      <c r="L153" s="5" t="n">
        <v>0</v>
      </c>
      <c r="M153" s="5" t="n">
        <v>0</v>
      </c>
      <c r="N153" s="5" t="n">
        <v>0</v>
      </c>
      <c r="O153" s="5" t="n">
        <v>1</v>
      </c>
      <c r="P153" s="5" t="n">
        <v>1</v>
      </c>
      <c r="Q153" s="5" t="n">
        <v>0</v>
      </c>
      <c r="R153" s="5" t="n">
        <v>0</v>
      </c>
      <c r="S153" s="5" t="n">
        <v>0</v>
      </c>
      <c r="T153" s="5" t="n">
        <v>1</v>
      </c>
      <c r="U153" s="5" t="inlineStr">
        <is>
          <t>training</t>
        </is>
      </c>
    </row>
    <row r="154">
      <c r="A154" s="5" t="n">
        <v>126</v>
      </c>
      <c r="B154" s="5" t="n">
        <v>0</v>
      </c>
      <c r="C154" s="5" t="n">
        <v>12</v>
      </c>
      <c r="D154" s="5" t="n">
        <v>2121</v>
      </c>
      <c r="E154" s="5" t="n">
        <v>30</v>
      </c>
      <c r="F154" s="5" t="n">
        <v>4</v>
      </c>
      <c r="G154" s="5" t="n">
        <v>1</v>
      </c>
      <c r="H154" s="5" t="n">
        <v>0</v>
      </c>
      <c r="I154" s="5" t="n">
        <v>0</v>
      </c>
      <c r="J154" s="5" t="n">
        <v>1</v>
      </c>
      <c r="K154" s="5" t="n">
        <v>0</v>
      </c>
      <c r="L154" s="5" t="n">
        <v>0</v>
      </c>
      <c r="M154" s="5" t="n">
        <v>0</v>
      </c>
      <c r="N154" s="5" t="n">
        <v>0</v>
      </c>
      <c r="O154" s="5" t="n">
        <v>0</v>
      </c>
      <c r="P154" s="5" t="n">
        <v>0</v>
      </c>
      <c r="Q154" s="5" t="n">
        <v>0</v>
      </c>
      <c r="R154" s="5" t="n">
        <v>1</v>
      </c>
      <c r="S154" s="5" t="n">
        <v>0</v>
      </c>
      <c r="T154" s="5" t="n">
        <v>0</v>
      </c>
      <c r="U154" s="5" t="inlineStr">
        <is>
          <t>training</t>
        </is>
      </c>
    </row>
    <row r="155">
      <c r="A155" s="5" t="n">
        <v>127</v>
      </c>
      <c r="B155" s="5" t="n">
        <v>0</v>
      </c>
      <c r="C155" s="5" t="n">
        <v>12</v>
      </c>
      <c r="D155" s="5" t="n">
        <v>701</v>
      </c>
      <c r="E155" s="5" t="n">
        <v>40</v>
      </c>
      <c r="F155" s="5" t="n">
        <v>4</v>
      </c>
      <c r="G155" s="5" t="n">
        <v>1</v>
      </c>
      <c r="H155" s="5" t="n">
        <v>0</v>
      </c>
      <c r="I155" s="5" t="n">
        <v>0</v>
      </c>
      <c r="J155" s="5" t="n">
        <v>0</v>
      </c>
      <c r="K155" s="5" t="n">
        <v>0</v>
      </c>
      <c r="L155" s="5" t="n">
        <v>0</v>
      </c>
      <c r="M155" s="5" t="n">
        <v>0</v>
      </c>
      <c r="N155" s="5" t="n">
        <v>0</v>
      </c>
      <c r="O155" s="5" t="n">
        <v>0</v>
      </c>
      <c r="P155" s="5" t="n">
        <v>0</v>
      </c>
      <c r="Q155" s="5" t="n">
        <v>0</v>
      </c>
      <c r="R155" s="5" t="n">
        <v>0</v>
      </c>
      <c r="S155" s="5" t="n">
        <v>1</v>
      </c>
      <c r="T155" s="5" t="n">
        <v>0</v>
      </c>
      <c r="U155" s="5" t="inlineStr">
        <is>
          <t>training</t>
        </is>
      </c>
    </row>
    <row r="156">
      <c r="A156" s="5" t="n">
        <v>128</v>
      </c>
      <c r="B156" s="5" t="n">
        <v>1</v>
      </c>
      <c r="C156" s="5" t="n">
        <v>12</v>
      </c>
      <c r="D156" s="5" t="n">
        <v>639</v>
      </c>
      <c r="E156" s="5" t="n">
        <v>30</v>
      </c>
      <c r="F156" s="5" t="n">
        <v>4</v>
      </c>
      <c r="G156" s="5" t="n">
        <v>0</v>
      </c>
      <c r="H156" s="5" t="n">
        <v>1</v>
      </c>
      <c r="I156" s="5" t="n">
        <v>0</v>
      </c>
      <c r="J156" s="5" t="n">
        <v>0</v>
      </c>
      <c r="K156" s="5" t="n">
        <v>0</v>
      </c>
      <c r="L156" s="5" t="n">
        <v>0</v>
      </c>
      <c r="M156" s="5" t="n">
        <v>0</v>
      </c>
      <c r="N156" s="5" t="n">
        <v>0</v>
      </c>
      <c r="O156" s="5" t="n">
        <v>0</v>
      </c>
      <c r="P156" s="5" t="n">
        <v>0</v>
      </c>
      <c r="Q156" s="5" t="n">
        <v>0</v>
      </c>
      <c r="R156" s="5" t="n">
        <v>0</v>
      </c>
      <c r="S156" s="5" t="n">
        <v>0</v>
      </c>
      <c r="T156" s="5" t="n">
        <v>0</v>
      </c>
      <c r="U156" s="5" t="inlineStr">
        <is>
          <t>training</t>
        </is>
      </c>
    </row>
    <row r="157">
      <c r="A157" s="5" t="n">
        <v>129</v>
      </c>
      <c r="B157" s="5" t="n">
        <v>0</v>
      </c>
      <c r="C157" s="5" t="n">
        <v>12</v>
      </c>
      <c r="D157" s="5" t="n">
        <v>1860</v>
      </c>
      <c r="E157" s="5" t="n">
        <v>34</v>
      </c>
      <c r="F157" s="5" t="n">
        <v>4</v>
      </c>
      <c r="G157" s="5" t="n">
        <v>0</v>
      </c>
      <c r="H157" s="5" t="n">
        <v>1</v>
      </c>
      <c r="I157" s="5" t="n">
        <v>0</v>
      </c>
      <c r="J157" s="5" t="n">
        <v>1</v>
      </c>
      <c r="K157" s="5" t="n">
        <v>0</v>
      </c>
      <c r="L157" s="5" t="n">
        <v>0</v>
      </c>
      <c r="M157" s="5" t="n">
        <v>0</v>
      </c>
      <c r="N157" s="5" t="n">
        <v>0</v>
      </c>
      <c r="O157" s="5" t="n">
        <v>0</v>
      </c>
      <c r="P157" s="5" t="n">
        <v>0</v>
      </c>
      <c r="Q157" s="5" t="n">
        <v>0</v>
      </c>
      <c r="R157" s="5" t="n">
        <v>1</v>
      </c>
      <c r="S157" s="5" t="n">
        <v>0</v>
      </c>
      <c r="T157" s="5" t="n">
        <v>0</v>
      </c>
      <c r="U157" s="5" t="inlineStr">
        <is>
          <t>testing</t>
        </is>
      </c>
    </row>
    <row r="158">
      <c r="A158" s="5" t="n">
        <v>130</v>
      </c>
      <c r="B158" s="5" t="n">
        <v>1</v>
      </c>
      <c r="C158" s="5" t="n">
        <v>12</v>
      </c>
      <c r="D158" s="5" t="n">
        <v>3499</v>
      </c>
      <c r="E158" s="5" t="n">
        <v>29</v>
      </c>
      <c r="F158" s="5" t="n">
        <v>3</v>
      </c>
      <c r="G158" s="5" t="n">
        <v>1</v>
      </c>
      <c r="H158" s="5" t="n">
        <v>0</v>
      </c>
      <c r="I158" s="5" t="n">
        <v>0</v>
      </c>
      <c r="J158" s="5" t="n">
        <v>1</v>
      </c>
      <c r="K158" s="5" t="n">
        <v>0</v>
      </c>
      <c r="L158" s="5" t="n">
        <v>0</v>
      </c>
      <c r="M158" s="5" t="n">
        <v>0</v>
      </c>
      <c r="N158" s="5" t="n">
        <v>0</v>
      </c>
      <c r="O158" s="5" t="n">
        <v>0</v>
      </c>
      <c r="P158" s="5" t="n">
        <v>0</v>
      </c>
      <c r="Q158" s="5" t="n">
        <v>0</v>
      </c>
      <c r="R158" s="5" t="n">
        <v>1</v>
      </c>
      <c r="S158" s="5" t="n">
        <v>0</v>
      </c>
      <c r="T158" s="5" t="n">
        <v>0</v>
      </c>
      <c r="U158" s="5" t="inlineStr">
        <is>
          <t>training</t>
        </is>
      </c>
    </row>
    <row r="159">
      <c r="A159" s="5" t="n">
        <v>131</v>
      </c>
      <c r="B159" s="5" t="n">
        <v>0</v>
      </c>
      <c r="C159" s="5" t="n">
        <v>48</v>
      </c>
      <c r="D159" s="5" t="n">
        <v>8487</v>
      </c>
      <c r="E159" s="5" t="n">
        <v>24</v>
      </c>
      <c r="F159" s="5" t="n">
        <v>1</v>
      </c>
      <c r="G159" s="5" t="n">
        <v>0</v>
      </c>
      <c r="H159" s="5" t="n">
        <v>1</v>
      </c>
      <c r="I159" s="5" t="n">
        <v>0</v>
      </c>
      <c r="J159" s="5" t="n">
        <v>0</v>
      </c>
      <c r="K159" s="5" t="n">
        <v>0</v>
      </c>
      <c r="L159" s="5" t="n">
        <v>0</v>
      </c>
      <c r="M159" s="5" t="n">
        <v>0</v>
      </c>
      <c r="N159" s="5" t="n">
        <v>0</v>
      </c>
      <c r="O159" s="5" t="n">
        <v>1</v>
      </c>
      <c r="P159" s="5" t="n">
        <v>0</v>
      </c>
      <c r="Q159" s="5" t="n">
        <v>0</v>
      </c>
      <c r="R159" s="5" t="n">
        <v>1</v>
      </c>
      <c r="S159" s="5" t="n">
        <v>0</v>
      </c>
      <c r="T159" s="5" t="n">
        <v>0</v>
      </c>
      <c r="U159" s="5" t="inlineStr">
        <is>
          <t>training</t>
        </is>
      </c>
    </row>
    <row r="160">
      <c r="A160" s="5" t="n">
        <v>132</v>
      </c>
      <c r="B160" s="5" t="n">
        <v>1</v>
      </c>
      <c r="C160" s="5" t="n">
        <v>36</v>
      </c>
      <c r="D160" s="5" t="n">
        <v>6887</v>
      </c>
      <c r="E160" s="5" t="n">
        <v>29</v>
      </c>
      <c r="F160" s="5" t="n">
        <v>4</v>
      </c>
      <c r="G160" s="5" t="n">
        <v>1</v>
      </c>
      <c r="H160" s="5" t="n">
        <v>0</v>
      </c>
      <c r="I160" s="5" t="n">
        <v>0</v>
      </c>
      <c r="J160" s="5" t="n">
        <v>0</v>
      </c>
      <c r="K160" s="5" t="n">
        <v>1</v>
      </c>
      <c r="L160" s="5" t="n">
        <v>0</v>
      </c>
      <c r="M160" s="5" t="n">
        <v>0</v>
      </c>
      <c r="N160" s="5" t="n">
        <v>0</v>
      </c>
      <c r="O160" s="5" t="n">
        <v>0</v>
      </c>
      <c r="P160" s="5" t="n">
        <v>0</v>
      </c>
      <c r="Q160" s="5" t="n">
        <v>0</v>
      </c>
      <c r="R160" s="5" t="n">
        <v>0</v>
      </c>
      <c r="S160" s="5" t="n">
        <v>0</v>
      </c>
      <c r="T160" s="5" t="n">
        <v>0</v>
      </c>
      <c r="U160" s="5" t="inlineStr">
        <is>
          <t>testing</t>
        </is>
      </c>
    </row>
    <row r="161">
      <c r="A161" s="5" t="n">
        <v>133</v>
      </c>
      <c r="B161" s="5" t="n">
        <v>0</v>
      </c>
      <c r="C161" s="5" t="n">
        <v>15</v>
      </c>
      <c r="D161" s="5" t="n">
        <v>2708</v>
      </c>
      <c r="E161" s="5" t="n">
        <v>27</v>
      </c>
      <c r="F161" s="5" t="n">
        <v>2</v>
      </c>
      <c r="G161" s="5" t="n">
        <v>0</v>
      </c>
      <c r="H161" s="5" t="n">
        <v>0</v>
      </c>
      <c r="I161" s="5" t="n">
        <v>0</v>
      </c>
      <c r="J161" s="5" t="n">
        <v>0</v>
      </c>
      <c r="K161" s="5" t="n">
        <v>0</v>
      </c>
      <c r="L161" s="5" t="n">
        <v>0</v>
      </c>
      <c r="M161" s="5" t="n">
        <v>0</v>
      </c>
      <c r="N161" s="5" t="n">
        <v>0</v>
      </c>
      <c r="O161" s="5" t="n">
        <v>0</v>
      </c>
      <c r="P161" s="5" t="n">
        <v>0</v>
      </c>
      <c r="Q161" s="5" t="n">
        <v>0</v>
      </c>
      <c r="R161" s="5" t="n">
        <v>0</v>
      </c>
      <c r="S161" s="5" t="n">
        <v>0</v>
      </c>
      <c r="T161" s="5" t="n">
        <v>1</v>
      </c>
      <c r="U161" s="5" t="inlineStr">
        <is>
          <t>training</t>
        </is>
      </c>
    </row>
    <row r="162">
      <c r="A162" s="5" t="n">
        <v>134</v>
      </c>
      <c r="B162" s="5" t="n">
        <v>0</v>
      </c>
      <c r="C162" s="5" t="n">
        <v>18</v>
      </c>
      <c r="D162" s="5" t="n">
        <v>1984</v>
      </c>
      <c r="E162" s="5" t="n">
        <v>47</v>
      </c>
      <c r="F162" s="5" t="n">
        <v>4</v>
      </c>
      <c r="G162" s="5" t="n">
        <v>0</v>
      </c>
      <c r="H162" s="5" t="n">
        <v>0</v>
      </c>
      <c r="I162" s="5" t="n">
        <v>0</v>
      </c>
      <c r="J162" s="5" t="n">
        <v>0</v>
      </c>
      <c r="K162" s="5" t="n">
        <v>0</v>
      </c>
      <c r="L162" s="5" t="n">
        <v>0</v>
      </c>
      <c r="M162" s="5" t="n">
        <v>0</v>
      </c>
      <c r="N162" s="5" t="n">
        <v>0</v>
      </c>
      <c r="O162" s="5" t="n">
        <v>0</v>
      </c>
      <c r="P162" s="5" t="n">
        <v>0</v>
      </c>
      <c r="Q162" s="5" t="n">
        <v>1</v>
      </c>
      <c r="R162" s="5" t="n">
        <v>0</v>
      </c>
      <c r="S162" s="5" t="n">
        <v>0</v>
      </c>
      <c r="T162" s="5" t="n">
        <v>1</v>
      </c>
      <c r="U162" s="5" t="inlineStr">
        <is>
          <t>training</t>
        </is>
      </c>
    </row>
    <row r="163">
      <c r="A163" s="5" t="n">
        <v>135</v>
      </c>
      <c r="B163" s="5" t="n">
        <v>0</v>
      </c>
      <c r="C163" s="5" t="n">
        <v>60</v>
      </c>
      <c r="D163" s="5" t="n">
        <v>10144</v>
      </c>
      <c r="E163" s="5" t="n">
        <v>21</v>
      </c>
      <c r="F163" s="5" t="n">
        <v>2</v>
      </c>
      <c r="G163" s="5" t="n">
        <v>0</v>
      </c>
      <c r="H163" s="5" t="n">
        <v>0</v>
      </c>
      <c r="I163" s="5" t="n">
        <v>0</v>
      </c>
      <c r="J163" s="5" t="n">
        <v>0</v>
      </c>
      <c r="K163" s="5" t="n">
        <v>0</v>
      </c>
      <c r="L163" s="5" t="n">
        <v>0</v>
      </c>
      <c r="M163" s="5" t="n">
        <v>1</v>
      </c>
      <c r="N163" s="5" t="n">
        <v>0</v>
      </c>
      <c r="O163" s="5" t="n">
        <v>0</v>
      </c>
      <c r="P163" s="5" t="n">
        <v>0</v>
      </c>
      <c r="Q163" s="5" t="n">
        <v>0</v>
      </c>
      <c r="R163" s="5" t="n">
        <v>0</v>
      </c>
      <c r="S163" s="5" t="n">
        <v>1</v>
      </c>
      <c r="T163" s="5" t="n">
        <v>0</v>
      </c>
      <c r="U163" s="5" t="inlineStr">
        <is>
          <t>training</t>
        </is>
      </c>
    </row>
    <row r="164">
      <c r="A164" s="5" t="n">
        <v>136</v>
      </c>
      <c r="B164" s="5" t="n">
        <v>0</v>
      </c>
      <c r="C164" s="5" t="n">
        <v>12</v>
      </c>
      <c r="D164" s="5" t="n">
        <v>1240</v>
      </c>
      <c r="E164" s="5" t="n">
        <v>38</v>
      </c>
      <c r="F164" s="5" t="n">
        <v>4</v>
      </c>
      <c r="G164" s="5" t="n">
        <v>0</v>
      </c>
      <c r="H164" s="5" t="n">
        <v>0</v>
      </c>
      <c r="I164" s="5" t="n">
        <v>0</v>
      </c>
      <c r="J164" s="5" t="n">
        <v>1</v>
      </c>
      <c r="K164" s="5" t="n">
        <v>0</v>
      </c>
      <c r="L164" s="5" t="n">
        <v>0</v>
      </c>
      <c r="M164" s="5" t="n">
        <v>0</v>
      </c>
      <c r="N164" s="5" t="n">
        <v>0</v>
      </c>
      <c r="O164" s="5" t="n">
        <v>1</v>
      </c>
      <c r="P164" s="5" t="n">
        <v>0</v>
      </c>
      <c r="Q164" s="5" t="n">
        <v>0</v>
      </c>
      <c r="R164" s="5" t="n">
        <v>0</v>
      </c>
      <c r="S164" s="5" t="n">
        <v>1</v>
      </c>
      <c r="T164" s="5" t="n">
        <v>0</v>
      </c>
      <c r="U164" s="5" t="inlineStr">
        <is>
          <t>testing</t>
        </is>
      </c>
    </row>
    <row r="165">
      <c r="A165" s="5" t="n">
        <v>137</v>
      </c>
      <c r="B165" s="5" t="n">
        <v>0</v>
      </c>
      <c r="C165" s="5" t="n">
        <v>27</v>
      </c>
      <c r="D165" s="5" t="n">
        <v>8613</v>
      </c>
      <c r="E165" s="5" t="n">
        <v>27</v>
      </c>
      <c r="F165" s="5" t="n">
        <v>2</v>
      </c>
      <c r="G165" s="5" t="n">
        <v>0</v>
      </c>
      <c r="H165" s="5" t="n">
        <v>0</v>
      </c>
      <c r="I165" s="5" t="n">
        <v>0</v>
      </c>
      <c r="J165" s="5" t="n">
        <v>0</v>
      </c>
      <c r="K165" s="5" t="n">
        <v>1</v>
      </c>
      <c r="L165" s="5" t="n">
        <v>0</v>
      </c>
      <c r="M165" s="5" t="n">
        <v>0</v>
      </c>
      <c r="N165" s="5" t="n">
        <v>1</v>
      </c>
      <c r="O165" s="5" t="n">
        <v>0</v>
      </c>
      <c r="P165" s="5" t="n">
        <v>0</v>
      </c>
      <c r="Q165" s="5" t="n">
        <v>0</v>
      </c>
      <c r="R165" s="5" t="n">
        <v>1</v>
      </c>
      <c r="S165" s="5" t="n">
        <v>0</v>
      </c>
      <c r="T165" s="5" t="n">
        <v>0</v>
      </c>
      <c r="U165" s="5" t="inlineStr">
        <is>
          <t>training</t>
        </is>
      </c>
    </row>
    <row r="166">
      <c r="A166" s="5" t="n">
        <v>138</v>
      </c>
      <c r="B166" s="5" t="n">
        <v>1</v>
      </c>
      <c r="C166" s="5" t="n">
        <v>12</v>
      </c>
      <c r="D166" s="5" t="n">
        <v>766</v>
      </c>
      <c r="E166" s="5" t="n">
        <v>66</v>
      </c>
      <c r="F166" s="5" t="n">
        <v>4</v>
      </c>
      <c r="G166" s="5" t="n">
        <v>0</v>
      </c>
      <c r="H166" s="5" t="n">
        <v>1</v>
      </c>
      <c r="I166" s="5" t="n">
        <v>0</v>
      </c>
      <c r="J166" s="5" t="n">
        <v>0</v>
      </c>
      <c r="K166" s="5" t="n">
        <v>0</v>
      </c>
      <c r="L166" s="5" t="n">
        <v>0</v>
      </c>
      <c r="M166" s="5" t="n">
        <v>1</v>
      </c>
      <c r="N166" s="5" t="n">
        <v>0</v>
      </c>
      <c r="O166" s="5" t="n">
        <v>0</v>
      </c>
      <c r="P166" s="5" t="n">
        <v>0</v>
      </c>
      <c r="Q166" s="5" t="n">
        <v>0</v>
      </c>
      <c r="R166" s="5" t="n">
        <v>0</v>
      </c>
      <c r="S166" s="5" t="n">
        <v>1</v>
      </c>
      <c r="T166" s="5" t="n">
        <v>0</v>
      </c>
      <c r="U166" s="5" t="inlineStr">
        <is>
          <t>training</t>
        </is>
      </c>
    </row>
    <row r="167">
      <c r="A167" s="5" t="n">
        <v>139</v>
      </c>
      <c r="B167" s="5" t="n">
        <v>0</v>
      </c>
      <c r="C167" s="5" t="n">
        <v>15</v>
      </c>
      <c r="D167" s="5" t="n">
        <v>2728</v>
      </c>
      <c r="E167" s="5" t="n">
        <v>35</v>
      </c>
      <c r="F167" s="5" t="n">
        <v>4</v>
      </c>
      <c r="G167" s="5" t="n">
        <v>0</v>
      </c>
      <c r="H167" s="5" t="n">
        <v>1</v>
      </c>
      <c r="I167" s="5" t="n">
        <v>0</v>
      </c>
      <c r="J167" s="5" t="n">
        <v>1</v>
      </c>
      <c r="K167" s="5" t="n">
        <v>0</v>
      </c>
      <c r="L167" s="5" t="n">
        <v>0</v>
      </c>
      <c r="M167" s="5" t="n">
        <v>0</v>
      </c>
      <c r="N167" s="5" t="n">
        <v>0</v>
      </c>
      <c r="O167" s="5" t="n">
        <v>1</v>
      </c>
      <c r="P167" s="5" t="n">
        <v>0</v>
      </c>
      <c r="Q167" s="5" t="n">
        <v>0</v>
      </c>
      <c r="R167" s="5" t="n">
        <v>0</v>
      </c>
      <c r="S167" s="5" t="n">
        <v>1</v>
      </c>
      <c r="T167" s="5" t="n">
        <v>0</v>
      </c>
      <c r="U167" s="5" t="inlineStr">
        <is>
          <t>training</t>
        </is>
      </c>
    </row>
    <row r="168">
      <c r="A168" s="5" t="n">
        <v>140</v>
      </c>
      <c r="B168" s="5" t="n">
        <v>0</v>
      </c>
      <c r="C168" s="5" t="n">
        <v>12</v>
      </c>
      <c r="D168" s="5" t="n">
        <v>1881</v>
      </c>
      <c r="E168" s="5" t="n">
        <v>44</v>
      </c>
      <c r="F168" s="5" t="n">
        <v>2</v>
      </c>
      <c r="G168" s="5" t="n">
        <v>0</v>
      </c>
      <c r="H168" s="5" t="n">
        <v>0</v>
      </c>
      <c r="I168" s="5" t="n">
        <v>1</v>
      </c>
      <c r="J168" s="5" t="n">
        <v>0</v>
      </c>
      <c r="K168" s="5" t="n">
        <v>0</v>
      </c>
      <c r="L168" s="5" t="n">
        <v>0</v>
      </c>
      <c r="M168" s="5" t="n">
        <v>0</v>
      </c>
      <c r="N168" s="5" t="n">
        <v>0</v>
      </c>
      <c r="O168" s="5" t="n">
        <v>0</v>
      </c>
      <c r="P168" s="5" t="n">
        <v>1</v>
      </c>
      <c r="Q168" s="5" t="n">
        <v>0</v>
      </c>
      <c r="R168" s="5" t="n">
        <v>0</v>
      </c>
      <c r="S168" s="5" t="n">
        <v>1</v>
      </c>
      <c r="T168" s="5" t="n">
        <v>0</v>
      </c>
      <c r="U168" s="5" t="inlineStr">
        <is>
          <t>testing</t>
        </is>
      </c>
    </row>
    <row r="169">
      <c r="A169" s="5" t="n">
        <v>141</v>
      </c>
      <c r="B169" s="5" t="n">
        <v>0</v>
      </c>
      <c r="C169" s="5" t="n">
        <v>6</v>
      </c>
      <c r="D169" s="5" t="n">
        <v>709</v>
      </c>
      <c r="E169" s="5" t="n">
        <v>27</v>
      </c>
      <c r="F169" s="5" t="n">
        <v>2</v>
      </c>
      <c r="G169" s="5" t="n">
        <v>0</v>
      </c>
      <c r="H169" s="5" t="n">
        <v>0</v>
      </c>
      <c r="I169" s="5" t="n">
        <v>1</v>
      </c>
      <c r="J169" s="5" t="n">
        <v>0</v>
      </c>
      <c r="K169" s="5" t="n">
        <v>0</v>
      </c>
      <c r="L169" s="5" t="n">
        <v>0</v>
      </c>
      <c r="M169" s="5" t="n">
        <v>0</v>
      </c>
      <c r="N169" s="5" t="n">
        <v>1</v>
      </c>
      <c r="O169" s="5" t="n">
        <v>0</v>
      </c>
      <c r="P169" s="5" t="n">
        <v>0</v>
      </c>
      <c r="Q169" s="5" t="n">
        <v>0</v>
      </c>
      <c r="R169" s="5" t="n">
        <v>1</v>
      </c>
      <c r="S169" s="5" t="n">
        <v>0</v>
      </c>
      <c r="T169" s="5" t="n">
        <v>0</v>
      </c>
      <c r="U169" s="5" t="inlineStr">
        <is>
          <t>training</t>
        </is>
      </c>
    </row>
    <row r="170">
      <c r="A170" s="5" t="n">
        <v>142</v>
      </c>
      <c r="B170" s="5" t="n">
        <v>0</v>
      </c>
      <c r="C170" s="5" t="n">
        <v>36</v>
      </c>
      <c r="D170" s="5" t="n">
        <v>4795</v>
      </c>
      <c r="E170" s="5" t="n">
        <v>30</v>
      </c>
      <c r="F170" s="5" t="n">
        <v>4</v>
      </c>
      <c r="G170" s="5" t="n">
        <v>0</v>
      </c>
      <c r="H170" s="5" t="n">
        <v>1</v>
      </c>
      <c r="I170" s="5" t="n">
        <v>0</v>
      </c>
      <c r="J170" s="5" t="n">
        <v>0</v>
      </c>
      <c r="K170" s="5" t="n">
        <v>0</v>
      </c>
      <c r="L170" s="5" t="n">
        <v>0</v>
      </c>
      <c r="M170" s="5" t="n">
        <v>0</v>
      </c>
      <c r="N170" s="5" t="n">
        <v>0</v>
      </c>
      <c r="O170" s="5" t="n">
        <v>0</v>
      </c>
      <c r="P170" s="5" t="n">
        <v>0</v>
      </c>
      <c r="Q170" s="5" t="n">
        <v>0</v>
      </c>
      <c r="R170" s="5" t="n">
        <v>0</v>
      </c>
      <c r="S170" s="5" t="n">
        <v>1</v>
      </c>
      <c r="T170" s="5" t="n">
        <v>0</v>
      </c>
      <c r="U170" s="5" t="inlineStr">
        <is>
          <t>training</t>
        </is>
      </c>
    </row>
    <row r="171">
      <c r="A171" s="5" t="n">
        <v>143</v>
      </c>
      <c r="B171" s="5" t="n">
        <v>0</v>
      </c>
      <c r="C171" s="5" t="n">
        <v>27</v>
      </c>
      <c r="D171" s="5" t="n">
        <v>3416</v>
      </c>
      <c r="E171" s="5" t="n">
        <v>27</v>
      </c>
      <c r="F171" s="5" t="n">
        <v>3</v>
      </c>
      <c r="G171" s="5" t="n">
        <v>1</v>
      </c>
      <c r="H171" s="5" t="n">
        <v>0</v>
      </c>
      <c r="I171" s="5" t="n">
        <v>0</v>
      </c>
      <c r="J171" s="5" t="n">
        <v>0</v>
      </c>
      <c r="K171" s="5" t="n">
        <v>0</v>
      </c>
      <c r="L171" s="5" t="n">
        <v>0</v>
      </c>
      <c r="M171" s="5" t="n">
        <v>0</v>
      </c>
      <c r="N171" s="5" t="n">
        <v>0</v>
      </c>
      <c r="O171" s="5" t="n">
        <v>0</v>
      </c>
      <c r="P171" s="5" t="n">
        <v>0</v>
      </c>
      <c r="Q171" s="5" t="n">
        <v>0</v>
      </c>
      <c r="R171" s="5" t="n">
        <v>0</v>
      </c>
      <c r="S171" s="5" t="n">
        <v>1</v>
      </c>
      <c r="T171" s="5" t="n">
        <v>0</v>
      </c>
      <c r="U171" s="5" t="inlineStr">
        <is>
          <t>training</t>
        </is>
      </c>
    </row>
    <row r="172">
      <c r="A172" s="5" t="n">
        <v>144</v>
      </c>
      <c r="B172" s="5" t="n">
        <v>1</v>
      </c>
      <c r="C172" s="5" t="n">
        <v>18</v>
      </c>
      <c r="D172" s="5" t="n">
        <v>2462</v>
      </c>
      <c r="E172" s="5" t="n">
        <v>22</v>
      </c>
      <c r="F172" s="5" t="n">
        <v>2</v>
      </c>
      <c r="G172" s="5" t="n">
        <v>1</v>
      </c>
      <c r="H172" s="5" t="n">
        <v>0</v>
      </c>
      <c r="I172" s="5" t="n">
        <v>0</v>
      </c>
      <c r="J172" s="5" t="n">
        <v>0</v>
      </c>
      <c r="K172" s="5" t="n">
        <v>0</v>
      </c>
      <c r="L172" s="5" t="n">
        <v>0</v>
      </c>
      <c r="M172" s="5" t="n">
        <v>0</v>
      </c>
      <c r="N172" s="5" t="n">
        <v>0</v>
      </c>
      <c r="O172" s="5" t="n">
        <v>0</v>
      </c>
      <c r="P172" s="5" t="n">
        <v>0</v>
      </c>
      <c r="Q172" s="5" t="n">
        <v>0</v>
      </c>
      <c r="R172" s="5" t="n">
        <v>0</v>
      </c>
      <c r="S172" s="5" t="n">
        <v>0</v>
      </c>
      <c r="T172" s="5" t="n">
        <v>1</v>
      </c>
      <c r="U172" s="5" t="inlineStr">
        <is>
          <t>training</t>
        </is>
      </c>
    </row>
    <row r="173">
      <c r="A173" s="5" t="n">
        <v>145</v>
      </c>
      <c r="B173" s="5" t="n">
        <v>0</v>
      </c>
      <c r="C173" s="5" t="n">
        <v>21</v>
      </c>
      <c r="D173" s="5" t="n">
        <v>2288</v>
      </c>
      <c r="E173" s="5" t="n">
        <v>23</v>
      </c>
      <c r="F173" s="5" t="n">
        <v>4</v>
      </c>
      <c r="G173" s="5" t="n">
        <v>0</v>
      </c>
      <c r="H173" s="5" t="n">
        <v>0</v>
      </c>
      <c r="I173" s="5" t="n">
        <v>0</v>
      </c>
      <c r="J173" s="5" t="n">
        <v>1</v>
      </c>
      <c r="K173" s="5" t="n">
        <v>0</v>
      </c>
      <c r="L173" s="5" t="n">
        <v>0</v>
      </c>
      <c r="M173" s="5" t="n">
        <v>0</v>
      </c>
      <c r="N173" s="5" t="n">
        <v>0</v>
      </c>
      <c r="O173" s="5" t="n">
        <v>0</v>
      </c>
      <c r="P173" s="5" t="n">
        <v>0</v>
      </c>
      <c r="Q173" s="5" t="n">
        <v>0</v>
      </c>
      <c r="R173" s="5" t="n">
        <v>0</v>
      </c>
      <c r="S173" s="5" t="n">
        <v>0</v>
      </c>
      <c r="T173" s="5" t="n">
        <v>1</v>
      </c>
      <c r="U173" s="5" t="inlineStr">
        <is>
          <t>training</t>
        </is>
      </c>
    </row>
    <row r="174">
      <c r="A174" s="5" t="n">
        <v>146</v>
      </c>
      <c r="B174" s="5" t="n">
        <v>0</v>
      </c>
      <c r="C174" s="5" t="n">
        <v>48</v>
      </c>
      <c r="D174" s="5" t="n">
        <v>3566</v>
      </c>
      <c r="E174" s="5" t="n">
        <v>30</v>
      </c>
      <c r="F174" s="5" t="n">
        <v>4</v>
      </c>
      <c r="G174" s="5" t="n">
        <v>0</v>
      </c>
      <c r="H174" s="5" t="n">
        <v>1</v>
      </c>
      <c r="I174" s="5" t="n">
        <v>0</v>
      </c>
      <c r="J174" s="5" t="n">
        <v>0</v>
      </c>
      <c r="K174" s="5" t="n">
        <v>0</v>
      </c>
      <c r="L174" s="5" t="n">
        <v>1</v>
      </c>
      <c r="M174" s="5" t="n">
        <v>1</v>
      </c>
      <c r="N174" s="5" t="n">
        <v>0</v>
      </c>
      <c r="O174" s="5" t="n">
        <v>0</v>
      </c>
      <c r="P174" s="5" t="n">
        <v>0</v>
      </c>
      <c r="Q174" s="5" t="n">
        <v>0</v>
      </c>
      <c r="R174" s="5" t="n">
        <v>0</v>
      </c>
      <c r="S174" s="5" t="n">
        <v>0</v>
      </c>
      <c r="T174" s="5" t="n">
        <v>0</v>
      </c>
      <c r="U174" s="5" t="inlineStr">
        <is>
          <t>testing</t>
        </is>
      </c>
    </row>
    <row r="175">
      <c r="A175" s="5" t="n">
        <v>147</v>
      </c>
      <c r="B175" s="5" t="n">
        <v>0</v>
      </c>
      <c r="C175" s="5" t="n">
        <v>6</v>
      </c>
      <c r="D175" s="5" t="n">
        <v>860</v>
      </c>
      <c r="E175" s="5" t="n">
        <v>39</v>
      </c>
      <c r="F175" s="5" t="n">
        <v>1</v>
      </c>
      <c r="G175" s="5" t="n">
        <v>1</v>
      </c>
      <c r="H175" s="5" t="n">
        <v>0</v>
      </c>
      <c r="I175" s="5" t="n">
        <v>0</v>
      </c>
      <c r="J175" s="5" t="n">
        <v>1</v>
      </c>
      <c r="K175" s="5" t="n">
        <v>0</v>
      </c>
      <c r="L175" s="5" t="n">
        <v>0</v>
      </c>
      <c r="M175" s="5" t="n">
        <v>0</v>
      </c>
      <c r="N175" s="5" t="n">
        <v>0</v>
      </c>
      <c r="O175" s="5" t="n">
        <v>0</v>
      </c>
      <c r="P175" s="5" t="n">
        <v>0</v>
      </c>
      <c r="Q175" s="5" t="n">
        <v>0</v>
      </c>
      <c r="R175" s="5" t="n">
        <v>1</v>
      </c>
      <c r="S175" s="5" t="n">
        <v>0</v>
      </c>
      <c r="T175" s="5" t="n">
        <v>0</v>
      </c>
      <c r="U175" s="5" t="inlineStr">
        <is>
          <t>testing</t>
        </is>
      </c>
    </row>
    <row r="176">
      <c r="A176" s="5" t="n">
        <v>148</v>
      </c>
      <c r="B176" s="5" t="n">
        <v>0</v>
      </c>
      <c r="C176" s="5" t="n">
        <v>12</v>
      </c>
      <c r="D176" s="5" t="n">
        <v>682</v>
      </c>
      <c r="E176" s="5" t="n">
        <v>51</v>
      </c>
      <c r="F176" s="5" t="n">
        <v>4</v>
      </c>
      <c r="G176" s="5" t="n">
        <v>0</v>
      </c>
      <c r="H176" s="5" t="n">
        <v>0</v>
      </c>
      <c r="I176" s="5" t="n">
        <v>0</v>
      </c>
      <c r="J176" s="5" t="n">
        <v>1</v>
      </c>
      <c r="K176" s="5" t="n">
        <v>0</v>
      </c>
      <c r="L176" s="5" t="n">
        <v>0</v>
      </c>
      <c r="M176" s="5" t="n">
        <v>1</v>
      </c>
      <c r="N176" s="5" t="n">
        <v>0</v>
      </c>
      <c r="O176" s="5" t="n">
        <v>0</v>
      </c>
      <c r="P176" s="5" t="n">
        <v>0</v>
      </c>
      <c r="Q176" s="5" t="n">
        <v>0</v>
      </c>
      <c r="R176" s="5" t="n">
        <v>1</v>
      </c>
      <c r="S176" s="5" t="n">
        <v>0</v>
      </c>
      <c r="T176" s="5" t="n">
        <v>0</v>
      </c>
      <c r="U176" s="5" t="inlineStr">
        <is>
          <t>training</t>
        </is>
      </c>
    </row>
    <row r="177">
      <c r="A177" s="5" t="n">
        <v>149</v>
      </c>
      <c r="B177" s="5" t="n">
        <v>0</v>
      </c>
      <c r="C177" s="5" t="n">
        <v>36</v>
      </c>
      <c r="D177" s="5" t="n">
        <v>5371</v>
      </c>
      <c r="E177" s="5" t="n">
        <v>28</v>
      </c>
      <c r="F177" s="5" t="n">
        <v>3</v>
      </c>
      <c r="G177" s="5" t="n">
        <v>1</v>
      </c>
      <c r="H177" s="5" t="n">
        <v>0</v>
      </c>
      <c r="I177" s="5" t="n">
        <v>0</v>
      </c>
      <c r="J177" s="5" t="n">
        <v>1</v>
      </c>
      <c r="K177" s="5" t="n">
        <v>0</v>
      </c>
      <c r="L177" s="5" t="n">
        <v>0</v>
      </c>
      <c r="M177" s="5" t="n">
        <v>0</v>
      </c>
      <c r="N177" s="5" t="n">
        <v>0</v>
      </c>
      <c r="O177" s="5" t="n">
        <v>0</v>
      </c>
      <c r="P177" s="5" t="n">
        <v>0</v>
      </c>
      <c r="Q177" s="5" t="n">
        <v>0</v>
      </c>
      <c r="R177" s="5" t="n">
        <v>0</v>
      </c>
      <c r="S177" s="5" t="n">
        <v>0</v>
      </c>
      <c r="T177" s="5" t="n">
        <v>1</v>
      </c>
      <c r="U177" s="5" t="inlineStr">
        <is>
          <t>training</t>
        </is>
      </c>
    </row>
    <row r="178">
      <c r="A178" s="5" t="n">
        <v>150</v>
      </c>
      <c r="B178" s="5" t="n">
        <v>0</v>
      </c>
      <c r="C178" s="5" t="n">
        <v>18</v>
      </c>
      <c r="D178" s="5" t="n">
        <v>1582</v>
      </c>
      <c r="E178" s="5" t="n">
        <v>46</v>
      </c>
      <c r="F178" s="5" t="n">
        <v>4</v>
      </c>
      <c r="G178" s="5" t="n">
        <v>0</v>
      </c>
      <c r="H178" s="5" t="n">
        <v>0</v>
      </c>
      <c r="I178" s="5" t="n">
        <v>0</v>
      </c>
      <c r="J178" s="5" t="n">
        <v>1</v>
      </c>
      <c r="K178" s="5" t="n">
        <v>0</v>
      </c>
      <c r="L178" s="5" t="n">
        <v>0</v>
      </c>
      <c r="M178" s="5" t="n">
        <v>0</v>
      </c>
      <c r="N178" s="5" t="n">
        <v>1</v>
      </c>
      <c r="O178" s="5" t="n">
        <v>0</v>
      </c>
      <c r="P178" s="5" t="n">
        <v>0</v>
      </c>
      <c r="Q178" s="5" t="n">
        <v>0</v>
      </c>
      <c r="R178" s="5" t="n">
        <v>0</v>
      </c>
      <c r="S178" s="5" t="n">
        <v>1</v>
      </c>
      <c r="T178" s="5" t="n">
        <v>0</v>
      </c>
      <c r="U178" s="5" t="inlineStr">
        <is>
          <t>training</t>
        </is>
      </c>
    </row>
    <row r="179">
      <c r="A179" s="5" t="n">
        <v>151</v>
      </c>
      <c r="B179" s="5" t="n">
        <v>0</v>
      </c>
      <c r="C179" s="5" t="n">
        <v>6</v>
      </c>
      <c r="D179" s="5" t="n">
        <v>1346</v>
      </c>
      <c r="E179" s="5" t="n">
        <v>42</v>
      </c>
      <c r="F179" s="5" t="n">
        <v>2</v>
      </c>
      <c r="G179" s="5" t="n">
        <v>0</v>
      </c>
      <c r="H179" s="5" t="n">
        <v>0</v>
      </c>
      <c r="I179" s="5" t="n">
        <v>0</v>
      </c>
      <c r="J179" s="5" t="n">
        <v>0</v>
      </c>
      <c r="K179" s="5" t="n">
        <v>0</v>
      </c>
      <c r="L179" s="5" t="n">
        <v>0</v>
      </c>
      <c r="M179" s="5" t="n">
        <v>1</v>
      </c>
      <c r="N179" s="5" t="n">
        <v>0</v>
      </c>
      <c r="O179" s="5" t="n">
        <v>0</v>
      </c>
      <c r="P179" s="5" t="n">
        <v>0</v>
      </c>
      <c r="Q179" s="5" t="n">
        <v>1</v>
      </c>
      <c r="R179" s="5" t="n">
        <v>0</v>
      </c>
      <c r="S179" s="5" t="n">
        <v>1</v>
      </c>
      <c r="T179" s="5" t="n">
        <v>0</v>
      </c>
      <c r="U179" s="5" t="inlineStr">
        <is>
          <t>training</t>
        </is>
      </c>
    </row>
    <row r="180">
      <c r="A180" s="5" t="n">
        <v>152</v>
      </c>
      <c r="B180" s="5" t="n">
        <v>0</v>
      </c>
      <c r="C180" s="5" t="n">
        <v>10</v>
      </c>
      <c r="D180" s="5" t="n">
        <v>1924</v>
      </c>
      <c r="E180" s="5" t="n">
        <v>38</v>
      </c>
      <c r="F180" s="5" t="n">
        <v>1</v>
      </c>
      <c r="G180" s="5" t="n">
        <v>0</v>
      </c>
      <c r="H180" s="5" t="n">
        <v>0</v>
      </c>
      <c r="I180" s="5" t="n">
        <v>0</v>
      </c>
      <c r="J180" s="5" t="n">
        <v>0</v>
      </c>
      <c r="K180" s="5" t="n">
        <v>0</v>
      </c>
      <c r="L180" s="5" t="n">
        <v>0</v>
      </c>
      <c r="M180" s="5" t="n">
        <v>0</v>
      </c>
      <c r="N180" s="5" t="n">
        <v>0</v>
      </c>
      <c r="O180" s="5" t="n">
        <v>0</v>
      </c>
      <c r="P180" s="5" t="n">
        <v>0</v>
      </c>
      <c r="Q180" s="5" t="n">
        <v>0</v>
      </c>
      <c r="R180" s="5" t="n">
        <v>0</v>
      </c>
      <c r="S180" s="5" t="n">
        <v>1</v>
      </c>
      <c r="T180" s="5" t="n">
        <v>0</v>
      </c>
      <c r="U180" s="5" t="inlineStr">
        <is>
          <t>training</t>
        </is>
      </c>
    </row>
    <row r="181">
      <c r="A181" s="5" t="n">
        <v>153</v>
      </c>
      <c r="B181" s="5" t="n">
        <v>0</v>
      </c>
      <c r="C181" s="5" t="n">
        <v>36</v>
      </c>
      <c r="D181" s="5" t="n">
        <v>5848</v>
      </c>
      <c r="E181" s="5" t="n">
        <v>24</v>
      </c>
      <c r="F181" s="5" t="n">
        <v>4</v>
      </c>
      <c r="G181" s="5" t="n">
        <v>0</v>
      </c>
      <c r="H181" s="5" t="n">
        <v>0</v>
      </c>
      <c r="I181" s="5" t="n">
        <v>1</v>
      </c>
      <c r="J181" s="5" t="n">
        <v>0</v>
      </c>
      <c r="K181" s="5" t="n">
        <v>0</v>
      </c>
      <c r="L181" s="5" t="n">
        <v>0</v>
      </c>
      <c r="M181" s="5" t="n">
        <v>0</v>
      </c>
      <c r="N181" s="5" t="n">
        <v>0</v>
      </c>
      <c r="O181" s="5" t="n">
        <v>0</v>
      </c>
      <c r="P181" s="5" t="n">
        <v>0</v>
      </c>
      <c r="Q181" s="5" t="n">
        <v>0</v>
      </c>
      <c r="R181" s="5" t="n">
        <v>0</v>
      </c>
      <c r="S181" s="5" t="n">
        <v>1</v>
      </c>
      <c r="T181" s="5" t="n">
        <v>0</v>
      </c>
      <c r="U181" s="5" t="inlineStr">
        <is>
          <t>training</t>
        </is>
      </c>
    </row>
    <row r="182">
      <c r="A182" s="5" t="n">
        <v>154</v>
      </c>
      <c r="B182" s="5" t="n">
        <v>0</v>
      </c>
      <c r="C182" s="5" t="n">
        <v>24</v>
      </c>
      <c r="D182" s="5" t="n">
        <v>7758</v>
      </c>
      <c r="E182" s="5" t="n">
        <v>29</v>
      </c>
      <c r="F182" s="5" t="n">
        <v>2</v>
      </c>
      <c r="G182" s="5" t="n">
        <v>0</v>
      </c>
      <c r="H182" s="5" t="n">
        <v>1</v>
      </c>
      <c r="I182" s="5" t="n">
        <v>0</v>
      </c>
      <c r="J182" s="5" t="n">
        <v>1</v>
      </c>
      <c r="K182" s="5" t="n">
        <v>0</v>
      </c>
      <c r="L182" s="5" t="n">
        <v>0</v>
      </c>
      <c r="M182" s="5" t="n">
        <v>0</v>
      </c>
      <c r="N182" s="5" t="n">
        <v>1</v>
      </c>
      <c r="O182" s="5" t="n">
        <v>0</v>
      </c>
      <c r="P182" s="5" t="n">
        <v>1</v>
      </c>
      <c r="Q182" s="5" t="n">
        <v>0</v>
      </c>
      <c r="R182" s="5" t="n">
        <v>1</v>
      </c>
      <c r="S182" s="5" t="n">
        <v>0</v>
      </c>
      <c r="T182" s="5" t="n">
        <v>0</v>
      </c>
      <c r="U182" s="5" t="inlineStr">
        <is>
          <t>training</t>
        </is>
      </c>
    </row>
    <row r="183">
      <c r="A183" s="5" t="n">
        <v>155</v>
      </c>
      <c r="B183" s="5" t="n">
        <v>0</v>
      </c>
      <c r="C183" s="5" t="n">
        <v>24</v>
      </c>
      <c r="D183" s="5" t="n">
        <v>6967</v>
      </c>
      <c r="E183" s="5" t="n">
        <v>36</v>
      </c>
      <c r="F183" s="5" t="n">
        <v>4</v>
      </c>
      <c r="G183" s="5" t="n">
        <v>0</v>
      </c>
      <c r="H183" s="5" t="n">
        <v>1</v>
      </c>
      <c r="I183" s="5" t="n">
        <v>0</v>
      </c>
      <c r="J183" s="5" t="n">
        <v>0</v>
      </c>
      <c r="K183" s="5" t="n">
        <v>1</v>
      </c>
      <c r="L183" s="5" t="n">
        <v>0</v>
      </c>
      <c r="M183" s="5" t="n">
        <v>1</v>
      </c>
      <c r="N183" s="5" t="n">
        <v>0</v>
      </c>
      <c r="O183" s="5" t="n">
        <v>0</v>
      </c>
      <c r="P183" s="5" t="n">
        <v>1</v>
      </c>
      <c r="Q183" s="5" t="n">
        <v>0</v>
      </c>
      <c r="R183" s="5" t="n">
        <v>0</v>
      </c>
      <c r="S183" s="5" t="n">
        <v>0</v>
      </c>
      <c r="T183" s="5" t="n">
        <v>0</v>
      </c>
      <c r="U183" s="5" t="inlineStr">
        <is>
          <t>testing</t>
        </is>
      </c>
    </row>
    <row r="184">
      <c r="A184" s="5" t="n">
        <v>156</v>
      </c>
      <c r="B184" s="5" t="n">
        <v>1</v>
      </c>
      <c r="C184" s="5" t="n">
        <v>12</v>
      </c>
      <c r="D184" s="5" t="n">
        <v>1282</v>
      </c>
      <c r="E184" s="5" t="n">
        <v>20</v>
      </c>
      <c r="F184" s="5" t="n">
        <v>2</v>
      </c>
      <c r="G184" s="5" t="n">
        <v>1</v>
      </c>
      <c r="H184" s="5" t="n">
        <v>0</v>
      </c>
      <c r="I184" s="5" t="n">
        <v>0</v>
      </c>
      <c r="J184" s="5" t="n">
        <v>0</v>
      </c>
      <c r="K184" s="5" t="n">
        <v>0</v>
      </c>
      <c r="L184" s="5" t="n">
        <v>0</v>
      </c>
      <c r="M184" s="5" t="n">
        <v>0</v>
      </c>
      <c r="N184" s="5" t="n">
        <v>0</v>
      </c>
      <c r="O184" s="5" t="n">
        <v>0</v>
      </c>
      <c r="P184" s="5" t="n">
        <v>1</v>
      </c>
      <c r="Q184" s="5" t="n">
        <v>0</v>
      </c>
      <c r="R184" s="5" t="n">
        <v>0</v>
      </c>
      <c r="S184" s="5" t="n">
        <v>0</v>
      </c>
      <c r="T184" s="5" t="n">
        <v>1</v>
      </c>
      <c r="U184" s="5" t="inlineStr">
        <is>
          <t>training</t>
        </is>
      </c>
    </row>
    <row r="185">
      <c r="A185" s="5" t="n">
        <v>157</v>
      </c>
      <c r="B185" s="5" t="n">
        <v>0</v>
      </c>
      <c r="C185" s="5" t="n">
        <v>9</v>
      </c>
      <c r="D185" s="5" t="n">
        <v>1288</v>
      </c>
      <c r="E185" s="5" t="n">
        <v>48</v>
      </c>
      <c r="F185" s="5" t="n">
        <v>3</v>
      </c>
      <c r="G185" s="5" t="n">
        <v>1</v>
      </c>
      <c r="H185" s="5" t="n">
        <v>0</v>
      </c>
      <c r="I185" s="5" t="n">
        <v>0</v>
      </c>
      <c r="J185" s="5" t="n">
        <v>1</v>
      </c>
      <c r="K185" s="5" t="n">
        <v>0</v>
      </c>
      <c r="L185" s="5" t="n">
        <v>0</v>
      </c>
      <c r="M185" s="5" t="n">
        <v>1</v>
      </c>
      <c r="N185" s="5" t="n">
        <v>0</v>
      </c>
      <c r="O185" s="5" t="n">
        <v>0</v>
      </c>
      <c r="P185" s="5" t="n">
        <v>0</v>
      </c>
      <c r="Q185" s="5" t="n">
        <v>0</v>
      </c>
      <c r="R185" s="5" t="n">
        <v>0</v>
      </c>
      <c r="S185" s="5" t="n">
        <v>0</v>
      </c>
      <c r="T185" s="5" t="n">
        <v>0</v>
      </c>
      <c r="U185" s="5" t="inlineStr">
        <is>
          <t>testing</t>
        </is>
      </c>
    </row>
    <row r="186">
      <c r="A186" s="5" t="n">
        <v>158</v>
      </c>
      <c r="B186" s="5" t="n">
        <v>0</v>
      </c>
      <c r="C186" s="5" t="n">
        <v>12</v>
      </c>
      <c r="D186" s="5" t="n">
        <v>339</v>
      </c>
      <c r="E186" s="5" t="n">
        <v>45</v>
      </c>
      <c r="F186" s="5" t="n">
        <v>4</v>
      </c>
      <c r="G186" s="5" t="n">
        <v>1</v>
      </c>
      <c r="H186" s="5" t="n">
        <v>0</v>
      </c>
      <c r="I186" s="5" t="n">
        <v>0</v>
      </c>
      <c r="J186" s="5" t="n">
        <v>0</v>
      </c>
      <c r="K186" s="5" t="n">
        <v>0</v>
      </c>
      <c r="L186" s="5" t="n">
        <v>1</v>
      </c>
      <c r="M186" s="5" t="n">
        <v>0</v>
      </c>
      <c r="N186" s="5" t="n">
        <v>0</v>
      </c>
      <c r="O186" s="5" t="n">
        <v>0</v>
      </c>
      <c r="P186" s="5" t="n">
        <v>0</v>
      </c>
      <c r="Q186" s="5" t="n">
        <v>0</v>
      </c>
      <c r="R186" s="5" t="n">
        <v>0</v>
      </c>
      <c r="S186" s="5" t="n">
        <v>0</v>
      </c>
      <c r="T186" s="5" t="n">
        <v>0</v>
      </c>
      <c r="U186" s="5" t="inlineStr">
        <is>
          <t>training</t>
        </is>
      </c>
    </row>
    <row r="187">
      <c r="A187" s="5" t="n">
        <v>159</v>
      </c>
      <c r="B187" s="5" t="n">
        <v>0</v>
      </c>
      <c r="C187" s="5" t="n">
        <v>24</v>
      </c>
      <c r="D187" s="5" t="n">
        <v>3512</v>
      </c>
      <c r="E187" s="5" t="n">
        <v>38</v>
      </c>
      <c r="F187" s="5" t="n">
        <v>2</v>
      </c>
      <c r="G187" s="5" t="n">
        <v>0</v>
      </c>
      <c r="H187" s="5" t="n">
        <v>1</v>
      </c>
      <c r="I187" s="5" t="n">
        <v>0</v>
      </c>
      <c r="J187" s="5" t="n">
        <v>0</v>
      </c>
      <c r="K187" s="5" t="n">
        <v>0</v>
      </c>
      <c r="L187" s="5" t="n">
        <v>0</v>
      </c>
      <c r="M187" s="5" t="n">
        <v>1</v>
      </c>
      <c r="N187" s="5" t="n">
        <v>0</v>
      </c>
      <c r="O187" s="5" t="n">
        <v>0</v>
      </c>
      <c r="P187" s="5" t="n">
        <v>0</v>
      </c>
      <c r="Q187" s="5" t="n">
        <v>0</v>
      </c>
      <c r="R187" s="5" t="n">
        <v>1</v>
      </c>
      <c r="S187" s="5" t="n">
        <v>0</v>
      </c>
      <c r="T187" s="5" t="n">
        <v>0</v>
      </c>
      <c r="U187" s="5" t="inlineStr">
        <is>
          <t>training</t>
        </is>
      </c>
    </row>
    <row r="188">
      <c r="A188" s="5" t="n">
        <v>160</v>
      </c>
      <c r="B188" s="5" t="n">
        <v>0</v>
      </c>
      <c r="C188" s="5" t="n">
        <v>6</v>
      </c>
      <c r="D188" s="5" t="n">
        <v>1898</v>
      </c>
      <c r="E188" s="5" t="n">
        <v>34</v>
      </c>
      <c r="F188" s="5" t="n">
        <v>1</v>
      </c>
      <c r="G188" s="5" t="n">
        <v>0</v>
      </c>
      <c r="H188" s="5" t="n">
        <v>0</v>
      </c>
      <c r="I188" s="5" t="n">
        <v>0</v>
      </c>
      <c r="J188" s="5" t="n">
        <v>1</v>
      </c>
      <c r="K188" s="5" t="n">
        <v>0</v>
      </c>
      <c r="L188" s="5" t="n">
        <v>0</v>
      </c>
      <c r="M188" s="5" t="n">
        <v>0</v>
      </c>
      <c r="N188" s="5" t="n">
        <v>0</v>
      </c>
      <c r="O188" s="5" t="n">
        <v>1</v>
      </c>
      <c r="P188" s="5" t="n">
        <v>0</v>
      </c>
      <c r="Q188" s="5" t="n">
        <v>0</v>
      </c>
      <c r="R188" s="5" t="n">
        <v>0</v>
      </c>
      <c r="S188" s="5" t="n">
        <v>1</v>
      </c>
      <c r="T188" s="5" t="n">
        <v>0</v>
      </c>
      <c r="U188" s="5" t="inlineStr">
        <is>
          <t>training</t>
        </is>
      </c>
    </row>
    <row r="189">
      <c r="A189" s="5" t="n">
        <v>161</v>
      </c>
      <c r="B189" s="5" t="n">
        <v>0</v>
      </c>
      <c r="C189" s="5" t="n">
        <v>24</v>
      </c>
      <c r="D189" s="5" t="n">
        <v>2872</v>
      </c>
      <c r="E189" s="5" t="n">
        <v>36</v>
      </c>
      <c r="F189" s="5" t="n">
        <v>3</v>
      </c>
      <c r="G189" s="5" t="n">
        <v>0</v>
      </c>
      <c r="H189" s="5" t="n">
        <v>0</v>
      </c>
      <c r="I189" s="5" t="n">
        <v>0</v>
      </c>
      <c r="J189" s="5" t="n">
        <v>1</v>
      </c>
      <c r="K189" s="5" t="n">
        <v>0</v>
      </c>
      <c r="L189" s="5" t="n">
        <v>0</v>
      </c>
      <c r="M189" s="5" t="n">
        <v>1</v>
      </c>
      <c r="N189" s="5" t="n">
        <v>0</v>
      </c>
      <c r="O189" s="5" t="n">
        <v>0</v>
      </c>
      <c r="P189" s="5" t="n">
        <v>0</v>
      </c>
      <c r="Q189" s="5" t="n">
        <v>0</v>
      </c>
      <c r="R189" s="5" t="n">
        <v>0</v>
      </c>
      <c r="S189" s="5" t="n">
        <v>1</v>
      </c>
      <c r="T189" s="5" t="n">
        <v>0</v>
      </c>
      <c r="U189" s="5" t="inlineStr">
        <is>
          <t>training</t>
        </is>
      </c>
    </row>
    <row r="190">
      <c r="A190" s="5" t="n">
        <v>162</v>
      </c>
      <c r="B190" s="5" t="n">
        <v>0</v>
      </c>
      <c r="C190" s="5" t="n">
        <v>18</v>
      </c>
      <c r="D190" s="5" t="n">
        <v>1055</v>
      </c>
      <c r="E190" s="5" t="n">
        <v>30</v>
      </c>
      <c r="F190" s="5" t="n">
        <v>4</v>
      </c>
      <c r="G190" s="5" t="n">
        <v>0</v>
      </c>
      <c r="H190" s="5" t="n">
        <v>0</v>
      </c>
      <c r="I190" s="5" t="n">
        <v>0</v>
      </c>
      <c r="J190" s="5" t="n">
        <v>1</v>
      </c>
      <c r="K190" s="5" t="n">
        <v>0</v>
      </c>
      <c r="L190" s="5" t="n">
        <v>0</v>
      </c>
      <c r="M190" s="5" t="n">
        <v>0</v>
      </c>
      <c r="N190" s="5" t="n">
        <v>0</v>
      </c>
      <c r="O190" s="5" t="n">
        <v>0</v>
      </c>
      <c r="P190" s="5" t="n">
        <v>0</v>
      </c>
      <c r="Q190" s="5" t="n">
        <v>0</v>
      </c>
      <c r="R190" s="5" t="n">
        <v>1</v>
      </c>
      <c r="S190" s="5" t="n">
        <v>0</v>
      </c>
      <c r="T190" s="5" t="n">
        <v>0</v>
      </c>
      <c r="U190" s="5" t="inlineStr">
        <is>
          <t>training</t>
        </is>
      </c>
    </row>
    <row r="191">
      <c r="A191" s="5" t="n">
        <v>163</v>
      </c>
      <c r="B191" s="5" t="n">
        <v>0</v>
      </c>
      <c r="C191" s="5" t="n">
        <v>15</v>
      </c>
      <c r="D191" s="5" t="n">
        <v>1262</v>
      </c>
      <c r="E191" s="5" t="n">
        <v>36</v>
      </c>
      <c r="F191" s="5" t="n">
        <v>4</v>
      </c>
      <c r="G191" s="5" t="n">
        <v>0</v>
      </c>
      <c r="H191" s="5" t="n">
        <v>0</v>
      </c>
      <c r="I191" s="5" t="n">
        <v>0</v>
      </c>
      <c r="J191" s="5" t="n">
        <v>0</v>
      </c>
      <c r="K191" s="5" t="n">
        <v>0</v>
      </c>
      <c r="L191" s="5" t="n">
        <v>0</v>
      </c>
      <c r="M191" s="5" t="n">
        <v>1</v>
      </c>
      <c r="N191" s="5" t="n">
        <v>0</v>
      </c>
      <c r="O191" s="5" t="n">
        <v>0</v>
      </c>
      <c r="P191" s="5" t="n">
        <v>0</v>
      </c>
      <c r="Q191" s="5" t="n">
        <v>0</v>
      </c>
      <c r="R191" s="5" t="n">
        <v>0</v>
      </c>
      <c r="S191" s="5" t="n">
        <v>0</v>
      </c>
      <c r="T191" s="5" t="n">
        <v>0</v>
      </c>
      <c r="U191" s="5" t="inlineStr">
        <is>
          <t>training</t>
        </is>
      </c>
    </row>
    <row r="192">
      <c r="A192" s="5" t="n">
        <v>164</v>
      </c>
      <c r="B192" s="5" t="n">
        <v>0</v>
      </c>
      <c r="C192" s="5" t="n">
        <v>10</v>
      </c>
      <c r="D192" s="5" t="n">
        <v>7308</v>
      </c>
      <c r="E192" s="5" t="n">
        <v>70</v>
      </c>
      <c r="F192" s="5" t="n">
        <v>2</v>
      </c>
      <c r="G192" s="5" t="n">
        <v>0</v>
      </c>
      <c r="H192" s="5" t="n">
        <v>1</v>
      </c>
      <c r="I192" s="5" t="n">
        <v>0</v>
      </c>
      <c r="J192" s="5" t="n">
        <v>0</v>
      </c>
      <c r="K192" s="5" t="n">
        <v>0</v>
      </c>
      <c r="L192" s="5" t="n">
        <v>0</v>
      </c>
      <c r="M192" s="5" t="n">
        <v>0</v>
      </c>
      <c r="N192" s="5" t="n">
        <v>0</v>
      </c>
      <c r="O192" s="5" t="n">
        <v>0</v>
      </c>
      <c r="P192" s="5" t="n">
        <v>0</v>
      </c>
      <c r="Q192" s="5" t="n">
        <v>1</v>
      </c>
      <c r="R192" s="5" t="n">
        <v>1</v>
      </c>
      <c r="S192" s="5" t="n">
        <v>0</v>
      </c>
      <c r="T192" s="5" t="n">
        <v>0</v>
      </c>
      <c r="U192" s="5" t="inlineStr">
        <is>
          <t>training</t>
        </is>
      </c>
    </row>
    <row r="193">
      <c r="A193" s="5" t="n">
        <v>165</v>
      </c>
      <c r="B193" s="5" t="n">
        <v>0</v>
      </c>
      <c r="C193" s="5" t="n">
        <v>36</v>
      </c>
      <c r="D193" s="5" t="n">
        <v>909</v>
      </c>
      <c r="E193" s="5" t="n">
        <v>36</v>
      </c>
      <c r="F193" s="5" t="n">
        <v>4</v>
      </c>
      <c r="G193" s="5" t="n">
        <v>0</v>
      </c>
      <c r="H193" s="5" t="n">
        <v>0</v>
      </c>
      <c r="I193" s="5" t="n">
        <v>0</v>
      </c>
      <c r="J193" s="5" t="n">
        <v>0</v>
      </c>
      <c r="K193" s="5" t="n">
        <v>0</v>
      </c>
      <c r="L193" s="5" t="n">
        <v>0</v>
      </c>
      <c r="M193" s="5" t="n">
        <v>1</v>
      </c>
      <c r="N193" s="5" t="n">
        <v>0</v>
      </c>
      <c r="O193" s="5" t="n">
        <v>0</v>
      </c>
      <c r="P193" s="5" t="n">
        <v>0</v>
      </c>
      <c r="Q193" s="5" t="n">
        <v>0</v>
      </c>
      <c r="R193" s="5" t="n">
        <v>1</v>
      </c>
      <c r="S193" s="5" t="n">
        <v>0</v>
      </c>
      <c r="T193" s="5" t="n">
        <v>0</v>
      </c>
      <c r="U193" s="5" t="inlineStr">
        <is>
          <t>testing</t>
        </is>
      </c>
    </row>
    <row r="194">
      <c r="A194" s="5" t="n">
        <v>166</v>
      </c>
      <c r="B194" s="5" t="n">
        <v>0</v>
      </c>
      <c r="C194" s="5" t="n">
        <v>6</v>
      </c>
      <c r="D194" s="5" t="n">
        <v>2978</v>
      </c>
      <c r="E194" s="5" t="n">
        <v>32</v>
      </c>
      <c r="F194" s="5" t="n">
        <v>1</v>
      </c>
      <c r="G194" s="5" t="n">
        <v>0</v>
      </c>
      <c r="H194" s="5" t="n">
        <v>0</v>
      </c>
      <c r="I194" s="5" t="n">
        <v>0</v>
      </c>
      <c r="J194" s="5" t="n">
        <v>0</v>
      </c>
      <c r="K194" s="5" t="n">
        <v>0</v>
      </c>
      <c r="L194" s="5" t="n">
        <v>0</v>
      </c>
      <c r="M194" s="5" t="n">
        <v>1</v>
      </c>
      <c r="N194" s="5" t="n">
        <v>0</v>
      </c>
      <c r="O194" s="5" t="n">
        <v>0</v>
      </c>
      <c r="P194" s="5" t="n">
        <v>0</v>
      </c>
      <c r="Q194" s="5" t="n">
        <v>0</v>
      </c>
      <c r="R194" s="5" t="n">
        <v>0</v>
      </c>
      <c r="S194" s="5" t="n">
        <v>0</v>
      </c>
      <c r="T194" s="5" t="n">
        <v>1</v>
      </c>
      <c r="U194" s="5" t="inlineStr">
        <is>
          <t>testing</t>
        </is>
      </c>
    </row>
    <row r="195">
      <c r="A195" s="5" t="n">
        <v>167</v>
      </c>
      <c r="B195" s="5" t="n">
        <v>1</v>
      </c>
      <c r="C195" s="5" t="n">
        <v>18</v>
      </c>
      <c r="D195" s="5" t="n">
        <v>1131</v>
      </c>
      <c r="E195" s="5" t="n">
        <v>33</v>
      </c>
      <c r="F195" s="5" t="n">
        <v>4</v>
      </c>
      <c r="G195" s="5" t="n">
        <v>1</v>
      </c>
      <c r="H195" s="5" t="n">
        <v>0</v>
      </c>
      <c r="I195" s="5" t="n">
        <v>0</v>
      </c>
      <c r="J195" s="5" t="n">
        <v>0</v>
      </c>
      <c r="K195" s="5" t="n">
        <v>0</v>
      </c>
      <c r="L195" s="5" t="n">
        <v>0</v>
      </c>
      <c r="M195" s="5" t="n">
        <v>0</v>
      </c>
      <c r="N195" s="5" t="n">
        <v>0</v>
      </c>
      <c r="O195" s="5" t="n">
        <v>0</v>
      </c>
      <c r="P195" s="5" t="n">
        <v>0</v>
      </c>
      <c r="Q195" s="5" t="n">
        <v>0</v>
      </c>
      <c r="R195" s="5" t="n">
        <v>0</v>
      </c>
      <c r="S195" s="5" t="n">
        <v>0</v>
      </c>
      <c r="T195" s="5" t="n">
        <v>1</v>
      </c>
      <c r="U195" s="5" t="inlineStr">
        <is>
          <t>training</t>
        </is>
      </c>
    </row>
    <row r="196">
      <c r="A196" s="5" t="n">
        <v>168</v>
      </c>
      <c r="B196" s="5" t="n">
        <v>0</v>
      </c>
      <c r="C196" s="5" t="n">
        <v>11</v>
      </c>
      <c r="D196" s="5" t="n">
        <v>1577</v>
      </c>
      <c r="E196" s="5" t="n">
        <v>20</v>
      </c>
      <c r="F196" s="5" t="n">
        <v>4</v>
      </c>
      <c r="G196" s="5" t="n">
        <v>0</v>
      </c>
      <c r="H196" s="5" t="n">
        <v>1</v>
      </c>
      <c r="I196" s="5" t="n">
        <v>0</v>
      </c>
      <c r="J196" s="5" t="n">
        <v>0</v>
      </c>
      <c r="K196" s="5" t="n">
        <v>0</v>
      </c>
      <c r="L196" s="5" t="n">
        <v>0</v>
      </c>
      <c r="M196" s="5" t="n">
        <v>0</v>
      </c>
      <c r="N196" s="5" t="n">
        <v>1</v>
      </c>
      <c r="O196" s="5" t="n">
        <v>0</v>
      </c>
      <c r="P196" s="5" t="n">
        <v>0</v>
      </c>
      <c r="Q196" s="5" t="n">
        <v>0</v>
      </c>
      <c r="R196" s="5" t="n">
        <v>0</v>
      </c>
      <c r="S196" s="5" t="n">
        <v>0</v>
      </c>
      <c r="T196" s="5" t="n">
        <v>1</v>
      </c>
      <c r="U196" s="5" t="inlineStr">
        <is>
          <t>testing</t>
        </is>
      </c>
    </row>
    <row r="197">
      <c r="A197" s="5" t="n">
        <v>169</v>
      </c>
      <c r="B197" s="5" t="n">
        <v>0</v>
      </c>
      <c r="C197" s="5" t="n">
        <v>24</v>
      </c>
      <c r="D197" s="5" t="n">
        <v>3972</v>
      </c>
      <c r="E197" s="5" t="n">
        <v>25</v>
      </c>
      <c r="F197" s="5" t="n">
        <v>2</v>
      </c>
      <c r="G197" s="5" t="n">
        <v>0</v>
      </c>
      <c r="H197" s="5" t="n">
        <v>0</v>
      </c>
      <c r="I197" s="5" t="n">
        <v>0</v>
      </c>
      <c r="J197" s="5" t="n">
        <v>0</v>
      </c>
      <c r="K197" s="5" t="n">
        <v>0</v>
      </c>
      <c r="L197" s="5" t="n">
        <v>0</v>
      </c>
      <c r="M197" s="5" t="n">
        <v>0</v>
      </c>
      <c r="N197" s="5" t="n">
        <v>0</v>
      </c>
      <c r="O197" s="5" t="n">
        <v>0</v>
      </c>
      <c r="P197" s="5" t="n">
        <v>1</v>
      </c>
      <c r="Q197" s="5" t="n">
        <v>0</v>
      </c>
      <c r="R197" s="5" t="n">
        <v>0</v>
      </c>
      <c r="S197" s="5" t="n">
        <v>0</v>
      </c>
      <c r="T197" s="5" t="n">
        <v>1</v>
      </c>
      <c r="U197" s="5" t="inlineStr">
        <is>
          <t>training</t>
        </is>
      </c>
    </row>
    <row r="198">
      <c r="A198" s="5" t="n">
        <v>170</v>
      </c>
      <c r="B198" s="5" t="n">
        <v>1</v>
      </c>
      <c r="C198" s="5" t="n">
        <v>24</v>
      </c>
      <c r="D198" s="5" t="n">
        <v>1935</v>
      </c>
      <c r="E198" s="5" t="n">
        <v>31</v>
      </c>
      <c r="F198" s="5" t="n">
        <v>4</v>
      </c>
      <c r="G198" s="5" t="n">
        <v>0</v>
      </c>
      <c r="H198" s="5" t="n">
        <v>1</v>
      </c>
      <c r="I198" s="5" t="n">
        <v>0</v>
      </c>
      <c r="J198" s="5" t="n">
        <v>1</v>
      </c>
      <c r="K198" s="5" t="n">
        <v>0</v>
      </c>
      <c r="L198" s="5" t="n">
        <v>0</v>
      </c>
      <c r="M198" s="5" t="n">
        <v>0</v>
      </c>
      <c r="N198" s="5" t="n">
        <v>0</v>
      </c>
      <c r="O198" s="5" t="n">
        <v>0</v>
      </c>
      <c r="P198" s="5" t="n">
        <v>0</v>
      </c>
      <c r="Q198" s="5" t="n">
        <v>0</v>
      </c>
      <c r="R198" s="5" t="n">
        <v>0</v>
      </c>
      <c r="S198" s="5" t="n">
        <v>0</v>
      </c>
      <c r="T198" s="5" t="n">
        <v>0</v>
      </c>
      <c r="U198" s="5" t="inlineStr">
        <is>
          <t>testing</t>
        </is>
      </c>
    </row>
    <row r="199">
      <c r="A199" s="5" t="n">
        <v>171</v>
      </c>
      <c r="B199" s="5" t="n">
        <v>1</v>
      </c>
      <c r="C199" s="5" t="n">
        <v>15</v>
      </c>
      <c r="D199" s="5" t="n">
        <v>950</v>
      </c>
      <c r="E199" s="5" t="n">
        <v>33</v>
      </c>
      <c r="F199" s="5" t="n">
        <v>4</v>
      </c>
      <c r="G199" s="5" t="n">
        <v>1</v>
      </c>
      <c r="H199" s="5" t="n">
        <v>0</v>
      </c>
      <c r="I199" s="5" t="n">
        <v>0</v>
      </c>
      <c r="J199" s="5" t="n">
        <v>0</v>
      </c>
      <c r="K199" s="5" t="n">
        <v>0</v>
      </c>
      <c r="L199" s="5" t="n">
        <v>1</v>
      </c>
      <c r="M199" s="5" t="n">
        <v>0</v>
      </c>
      <c r="N199" s="5" t="n">
        <v>0</v>
      </c>
      <c r="O199" s="5" t="n">
        <v>0</v>
      </c>
      <c r="P199" s="5" t="n">
        <v>1</v>
      </c>
      <c r="Q199" s="5" t="n">
        <v>0</v>
      </c>
      <c r="R199" s="5" t="n">
        <v>1</v>
      </c>
      <c r="S199" s="5" t="n">
        <v>0</v>
      </c>
      <c r="T199" s="5" t="n">
        <v>0</v>
      </c>
      <c r="U199" s="5" t="inlineStr">
        <is>
          <t>testing</t>
        </is>
      </c>
    </row>
    <row r="200">
      <c r="A200" s="5" t="n">
        <v>172</v>
      </c>
      <c r="B200" s="5" t="n">
        <v>0</v>
      </c>
      <c r="C200" s="5" t="n">
        <v>12</v>
      </c>
      <c r="D200" s="5" t="n">
        <v>763</v>
      </c>
      <c r="E200" s="5" t="n">
        <v>26</v>
      </c>
      <c r="F200" s="5" t="n">
        <v>4</v>
      </c>
      <c r="G200" s="5" t="n">
        <v>0</v>
      </c>
      <c r="H200" s="5" t="n">
        <v>0</v>
      </c>
      <c r="I200" s="5" t="n">
        <v>0</v>
      </c>
      <c r="J200" s="5" t="n">
        <v>0</v>
      </c>
      <c r="K200" s="5" t="n">
        <v>0</v>
      </c>
      <c r="L200" s="5" t="n">
        <v>0</v>
      </c>
      <c r="M200" s="5" t="n">
        <v>0</v>
      </c>
      <c r="N200" s="5" t="n">
        <v>0</v>
      </c>
      <c r="O200" s="5" t="n">
        <v>0</v>
      </c>
      <c r="P200" s="5" t="n">
        <v>0</v>
      </c>
      <c r="Q200" s="5" t="n">
        <v>0</v>
      </c>
      <c r="R200" s="5" t="n">
        <v>0</v>
      </c>
      <c r="S200" s="5" t="n">
        <v>0</v>
      </c>
      <c r="T200" s="5" t="n">
        <v>1</v>
      </c>
      <c r="U200" s="5" t="inlineStr">
        <is>
          <t>training</t>
        </is>
      </c>
    </row>
    <row r="201">
      <c r="A201" s="5" t="n">
        <v>173</v>
      </c>
      <c r="B201" s="5" t="n">
        <v>1</v>
      </c>
      <c r="C201" s="5" t="n">
        <v>24</v>
      </c>
      <c r="D201" s="5" t="n">
        <v>2064</v>
      </c>
      <c r="E201" s="5" t="n">
        <v>34</v>
      </c>
      <c r="F201" s="5" t="n">
        <v>3</v>
      </c>
      <c r="G201" s="5" t="n">
        <v>0</v>
      </c>
      <c r="H201" s="5" t="n">
        <v>1</v>
      </c>
      <c r="I201" s="5" t="n">
        <v>0</v>
      </c>
      <c r="J201" s="5" t="n">
        <v>0</v>
      </c>
      <c r="K201" s="5" t="n">
        <v>1</v>
      </c>
      <c r="L201" s="5" t="n">
        <v>0</v>
      </c>
      <c r="M201" s="5" t="n">
        <v>0</v>
      </c>
      <c r="N201" s="5" t="n">
        <v>0</v>
      </c>
      <c r="O201" s="5" t="n">
        <v>0</v>
      </c>
      <c r="P201" s="5" t="n">
        <v>0</v>
      </c>
      <c r="Q201" s="5" t="n">
        <v>0</v>
      </c>
      <c r="R201" s="5" t="n">
        <v>0</v>
      </c>
      <c r="S201" s="5" t="n">
        <v>0</v>
      </c>
      <c r="T201" s="5" t="n">
        <v>1</v>
      </c>
      <c r="U201" s="5" t="inlineStr">
        <is>
          <t>training</t>
        </is>
      </c>
    </row>
    <row r="202">
      <c r="A202" s="5" t="n">
        <v>174</v>
      </c>
      <c r="B202" s="5" t="n">
        <v>0</v>
      </c>
      <c r="C202" s="5" t="n">
        <v>8</v>
      </c>
      <c r="D202" s="5" t="n">
        <v>1414</v>
      </c>
      <c r="E202" s="5" t="n">
        <v>33</v>
      </c>
      <c r="F202" s="5" t="n">
        <v>4</v>
      </c>
      <c r="G202" s="5" t="n">
        <v>0</v>
      </c>
      <c r="H202" s="5" t="n">
        <v>1</v>
      </c>
      <c r="I202" s="5" t="n">
        <v>0</v>
      </c>
      <c r="J202" s="5" t="n">
        <v>0</v>
      </c>
      <c r="K202" s="5" t="n">
        <v>0</v>
      </c>
      <c r="L202" s="5" t="n">
        <v>0</v>
      </c>
      <c r="M202" s="5" t="n">
        <v>0</v>
      </c>
      <c r="N202" s="5" t="n">
        <v>0</v>
      </c>
      <c r="O202" s="5" t="n">
        <v>0</v>
      </c>
      <c r="P202" s="5" t="n">
        <v>0</v>
      </c>
      <c r="Q202" s="5" t="n">
        <v>0</v>
      </c>
      <c r="R202" s="5" t="n">
        <v>0</v>
      </c>
      <c r="S202" s="5" t="n">
        <v>1</v>
      </c>
      <c r="T202" s="5" t="n">
        <v>0</v>
      </c>
      <c r="U202" s="5" t="inlineStr">
        <is>
          <t>training</t>
        </is>
      </c>
    </row>
    <row r="203">
      <c r="A203" s="5" t="n">
        <v>175</v>
      </c>
      <c r="B203" s="5" t="n">
        <v>1</v>
      </c>
      <c r="C203" s="5" t="n">
        <v>21</v>
      </c>
      <c r="D203" s="5" t="n">
        <v>3414</v>
      </c>
      <c r="E203" s="5" t="n">
        <v>26</v>
      </c>
      <c r="F203" s="5" t="n">
        <v>2</v>
      </c>
      <c r="G203" s="5" t="n">
        <v>1</v>
      </c>
      <c r="H203" s="5" t="n">
        <v>0</v>
      </c>
      <c r="I203" s="5" t="n">
        <v>0</v>
      </c>
      <c r="J203" s="5" t="n">
        <v>0</v>
      </c>
      <c r="K203" s="5" t="n">
        <v>1</v>
      </c>
      <c r="L203" s="5" t="n">
        <v>0</v>
      </c>
      <c r="M203" s="5" t="n">
        <v>0</v>
      </c>
      <c r="N203" s="5" t="n">
        <v>0</v>
      </c>
      <c r="O203" s="5" t="n">
        <v>0</v>
      </c>
      <c r="P203" s="5" t="n">
        <v>0</v>
      </c>
      <c r="Q203" s="5" t="n">
        <v>0</v>
      </c>
      <c r="R203" s="5" t="n">
        <v>0</v>
      </c>
      <c r="S203" s="5" t="n">
        <v>0</v>
      </c>
      <c r="T203" s="5" t="n">
        <v>0</v>
      </c>
      <c r="U203" s="5" t="inlineStr">
        <is>
          <t>training</t>
        </is>
      </c>
    </row>
    <row r="204">
      <c r="A204" s="5" t="n">
        <v>176</v>
      </c>
      <c r="B204" s="5" t="n">
        <v>1</v>
      </c>
      <c r="C204" s="5" t="n">
        <v>30</v>
      </c>
      <c r="D204" s="5" t="n">
        <v>7485</v>
      </c>
      <c r="E204" s="5" t="n">
        <v>53</v>
      </c>
      <c r="F204" s="5" t="n">
        <v>4</v>
      </c>
      <c r="G204" s="5" t="n">
        <v>0</v>
      </c>
      <c r="H204" s="5" t="n">
        <v>0</v>
      </c>
      <c r="I204" s="5" t="n">
        <v>0</v>
      </c>
      <c r="J204" s="5" t="n">
        <v>0</v>
      </c>
      <c r="K204" s="5" t="n">
        <v>0</v>
      </c>
      <c r="L204" s="5" t="n">
        <v>1</v>
      </c>
      <c r="M204" s="5" t="n">
        <v>0</v>
      </c>
      <c r="N204" s="5" t="n">
        <v>0</v>
      </c>
      <c r="O204" s="5" t="n">
        <v>1</v>
      </c>
      <c r="P204" s="5" t="n">
        <v>0</v>
      </c>
      <c r="Q204" s="5" t="n">
        <v>0</v>
      </c>
      <c r="R204" s="5" t="n">
        <v>1</v>
      </c>
      <c r="S204" s="5" t="n">
        <v>0</v>
      </c>
      <c r="T204" s="5" t="n">
        <v>0</v>
      </c>
      <c r="U204" s="5" t="inlineStr">
        <is>
          <t>testing</t>
        </is>
      </c>
    </row>
    <row r="205">
      <c r="A205" s="5" t="n">
        <v>177</v>
      </c>
      <c r="B205" s="5" t="n">
        <v>0</v>
      </c>
      <c r="C205" s="5" t="n">
        <v>12</v>
      </c>
      <c r="D205" s="5" t="n">
        <v>2577</v>
      </c>
      <c r="E205" s="5" t="n">
        <v>42</v>
      </c>
      <c r="F205" s="5" t="n">
        <v>2</v>
      </c>
      <c r="G205" s="5" t="n">
        <v>1</v>
      </c>
      <c r="H205" s="5" t="n">
        <v>0</v>
      </c>
      <c r="I205" s="5" t="n">
        <v>0</v>
      </c>
      <c r="J205" s="5" t="n">
        <v>0</v>
      </c>
      <c r="K205" s="5" t="n">
        <v>0</v>
      </c>
      <c r="L205" s="5" t="n">
        <v>0</v>
      </c>
      <c r="M205" s="5" t="n">
        <v>0</v>
      </c>
      <c r="N205" s="5" t="n">
        <v>0</v>
      </c>
      <c r="O205" s="5" t="n">
        <v>0</v>
      </c>
      <c r="P205" s="5" t="n">
        <v>0</v>
      </c>
      <c r="Q205" s="5" t="n">
        <v>0</v>
      </c>
      <c r="R205" s="5" t="n">
        <v>0</v>
      </c>
      <c r="S205" s="5" t="n">
        <v>0</v>
      </c>
      <c r="T205" s="5" t="n">
        <v>1</v>
      </c>
      <c r="U205" s="5" t="inlineStr">
        <is>
          <t>training</t>
        </is>
      </c>
    </row>
    <row r="206">
      <c r="A206" s="5" t="n">
        <v>178</v>
      </c>
      <c r="B206" s="5" t="n">
        <v>0</v>
      </c>
      <c r="C206" s="5" t="n">
        <v>6</v>
      </c>
      <c r="D206" s="5" t="n">
        <v>338</v>
      </c>
      <c r="E206" s="5" t="n">
        <v>52</v>
      </c>
      <c r="F206" s="5" t="n">
        <v>4</v>
      </c>
      <c r="G206" s="5" t="n">
        <v>1</v>
      </c>
      <c r="H206" s="5" t="n">
        <v>0</v>
      </c>
      <c r="I206" s="5" t="n">
        <v>0</v>
      </c>
      <c r="J206" s="5" t="n">
        <v>1</v>
      </c>
      <c r="K206" s="5" t="n">
        <v>0</v>
      </c>
      <c r="L206" s="5" t="n">
        <v>0</v>
      </c>
      <c r="M206" s="5" t="n">
        <v>1</v>
      </c>
      <c r="N206" s="5" t="n">
        <v>0</v>
      </c>
      <c r="O206" s="5" t="n">
        <v>0</v>
      </c>
      <c r="P206" s="5" t="n">
        <v>0</v>
      </c>
      <c r="Q206" s="5" t="n">
        <v>0</v>
      </c>
      <c r="R206" s="5" t="n">
        <v>0</v>
      </c>
      <c r="S206" s="5" t="n">
        <v>1</v>
      </c>
      <c r="T206" s="5" t="n">
        <v>0</v>
      </c>
      <c r="U206" s="5" t="inlineStr">
        <is>
          <t>training</t>
        </is>
      </c>
    </row>
    <row r="207">
      <c r="A207" s="5" t="n">
        <v>179</v>
      </c>
      <c r="B207" s="5" t="n">
        <v>0</v>
      </c>
      <c r="C207" s="5" t="n">
        <v>12</v>
      </c>
      <c r="D207" s="5" t="n">
        <v>1963</v>
      </c>
      <c r="E207" s="5" t="n">
        <v>31</v>
      </c>
      <c r="F207" s="5" t="n">
        <v>4</v>
      </c>
      <c r="G207" s="5" t="n">
        <v>0</v>
      </c>
      <c r="H207" s="5" t="n">
        <v>0</v>
      </c>
      <c r="I207" s="5" t="n">
        <v>0</v>
      </c>
      <c r="J207" s="5" t="n">
        <v>0</v>
      </c>
      <c r="K207" s="5" t="n">
        <v>0</v>
      </c>
      <c r="L207" s="5" t="n">
        <v>0</v>
      </c>
      <c r="M207" s="5" t="n">
        <v>0</v>
      </c>
      <c r="N207" s="5" t="n">
        <v>0</v>
      </c>
      <c r="O207" s="5" t="n">
        <v>0</v>
      </c>
      <c r="P207" s="5" t="n">
        <v>1</v>
      </c>
      <c r="Q207" s="5" t="n">
        <v>0</v>
      </c>
      <c r="R207" s="5" t="n">
        <v>0</v>
      </c>
      <c r="S207" s="5" t="n">
        <v>1</v>
      </c>
      <c r="T207" s="5" t="n">
        <v>0</v>
      </c>
      <c r="U207" s="5" t="inlineStr">
        <is>
          <t>training</t>
        </is>
      </c>
    </row>
    <row r="208">
      <c r="A208" s="5" t="n">
        <v>180</v>
      </c>
      <c r="B208" s="5" t="n">
        <v>0</v>
      </c>
      <c r="C208" s="5" t="n">
        <v>21</v>
      </c>
      <c r="D208" s="5" t="n">
        <v>571</v>
      </c>
      <c r="E208" s="5" t="n">
        <v>65</v>
      </c>
      <c r="F208" s="5" t="n">
        <v>4</v>
      </c>
      <c r="G208" s="5" t="n">
        <v>1</v>
      </c>
      <c r="H208" s="5" t="n">
        <v>0</v>
      </c>
      <c r="I208" s="5" t="n">
        <v>0</v>
      </c>
      <c r="J208" s="5" t="n">
        <v>1</v>
      </c>
      <c r="K208" s="5" t="n">
        <v>0</v>
      </c>
      <c r="L208" s="5" t="n">
        <v>0</v>
      </c>
      <c r="M208" s="5" t="n">
        <v>0</v>
      </c>
      <c r="N208" s="5" t="n">
        <v>0</v>
      </c>
      <c r="O208" s="5" t="n">
        <v>0</v>
      </c>
      <c r="P208" s="5" t="n">
        <v>0</v>
      </c>
      <c r="Q208" s="5" t="n">
        <v>0</v>
      </c>
      <c r="R208" s="5" t="n">
        <v>1</v>
      </c>
      <c r="S208" s="5" t="n">
        <v>0</v>
      </c>
      <c r="T208" s="5" t="n">
        <v>0</v>
      </c>
      <c r="U208" s="5" t="inlineStr">
        <is>
          <t>training</t>
        </is>
      </c>
    </row>
    <row r="209">
      <c r="A209" s="5" t="n">
        <v>181</v>
      </c>
      <c r="B209" s="5" t="n">
        <v>1</v>
      </c>
      <c r="C209" s="5" t="n">
        <v>36</v>
      </c>
      <c r="D209" s="5" t="n">
        <v>9572</v>
      </c>
      <c r="E209" s="5" t="n">
        <v>28</v>
      </c>
      <c r="F209" s="5" t="n">
        <v>1</v>
      </c>
      <c r="G209" s="5" t="n">
        <v>0</v>
      </c>
      <c r="H209" s="5" t="n">
        <v>0</v>
      </c>
      <c r="I209" s="5" t="n">
        <v>0</v>
      </c>
      <c r="J209" s="5" t="n">
        <v>0</v>
      </c>
      <c r="K209" s="5" t="n">
        <v>1</v>
      </c>
      <c r="L209" s="5" t="n">
        <v>0</v>
      </c>
      <c r="M209" s="5" t="n">
        <v>0</v>
      </c>
      <c r="N209" s="5" t="n">
        <v>0</v>
      </c>
      <c r="O209" s="5" t="n">
        <v>0</v>
      </c>
      <c r="P209" s="5" t="n">
        <v>0</v>
      </c>
      <c r="Q209" s="5" t="n">
        <v>0</v>
      </c>
      <c r="R209" s="5" t="n">
        <v>0</v>
      </c>
      <c r="S209" s="5" t="n">
        <v>0</v>
      </c>
      <c r="T209" s="5" t="n">
        <v>0</v>
      </c>
      <c r="U209" s="5" t="inlineStr">
        <is>
          <t>training</t>
        </is>
      </c>
    </row>
    <row r="210">
      <c r="A210" s="5" t="n">
        <v>182</v>
      </c>
      <c r="B210" s="5" t="n">
        <v>1</v>
      </c>
      <c r="C210" s="5" t="n">
        <v>36</v>
      </c>
      <c r="D210" s="5" t="n">
        <v>4455</v>
      </c>
      <c r="E210" s="5" t="n">
        <v>30</v>
      </c>
      <c r="F210" s="5" t="n">
        <v>2</v>
      </c>
      <c r="G210" s="5" t="n">
        <v>0</v>
      </c>
      <c r="H210" s="5" t="n">
        <v>1</v>
      </c>
      <c r="I210" s="5" t="n">
        <v>0</v>
      </c>
      <c r="J210" s="5" t="n">
        <v>0</v>
      </c>
      <c r="K210" s="5" t="n">
        <v>1</v>
      </c>
      <c r="L210" s="5" t="n">
        <v>0</v>
      </c>
      <c r="M210" s="5" t="n">
        <v>0</v>
      </c>
      <c r="N210" s="5" t="n">
        <v>0</v>
      </c>
      <c r="O210" s="5" t="n">
        <v>0</v>
      </c>
      <c r="P210" s="5" t="n">
        <v>0</v>
      </c>
      <c r="Q210" s="5" t="n">
        <v>0</v>
      </c>
      <c r="R210" s="5" t="n">
        <v>0</v>
      </c>
      <c r="S210" s="5" t="n">
        <v>0</v>
      </c>
      <c r="T210" s="5" t="n">
        <v>0</v>
      </c>
      <c r="U210" s="5" t="inlineStr">
        <is>
          <t>training</t>
        </is>
      </c>
    </row>
    <row r="211">
      <c r="A211" s="5" t="n">
        <v>183</v>
      </c>
      <c r="B211" s="5" t="n">
        <v>1</v>
      </c>
      <c r="C211" s="5" t="n">
        <v>21</v>
      </c>
      <c r="D211" s="5" t="n">
        <v>1647</v>
      </c>
      <c r="E211" s="5" t="n">
        <v>40</v>
      </c>
      <c r="F211" s="5" t="n">
        <v>4</v>
      </c>
      <c r="G211" s="5" t="n">
        <v>1</v>
      </c>
      <c r="H211" s="5" t="n">
        <v>0</v>
      </c>
      <c r="I211" s="5" t="n">
        <v>0</v>
      </c>
      <c r="J211" s="5" t="n">
        <v>0</v>
      </c>
      <c r="K211" s="5" t="n">
        <v>0</v>
      </c>
      <c r="L211" s="5" t="n">
        <v>1</v>
      </c>
      <c r="M211" s="5" t="n">
        <v>0</v>
      </c>
      <c r="N211" s="5" t="n">
        <v>0</v>
      </c>
      <c r="O211" s="5" t="n">
        <v>1</v>
      </c>
      <c r="P211" s="5" t="n">
        <v>0</v>
      </c>
      <c r="Q211" s="5" t="n">
        <v>0</v>
      </c>
      <c r="R211" s="5" t="n">
        <v>1</v>
      </c>
      <c r="S211" s="5" t="n">
        <v>0</v>
      </c>
      <c r="T211" s="5" t="n">
        <v>0</v>
      </c>
      <c r="U211" s="5" t="inlineStr">
        <is>
          <t>training</t>
        </is>
      </c>
    </row>
    <row r="212">
      <c r="A212" s="5" t="n">
        <v>184</v>
      </c>
      <c r="B212" s="5" t="n">
        <v>0</v>
      </c>
      <c r="C212" s="5" t="n">
        <v>24</v>
      </c>
      <c r="D212" s="5" t="n">
        <v>3777</v>
      </c>
      <c r="E212" s="5" t="n">
        <v>50</v>
      </c>
      <c r="F212" s="5" t="n">
        <v>4</v>
      </c>
      <c r="G212" s="5" t="n">
        <v>0</v>
      </c>
      <c r="H212" s="5" t="n">
        <v>0</v>
      </c>
      <c r="I212" s="5" t="n">
        <v>0</v>
      </c>
      <c r="J212" s="5" t="n">
        <v>1</v>
      </c>
      <c r="K212" s="5" t="n">
        <v>0</v>
      </c>
      <c r="L212" s="5" t="n">
        <v>0</v>
      </c>
      <c r="M212" s="5" t="n">
        <v>0</v>
      </c>
      <c r="N212" s="5" t="n">
        <v>1</v>
      </c>
      <c r="O212" s="5" t="n">
        <v>0</v>
      </c>
      <c r="P212" s="5" t="n">
        <v>0</v>
      </c>
      <c r="Q212" s="5" t="n">
        <v>0</v>
      </c>
      <c r="R212" s="5" t="n">
        <v>0</v>
      </c>
      <c r="S212" s="5" t="n">
        <v>0</v>
      </c>
      <c r="T212" s="5" t="n">
        <v>1</v>
      </c>
      <c r="U212" s="5" t="inlineStr">
        <is>
          <t>testing</t>
        </is>
      </c>
    </row>
    <row r="213">
      <c r="A213" s="5" t="n">
        <v>185</v>
      </c>
      <c r="B213" s="5" t="n">
        <v>1</v>
      </c>
      <c r="C213" s="5" t="n">
        <v>18</v>
      </c>
      <c r="D213" s="5" t="n">
        <v>884</v>
      </c>
      <c r="E213" s="5" t="n">
        <v>36</v>
      </c>
      <c r="F213" s="5" t="n">
        <v>4</v>
      </c>
      <c r="G213" s="5" t="n">
        <v>0</v>
      </c>
      <c r="H213" s="5" t="n">
        <v>1</v>
      </c>
      <c r="I213" s="5" t="n">
        <v>0</v>
      </c>
      <c r="J213" s="5" t="n">
        <v>1</v>
      </c>
      <c r="K213" s="5" t="n">
        <v>0</v>
      </c>
      <c r="L213" s="5" t="n">
        <v>0</v>
      </c>
      <c r="M213" s="5" t="n">
        <v>0</v>
      </c>
      <c r="N213" s="5" t="n">
        <v>0</v>
      </c>
      <c r="O213" s="5" t="n">
        <v>0</v>
      </c>
      <c r="P213" s="5" t="n">
        <v>0</v>
      </c>
      <c r="Q213" s="5" t="n">
        <v>0</v>
      </c>
      <c r="R213" s="5" t="n">
        <v>1</v>
      </c>
      <c r="S213" s="5" t="n">
        <v>0</v>
      </c>
      <c r="T213" s="5" t="n">
        <v>0</v>
      </c>
      <c r="U213" s="5" t="inlineStr">
        <is>
          <t>training</t>
        </is>
      </c>
    </row>
    <row r="214">
      <c r="A214" s="5" t="n">
        <v>186</v>
      </c>
      <c r="B214" s="5" t="n">
        <v>0</v>
      </c>
      <c r="C214" s="5" t="n">
        <v>15</v>
      </c>
      <c r="D214" s="5" t="n">
        <v>1360</v>
      </c>
      <c r="E214" s="5" t="n">
        <v>31</v>
      </c>
      <c r="F214" s="5" t="n">
        <v>4</v>
      </c>
      <c r="G214" s="5" t="n">
        <v>0</v>
      </c>
      <c r="H214" s="5" t="n">
        <v>0</v>
      </c>
      <c r="I214" s="5" t="n">
        <v>0</v>
      </c>
      <c r="J214" s="5" t="n">
        <v>1</v>
      </c>
      <c r="K214" s="5" t="n">
        <v>0</v>
      </c>
      <c r="L214" s="5" t="n">
        <v>0</v>
      </c>
      <c r="M214" s="5" t="n">
        <v>0</v>
      </c>
      <c r="N214" s="5" t="n">
        <v>0</v>
      </c>
      <c r="O214" s="5" t="n">
        <v>0</v>
      </c>
      <c r="P214" s="5" t="n">
        <v>0</v>
      </c>
      <c r="Q214" s="5" t="n">
        <v>0</v>
      </c>
      <c r="R214" s="5" t="n">
        <v>0</v>
      </c>
      <c r="S214" s="5" t="n">
        <v>1</v>
      </c>
      <c r="T214" s="5" t="n">
        <v>0</v>
      </c>
      <c r="U214" s="5" t="inlineStr">
        <is>
          <t>training</t>
        </is>
      </c>
    </row>
    <row r="215">
      <c r="A215" s="5" t="n">
        <v>187</v>
      </c>
      <c r="B215" s="5" t="n">
        <v>1</v>
      </c>
      <c r="C215" s="5" t="n">
        <v>9</v>
      </c>
      <c r="D215" s="5" t="n">
        <v>5129</v>
      </c>
      <c r="E215" s="5" t="n">
        <v>74</v>
      </c>
      <c r="F215" s="5" t="n">
        <v>2</v>
      </c>
      <c r="G215" s="5" t="n">
        <v>0</v>
      </c>
      <c r="H215" s="5" t="n">
        <v>1</v>
      </c>
      <c r="I215" s="5" t="n">
        <v>0</v>
      </c>
      <c r="J215" s="5" t="n">
        <v>0</v>
      </c>
      <c r="K215" s="5" t="n">
        <v>0</v>
      </c>
      <c r="L215" s="5" t="n">
        <v>1</v>
      </c>
      <c r="M215" s="5" t="n">
        <v>0</v>
      </c>
      <c r="N215" s="5" t="n">
        <v>0</v>
      </c>
      <c r="O215" s="5" t="n">
        <v>0</v>
      </c>
      <c r="P215" s="5" t="n">
        <v>0</v>
      </c>
      <c r="Q215" s="5" t="n">
        <v>1</v>
      </c>
      <c r="R215" s="5" t="n">
        <v>1</v>
      </c>
      <c r="S215" s="5" t="n">
        <v>0</v>
      </c>
      <c r="T215" s="5" t="n">
        <v>0</v>
      </c>
      <c r="U215" s="5" t="inlineStr">
        <is>
          <t>training</t>
        </is>
      </c>
    </row>
    <row r="216">
      <c r="A216" s="5" t="n">
        <v>188</v>
      </c>
      <c r="B216" s="5" t="n">
        <v>0</v>
      </c>
      <c r="C216" s="5" t="n">
        <v>16</v>
      </c>
      <c r="D216" s="5" t="n">
        <v>1175</v>
      </c>
      <c r="E216" s="5" t="n">
        <v>68</v>
      </c>
      <c r="F216" s="5" t="n">
        <v>2</v>
      </c>
      <c r="G216" s="5" t="n">
        <v>0</v>
      </c>
      <c r="H216" s="5" t="n">
        <v>1</v>
      </c>
      <c r="I216" s="5" t="n">
        <v>0</v>
      </c>
      <c r="J216" s="5" t="n">
        <v>1</v>
      </c>
      <c r="K216" s="5" t="n">
        <v>0</v>
      </c>
      <c r="L216" s="5" t="n">
        <v>0</v>
      </c>
      <c r="M216" s="5" t="n">
        <v>0</v>
      </c>
      <c r="N216" s="5" t="n">
        <v>0</v>
      </c>
      <c r="O216" s="5" t="n">
        <v>0</v>
      </c>
      <c r="P216" s="5" t="n">
        <v>0</v>
      </c>
      <c r="Q216" s="5" t="n">
        <v>1</v>
      </c>
      <c r="R216" s="5" t="n">
        <v>1</v>
      </c>
      <c r="S216" s="5" t="n">
        <v>0</v>
      </c>
      <c r="T216" s="5" t="n">
        <v>0</v>
      </c>
      <c r="U216" s="5" t="inlineStr">
        <is>
          <t>training</t>
        </is>
      </c>
    </row>
    <row r="217">
      <c r="A217" s="5" t="n">
        <v>189</v>
      </c>
      <c r="B217" s="5" t="n">
        <v>1</v>
      </c>
      <c r="C217" s="5" t="n">
        <v>12</v>
      </c>
      <c r="D217" s="5" t="n">
        <v>674</v>
      </c>
      <c r="E217" s="5" t="n">
        <v>20</v>
      </c>
      <c r="F217" s="5" t="n">
        <v>4</v>
      </c>
      <c r="G217" s="5" t="n">
        <v>1</v>
      </c>
      <c r="H217" s="5" t="n">
        <v>0</v>
      </c>
      <c r="I217" s="5" t="n">
        <v>0</v>
      </c>
      <c r="J217" s="5" t="n">
        <v>0</v>
      </c>
      <c r="K217" s="5" t="n">
        <v>0</v>
      </c>
      <c r="L217" s="5" t="n">
        <v>0</v>
      </c>
      <c r="M217" s="5" t="n">
        <v>1</v>
      </c>
      <c r="N217" s="5" t="n">
        <v>0</v>
      </c>
      <c r="O217" s="5" t="n">
        <v>0</v>
      </c>
      <c r="P217" s="5" t="n">
        <v>0</v>
      </c>
      <c r="Q217" s="5" t="n">
        <v>0</v>
      </c>
      <c r="R217" s="5" t="n">
        <v>0</v>
      </c>
      <c r="S217" s="5" t="n">
        <v>1</v>
      </c>
      <c r="T217" s="5" t="n">
        <v>0</v>
      </c>
      <c r="U217" s="5" t="inlineStr">
        <is>
          <t>training</t>
        </is>
      </c>
    </row>
    <row r="218">
      <c r="A218" s="5" t="n">
        <v>190</v>
      </c>
      <c r="B218" s="5" t="n">
        <v>0</v>
      </c>
      <c r="C218" s="5" t="n">
        <v>18</v>
      </c>
      <c r="D218" s="5" t="n">
        <v>3244</v>
      </c>
      <c r="E218" s="5" t="n">
        <v>33</v>
      </c>
      <c r="F218" s="5" t="n">
        <v>1</v>
      </c>
      <c r="G218" s="5" t="n">
        <v>0</v>
      </c>
      <c r="H218" s="5" t="n">
        <v>1</v>
      </c>
      <c r="I218" s="5" t="n">
        <v>0</v>
      </c>
      <c r="J218" s="5" t="n">
        <v>0</v>
      </c>
      <c r="K218" s="5" t="n">
        <v>0</v>
      </c>
      <c r="L218" s="5" t="n">
        <v>1</v>
      </c>
      <c r="M218" s="5" t="n">
        <v>0</v>
      </c>
      <c r="N218" s="5" t="n">
        <v>0</v>
      </c>
      <c r="O218" s="5" t="n">
        <v>0</v>
      </c>
      <c r="P218" s="5" t="n">
        <v>0</v>
      </c>
      <c r="Q218" s="5" t="n">
        <v>0</v>
      </c>
      <c r="R218" s="5" t="n">
        <v>0</v>
      </c>
      <c r="S218" s="5" t="n">
        <v>0</v>
      </c>
      <c r="T218" s="5" t="n">
        <v>1</v>
      </c>
      <c r="U218" s="5" t="inlineStr">
        <is>
          <t>training</t>
        </is>
      </c>
    </row>
    <row r="219">
      <c r="A219" s="5" t="n">
        <v>191</v>
      </c>
      <c r="B219" s="5" t="n">
        <v>1</v>
      </c>
      <c r="C219" s="5" t="n">
        <v>24</v>
      </c>
      <c r="D219" s="5" t="n">
        <v>4591</v>
      </c>
      <c r="E219" s="5" t="n">
        <v>54</v>
      </c>
      <c r="F219" s="5" t="n">
        <v>2</v>
      </c>
      <c r="G219" s="5" t="n">
        <v>0</v>
      </c>
      <c r="H219" s="5" t="n">
        <v>0</v>
      </c>
      <c r="I219" s="5" t="n">
        <v>0</v>
      </c>
      <c r="J219" s="5" t="n">
        <v>0</v>
      </c>
      <c r="K219" s="5" t="n">
        <v>0</v>
      </c>
      <c r="L219" s="5" t="n">
        <v>0</v>
      </c>
      <c r="M219" s="5" t="n">
        <v>0</v>
      </c>
      <c r="N219" s="5" t="n">
        <v>1</v>
      </c>
      <c r="O219" s="5" t="n">
        <v>0</v>
      </c>
      <c r="P219" s="5" t="n">
        <v>0</v>
      </c>
      <c r="Q219" s="5" t="n">
        <v>0</v>
      </c>
      <c r="R219" s="5" t="n">
        <v>0</v>
      </c>
      <c r="S219" s="5" t="n">
        <v>0</v>
      </c>
      <c r="T219" s="5" t="n">
        <v>0</v>
      </c>
      <c r="U219" s="5" t="inlineStr">
        <is>
          <t>training</t>
        </is>
      </c>
    </row>
    <row r="220">
      <c r="A220" s="5" t="n">
        <v>192</v>
      </c>
      <c r="B220" s="5" t="n">
        <v>1</v>
      </c>
      <c r="C220" s="5" t="n">
        <v>48</v>
      </c>
      <c r="D220" s="5" t="n">
        <v>3844</v>
      </c>
      <c r="E220" s="5" t="n">
        <v>34</v>
      </c>
      <c r="F220" s="5" t="n">
        <v>4</v>
      </c>
      <c r="G220" s="5" t="n">
        <v>0</v>
      </c>
      <c r="H220" s="5" t="n">
        <v>1</v>
      </c>
      <c r="I220" s="5" t="n">
        <v>0</v>
      </c>
      <c r="J220" s="5" t="n">
        <v>0</v>
      </c>
      <c r="K220" s="5" t="n">
        <v>0</v>
      </c>
      <c r="L220" s="5" t="n">
        <v>1</v>
      </c>
      <c r="M220" s="5" t="n">
        <v>1</v>
      </c>
      <c r="N220" s="5" t="n">
        <v>0</v>
      </c>
      <c r="O220" s="5" t="n">
        <v>0</v>
      </c>
      <c r="P220" s="5" t="n">
        <v>0</v>
      </c>
      <c r="Q220" s="5" t="n">
        <v>1</v>
      </c>
      <c r="R220" s="5" t="n">
        <v>0</v>
      </c>
      <c r="S220" s="5" t="n">
        <v>0</v>
      </c>
      <c r="T220" s="5" t="n">
        <v>0</v>
      </c>
      <c r="U220" s="5" t="inlineStr">
        <is>
          <t>training</t>
        </is>
      </c>
    </row>
    <row r="221">
      <c r="A221" s="5" t="n">
        <v>193</v>
      </c>
      <c r="B221" s="5" t="n">
        <v>1</v>
      </c>
      <c r="C221" s="5" t="n">
        <v>27</v>
      </c>
      <c r="D221" s="5" t="n">
        <v>3915</v>
      </c>
      <c r="E221" s="5" t="n">
        <v>36</v>
      </c>
      <c r="F221" s="5" t="n">
        <v>4</v>
      </c>
      <c r="G221" s="5" t="n">
        <v>0</v>
      </c>
      <c r="H221" s="5" t="n">
        <v>1</v>
      </c>
      <c r="I221" s="5" t="n">
        <v>0</v>
      </c>
      <c r="J221" s="5" t="n">
        <v>0</v>
      </c>
      <c r="K221" s="5" t="n">
        <v>0</v>
      </c>
      <c r="L221" s="5" t="n">
        <v>0</v>
      </c>
      <c r="M221" s="5" t="n">
        <v>0</v>
      </c>
      <c r="N221" s="5" t="n">
        <v>0</v>
      </c>
      <c r="O221" s="5" t="n">
        <v>0</v>
      </c>
      <c r="P221" s="5" t="n">
        <v>0</v>
      </c>
      <c r="Q221" s="5" t="n">
        <v>0</v>
      </c>
      <c r="R221" s="5" t="n">
        <v>0</v>
      </c>
      <c r="S221" s="5" t="n">
        <v>0</v>
      </c>
      <c r="T221" s="5" t="n">
        <v>0</v>
      </c>
      <c r="U221" s="5" t="inlineStr">
        <is>
          <t>testing</t>
        </is>
      </c>
    </row>
    <row r="222">
      <c r="A222" s="5" t="n">
        <v>194</v>
      </c>
      <c r="B222" s="5" t="n">
        <v>0</v>
      </c>
      <c r="C222" s="5" t="n">
        <v>6</v>
      </c>
      <c r="D222" s="5" t="n">
        <v>2108</v>
      </c>
      <c r="E222" s="5" t="n">
        <v>29</v>
      </c>
      <c r="F222" s="5" t="n">
        <v>2</v>
      </c>
      <c r="G222" s="5" t="n">
        <v>0</v>
      </c>
      <c r="H222" s="5" t="n">
        <v>0</v>
      </c>
      <c r="I222" s="5" t="n">
        <v>0</v>
      </c>
      <c r="J222" s="5" t="n">
        <v>0</v>
      </c>
      <c r="K222" s="5" t="n">
        <v>0</v>
      </c>
      <c r="L222" s="5" t="n">
        <v>0</v>
      </c>
      <c r="M222" s="5" t="n">
        <v>0</v>
      </c>
      <c r="N222" s="5" t="n">
        <v>0</v>
      </c>
      <c r="O222" s="5" t="n">
        <v>0</v>
      </c>
      <c r="P222" s="5" t="n">
        <v>1</v>
      </c>
      <c r="Q222" s="5" t="n">
        <v>0</v>
      </c>
      <c r="R222" s="5" t="n">
        <v>0</v>
      </c>
      <c r="S222" s="5" t="n">
        <v>1</v>
      </c>
      <c r="T222" s="5" t="n">
        <v>0</v>
      </c>
      <c r="U222" s="5" t="inlineStr">
        <is>
          <t>testing</t>
        </is>
      </c>
    </row>
    <row r="223">
      <c r="A223" s="5" t="n">
        <v>195</v>
      </c>
      <c r="B223" s="5" t="n">
        <v>1</v>
      </c>
      <c r="C223" s="5" t="n">
        <v>45</v>
      </c>
      <c r="D223" s="5" t="n">
        <v>3031</v>
      </c>
      <c r="E223" s="5" t="n">
        <v>21</v>
      </c>
      <c r="F223" s="5" t="n">
        <v>4</v>
      </c>
      <c r="G223" s="5" t="n">
        <v>0</v>
      </c>
      <c r="H223" s="5" t="n">
        <v>1</v>
      </c>
      <c r="I223" s="5" t="n">
        <v>0</v>
      </c>
      <c r="J223" s="5" t="n">
        <v>0</v>
      </c>
      <c r="K223" s="5" t="n">
        <v>0</v>
      </c>
      <c r="L223" s="5" t="n">
        <v>0</v>
      </c>
      <c r="M223" s="5" t="n">
        <v>1</v>
      </c>
      <c r="N223" s="5" t="n">
        <v>0</v>
      </c>
      <c r="O223" s="5" t="n">
        <v>0</v>
      </c>
      <c r="P223" s="5" t="n">
        <v>1</v>
      </c>
      <c r="Q223" s="5" t="n">
        <v>0</v>
      </c>
      <c r="R223" s="5" t="n">
        <v>0</v>
      </c>
      <c r="S223" s="5" t="n">
        <v>1</v>
      </c>
      <c r="T223" s="5" t="n">
        <v>0</v>
      </c>
      <c r="U223" s="5" t="inlineStr">
        <is>
          <t>training</t>
        </is>
      </c>
    </row>
    <row r="224">
      <c r="A224" s="5" t="n">
        <v>196</v>
      </c>
      <c r="B224" s="5" t="n">
        <v>1</v>
      </c>
      <c r="C224" s="5" t="n">
        <v>9</v>
      </c>
      <c r="D224" s="5" t="n">
        <v>1501</v>
      </c>
      <c r="E224" s="5" t="n">
        <v>34</v>
      </c>
      <c r="F224" s="5" t="n">
        <v>2</v>
      </c>
      <c r="G224" s="5" t="n">
        <v>0</v>
      </c>
      <c r="H224" s="5" t="n">
        <v>1</v>
      </c>
      <c r="I224" s="5" t="n">
        <v>0</v>
      </c>
      <c r="J224" s="5" t="n">
        <v>1</v>
      </c>
      <c r="K224" s="5" t="n">
        <v>0</v>
      </c>
      <c r="L224" s="5" t="n">
        <v>0</v>
      </c>
      <c r="M224" s="5" t="n">
        <v>0</v>
      </c>
      <c r="N224" s="5" t="n">
        <v>0</v>
      </c>
      <c r="O224" s="5" t="n">
        <v>0</v>
      </c>
      <c r="P224" s="5" t="n">
        <v>0</v>
      </c>
      <c r="Q224" s="5" t="n">
        <v>0</v>
      </c>
      <c r="R224" s="5" t="n">
        <v>0</v>
      </c>
      <c r="S224" s="5" t="n">
        <v>0</v>
      </c>
      <c r="T224" s="5" t="n">
        <v>0</v>
      </c>
      <c r="U224" s="5" t="inlineStr">
        <is>
          <t>training</t>
        </is>
      </c>
    </row>
    <row r="225">
      <c r="A225" s="5" t="n">
        <v>197</v>
      </c>
      <c r="B225" s="5" t="n">
        <v>0</v>
      </c>
      <c r="C225" s="5" t="n">
        <v>6</v>
      </c>
      <c r="D225" s="5" t="n">
        <v>1382</v>
      </c>
      <c r="E225" s="5" t="n">
        <v>28</v>
      </c>
      <c r="F225" s="5" t="n">
        <v>1</v>
      </c>
      <c r="G225" s="5" t="n">
        <v>0</v>
      </c>
      <c r="H225" s="5" t="n">
        <v>0</v>
      </c>
      <c r="I225" s="5" t="n">
        <v>0</v>
      </c>
      <c r="J225" s="5" t="n">
        <v>1</v>
      </c>
      <c r="K225" s="5" t="n">
        <v>0</v>
      </c>
      <c r="L225" s="5" t="n">
        <v>0</v>
      </c>
      <c r="M225" s="5" t="n">
        <v>0</v>
      </c>
      <c r="N225" s="5" t="n">
        <v>0</v>
      </c>
      <c r="O225" s="5" t="n">
        <v>0</v>
      </c>
      <c r="P225" s="5" t="n">
        <v>0</v>
      </c>
      <c r="Q225" s="5" t="n">
        <v>0</v>
      </c>
      <c r="R225" s="5" t="n">
        <v>0</v>
      </c>
      <c r="S225" s="5" t="n">
        <v>1</v>
      </c>
      <c r="T225" s="5" t="n">
        <v>0</v>
      </c>
      <c r="U225" s="5" t="inlineStr">
        <is>
          <t>training</t>
        </is>
      </c>
    </row>
    <row r="226">
      <c r="A226" s="5" t="n">
        <v>198</v>
      </c>
      <c r="B226" s="5" t="n">
        <v>1</v>
      </c>
      <c r="C226" s="5" t="n">
        <v>12</v>
      </c>
      <c r="D226" s="5" t="n">
        <v>951</v>
      </c>
      <c r="E226" s="5" t="n">
        <v>27</v>
      </c>
      <c r="F226" s="5" t="n">
        <v>4</v>
      </c>
      <c r="G226" s="5" t="n">
        <v>0</v>
      </c>
      <c r="H226" s="5" t="n">
        <v>1</v>
      </c>
      <c r="I226" s="5" t="n">
        <v>0</v>
      </c>
      <c r="J226" s="5" t="n">
        <v>0</v>
      </c>
      <c r="K226" s="5" t="n">
        <v>0</v>
      </c>
      <c r="L226" s="5" t="n">
        <v>0</v>
      </c>
      <c r="M226" s="5" t="n">
        <v>1</v>
      </c>
      <c r="N226" s="5" t="n">
        <v>0</v>
      </c>
      <c r="O226" s="5" t="n">
        <v>0</v>
      </c>
      <c r="P226" s="5" t="n">
        <v>1</v>
      </c>
      <c r="Q226" s="5" t="n">
        <v>0</v>
      </c>
      <c r="R226" s="5" t="n">
        <v>0</v>
      </c>
      <c r="S226" s="5" t="n">
        <v>0</v>
      </c>
      <c r="T226" s="5" t="n">
        <v>1</v>
      </c>
      <c r="U226" s="5" t="inlineStr">
        <is>
          <t>training</t>
        </is>
      </c>
    </row>
    <row r="227">
      <c r="A227" s="5" t="n">
        <v>199</v>
      </c>
      <c r="B227" s="5" t="n">
        <v>0</v>
      </c>
      <c r="C227" s="5" t="n">
        <v>24</v>
      </c>
      <c r="D227" s="5" t="n">
        <v>2760</v>
      </c>
      <c r="E227" s="5" t="n">
        <v>36</v>
      </c>
      <c r="F227" s="5" t="n">
        <v>4</v>
      </c>
      <c r="G227" s="5" t="n">
        <v>0</v>
      </c>
      <c r="H227" s="5" t="n">
        <v>1</v>
      </c>
      <c r="I227" s="5" t="n">
        <v>0</v>
      </c>
      <c r="J227" s="5" t="n">
        <v>0</v>
      </c>
      <c r="K227" s="5" t="n">
        <v>0</v>
      </c>
      <c r="L227" s="5" t="n">
        <v>0</v>
      </c>
      <c r="M227" s="5" t="n">
        <v>0</v>
      </c>
      <c r="N227" s="5" t="n">
        <v>0</v>
      </c>
      <c r="O227" s="5" t="n">
        <v>1</v>
      </c>
      <c r="P227" s="5" t="n">
        <v>0</v>
      </c>
      <c r="Q227" s="5" t="n">
        <v>1</v>
      </c>
      <c r="R227" s="5" t="n">
        <v>1</v>
      </c>
      <c r="S227" s="5" t="n">
        <v>0</v>
      </c>
      <c r="T227" s="5" t="n">
        <v>0</v>
      </c>
      <c r="U227" s="5" t="inlineStr">
        <is>
          <t>training</t>
        </is>
      </c>
    </row>
    <row r="228">
      <c r="A228" s="5" t="n">
        <v>200</v>
      </c>
      <c r="B228" s="5" t="n">
        <v>1</v>
      </c>
      <c r="C228" s="5" t="n">
        <v>18</v>
      </c>
      <c r="D228" s="5" t="n">
        <v>4297</v>
      </c>
      <c r="E228" s="5" t="n">
        <v>40</v>
      </c>
      <c r="F228" s="5" t="n">
        <v>4</v>
      </c>
      <c r="G228" s="5" t="n">
        <v>0</v>
      </c>
      <c r="H228" s="5" t="n">
        <v>1</v>
      </c>
      <c r="I228" s="5" t="n">
        <v>0</v>
      </c>
      <c r="J228" s="5" t="n">
        <v>0</v>
      </c>
      <c r="K228" s="5" t="n">
        <v>1</v>
      </c>
      <c r="L228" s="5" t="n">
        <v>0</v>
      </c>
      <c r="M228" s="5" t="n">
        <v>0</v>
      </c>
      <c r="N228" s="5" t="n">
        <v>0</v>
      </c>
      <c r="O228" s="5" t="n">
        <v>0</v>
      </c>
      <c r="P228" s="5" t="n">
        <v>0</v>
      </c>
      <c r="Q228" s="5" t="n">
        <v>0</v>
      </c>
      <c r="R228" s="5" t="n">
        <v>0</v>
      </c>
      <c r="S228" s="5" t="n">
        <v>0</v>
      </c>
      <c r="T228" s="5" t="n">
        <v>1</v>
      </c>
      <c r="U228" s="5" t="inlineStr">
        <is>
          <t>training</t>
        </is>
      </c>
    </row>
    <row r="229">
      <c r="A229" s="5" t="n">
        <v>201</v>
      </c>
      <c r="B229" s="5" t="n">
        <v>0</v>
      </c>
      <c r="C229" s="5" t="n">
        <v>9</v>
      </c>
      <c r="D229" s="5" t="n">
        <v>936</v>
      </c>
      <c r="E229" s="5" t="n">
        <v>52</v>
      </c>
      <c r="F229" s="5" t="n">
        <v>4</v>
      </c>
      <c r="G229" s="5" t="n">
        <v>0</v>
      </c>
      <c r="H229" s="5" t="n">
        <v>0</v>
      </c>
      <c r="I229" s="5" t="n">
        <v>0</v>
      </c>
      <c r="J229" s="5" t="n">
        <v>1</v>
      </c>
      <c r="K229" s="5" t="n">
        <v>0</v>
      </c>
      <c r="L229" s="5" t="n">
        <v>0</v>
      </c>
      <c r="M229" s="5" t="n">
        <v>1</v>
      </c>
      <c r="N229" s="5" t="n">
        <v>0</v>
      </c>
      <c r="O229" s="5" t="n">
        <v>0</v>
      </c>
      <c r="P229" s="5" t="n">
        <v>0</v>
      </c>
      <c r="Q229" s="5" t="n">
        <v>0</v>
      </c>
      <c r="R229" s="5" t="n">
        <v>0</v>
      </c>
      <c r="S229" s="5" t="n">
        <v>0</v>
      </c>
      <c r="T229" s="5" t="n">
        <v>0</v>
      </c>
      <c r="U229" s="5" t="inlineStr">
        <is>
          <t>training</t>
        </is>
      </c>
    </row>
    <row r="230">
      <c r="A230" s="5" t="n">
        <v>202</v>
      </c>
      <c r="B230" s="5" t="n">
        <v>0</v>
      </c>
      <c r="C230" s="5" t="n">
        <v>12</v>
      </c>
      <c r="D230" s="5" t="n">
        <v>1168</v>
      </c>
      <c r="E230" s="5" t="n">
        <v>27</v>
      </c>
      <c r="F230" s="5" t="n">
        <v>4</v>
      </c>
      <c r="G230" s="5" t="n">
        <v>1</v>
      </c>
      <c r="H230" s="5" t="n">
        <v>0</v>
      </c>
      <c r="I230" s="5" t="n">
        <v>0</v>
      </c>
      <c r="J230" s="5" t="n">
        <v>0</v>
      </c>
      <c r="K230" s="5" t="n">
        <v>0</v>
      </c>
      <c r="L230" s="5" t="n">
        <v>0</v>
      </c>
      <c r="M230" s="5" t="n">
        <v>0</v>
      </c>
      <c r="N230" s="5" t="n">
        <v>0</v>
      </c>
      <c r="O230" s="5" t="n">
        <v>0</v>
      </c>
      <c r="P230" s="5" t="n">
        <v>0</v>
      </c>
      <c r="Q230" s="5" t="n">
        <v>0</v>
      </c>
      <c r="R230" s="5" t="n">
        <v>1</v>
      </c>
      <c r="S230" s="5" t="n">
        <v>0</v>
      </c>
      <c r="T230" s="5" t="n">
        <v>0</v>
      </c>
      <c r="U230" s="5" t="inlineStr">
        <is>
          <t>training</t>
        </is>
      </c>
    </row>
    <row r="231">
      <c r="A231" s="5" t="n">
        <v>203</v>
      </c>
      <c r="B231" s="5" t="n">
        <v>0</v>
      </c>
      <c r="C231" s="5" t="n">
        <v>27</v>
      </c>
      <c r="D231" s="5" t="n">
        <v>5117</v>
      </c>
      <c r="E231" s="5" t="n">
        <v>26</v>
      </c>
      <c r="F231" s="5" t="n">
        <v>3</v>
      </c>
      <c r="G231" s="5" t="n">
        <v>0</v>
      </c>
      <c r="H231" s="5" t="n">
        <v>0</v>
      </c>
      <c r="I231" s="5" t="n">
        <v>0</v>
      </c>
      <c r="J231" s="5" t="n">
        <v>0</v>
      </c>
      <c r="K231" s="5" t="n">
        <v>1</v>
      </c>
      <c r="L231" s="5" t="n">
        <v>0</v>
      </c>
      <c r="M231" s="5" t="n">
        <v>0</v>
      </c>
      <c r="N231" s="5" t="n">
        <v>0</v>
      </c>
      <c r="O231" s="5" t="n">
        <v>0</v>
      </c>
      <c r="P231" s="5" t="n">
        <v>0</v>
      </c>
      <c r="Q231" s="5" t="n">
        <v>0</v>
      </c>
      <c r="R231" s="5" t="n">
        <v>0</v>
      </c>
      <c r="S231" s="5" t="n">
        <v>0</v>
      </c>
      <c r="T231" s="5" t="n">
        <v>0</v>
      </c>
      <c r="U231" s="5" t="inlineStr">
        <is>
          <t>testing</t>
        </is>
      </c>
    </row>
    <row r="232">
      <c r="A232" s="5" t="n">
        <v>204</v>
      </c>
      <c r="B232" s="5" t="n">
        <v>1</v>
      </c>
      <c r="C232" s="5" t="n">
        <v>12</v>
      </c>
      <c r="D232" s="5" t="n">
        <v>902</v>
      </c>
      <c r="E232" s="5" t="n">
        <v>21</v>
      </c>
      <c r="F232" s="5" t="n">
        <v>4</v>
      </c>
      <c r="G232" s="5" t="n">
        <v>1</v>
      </c>
      <c r="H232" s="5" t="n">
        <v>0</v>
      </c>
      <c r="I232" s="5" t="n">
        <v>0</v>
      </c>
      <c r="J232" s="5" t="n">
        <v>0</v>
      </c>
      <c r="K232" s="5" t="n">
        <v>0</v>
      </c>
      <c r="L232" s="5" t="n">
        <v>0</v>
      </c>
      <c r="M232" s="5" t="n">
        <v>0</v>
      </c>
      <c r="N232" s="5" t="n">
        <v>0</v>
      </c>
      <c r="O232" s="5" t="n">
        <v>0</v>
      </c>
      <c r="P232" s="5" t="n">
        <v>1</v>
      </c>
      <c r="Q232" s="5" t="n">
        <v>0</v>
      </c>
      <c r="R232" s="5" t="n">
        <v>0</v>
      </c>
      <c r="S232" s="5" t="n">
        <v>0</v>
      </c>
      <c r="T232" s="5" t="n">
        <v>0</v>
      </c>
      <c r="U232" s="5" t="inlineStr">
        <is>
          <t>testing</t>
        </is>
      </c>
    </row>
    <row r="233">
      <c r="A233" s="5" t="n">
        <v>205</v>
      </c>
      <c r="B233" s="5" t="n">
        <v>0</v>
      </c>
      <c r="C233" s="5" t="n">
        <v>12</v>
      </c>
      <c r="D233" s="5" t="n">
        <v>1495</v>
      </c>
      <c r="E233" s="5" t="n">
        <v>38</v>
      </c>
      <c r="F233" s="5" t="n">
        <v>4</v>
      </c>
      <c r="G233" s="5" t="n">
        <v>0</v>
      </c>
      <c r="H233" s="5" t="n">
        <v>0</v>
      </c>
      <c r="I233" s="5" t="n">
        <v>0</v>
      </c>
      <c r="J233" s="5" t="n">
        <v>1</v>
      </c>
      <c r="K233" s="5" t="n">
        <v>0</v>
      </c>
      <c r="L233" s="5" t="n">
        <v>0</v>
      </c>
      <c r="M233" s="5" t="n">
        <v>0</v>
      </c>
      <c r="N233" s="5" t="n">
        <v>0</v>
      </c>
      <c r="O233" s="5" t="n">
        <v>0</v>
      </c>
      <c r="P233" s="5" t="n">
        <v>0</v>
      </c>
      <c r="Q233" s="5" t="n">
        <v>0</v>
      </c>
      <c r="R233" s="5" t="n">
        <v>1</v>
      </c>
      <c r="S233" s="5" t="n">
        <v>0</v>
      </c>
      <c r="T233" s="5" t="n">
        <v>0</v>
      </c>
      <c r="U233" s="5" t="inlineStr">
        <is>
          <t>training</t>
        </is>
      </c>
    </row>
    <row r="234">
      <c r="A234" s="5" t="n">
        <v>206</v>
      </c>
      <c r="B234" s="5" t="n">
        <v>0</v>
      </c>
      <c r="C234" s="5" t="n">
        <v>30</v>
      </c>
      <c r="D234" s="5" t="n">
        <v>10623</v>
      </c>
      <c r="E234" s="5" t="n">
        <v>38</v>
      </c>
      <c r="F234" s="5" t="n">
        <v>3</v>
      </c>
      <c r="G234" s="5" t="n">
        <v>1</v>
      </c>
      <c r="H234" s="5" t="n">
        <v>0</v>
      </c>
      <c r="I234" s="5" t="n">
        <v>0</v>
      </c>
      <c r="J234" s="5" t="n">
        <v>1</v>
      </c>
      <c r="K234" s="5" t="n">
        <v>0</v>
      </c>
      <c r="L234" s="5" t="n">
        <v>0</v>
      </c>
      <c r="M234" s="5" t="n">
        <v>0</v>
      </c>
      <c r="N234" s="5" t="n">
        <v>0</v>
      </c>
      <c r="O234" s="5" t="n">
        <v>0</v>
      </c>
      <c r="P234" s="5" t="n">
        <v>0</v>
      </c>
      <c r="Q234" s="5" t="n">
        <v>1</v>
      </c>
      <c r="R234" s="5" t="n">
        <v>1</v>
      </c>
      <c r="S234" s="5" t="n">
        <v>0</v>
      </c>
      <c r="T234" s="5" t="n">
        <v>0</v>
      </c>
      <c r="U234" s="5" t="inlineStr">
        <is>
          <t>testing</t>
        </is>
      </c>
    </row>
    <row r="235">
      <c r="A235" s="5" t="n">
        <v>207</v>
      </c>
      <c r="B235" s="5" t="n">
        <v>0</v>
      </c>
      <c r="C235" s="5" t="n">
        <v>12</v>
      </c>
      <c r="D235" s="5" t="n">
        <v>1935</v>
      </c>
      <c r="E235" s="5" t="n">
        <v>43</v>
      </c>
      <c r="F235" s="5" t="n">
        <v>4</v>
      </c>
      <c r="G235" s="5" t="n">
        <v>0</v>
      </c>
      <c r="H235" s="5" t="n">
        <v>0</v>
      </c>
      <c r="I235" s="5" t="n">
        <v>0</v>
      </c>
      <c r="J235" s="5" t="n">
        <v>1</v>
      </c>
      <c r="K235" s="5" t="n">
        <v>0</v>
      </c>
      <c r="L235" s="5" t="n">
        <v>0</v>
      </c>
      <c r="M235" s="5" t="n">
        <v>0</v>
      </c>
      <c r="N235" s="5" t="n">
        <v>0</v>
      </c>
      <c r="O235" s="5" t="n">
        <v>0</v>
      </c>
      <c r="P235" s="5" t="n">
        <v>0</v>
      </c>
      <c r="Q235" s="5" t="n">
        <v>0</v>
      </c>
      <c r="R235" s="5" t="n">
        <v>0</v>
      </c>
      <c r="S235" s="5" t="n">
        <v>0</v>
      </c>
      <c r="T235" s="5" t="n">
        <v>1</v>
      </c>
      <c r="U235" s="5" t="inlineStr">
        <is>
          <t>testing</t>
        </is>
      </c>
    </row>
    <row r="236">
      <c r="A236" s="5" t="n">
        <v>208</v>
      </c>
      <c r="B236" s="5" t="n">
        <v>0</v>
      </c>
      <c r="C236" s="5" t="n">
        <v>12</v>
      </c>
      <c r="D236" s="5" t="n">
        <v>1424</v>
      </c>
      <c r="E236" s="5" t="n">
        <v>26</v>
      </c>
      <c r="F236" s="5" t="n">
        <v>4</v>
      </c>
      <c r="G236" s="5" t="n">
        <v>0</v>
      </c>
      <c r="H236" s="5" t="n">
        <v>1</v>
      </c>
      <c r="I236" s="5" t="n">
        <v>0</v>
      </c>
      <c r="J236" s="5" t="n">
        <v>1</v>
      </c>
      <c r="K236" s="5" t="n">
        <v>0</v>
      </c>
      <c r="L236" s="5" t="n">
        <v>0</v>
      </c>
      <c r="M236" s="5" t="n">
        <v>0</v>
      </c>
      <c r="N236" s="5" t="n">
        <v>0</v>
      </c>
      <c r="O236" s="5" t="n">
        <v>0</v>
      </c>
      <c r="P236" s="5" t="n">
        <v>0</v>
      </c>
      <c r="Q236" s="5" t="n">
        <v>0</v>
      </c>
      <c r="R236" s="5" t="n">
        <v>0</v>
      </c>
      <c r="S236" s="5" t="n">
        <v>0</v>
      </c>
      <c r="T236" s="5" t="n">
        <v>0</v>
      </c>
      <c r="U236" s="5" t="inlineStr">
        <is>
          <t>training</t>
        </is>
      </c>
    </row>
    <row r="237">
      <c r="A237" s="5" t="n">
        <v>209</v>
      </c>
      <c r="B237" s="5" t="n">
        <v>0</v>
      </c>
      <c r="C237" s="5" t="n">
        <v>24</v>
      </c>
      <c r="D237" s="5" t="n">
        <v>6568</v>
      </c>
      <c r="E237" s="5" t="n">
        <v>21</v>
      </c>
      <c r="F237" s="5" t="n">
        <v>2</v>
      </c>
      <c r="G237" s="5" t="n">
        <v>1</v>
      </c>
      <c r="H237" s="5" t="n">
        <v>0</v>
      </c>
      <c r="I237" s="5" t="n">
        <v>0</v>
      </c>
      <c r="J237" s="5" t="n">
        <v>0</v>
      </c>
      <c r="K237" s="5" t="n">
        <v>0</v>
      </c>
      <c r="L237" s="5" t="n">
        <v>0</v>
      </c>
      <c r="M237" s="5" t="n">
        <v>0</v>
      </c>
      <c r="N237" s="5" t="n">
        <v>0</v>
      </c>
      <c r="O237" s="5" t="n">
        <v>0</v>
      </c>
      <c r="P237" s="5" t="n">
        <v>0</v>
      </c>
      <c r="Q237" s="5" t="n">
        <v>0</v>
      </c>
      <c r="R237" s="5" t="n">
        <v>0</v>
      </c>
      <c r="S237" s="5" t="n">
        <v>0</v>
      </c>
      <c r="T237" s="5" t="n">
        <v>0</v>
      </c>
      <c r="U237" s="5" t="inlineStr">
        <is>
          <t>training</t>
        </is>
      </c>
    </row>
    <row r="238">
      <c r="A238" s="5" t="n">
        <v>210</v>
      </c>
      <c r="B238" s="5" t="n">
        <v>0</v>
      </c>
      <c r="C238" s="5" t="n">
        <v>12</v>
      </c>
      <c r="D238" s="5" t="n">
        <v>1413</v>
      </c>
      <c r="E238" s="5" t="n">
        <v>55</v>
      </c>
      <c r="F238" s="5" t="n">
        <v>3</v>
      </c>
      <c r="G238" s="5" t="n">
        <v>0</v>
      </c>
      <c r="H238" s="5" t="n">
        <v>0</v>
      </c>
      <c r="I238" s="5" t="n">
        <v>0</v>
      </c>
      <c r="J238" s="5" t="n">
        <v>0</v>
      </c>
      <c r="K238" s="5" t="n">
        <v>0</v>
      </c>
      <c r="L238" s="5" t="n">
        <v>0</v>
      </c>
      <c r="M238" s="5" t="n">
        <v>0</v>
      </c>
      <c r="N238" s="5" t="n">
        <v>1</v>
      </c>
      <c r="O238" s="5" t="n">
        <v>0</v>
      </c>
      <c r="P238" s="5" t="n">
        <v>0</v>
      </c>
      <c r="Q238" s="5" t="n">
        <v>0</v>
      </c>
      <c r="R238" s="5" t="n">
        <v>1</v>
      </c>
      <c r="S238" s="5" t="n">
        <v>0</v>
      </c>
      <c r="T238" s="5" t="n">
        <v>0</v>
      </c>
      <c r="U238" s="5" t="inlineStr">
        <is>
          <t>training</t>
        </is>
      </c>
    </row>
    <row r="239">
      <c r="A239" s="5" t="n">
        <v>211</v>
      </c>
      <c r="B239" s="5" t="n">
        <v>0</v>
      </c>
      <c r="C239" s="5" t="n">
        <v>9</v>
      </c>
      <c r="D239" s="5" t="n">
        <v>3074</v>
      </c>
      <c r="E239" s="5" t="n">
        <v>33</v>
      </c>
      <c r="F239" s="5" t="n">
        <v>1</v>
      </c>
      <c r="G239" s="5" t="n">
        <v>0</v>
      </c>
      <c r="H239" s="5" t="n">
        <v>0</v>
      </c>
      <c r="I239" s="5" t="n">
        <v>0</v>
      </c>
      <c r="J239" s="5" t="n">
        <v>1</v>
      </c>
      <c r="K239" s="5" t="n">
        <v>0</v>
      </c>
      <c r="L239" s="5" t="n">
        <v>0</v>
      </c>
      <c r="M239" s="5" t="n">
        <v>0</v>
      </c>
      <c r="N239" s="5" t="n">
        <v>0</v>
      </c>
      <c r="O239" s="5" t="n">
        <v>1</v>
      </c>
      <c r="P239" s="5" t="n">
        <v>0</v>
      </c>
      <c r="Q239" s="5" t="n">
        <v>0</v>
      </c>
      <c r="R239" s="5" t="n">
        <v>0</v>
      </c>
      <c r="S239" s="5" t="n">
        <v>1</v>
      </c>
      <c r="T239" s="5" t="n">
        <v>0</v>
      </c>
      <c r="U239" s="5" t="inlineStr">
        <is>
          <t>training</t>
        </is>
      </c>
    </row>
    <row r="240">
      <c r="A240" s="5" t="n">
        <v>212</v>
      </c>
      <c r="B240" s="5" t="n">
        <v>0</v>
      </c>
      <c r="C240" s="5" t="n">
        <v>36</v>
      </c>
      <c r="D240" s="5" t="n">
        <v>3835</v>
      </c>
      <c r="E240" s="5" t="n">
        <v>45</v>
      </c>
      <c r="F240" s="5" t="n">
        <v>2</v>
      </c>
      <c r="G240" s="5" t="n">
        <v>0</v>
      </c>
      <c r="H240" s="5" t="n">
        <v>0</v>
      </c>
      <c r="I240" s="5" t="n">
        <v>0</v>
      </c>
      <c r="J240" s="5" t="n">
        <v>0</v>
      </c>
      <c r="K240" s="5" t="n">
        <v>0</v>
      </c>
      <c r="L240" s="5" t="n">
        <v>0</v>
      </c>
      <c r="M240" s="5" t="n">
        <v>0</v>
      </c>
      <c r="N240" s="5" t="n">
        <v>0</v>
      </c>
      <c r="O240" s="5" t="n">
        <v>1</v>
      </c>
      <c r="P240" s="5" t="n">
        <v>0</v>
      </c>
      <c r="Q240" s="5" t="n">
        <v>0</v>
      </c>
      <c r="R240" s="5" t="n">
        <v>0</v>
      </c>
      <c r="S240" s="5" t="n">
        <v>1</v>
      </c>
      <c r="T240" s="5" t="n">
        <v>0</v>
      </c>
      <c r="U240" s="5" t="inlineStr">
        <is>
          <t>training</t>
        </is>
      </c>
    </row>
    <row r="241">
      <c r="A241" s="5" t="n">
        <v>213</v>
      </c>
      <c r="B241" s="5" t="n">
        <v>1</v>
      </c>
      <c r="C241" s="5" t="n">
        <v>27</v>
      </c>
      <c r="D241" s="5" t="n">
        <v>5293</v>
      </c>
      <c r="E241" s="5" t="n">
        <v>50</v>
      </c>
      <c r="F241" s="5" t="n">
        <v>2</v>
      </c>
      <c r="G241" s="5" t="n">
        <v>1</v>
      </c>
      <c r="H241" s="5" t="n">
        <v>0</v>
      </c>
      <c r="I241" s="5" t="n">
        <v>0</v>
      </c>
      <c r="J241" s="5" t="n">
        <v>0</v>
      </c>
      <c r="K241" s="5" t="n">
        <v>0</v>
      </c>
      <c r="L241" s="5" t="n">
        <v>1</v>
      </c>
      <c r="M241" s="5" t="n">
        <v>0</v>
      </c>
      <c r="N241" s="5" t="n">
        <v>0</v>
      </c>
      <c r="O241" s="5" t="n">
        <v>0</v>
      </c>
      <c r="P241" s="5" t="n">
        <v>0</v>
      </c>
      <c r="Q241" s="5" t="n">
        <v>0</v>
      </c>
      <c r="R241" s="5" t="n">
        <v>0</v>
      </c>
      <c r="S241" s="5" t="n">
        <v>0</v>
      </c>
      <c r="T241" s="5" t="n">
        <v>0</v>
      </c>
      <c r="U241" s="5" t="inlineStr">
        <is>
          <t>testing</t>
        </is>
      </c>
    </row>
    <row r="242">
      <c r="A242" s="5" t="n">
        <v>214</v>
      </c>
      <c r="B242" s="5" t="n">
        <v>1</v>
      </c>
      <c r="C242" s="5" t="n">
        <v>30</v>
      </c>
      <c r="D242" s="5" t="n">
        <v>1908</v>
      </c>
      <c r="E242" s="5" t="n">
        <v>66</v>
      </c>
      <c r="F242" s="5" t="n">
        <v>4</v>
      </c>
      <c r="G242" s="5" t="n">
        <v>0</v>
      </c>
      <c r="H242" s="5" t="n">
        <v>0</v>
      </c>
      <c r="I242" s="5" t="n">
        <v>1</v>
      </c>
      <c r="J242" s="5" t="n">
        <v>0</v>
      </c>
      <c r="K242" s="5" t="n">
        <v>1</v>
      </c>
      <c r="L242" s="5" t="n">
        <v>0</v>
      </c>
      <c r="M242" s="5" t="n">
        <v>0</v>
      </c>
      <c r="N242" s="5" t="n">
        <v>0</v>
      </c>
      <c r="O242" s="5" t="n">
        <v>0</v>
      </c>
      <c r="P242" s="5" t="n">
        <v>0</v>
      </c>
      <c r="Q242" s="5" t="n">
        <v>0</v>
      </c>
      <c r="R242" s="5" t="n">
        <v>0</v>
      </c>
      <c r="S242" s="5" t="n">
        <v>0</v>
      </c>
      <c r="T242" s="5" t="n">
        <v>0</v>
      </c>
      <c r="U242" s="5" t="inlineStr">
        <is>
          <t>testing</t>
        </is>
      </c>
    </row>
    <row r="243">
      <c r="A243" s="5" t="n">
        <v>215</v>
      </c>
      <c r="B243" s="5" t="n">
        <v>0</v>
      </c>
      <c r="C243" s="5" t="n">
        <v>36</v>
      </c>
      <c r="D243" s="5" t="n">
        <v>3342</v>
      </c>
      <c r="E243" s="5" t="n">
        <v>51</v>
      </c>
      <c r="F243" s="5" t="n">
        <v>4</v>
      </c>
      <c r="G243" s="5" t="n">
        <v>0</v>
      </c>
      <c r="H243" s="5" t="n">
        <v>0</v>
      </c>
      <c r="I243" s="5" t="n">
        <v>0</v>
      </c>
      <c r="J243" s="5" t="n">
        <v>1</v>
      </c>
      <c r="K243" s="5" t="n">
        <v>0</v>
      </c>
      <c r="L243" s="5" t="n">
        <v>0</v>
      </c>
      <c r="M243" s="5" t="n">
        <v>0</v>
      </c>
      <c r="N243" s="5" t="n">
        <v>0</v>
      </c>
      <c r="O243" s="5" t="n">
        <v>1</v>
      </c>
      <c r="P243" s="5" t="n">
        <v>0</v>
      </c>
      <c r="Q243" s="5" t="n">
        <v>0</v>
      </c>
      <c r="R243" s="5" t="n">
        <v>0</v>
      </c>
      <c r="S243" s="5" t="n">
        <v>1</v>
      </c>
      <c r="T243" s="5" t="n">
        <v>0</v>
      </c>
      <c r="U243" s="5" t="inlineStr">
        <is>
          <t>training</t>
        </is>
      </c>
    </row>
    <row r="244">
      <c r="A244" s="5" t="n">
        <v>216</v>
      </c>
      <c r="B244" s="5" t="n">
        <v>0</v>
      </c>
      <c r="C244" s="5" t="n">
        <v>6</v>
      </c>
      <c r="D244" s="5" t="n">
        <v>932</v>
      </c>
      <c r="E244" s="5" t="n">
        <v>39</v>
      </c>
      <c r="F244" s="5" t="n">
        <v>1</v>
      </c>
      <c r="G244" s="5" t="n">
        <v>0</v>
      </c>
      <c r="H244" s="5" t="n">
        <v>1</v>
      </c>
      <c r="I244" s="5" t="n">
        <v>0</v>
      </c>
      <c r="J244" s="5" t="n">
        <v>1</v>
      </c>
      <c r="K244" s="5" t="n">
        <v>0</v>
      </c>
      <c r="L244" s="5" t="n">
        <v>0</v>
      </c>
      <c r="M244" s="5" t="n">
        <v>0</v>
      </c>
      <c r="N244" s="5" t="n">
        <v>0</v>
      </c>
      <c r="O244" s="5" t="n">
        <v>1</v>
      </c>
      <c r="P244" s="5" t="n">
        <v>0</v>
      </c>
      <c r="Q244" s="5" t="n">
        <v>0</v>
      </c>
      <c r="R244" s="5" t="n">
        <v>0</v>
      </c>
      <c r="S244" s="5" t="n">
        <v>0</v>
      </c>
      <c r="T244" s="5" t="n">
        <v>0</v>
      </c>
      <c r="U244" s="5" t="inlineStr">
        <is>
          <t>training</t>
        </is>
      </c>
    </row>
    <row r="245">
      <c r="A245" s="5" t="n">
        <v>217</v>
      </c>
      <c r="B245" s="5" t="n">
        <v>0</v>
      </c>
      <c r="C245" s="5" t="n">
        <v>18</v>
      </c>
      <c r="D245" s="5" t="n">
        <v>3104</v>
      </c>
      <c r="E245" s="5" t="n">
        <v>31</v>
      </c>
      <c r="F245" s="5" t="n">
        <v>3</v>
      </c>
      <c r="G245" s="5" t="n">
        <v>1</v>
      </c>
      <c r="H245" s="5" t="n">
        <v>0</v>
      </c>
      <c r="I245" s="5" t="n">
        <v>0</v>
      </c>
      <c r="J245" s="5" t="n">
        <v>0</v>
      </c>
      <c r="K245" s="5" t="n">
        <v>0</v>
      </c>
      <c r="L245" s="5" t="n">
        <v>1</v>
      </c>
      <c r="M245" s="5" t="n">
        <v>0</v>
      </c>
      <c r="N245" s="5" t="n">
        <v>0</v>
      </c>
      <c r="O245" s="5" t="n">
        <v>0</v>
      </c>
      <c r="P245" s="5" t="n">
        <v>0</v>
      </c>
      <c r="Q245" s="5" t="n">
        <v>0</v>
      </c>
      <c r="R245" s="5" t="n">
        <v>0</v>
      </c>
      <c r="S245" s="5" t="n">
        <v>0</v>
      </c>
      <c r="T245" s="5" t="n">
        <v>0</v>
      </c>
      <c r="U245" s="5" t="inlineStr">
        <is>
          <t>testing</t>
        </is>
      </c>
    </row>
    <row r="246">
      <c r="A246" s="5" t="n">
        <v>218</v>
      </c>
      <c r="B246" s="5" t="n">
        <v>0</v>
      </c>
      <c r="C246" s="5" t="n">
        <v>36</v>
      </c>
      <c r="D246" s="5" t="n">
        <v>3913</v>
      </c>
      <c r="E246" s="5" t="n">
        <v>23</v>
      </c>
      <c r="F246" s="5" t="n">
        <v>2</v>
      </c>
      <c r="G246" s="5" t="n">
        <v>0</v>
      </c>
      <c r="H246" s="5" t="n">
        <v>0</v>
      </c>
      <c r="I246" s="5" t="n">
        <v>1</v>
      </c>
      <c r="J246" s="5" t="n">
        <v>0</v>
      </c>
      <c r="K246" s="5" t="n">
        <v>0</v>
      </c>
      <c r="L246" s="5" t="n">
        <v>0</v>
      </c>
      <c r="M246" s="5" t="n">
        <v>0</v>
      </c>
      <c r="N246" s="5" t="n">
        <v>0</v>
      </c>
      <c r="O246" s="5" t="n">
        <v>0</v>
      </c>
      <c r="P246" s="5" t="n">
        <v>0</v>
      </c>
      <c r="Q246" s="5" t="n">
        <v>0</v>
      </c>
      <c r="R246" s="5" t="n">
        <v>0</v>
      </c>
      <c r="S246" s="5" t="n">
        <v>1</v>
      </c>
      <c r="T246" s="5" t="n">
        <v>0</v>
      </c>
      <c r="U246" s="5" t="inlineStr">
        <is>
          <t>training</t>
        </is>
      </c>
    </row>
    <row r="247">
      <c r="A247" s="5" t="n">
        <v>219</v>
      </c>
      <c r="B247" s="5" t="n">
        <v>0</v>
      </c>
      <c r="C247" s="5" t="n">
        <v>24</v>
      </c>
      <c r="D247" s="5" t="n">
        <v>3021</v>
      </c>
      <c r="E247" s="5" t="n">
        <v>24</v>
      </c>
      <c r="F247" s="5" t="n">
        <v>2</v>
      </c>
      <c r="G247" s="5" t="n">
        <v>1</v>
      </c>
      <c r="H247" s="5" t="n">
        <v>0</v>
      </c>
      <c r="I247" s="5" t="n">
        <v>0</v>
      </c>
      <c r="J247" s="5" t="n">
        <v>0</v>
      </c>
      <c r="K247" s="5" t="n">
        <v>0</v>
      </c>
      <c r="L247" s="5" t="n">
        <v>0</v>
      </c>
      <c r="M247" s="5" t="n">
        <v>0</v>
      </c>
      <c r="N247" s="5" t="n">
        <v>0</v>
      </c>
      <c r="O247" s="5" t="n">
        <v>0</v>
      </c>
      <c r="P247" s="5" t="n">
        <v>1</v>
      </c>
      <c r="Q247" s="5" t="n">
        <v>0</v>
      </c>
      <c r="R247" s="5" t="n">
        <v>0</v>
      </c>
      <c r="S247" s="5" t="n">
        <v>0</v>
      </c>
      <c r="T247" s="5" t="n">
        <v>1</v>
      </c>
      <c r="U247" s="5" t="inlineStr">
        <is>
          <t>testing</t>
        </is>
      </c>
    </row>
    <row r="248">
      <c r="A248" s="5" t="n">
        <v>220</v>
      </c>
      <c r="B248" s="5" t="n">
        <v>0</v>
      </c>
      <c r="C248" s="5" t="n">
        <v>10</v>
      </c>
      <c r="D248" s="5" t="n">
        <v>1364</v>
      </c>
      <c r="E248" s="5" t="n">
        <v>64</v>
      </c>
      <c r="F248" s="5" t="n">
        <v>2</v>
      </c>
      <c r="G248" s="5" t="n">
        <v>0</v>
      </c>
      <c r="H248" s="5" t="n">
        <v>0</v>
      </c>
      <c r="I248" s="5" t="n">
        <v>0</v>
      </c>
      <c r="J248" s="5" t="n">
        <v>0</v>
      </c>
      <c r="K248" s="5" t="n">
        <v>0</v>
      </c>
      <c r="L248" s="5" t="n">
        <v>0</v>
      </c>
      <c r="M248" s="5" t="n">
        <v>0</v>
      </c>
      <c r="N248" s="5" t="n">
        <v>0</v>
      </c>
      <c r="O248" s="5" t="n">
        <v>0</v>
      </c>
      <c r="P248" s="5" t="n">
        <v>0</v>
      </c>
      <c r="Q248" s="5" t="n">
        <v>0</v>
      </c>
      <c r="R248" s="5" t="n">
        <v>1</v>
      </c>
      <c r="S248" s="5" t="n">
        <v>0</v>
      </c>
      <c r="T248" s="5" t="n">
        <v>0</v>
      </c>
      <c r="U248" s="5" t="inlineStr">
        <is>
          <t>training</t>
        </is>
      </c>
    </row>
    <row r="249">
      <c r="A249" s="5" t="n">
        <v>221</v>
      </c>
      <c r="B249" s="5" t="n">
        <v>0</v>
      </c>
      <c r="C249" s="5" t="n">
        <v>12</v>
      </c>
      <c r="D249" s="5" t="n">
        <v>625</v>
      </c>
      <c r="E249" s="5" t="n">
        <v>26</v>
      </c>
      <c r="F249" s="5" t="n">
        <v>4</v>
      </c>
      <c r="G249" s="5" t="n">
        <v>0</v>
      </c>
      <c r="H249" s="5" t="n">
        <v>1</v>
      </c>
      <c r="I249" s="5" t="n">
        <v>0</v>
      </c>
      <c r="J249" s="5" t="n">
        <v>0</v>
      </c>
      <c r="K249" s="5" t="n">
        <v>0</v>
      </c>
      <c r="L249" s="5" t="n">
        <v>0</v>
      </c>
      <c r="M249" s="5" t="n">
        <v>0</v>
      </c>
      <c r="N249" s="5" t="n">
        <v>0</v>
      </c>
      <c r="O249" s="5" t="n">
        <v>0</v>
      </c>
      <c r="P249" s="5" t="n">
        <v>0</v>
      </c>
      <c r="Q249" s="5" t="n">
        <v>0</v>
      </c>
      <c r="R249" s="5" t="n">
        <v>0</v>
      </c>
      <c r="S249" s="5" t="n">
        <v>1</v>
      </c>
      <c r="T249" s="5" t="n">
        <v>0</v>
      </c>
      <c r="U249" s="5" t="inlineStr">
        <is>
          <t>testing</t>
        </is>
      </c>
    </row>
    <row r="250">
      <c r="A250" s="5" t="n">
        <v>222</v>
      </c>
      <c r="B250" s="5" t="n">
        <v>0</v>
      </c>
      <c r="C250" s="5" t="n">
        <v>12</v>
      </c>
      <c r="D250" s="5" t="n">
        <v>1200</v>
      </c>
      <c r="E250" s="5" t="n">
        <v>23</v>
      </c>
      <c r="F250" s="5" t="n">
        <v>4</v>
      </c>
      <c r="G250" s="5" t="n">
        <v>1</v>
      </c>
      <c r="H250" s="5" t="n">
        <v>0</v>
      </c>
      <c r="I250" s="5" t="n">
        <v>0</v>
      </c>
      <c r="J250" s="5" t="n">
        <v>0</v>
      </c>
      <c r="K250" s="5" t="n">
        <v>0</v>
      </c>
      <c r="L250" s="5" t="n">
        <v>0</v>
      </c>
      <c r="M250" s="5" t="n">
        <v>0</v>
      </c>
      <c r="N250" s="5" t="n">
        <v>0</v>
      </c>
      <c r="O250" s="5" t="n">
        <v>1</v>
      </c>
      <c r="P250" s="5" t="n">
        <v>1</v>
      </c>
      <c r="Q250" s="5" t="n">
        <v>0</v>
      </c>
      <c r="R250" s="5" t="n">
        <v>0</v>
      </c>
      <c r="S250" s="5" t="n">
        <v>0</v>
      </c>
      <c r="T250" s="5" t="n">
        <v>0</v>
      </c>
      <c r="U250" s="5" t="inlineStr">
        <is>
          <t>testing</t>
        </is>
      </c>
    </row>
    <row r="251">
      <c r="A251" s="5" t="n">
        <v>223</v>
      </c>
      <c r="B251" s="5" t="n">
        <v>0</v>
      </c>
      <c r="C251" s="5" t="n">
        <v>12</v>
      </c>
      <c r="D251" s="5" t="n">
        <v>707</v>
      </c>
      <c r="E251" s="5" t="n">
        <v>30</v>
      </c>
      <c r="F251" s="5" t="n">
        <v>4</v>
      </c>
      <c r="G251" s="5" t="n">
        <v>0</v>
      </c>
      <c r="H251" s="5" t="n">
        <v>0</v>
      </c>
      <c r="I251" s="5" t="n">
        <v>0</v>
      </c>
      <c r="J251" s="5" t="n">
        <v>0</v>
      </c>
      <c r="K251" s="5" t="n">
        <v>0</v>
      </c>
      <c r="L251" s="5" t="n">
        <v>0</v>
      </c>
      <c r="M251" s="5" t="n">
        <v>0</v>
      </c>
      <c r="N251" s="5" t="n">
        <v>0</v>
      </c>
      <c r="O251" s="5" t="n">
        <v>0</v>
      </c>
      <c r="P251" s="5" t="n">
        <v>0</v>
      </c>
      <c r="Q251" s="5" t="n">
        <v>0</v>
      </c>
      <c r="R251" s="5" t="n">
        <v>0</v>
      </c>
      <c r="S251" s="5" t="n">
        <v>1</v>
      </c>
      <c r="T251" s="5" t="n">
        <v>0</v>
      </c>
      <c r="U251" s="5" t="inlineStr">
        <is>
          <t>training</t>
        </is>
      </c>
    </row>
    <row r="252">
      <c r="A252" s="5" t="n">
        <v>224</v>
      </c>
      <c r="B252" s="5" t="n">
        <v>0</v>
      </c>
      <c r="C252" s="5" t="n">
        <v>24</v>
      </c>
      <c r="D252" s="5" t="n">
        <v>2978</v>
      </c>
      <c r="E252" s="5" t="n">
        <v>32</v>
      </c>
      <c r="F252" s="5" t="n">
        <v>4</v>
      </c>
      <c r="G252" s="5" t="n">
        <v>0</v>
      </c>
      <c r="H252" s="5" t="n">
        <v>0</v>
      </c>
      <c r="I252" s="5" t="n">
        <v>0</v>
      </c>
      <c r="J252" s="5" t="n">
        <v>0</v>
      </c>
      <c r="K252" s="5" t="n">
        <v>1</v>
      </c>
      <c r="L252" s="5" t="n">
        <v>0</v>
      </c>
      <c r="M252" s="5" t="n">
        <v>0</v>
      </c>
      <c r="N252" s="5" t="n">
        <v>0</v>
      </c>
      <c r="O252" s="5" t="n">
        <v>1</v>
      </c>
      <c r="P252" s="5" t="n">
        <v>0</v>
      </c>
      <c r="Q252" s="5" t="n">
        <v>0</v>
      </c>
      <c r="R252" s="5" t="n">
        <v>0</v>
      </c>
      <c r="S252" s="5" t="n">
        <v>0</v>
      </c>
      <c r="T252" s="5" t="n">
        <v>0</v>
      </c>
      <c r="U252" s="5" t="inlineStr">
        <is>
          <t>training</t>
        </is>
      </c>
    </row>
    <row r="253">
      <c r="A253" s="5" t="n">
        <v>225</v>
      </c>
      <c r="B253" s="5" t="n">
        <v>0</v>
      </c>
      <c r="C253" s="5" t="n">
        <v>15</v>
      </c>
      <c r="D253" s="5" t="n">
        <v>4657</v>
      </c>
      <c r="E253" s="5" t="n">
        <v>30</v>
      </c>
      <c r="F253" s="5" t="n">
        <v>3</v>
      </c>
      <c r="G253" s="5" t="n">
        <v>0</v>
      </c>
      <c r="H253" s="5" t="n">
        <v>0</v>
      </c>
      <c r="I253" s="5" t="n">
        <v>0</v>
      </c>
      <c r="J253" s="5" t="n">
        <v>0</v>
      </c>
      <c r="K253" s="5" t="n">
        <v>0</v>
      </c>
      <c r="L253" s="5" t="n">
        <v>0</v>
      </c>
      <c r="M253" s="5" t="n">
        <v>0</v>
      </c>
      <c r="N253" s="5" t="n">
        <v>0</v>
      </c>
      <c r="O253" s="5" t="n">
        <v>0</v>
      </c>
      <c r="P253" s="5" t="n">
        <v>0</v>
      </c>
      <c r="Q253" s="5" t="n">
        <v>0</v>
      </c>
      <c r="R253" s="5" t="n">
        <v>1</v>
      </c>
      <c r="S253" s="5" t="n">
        <v>0</v>
      </c>
      <c r="T253" s="5" t="n">
        <v>0</v>
      </c>
      <c r="U253" s="5" t="inlineStr">
        <is>
          <t>training</t>
        </is>
      </c>
    </row>
    <row r="254">
      <c r="A254" s="5" t="n">
        <v>226</v>
      </c>
      <c r="B254" s="5" t="n">
        <v>0</v>
      </c>
      <c r="C254" s="5" t="n">
        <v>36</v>
      </c>
      <c r="D254" s="5" t="n">
        <v>2613</v>
      </c>
      <c r="E254" s="5" t="n">
        <v>27</v>
      </c>
      <c r="F254" s="5" t="n">
        <v>4</v>
      </c>
      <c r="G254" s="5" t="n">
        <v>0</v>
      </c>
      <c r="H254" s="5" t="n">
        <v>0</v>
      </c>
      <c r="I254" s="5" t="n">
        <v>0</v>
      </c>
      <c r="J254" s="5" t="n">
        <v>0</v>
      </c>
      <c r="K254" s="5" t="n">
        <v>0</v>
      </c>
      <c r="L254" s="5" t="n">
        <v>1</v>
      </c>
      <c r="M254" s="5" t="n">
        <v>0</v>
      </c>
      <c r="N254" s="5" t="n">
        <v>0</v>
      </c>
      <c r="O254" s="5" t="n">
        <v>0</v>
      </c>
      <c r="P254" s="5" t="n">
        <v>0</v>
      </c>
      <c r="Q254" s="5" t="n">
        <v>0</v>
      </c>
      <c r="R254" s="5" t="n">
        <v>0</v>
      </c>
      <c r="S254" s="5" t="n">
        <v>0</v>
      </c>
      <c r="T254" s="5" t="n">
        <v>0</v>
      </c>
      <c r="U254" s="5" t="inlineStr">
        <is>
          <t>training</t>
        </is>
      </c>
    </row>
    <row r="255">
      <c r="A255" s="5" t="n">
        <v>227</v>
      </c>
      <c r="B255" s="5" t="n">
        <v>1</v>
      </c>
      <c r="C255" s="5" t="n">
        <v>48</v>
      </c>
      <c r="D255" s="5" t="n">
        <v>10961</v>
      </c>
      <c r="E255" s="5" t="n">
        <v>27</v>
      </c>
      <c r="F255" s="5" t="n">
        <v>1</v>
      </c>
      <c r="G255" s="5" t="n">
        <v>0</v>
      </c>
      <c r="H255" s="5" t="n">
        <v>1</v>
      </c>
      <c r="I255" s="5" t="n">
        <v>0</v>
      </c>
      <c r="J255" s="5" t="n">
        <v>0</v>
      </c>
      <c r="K255" s="5" t="n">
        <v>0</v>
      </c>
      <c r="L255" s="5" t="n">
        <v>0</v>
      </c>
      <c r="M255" s="5" t="n">
        <v>0</v>
      </c>
      <c r="N255" s="5" t="n">
        <v>1</v>
      </c>
      <c r="O255" s="5" t="n">
        <v>0</v>
      </c>
      <c r="P255" s="5" t="n">
        <v>0</v>
      </c>
      <c r="Q255" s="5" t="n">
        <v>0</v>
      </c>
      <c r="R255" s="5" t="n">
        <v>0</v>
      </c>
      <c r="S255" s="5" t="n">
        <v>1</v>
      </c>
      <c r="T255" s="5" t="n">
        <v>0</v>
      </c>
      <c r="U255" s="5" t="inlineStr">
        <is>
          <t>training</t>
        </is>
      </c>
    </row>
    <row r="256">
      <c r="A256" s="5" t="n">
        <v>228</v>
      </c>
      <c r="B256" s="5" t="n">
        <v>1</v>
      </c>
      <c r="C256" s="5" t="n">
        <v>12</v>
      </c>
      <c r="D256" s="5" t="n">
        <v>7865</v>
      </c>
      <c r="E256" s="5" t="n">
        <v>53</v>
      </c>
      <c r="F256" s="5" t="n">
        <v>4</v>
      </c>
      <c r="G256" s="5" t="n">
        <v>1</v>
      </c>
      <c r="H256" s="5" t="n">
        <v>0</v>
      </c>
      <c r="I256" s="5" t="n">
        <v>0</v>
      </c>
      <c r="J256" s="5" t="n">
        <v>0</v>
      </c>
      <c r="K256" s="5" t="n">
        <v>0</v>
      </c>
      <c r="L256" s="5" t="n">
        <v>0</v>
      </c>
      <c r="M256" s="5" t="n">
        <v>0</v>
      </c>
      <c r="N256" s="5" t="n">
        <v>0</v>
      </c>
      <c r="O256" s="5" t="n">
        <v>0</v>
      </c>
      <c r="P256" s="5" t="n">
        <v>0</v>
      </c>
      <c r="Q256" s="5" t="n">
        <v>1</v>
      </c>
      <c r="R256" s="5" t="n">
        <v>0</v>
      </c>
      <c r="S256" s="5" t="n">
        <v>0</v>
      </c>
      <c r="T256" s="5" t="n">
        <v>1</v>
      </c>
      <c r="U256" s="5" t="inlineStr">
        <is>
          <t>training</t>
        </is>
      </c>
    </row>
    <row r="257">
      <c r="A257" s="5" t="n">
        <v>229</v>
      </c>
      <c r="B257" s="5" t="n">
        <v>1</v>
      </c>
      <c r="C257" s="5" t="n">
        <v>9</v>
      </c>
      <c r="D257" s="5" t="n">
        <v>1478</v>
      </c>
      <c r="E257" s="5" t="n">
        <v>22</v>
      </c>
      <c r="F257" s="5" t="n">
        <v>4</v>
      </c>
      <c r="G257" s="5" t="n">
        <v>0</v>
      </c>
      <c r="H257" s="5" t="n">
        <v>0</v>
      </c>
      <c r="I257" s="5" t="n">
        <v>0</v>
      </c>
      <c r="J257" s="5" t="n">
        <v>0</v>
      </c>
      <c r="K257" s="5" t="n">
        <v>0</v>
      </c>
      <c r="L257" s="5" t="n">
        <v>0</v>
      </c>
      <c r="M257" s="5" t="n">
        <v>0</v>
      </c>
      <c r="N257" s="5" t="n">
        <v>0</v>
      </c>
      <c r="O257" s="5" t="n">
        <v>0</v>
      </c>
      <c r="P257" s="5" t="n">
        <v>0</v>
      </c>
      <c r="Q257" s="5" t="n">
        <v>0</v>
      </c>
      <c r="R257" s="5" t="n">
        <v>0</v>
      </c>
      <c r="S257" s="5" t="n">
        <v>1</v>
      </c>
      <c r="T257" s="5" t="n">
        <v>0</v>
      </c>
      <c r="U257" s="5" t="inlineStr">
        <is>
          <t>training</t>
        </is>
      </c>
    </row>
    <row r="258">
      <c r="A258" s="5" t="n">
        <v>230</v>
      </c>
      <c r="B258" s="5" t="n">
        <v>0</v>
      </c>
      <c r="C258" s="5" t="n">
        <v>24</v>
      </c>
      <c r="D258" s="5" t="n">
        <v>3149</v>
      </c>
      <c r="E258" s="5" t="n">
        <v>22</v>
      </c>
      <c r="F258" s="5" t="n">
        <v>4</v>
      </c>
      <c r="G258" s="5" t="n">
        <v>1</v>
      </c>
      <c r="H258" s="5" t="n">
        <v>0</v>
      </c>
      <c r="I258" s="5" t="n">
        <v>0</v>
      </c>
      <c r="J258" s="5" t="n">
        <v>0</v>
      </c>
      <c r="K258" s="5" t="n">
        <v>0</v>
      </c>
      <c r="L258" s="5" t="n">
        <v>0</v>
      </c>
      <c r="M258" s="5" t="n">
        <v>0</v>
      </c>
      <c r="N258" s="5" t="n">
        <v>0</v>
      </c>
      <c r="O258" s="5" t="n">
        <v>0</v>
      </c>
      <c r="P258" s="5" t="n">
        <v>0</v>
      </c>
      <c r="Q258" s="5" t="n">
        <v>1</v>
      </c>
      <c r="R258" s="5" t="n">
        <v>0</v>
      </c>
      <c r="S258" s="5" t="n">
        <v>0</v>
      </c>
      <c r="T258" s="5" t="n">
        <v>1</v>
      </c>
      <c r="U258" s="5" t="inlineStr">
        <is>
          <t>training</t>
        </is>
      </c>
    </row>
    <row r="259">
      <c r="A259" s="5" t="n">
        <v>231</v>
      </c>
      <c r="B259" s="5" t="n">
        <v>1</v>
      </c>
      <c r="C259" s="5" t="n">
        <v>36</v>
      </c>
      <c r="D259" s="5" t="n">
        <v>4210</v>
      </c>
      <c r="E259" s="5" t="n">
        <v>26</v>
      </c>
      <c r="F259" s="5" t="n">
        <v>4</v>
      </c>
      <c r="G259" s="5" t="n">
        <v>0</v>
      </c>
      <c r="H259" s="5" t="n">
        <v>0</v>
      </c>
      <c r="I259" s="5" t="n">
        <v>1</v>
      </c>
      <c r="J259" s="5" t="n">
        <v>0</v>
      </c>
      <c r="K259" s="5" t="n">
        <v>0</v>
      </c>
      <c r="L259" s="5" t="n">
        <v>0</v>
      </c>
      <c r="M259" s="5" t="n">
        <v>0</v>
      </c>
      <c r="N259" s="5" t="n">
        <v>0</v>
      </c>
      <c r="O259" s="5" t="n">
        <v>0</v>
      </c>
      <c r="P259" s="5" t="n">
        <v>0</v>
      </c>
      <c r="Q259" s="5" t="n">
        <v>0</v>
      </c>
      <c r="R259" s="5" t="n">
        <v>0</v>
      </c>
      <c r="S259" s="5" t="n">
        <v>1</v>
      </c>
      <c r="T259" s="5" t="n">
        <v>0</v>
      </c>
      <c r="U259" s="5" t="inlineStr">
        <is>
          <t>training</t>
        </is>
      </c>
    </row>
    <row r="260">
      <c r="A260" s="5" t="n">
        <v>232</v>
      </c>
      <c r="B260" s="5" t="n">
        <v>0</v>
      </c>
      <c r="C260" s="5" t="n">
        <v>9</v>
      </c>
      <c r="D260" s="5" t="n">
        <v>2507</v>
      </c>
      <c r="E260" s="5" t="n">
        <v>51</v>
      </c>
      <c r="F260" s="5" t="n">
        <v>2</v>
      </c>
      <c r="G260" s="5" t="n">
        <v>0</v>
      </c>
      <c r="H260" s="5" t="n">
        <v>0</v>
      </c>
      <c r="I260" s="5" t="n">
        <v>0</v>
      </c>
      <c r="J260" s="5" t="n">
        <v>0</v>
      </c>
      <c r="K260" s="5" t="n">
        <v>0</v>
      </c>
      <c r="L260" s="5" t="n">
        <v>0</v>
      </c>
      <c r="M260" s="5" t="n">
        <v>1</v>
      </c>
      <c r="N260" s="5" t="n">
        <v>0</v>
      </c>
      <c r="O260" s="5" t="n">
        <v>0</v>
      </c>
      <c r="P260" s="5" t="n">
        <v>0</v>
      </c>
      <c r="Q260" s="5" t="n">
        <v>1</v>
      </c>
      <c r="R260" s="5" t="n">
        <v>1</v>
      </c>
      <c r="S260" s="5" t="n">
        <v>0</v>
      </c>
      <c r="T260" s="5" t="n">
        <v>0</v>
      </c>
      <c r="U260" s="5" t="inlineStr">
        <is>
          <t>testing</t>
        </is>
      </c>
    </row>
    <row r="261">
      <c r="A261" s="5" t="n">
        <v>233</v>
      </c>
      <c r="B261" s="5" t="n">
        <v>0</v>
      </c>
      <c r="C261" s="5" t="n">
        <v>12</v>
      </c>
      <c r="D261" s="5" t="n">
        <v>2141</v>
      </c>
      <c r="E261" s="5" t="n">
        <v>35</v>
      </c>
      <c r="F261" s="5" t="n">
        <v>3</v>
      </c>
      <c r="G261" s="5" t="n">
        <v>0</v>
      </c>
      <c r="H261" s="5" t="n">
        <v>0</v>
      </c>
      <c r="I261" s="5" t="n">
        <v>0</v>
      </c>
      <c r="J261" s="5" t="n">
        <v>0</v>
      </c>
      <c r="K261" s="5" t="n">
        <v>0</v>
      </c>
      <c r="L261" s="5" t="n">
        <v>0</v>
      </c>
      <c r="M261" s="5" t="n">
        <v>1</v>
      </c>
      <c r="N261" s="5" t="n">
        <v>0</v>
      </c>
      <c r="O261" s="5" t="n">
        <v>0</v>
      </c>
      <c r="P261" s="5" t="n">
        <v>0</v>
      </c>
      <c r="Q261" s="5" t="n">
        <v>0</v>
      </c>
      <c r="R261" s="5" t="n">
        <v>0</v>
      </c>
      <c r="S261" s="5" t="n">
        <v>1</v>
      </c>
      <c r="T261" s="5" t="n">
        <v>0</v>
      </c>
      <c r="U261" s="5" t="inlineStr">
        <is>
          <t>training</t>
        </is>
      </c>
    </row>
    <row r="262">
      <c r="A262" s="5" t="n">
        <v>234</v>
      </c>
      <c r="B262" s="5" t="n">
        <v>0</v>
      </c>
      <c r="C262" s="5" t="n">
        <v>18</v>
      </c>
      <c r="D262" s="5" t="n">
        <v>866</v>
      </c>
      <c r="E262" s="5" t="n">
        <v>25</v>
      </c>
      <c r="F262" s="5" t="n">
        <v>4</v>
      </c>
      <c r="G262" s="5" t="n">
        <v>0</v>
      </c>
      <c r="H262" s="5" t="n">
        <v>1</v>
      </c>
      <c r="I262" s="5" t="n">
        <v>0</v>
      </c>
      <c r="J262" s="5" t="n">
        <v>0</v>
      </c>
      <c r="K262" s="5" t="n">
        <v>0</v>
      </c>
      <c r="L262" s="5" t="n">
        <v>0</v>
      </c>
      <c r="M262" s="5" t="n">
        <v>0</v>
      </c>
      <c r="N262" s="5" t="n">
        <v>0</v>
      </c>
      <c r="O262" s="5" t="n">
        <v>0</v>
      </c>
      <c r="P262" s="5" t="n">
        <v>0</v>
      </c>
      <c r="Q262" s="5" t="n">
        <v>0</v>
      </c>
      <c r="R262" s="5" t="n">
        <v>0</v>
      </c>
      <c r="S262" s="5" t="n">
        <v>1</v>
      </c>
      <c r="T262" s="5" t="n">
        <v>0</v>
      </c>
      <c r="U262" s="5" t="inlineStr">
        <is>
          <t>training</t>
        </is>
      </c>
    </row>
    <row r="263">
      <c r="A263" s="5" t="n">
        <v>235</v>
      </c>
      <c r="B263" s="5" t="n">
        <v>0</v>
      </c>
      <c r="C263" s="5" t="n">
        <v>4</v>
      </c>
      <c r="D263" s="5" t="n">
        <v>1544</v>
      </c>
      <c r="E263" s="5" t="n">
        <v>42</v>
      </c>
      <c r="F263" s="5" t="n">
        <v>2</v>
      </c>
      <c r="G263" s="5" t="n">
        <v>0</v>
      </c>
      <c r="H263" s="5" t="n">
        <v>0</v>
      </c>
      <c r="I263" s="5" t="n">
        <v>0</v>
      </c>
      <c r="J263" s="5" t="n">
        <v>1</v>
      </c>
      <c r="K263" s="5" t="n">
        <v>0</v>
      </c>
      <c r="L263" s="5" t="n">
        <v>0</v>
      </c>
      <c r="M263" s="5" t="n">
        <v>0</v>
      </c>
      <c r="N263" s="5" t="n">
        <v>0</v>
      </c>
      <c r="O263" s="5" t="n">
        <v>0</v>
      </c>
      <c r="P263" s="5" t="n">
        <v>0</v>
      </c>
      <c r="Q263" s="5" t="n">
        <v>0</v>
      </c>
      <c r="R263" s="5" t="n">
        <v>0</v>
      </c>
      <c r="S263" s="5" t="n">
        <v>1</v>
      </c>
      <c r="T263" s="5" t="n">
        <v>0</v>
      </c>
      <c r="U263" s="5" t="inlineStr">
        <is>
          <t>testing</t>
        </is>
      </c>
    </row>
    <row r="264">
      <c r="A264" s="5" t="n">
        <v>236</v>
      </c>
      <c r="B264" s="5" t="n">
        <v>1</v>
      </c>
      <c r="C264" s="5" t="n">
        <v>24</v>
      </c>
      <c r="D264" s="5" t="n">
        <v>1823</v>
      </c>
      <c r="E264" s="5" t="n">
        <v>30</v>
      </c>
      <c r="F264" s="5" t="n">
        <v>4</v>
      </c>
      <c r="G264" s="5" t="n">
        <v>1</v>
      </c>
      <c r="H264" s="5" t="n">
        <v>0</v>
      </c>
      <c r="I264" s="5" t="n">
        <v>0</v>
      </c>
      <c r="J264" s="5" t="n">
        <v>0</v>
      </c>
      <c r="K264" s="5" t="n">
        <v>0</v>
      </c>
      <c r="L264" s="5" t="n">
        <v>0</v>
      </c>
      <c r="M264" s="5" t="n">
        <v>0</v>
      </c>
      <c r="N264" s="5" t="n">
        <v>0</v>
      </c>
      <c r="O264" s="5" t="n">
        <v>0</v>
      </c>
      <c r="P264" s="5" t="n">
        <v>0</v>
      </c>
      <c r="Q264" s="5" t="n">
        <v>0</v>
      </c>
      <c r="R264" s="5" t="n">
        <v>0</v>
      </c>
      <c r="S264" s="5" t="n">
        <v>1</v>
      </c>
      <c r="T264" s="5" t="n">
        <v>0</v>
      </c>
      <c r="U264" s="5" t="inlineStr">
        <is>
          <t>training</t>
        </is>
      </c>
    </row>
    <row r="265">
      <c r="A265" s="5" t="n">
        <v>237</v>
      </c>
      <c r="B265" s="5" t="n">
        <v>1</v>
      </c>
      <c r="C265" s="5" t="n">
        <v>6</v>
      </c>
      <c r="D265" s="5" t="n">
        <v>14555</v>
      </c>
      <c r="E265" s="5" t="n">
        <v>23</v>
      </c>
      <c r="F265" s="5" t="n">
        <v>1</v>
      </c>
      <c r="G265" s="5" t="n">
        <v>0</v>
      </c>
      <c r="H265" s="5" t="n">
        <v>1</v>
      </c>
      <c r="I265" s="5" t="n">
        <v>0</v>
      </c>
      <c r="J265" s="5" t="n">
        <v>0</v>
      </c>
      <c r="K265" s="5" t="n">
        <v>0</v>
      </c>
      <c r="L265" s="5" t="n">
        <v>0</v>
      </c>
      <c r="M265" s="5" t="n">
        <v>0</v>
      </c>
      <c r="N265" s="5" t="n">
        <v>0</v>
      </c>
      <c r="O265" s="5" t="n">
        <v>1</v>
      </c>
      <c r="P265" s="5" t="n">
        <v>0</v>
      </c>
      <c r="Q265" s="5" t="n">
        <v>0</v>
      </c>
      <c r="R265" s="5" t="n">
        <v>1</v>
      </c>
      <c r="S265" s="5" t="n">
        <v>0</v>
      </c>
      <c r="T265" s="5" t="n">
        <v>0</v>
      </c>
      <c r="U265" s="5" t="inlineStr">
        <is>
          <t>training</t>
        </is>
      </c>
    </row>
    <row r="266">
      <c r="A266" s="5" t="n">
        <v>238</v>
      </c>
      <c r="B266" s="5" t="n">
        <v>1</v>
      </c>
      <c r="C266" s="5" t="n">
        <v>21</v>
      </c>
      <c r="D266" s="5" t="n">
        <v>2767</v>
      </c>
      <c r="E266" s="5" t="n">
        <v>61</v>
      </c>
      <c r="F266" s="5" t="n">
        <v>4</v>
      </c>
      <c r="G266" s="5" t="n">
        <v>0</v>
      </c>
      <c r="H266" s="5" t="n">
        <v>1</v>
      </c>
      <c r="I266" s="5" t="n">
        <v>0</v>
      </c>
      <c r="J266" s="5" t="n">
        <v>0</v>
      </c>
      <c r="K266" s="5" t="n">
        <v>0</v>
      </c>
      <c r="L266" s="5" t="n">
        <v>0</v>
      </c>
      <c r="M266" s="5" t="n">
        <v>1</v>
      </c>
      <c r="N266" s="5" t="n">
        <v>0</v>
      </c>
      <c r="O266" s="5" t="n">
        <v>0</v>
      </c>
      <c r="P266" s="5" t="n">
        <v>1</v>
      </c>
      <c r="Q266" s="5" t="n">
        <v>0</v>
      </c>
      <c r="R266" s="5" t="n">
        <v>0</v>
      </c>
      <c r="S266" s="5" t="n">
        <v>0</v>
      </c>
      <c r="T266" s="5" t="n">
        <v>0</v>
      </c>
      <c r="U266" s="5" t="inlineStr">
        <is>
          <t>training</t>
        </is>
      </c>
    </row>
    <row r="267">
      <c r="A267" s="5" t="n">
        <v>239</v>
      </c>
      <c r="B267" s="5" t="n">
        <v>0</v>
      </c>
      <c r="C267" s="5" t="n">
        <v>12</v>
      </c>
      <c r="D267" s="5" t="n">
        <v>1291</v>
      </c>
      <c r="E267" s="5" t="n">
        <v>35</v>
      </c>
      <c r="F267" s="5" t="n">
        <v>4</v>
      </c>
      <c r="G267" s="5" t="n">
        <v>0</v>
      </c>
      <c r="H267" s="5" t="n">
        <v>0</v>
      </c>
      <c r="I267" s="5" t="n">
        <v>0</v>
      </c>
      <c r="J267" s="5" t="n">
        <v>1</v>
      </c>
      <c r="K267" s="5" t="n">
        <v>0</v>
      </c>
      <c r="L267" s="5" t="n">
        <v>0</v>
      </c>
      <c r="M267" s="5" t="n">
        <v>0</v>
      </c>
      <c r="N267" s="5" t="n">
        <v>0</v>
      </c>
      <c r="O267" s="5" t="n">
        <v>0</v>
      </c>
      <c r="P267" s="5" t="n">
        <v>0</v>
      </c>
      <c r="Q267" s="5" t="n">
        <v>0</v>
      </c>
      <c r="R267" s="5" t="n">
        <v>0</v>
      </c>
      <c r="S267" s="5" t="n">
        <v>1</v>
      </c>
      <c r="T267" s="5" t="n">
        <v>0</v>
      </c>
      <c r="U267" s="5" t="inlineStr">
        <is>
          <t>training</t>
        </is>
      </c>
    </row>
    <row r="268">
      <c r="A268" s="5" t="n">
        <v>240</v>
      </c>
      <c r="B268" s="5" t="n">
        <v>0</v>
      </c>
      <c r="C268" s="5" t="n">
        <v>30</v>
      </c>
      <c r="D268" s="5" t="n">
        <v>2522</v>
      </c>
      <c r="E268" s="5" t="n">
        <v>39</v>
      </c>
      <c r="F268" s="5" t="n">
        <v>1</v>
      </c>
      <c r="G268" s="5" t="n">
        <v>1</v>
      </c>
      <c r="H268" s="5" t="n">
        <v>0</v>
      </c>
      <c r="I268" s="5" t="n">
        <v>0</v>
      </c>
      <c r="J268" s="5" t="n">
        <v>0</v>
      </c>
      <c r="K268" s="5" t="n">
        <v>0</v>
      </c>
      <c r="L268" s="5" t="n">
        <v>0</v>
      </c>
      <c r="M268" s="5" t="n">
        <v>0</v>
      </c>
      <c r="N268" s="5" t="n">
        <v>0</v>
      </c>
      <c r="O268" s="5" t="n">
        <v>0</v>
      </c>
      <c r="P268" s="5" t="n">
        <v>0</v>
      </c>
      <c r="Q268" s="5" t="n">
        <v>0</v>
      </c>
      <c r="R268" s="5" t="n">
        <v>0</v>
      </c>
      <c r="S268" s="5" t="n">
        <v>1</v>
      </c>
      <c r="T268" s="5" t="n">
        <v>0</v>
      </c>
      <c r="U268" s="5" t="inlineStr">
        <is>
          <t>testing</t>
        </is>
      </c>
    </row>
    <row r="269">
      <c r="A269" s="5" t="n">
        <v>241</v>
      </c>
      <c r="B269" s="5" t="n">
        <v>1</v>
      </c>
      <c r="C269" s="5" t="n">
        <v>24</v>
      </c>
      <c r="D269" s="5" t="n">
        <v>915</v>
      </c>
      <c r="E269" s="5" t="n">
        <v>29</v>
      </c>
      <c r="F269" s="5" t="n">
        <v>4</v>
      </c>
      <c r="G269" s="5" t="n">
        <v>1</v>
      </c>
      <c r="H269" s="5" t="n">
        <v>0</v>
      </c>
      <c r="I269" s="5" t="n">
        <v>0</v>
      </c>
      <c r="J269" s="5" t="n">
        <v>0</v>
      </c>
      <c r="K269" s="5" t="n">
        <v>0</v>
      </c>
      <c r="L269" s="5" t="n">
        <v>0</v>
      </c>
      <c r="M269" s="5" t="n">
        <v>0</v>
      </c>
      <c r="N269" s="5" t="n">
        <v>0</v>
      </c>
      <c r="O269" s="5" t="n">
        <v>1</v>
      </c>
      <c r="P269" s="5" t="n">
        <v>0</v>
      </c>
      <c r="Q269" s="5" t="n">
        <v>0</v>
      </c>
      <c r="R269" s="5" t="n">
        <v>1</v>
      </c>
      <c r="S269" s="5" t="n">
        <v>0</v>
      </c>
      <c r="T269" s="5" t="n">
        <v>0</v>
      </c>
      <c r="U269" s="5" t="inlineStr">
        <is>
          <t>testing</t>
        </is>
      </c>
    </row>
    <row r="270">
      <c r="A270" s="5" t="n">
        <v>242</v>
      </c>
      <c r="B270" s="5" t="n">
        <v>0</v>
      </c>
      <c r="C270" s="5" t="n">
        <v>6</v>
      </c>
      <c r="D270" s="5" t="n">
        <v>1595</v>
      </c>
      <c r="E270" s="5" t="n">
        <v>51</v>
      </c>
      <c r="F270" s="5" t="n">
        <v>3</v>
      </c>
      <c r="G270" s="5" t="n">
        <v>0</v>
      </c>
      <c r="H270" s="5" t="n">
        <v>0</v>
      </c>
      <c r="I270" s="5" t="n">
        <v>0</v>
      </c>
      <c r="J270" s="5" t="n">
        <v>0</v>
      </c>
      <c r="K270" s="5" t="n">
        <v>0</v>
      </c>
      <c r="L270" s="5" t="n">
        <v>0</v>
      </c>
      <c r="M270" s="5" t="n">
        <v>0</v>
      </c>
      <c r="N270" s="5" t="n">
        <v>0</v>
      </c>
      <c r="O270" s="5" t="n">
        <v>0</v>
      </c>
      <c r="P270" s="5" t="n">
        <v>0</v>
      </c>
      <c r="Q270" s="5" t="n">
        <v>0</v>
      </c>
      <c r="R270" s="5" t="n">
        <v>0</v>
      </c>
      <c r="S270" s="5" t="n">
        <v>1</v>
      </c>
      <c r="T270" s="5" t="n">
        <v>0</v>
      </c>
      <c r="U270" s="5" t="inlineStr">
        <is>
          <t>testing</t>
        </is>
      </c>
    </row>
    <row r="271">
      <c r="A271" s="5" t="n">
        <v>243</v>
      </c>
      <c r="B271" s="5" t="n">
        <v>1</v>
      </c>
      <c r="C271" s="5" t="n">
        <v>48</v>
      </c>
      <c r="D271" s="5" t="n">
        <v>4605</v>
      </c>
      <c r="E271" s="5" t="n">
        <v>24</v>
      </c>
      <c r="F271" s="5" t="n">
        <v>3</v>
      </c>
      <c r="G271" s="5" t="n">
        <v>1</v>
      </c>
      <c r="H271" s="5" t="n">
        <v>0</v>
      </c>
      <c r="I271" s="5" t="n">
        <v>0</v>
      </c>
      <c r="J271" s="5" t="n">
        <v>0</v>
      </c>
      <c r="K271" s="5" t="n">
        <v>0</v>
      </c>
      <c r="L271" s="5" t="n">
        <v>1</v>
      </c>
      <c r="M271" s="5" t="n">
        <v>0</v>
      </c>
      <c r="N271" s="5" t="n">
        <v>0</v>
      </c>
      <c r="O271" s="5" t="n">
        <v>0</v>
      </c>
      <c r="P271" s="5" t="n">
        <v>0</v>
      </c>
      <c r="Q271" s="5" t="n">
        <v>1</v>
      </c>
      <c r="R271" s="5" t="n">
        <v>1</v>
      </c>
      <c r="S271" s="5" t="n">
        <v>0</v>
      </c>
      <c r="T271" s="5" t="n">
        <v>0</v>
      </c>
      <c r="U271" s="5" t="inlineStr">
        <is>
          <t>testing</t>
        </is>
      </c>
    </row>
    <row r="272">
      <c r="A272" s="5" t="n">
        <v>244</v>
      </c>
      <c r="B272" s="5" t="n">
        <v>0</v>
      </c>
      <c r="C272" s="5" t="n">
        <v>12</v>
      </c>
      <c r="D272" s="5" t="n">
        <v>1185</v>
      </c>
      <c r="E272" s="5" t="n">
        <v>27</v>
      </c>
      <c r="F272" s="5" t="n">
        <v>3</v>
      </c>
      <c r="G272" s="5" t="n">
        <v>0</v>
      </c>
      <c r="H272" s="5" t="n">
        <v>0</v>
      </c>
      <c r="I272" s="5" t="n">
        <v>0</v>
      </c>
      <c r="J272" s="5" t="n">
        <v>1</v>
      </c>
      <c r="K272" s="5" t="n">
        <v>0</v>
      </c>
      <c r="L272" s="5" t="n">
        <v>0</v>
      </c>
      <c r="M272" s="5" t="n">
        <v>0</v>
      </c>
      <c r="N272" s="5" t="n">
        <v>0</v>
      </c>
      <c r="O272" s="5" t="n">
        <v>0</v>
      </c>
      <c r="P272" s="5" t="n">
        <v>0</v>
      </c>
      <c r="Q272" s="5" t="n">
        <v>0</v>
      </c>
      <c r="R272" s="5" t="n">
        <v>0</v>
      </c>
      <c r="S272" s="5" t="n">
        <v>0</v>
      </c>
      <c r="T272" s="5" t="n">
        <v>0</v>
      </c>
      <c r="U272" s="5" t="inlineStr">
        <is>
          <t>training</t>
        </is>
      </c>
    </row>
    <row r="273">
      <c r="A273" s="5" t="n">
        <v>245</v>
      </c>
      <c r="B273" s="5" t="n">
        <v>0</v>
      </c>
      <c r="C273" s="5" t="n">
        <v>12</v>
      </c>
      <c r="D273" s="5" t="n">
        <v>3447</v>
      </c>
      <c r="E273" s="5" t="n">
        <v>35</v>
      </c>
      <c r="F273" s="5" t="n">
        <v>4</v>
      </c>
      <c r="G273" s="5" t="n">
        <v>0</v>
      </c>
      <c r="H273" s="5" t="n">
        <v>0</v>
      </c>
      <c r="I273" s="5" t="n">
        <v>0</v>
      </c>
      <c r="J273" s="5" t="n">
        <v>0</v>
      </c>
      <c r="K273" s="5" t="n">
        <v>0</v>
      </c>
      <c r="L273" s="5" t="n">
        <v>1</v>
      </c>
      <c r="M273" s="5" t="n">
        <v>1</v>
      </c>
      <c r="N273" s="5" t="n">
        <v>0</v>
      </c>
      <c r="O273" s="5" t="n">
        <v>0</v>
      </c>
      <c r="P273" s="5" t="n">
        <v>0</v>
      </c>
      <c r="Q273" s="5" t="n">
        <v>0</v>
      </c>
      <c r="R273" s="5" t="n">
        <v>0</v>
      </c>
      <c r="S273" s="5" t="n">
        <v>0</v>
      </c>
      <c r="T273" s="5" t="n">
        <v>0</v>
      </c>
      <c r="U273" s="5" t="inlineStr">
        <is>
          <t>training</t>
        </is>
      </c>
    </row>
    <row r="274">
      <c r="A274" s="5" t="n">
        <v>246</v>
      </c>
      <c r="B274" s="5" t="n">
        <v>0</v>
      </c>
      <c r="C274" s="5" t="n">
        <v>24</v>
      </c>
      <c r="D274" s="5" t="n">
        <v>1258</v>
      </c>
      <c r="E274" s="5" t="n">
        <v>25</v>
      </c>
      <c r="F274" s="5" t="n">
        <v>4</v>
      </c>
      <c r="G274" s="5" t="n">
        <v>0</v>
      </c>
      <c r="H274" s="5" t="n">
        <v>0</v>
      </c>
      <c r="I274" s="5" t="n">
        <v>0</v>
      </c>
      <c r="J274" s="5" t="n">
        <v>0</v>
      </c>
      <c r="K274" s="5" t="n">
        <v>0</v>
      </c>
      <c r="L274" s="5" t="n">
        <v>0</v>
      </c>
      <c r="M274" s="5" t="n">
        <v>0</v>
      </c>
      <c r="N274" s="5" t="n">
        <v>0</v>
      </c>
      <c r="O274" s="5" t="n">
        <v>0</v>
      </c>
      <c r="P274" s="5" t="n">
        <v>0</v>
      </c>
      <c r="Q274" s="5" t="n">
        <v>0</v>
      </c>
      <c r="R274" s="5" t="n">
        <v>0</v>
      </c>
      <c r="S274" s="5" t="n">
        <v>0</v>
      </c>
      <c r="T274" s="5" t="n">
        <v>0</v>
      </c>
      <c r="U274" s="5" t="inlineStr">
        <is>
          <t>testing</t>
        </is>
      </c>
    </row>
    <row r="275">
      <c r="A275" s="5" t="n">
        <v>247</v>
      </c>
      <c r="B275" s="5" t="n">
        <v>0</v>
      </c>
      <c r="C275" s="5" t="n">
        <v>12</v>
      </c>
      <c r="D275" s="5" t="n">
        <v>717</v>
      </c>
      <c r="E275" s="5" t="n">
        <v>52</v>
      </c>
      <c r="F275" s="5" t="n">
        <v>4</v>
      </c>
      <c r="G275" s="5" t="n">
        <v>0</v>
      </c>
      <c r="H275" s="5" t="n">
        <v>0</v>
      </c>
      <c r="I275" s="5" t="n">
        <v>0</v>
      </c>
      <c r="J275" s="5" t="n">
        <v>1</v>
      </c>
      <c r="K275" s="5" t="n">
        <v>0</v>
      </c>
      <c r="L275" s="5" t="n">
        <v>0</v>
      </c>
      <c r="M275" s="5" t="n">
        <v>0</v>
      </c>
      <c r="N275" s="5" t="n">
        <v>0</v>
      </c>
      <c r="O275" s="5" t="n">
        <v>0</v>
      </c>
      <c r="P275" s="5" t="n">
        <v>0</v>
      </c>
      <c r="Q275" s="5" t="n">
        <v>0</v>
      </c>
      <c r="R275" s="5" t="n">
        <v>0</v>
      </c>
      <c r="S275" s="5" t="n">
        <v>1</v>
      </c>
      <c r="T275" s="5" t="n">
        <v>0</v>
      </c>
      <c r="U275" s="5" t="inlineStr">
        <is>
          <t>training</t>
        </is>
      </c>
    </row>
    <row r="276">
      <c r="A276" s="5" t="n">
        <v>248</v>
      </c>
      <c r="B276" s="5" t="n">
        <v>0</v>
      </c>
      <c r="C276" s="5" t="n">
        <v>6</v>
      </c>
      <c r="D276" s="5" t="n">
        <v>1204</v>
      </c>
      <c r="E276" s="5" t="n">
        <v>35</v>
      </c>
      <c r="F276" s="5" t="n">
        <v>4</v>
      </c>
      <c r="G276" s="5" t="n">
        <v>0</v>
      </c>
      <c r="H276" s="5" t="n">
        <v>0</v>
      </c>
      <c r="I276" s="5" t="n">
        <v>0</v>
      </c>
      <c r="J276" s="5" t="n">
        <v>0</v>
      </c>
      <c r="K276" s="5" t="n">
        <v>0</v>
      </c>
      <c r="L276" s="5" t="n">
        <v>1</v>
      </c>
      <c r="M276" s="5" t="n">
        <v>1</v>
      </c>
      <c r="N276" s="5" t="n">
        <v>0</v>
      </c>
      <c r="O276" s="5" t="n">
        <v>0</v>
      </c>
      <c r="P276" s="5" t="n">
        <v>1</v>
      </c>
      <c r="Q276" s="5" t="n">
        <v>0</v>
      </c>
      <c r="R276" s="5" t="n">
        <v>1</v>
      </c>
      <c r="S276" s="5" t="n">
        <v>0</v>
      </c>
      <c r="T276" s="5" t="n">
        <v>0</v>
      </c>
      <c r="U276" s="5" t="inlineStr">
        <is>
          <t>training</t>
        </is>
      </c>
    </row>
    <row r="277">
      <c r="A277" s="5" t="n">
        <v>249</v>
      </c>
      <c r="B277" s="5" t="n">
        <v>0</v>
      </c>
      <c r="C277" s="5" t="n">
        <v>24</v>
      </c>
      <c r="D277" s="5" t="n">
        <v>1925</v>
      </c>
      <c r="E277" s="5" t="n">
        <v>26</v>
      </c>
      <c r="F277" s="5" t="n">
        <v>2</v>
      </c>
      <c r="G277" s="5" t="n">
        <v>0</v>
      </c>
      <c r="H277" s="5" t="n">
        <v>0</v>
      </c>
      <c r="I277" s="5" t="n">
        <v>1</v>
      </c>
      <c r="J277" s="5" t="n">
        <v>0</v>
      </c>
      <c r="K277" s="5" t="n">
        <v>0</v>
      </c>
      <c r="L277" s="5" t="n">
        <v>0</v>
      </c>
      <c r="M277" s="5" t="n">
        <v>0</v>
      </c>
      <c r="N277" s="5" t="n">
        <v>0</v>
      </c>
      <c r="O277" s="5" t="n">
        <v>0</v>
      </c>
      <c r="P277" s="5" t="n">
        <v>0</v>
      </c>
      <c r="Q277" s="5" t="n">
        <v>0</v>
      </c>
      <c r="R277" s="5" t="n">
        <v>0</v>
      </c>
      <c r="S277" s="5" t="n">
        <v>0</v>
      </c>
      <c r="T277" s="5" t="n">
        <v>1</v>
      </c>
      <c r="U277" s="5" t="inlineStr">
        <is>
          <t>training</t>
        </is>
      </c>
    </row>
    <row r="278">
      <c r="A278" s="5" t="n">
        <v>250</v>
      </c>
      <c r="B278" s="5" t="n">
        <v>1</v>
      </c>
      <c r="C278" s="5" t="n">
        <v>18</v>
      </c>
      <c r="D278" s="5" t="n">
        <v>433</v>
      </c>
      <c r="E278" s="5" t="n">
        <v>22</v>
      </c>
      <c r="F278" s="5" t="n">
        <v>3</v>
      </c>
      <c r="G278" s="5" t="n">
        <v>0</v>
      </c>
      <c r="H278" s="5" t="n">
        <v>0</v>
      </c>
      <c r="I278" s="5" t="n">
        <v>0</v>
      </c>
      <c r="J278" s="5" t="n">
        <v>0</v>
      </c>
      <c r="K278" s="5" t="n">
        <v>0</v>
      </c>
      <c r="L278" s="5" t="n">
        <v>0</v>
      </c>
      <c r="M278" s="5" t="n">
        <v>0</v>
      </c>
      <c r="N278" s="5" t="n">
        <v>0</v>
      </c>
      <c r="O278" s="5" t="n">
        <v>0</v>
      </c>
      <c r="P278" s="5" t="n">
        <v>1</v>
      </c>
      <c r="Q278" s="5" t="n">
        <v>0</v>
      </c>
      <c r="R278" s="5" t="n">
        <v>0</v>
      </c>
      <c r="S278" s="5" t="n">
        <v>1</v>
      </c>
      <c r="T278" s="5" t="n">
        <v>0</v>
      </c>
      <c r="U278" s="5" t="inlineStr">
        <is>
          <t>training</t>
        </is>
      </c>
    </row>
    <row r="279">
      <c r="A279" s="5" t="n">
        <v>251</v>
      </c>
      <c r="B279" s="5" t="n">
        <v>0</v>
      </c>
      <c r="C279" s="5" t="n">
        <v>6</v>
      </c>
      <c r="D279" s="5" t="n">
        <v>666</v>
      </c>
      <c r="E279" s="5" t="n">
        <v>39</v>
      </c>
      <c r="F279" s="5" t="n">
        <v>3</v>
      </c>
      <c r="G279" s="5" t="n">
        <v>1</v>
      </c>
      <c r="H279" s="5" t="n">
        <v>0</v>
      </c>
      <c r="I279" s="5" t="n">
        <v>0</v>
      </c>
      <c r="J279" s="5" t="n">
        <v>1</v>
      </c>
      <c r="K279" s="5" t="n">
        <v>0</v>
      </c>
      <c r="L279" s="5" t="n">
        <v>0</v>
      </c>
      <c r="M279" s="5" t="n">
        <v>0</v>
      </c>
      <c r="N279" s="5" t="n">
        <v>1</v>
      </c>
      <c r="O279" s="5" t="n">
        <v>0</v>
      </c>
      <c r="P279" s="5" t="n">
        <v>0</v>
      </c>
      <c r="Q279" s="5" t="n">
        <v>0</v>
      </c>
      <c r="R279" s="5" t="n">
        <v>1</v>
      </c>
      <c r="S279" s="5" t="n">
        <v>0</v>
      </c>
      <c r="T279" s="5" t="n">
        <v>0</v>
      </c>
      <c r="U279" s="5" t="inlineStr">
        <is>
          <t>testing</t>
        </is>
      </c>
    </row>
    <row r="280">
      <c r="A280" s="5" t="n">
        <v>252</v>
      </c>
      <c r="B280" s="5" t="n">
        <v>0</v>
      </c>
      <c r="C280" s="5" t="n">
        <v>12</v>
      </c>
      <c r="D280" s="5" t="n">
        <v>2251</v>
      </c>
      <c r="E280" s="5" t="n">
        <v>46</v>
      </c>
      <c r="F280" s="5" t="n">
        <v>1</v>
      </c>
      <c r="G280" s="5" t="n">
        <v>0</v>
      </c>
      <c r="H280" s="5" t="n">
        <v>0</v>
      </c>
      <c r="I280" s="5" t="n">
        <v>1</v>
      </c>
      <c r="J280" s="5" t="n">
        <v>0</v>
      </c>
      <c r="K280" s="5" t="n">
        <v>0</v>
      </c>
      <c r="L280" s="5" t="n">
        <v>0</v>
      </c>
      <c r="M280" s="5" t="n">
        <v>0</v>
      </c>
      <c r="N280" s="5" t="n">
        <v>0</v>
      </c>
      <c r="O280" s="5" t="n">
        <v>0</v>
      </c>
      <c r="P280" s="5" t="n">
        <v>0</v>
      </c>
      <c r="Q280" s="5" t="n">
        <v>0</v>
      </c>
      <c r="R280" s="5" t="n">
        <v>0</v>
      </c>
      <c r="S280" s="5" t="n">
        <v>0</v>
      </c>
      <c r="T280" s="5" t="n">
        <v>1</v>
      </c>
      <c r="U280" s="5" t="inlineStr">
        <is>
          <t>training</t>
        </is>
      </c>
    </row>
    <row r="281">
      <c r="A281" s="5" t="n">
        <v>253</v>
      </c>
      <c r="B281" s="5" t="n">
        <v>1</v>
      </c>
      <c r="C281" s="5" t="n">
        <v>30</v>
      </c>
      <c r="D281" s="5" t="n">
        <v>2150</v>
      </c>
      <c r="E281" s="5" t="n">
        <v>24</v>
      </c>
      <c r="F281" s="5" t="n">
        <v>4</v>
      </c>
      <c r="G281" s="5" t="n">
        <v>0</v>
      </c>
      <c r="H281" s="5" t="n">
        <v>1</v>
      </c>
      <c r="I281" s="5" t="n">
        <v>0</v>
      </c>
      <c r="J281" s="5" t="n">
        <v>0</v>
      </c>
      <c r="K281" s="5" t="n">
        <v>0</v>
      </c>
      <c r="L281" s="5" t="n">
        <v>0</v>
      </c>
      <c r="M281" s="5" t="n">
        <v>0</v>
      </c>
      <c r="N281" s="5" t="n">
        <v>0</v>
      </c>
      <c r="O281" s="5" t="n">
        <v>0</v>
      </c>
      <c r="P281" s="5" t="n">
        <v>0</v>
      </c>
      <c r="Q281" s="5" t="n">
        <v>0</v>
      </c>
      <c r="R281" s="5" t="n">
        <v>1</v>
      </c>
      <c r="S281" s="5" t="n">
        <v>0</v>
      </c>
      <c r="T281" s="5" t="n">
        <v>0</v>
      </c>
      <c r="U281" s="5" t="inlineStr">
        <is>
          <t>training</t>
        </is>
      </c>
    </row>
    <row r="282">
      <c r="A282" s="5" t="n">
        <v>254</v>
      </c>
      <c r="B282" s="5" t="n">
        <v>0</v>
      </c>
      <c r="C282" s="5" t="n">
        <v>24</v>
      </c>
      <c r="D282" s="5" t="n">
        <v>4151</v>
      </c>
      <c r="E282" s="5" t="n">
        <v>35</v>
      </c>
      <c r="F282" s="5" t="n">
        <v>2</v>
      </c>
      <c r="G282" s="5" t="n">
        <v>0</v>
      </c>
      <c r="H282" s="5" t="n">
        <v>0</v>
      </c>
      <c r="I282" s="5" t="n">
        <v>0</v>
      </c>
      <c r="J282" s="5" t="n">
        <v>0</v>
      </c>
      <c r="K282" s="5" t="n">
        <v>1</v>
      </c>
      <c r="L282" s="5" t="n">
        <v>0</v>
      </c>
      <c r="M282" s="5" t="n">
        <v>1</v>
      </c>
      <c r="N282" s="5" t="n">
        <v>0</v>
      </c>
      <c r="O282" s="5" t="n">
        <v>0</v>
      </c>
      <c r="P282" s="5" t="n">
        <v>0</v>
      </c>
      <c r="Q282" s="5" t="n">
        <v>0</v>
      </c>
      <c r="R282" s="5" t="n">
        <v>0</v>
      </c>
      <c r="S282" s="5" t="n">
        <v>0</v>
      </c>
      <c r="T282" s="5" t="n">
        <v>1</v>
      </c>
      <c r="U282" s="5" t="inlineStr">
        <is>
          <t>testing</t>
        </is>
      </c>
    </row>
    <row r="283">
      <c r="A283" s="5" t="n">
        <v>255</v>
      </c>
      <c r="B283" s="5" t="n">
        <v>0</v>
      </c>
      <c r="C283" s="5" t="n">
        <v>9</v>
      </c>
      <c r="D283" s="5" t="n">
        <v>2030</v>
      </c>
      <c r="E283" s="5" t="n">
        <v>24</v>
      </c>
      <c r="F283" s="5" t="n">
        <v>2</v>
      </c>
      <c r="G283" s="5" t="n">
        <v>0</v>
      </c>
      <c r="H283" s="5" t="n">
        <v>1</v>
      </c>
      <c r="I283" s="5" t="n">
        <v>0</v>
      </c>
      <c r="J283" s="5" t="n">
        <v>0</v>
      </c>
      <c r="K283" s="5" t="n">
        <v>0</v>
      </c>
      <c r="L283" s="5" t="n">
        <v>0</v>
      </c>
      <c r="M283" s="5" t="n">
        <v>0</v>
      </c>
      <c r="N283" s="5" t="n">
        <v>0</v>
      </c>
      <c r="O283" s="5" t="n">
        <v>1</v>
      </c>
      <c r="P283" s="5" t="n">
        <v>0</v>
      </c>
      <c r="Q283" s="5" t="n">
        <v>0</v>
      </c>
      <c r="R283" s="5" t="n">
        <v>0</v>
      </c>
      <c r="S283" s="5" t="n">
        <v>0</v>
      </c>
      <c r="T283" s="5" t="n">
        <v>1</v>
      </c>
      <c r="U283" s="5" t="inlineStr">
        <is>
          <t>testing</t>
        </is>
      </c>
    </row>
    <row r="284">
      <c r="A284" s="5" t="n">
        <v>256</v>
      </c>
      <c r="B284" s="5" t="n">
        <v>0</v>
      </c>
      <c r="C284" s="5" t="n">
        <v>60</v>
      </c>
      <c r="D284" s="5" t="n">
        <v>7418</v>
      </c>
      <c r="E284" s="5" t="n">
        <v>27</v>
      </c>
      <c r="F284" s="5" t="n">
        <v>1</v>
      </c>
      <c r="G284" s="5" t="n">
        <v>0</v>
      </c>
      <c r="H284" s="5" t="n">
        <v>1</v>
      </c>
      <c r="I284" s="5" t="n">
        <v>0</v>
      </c>
      <c r="J284" s="5" t="n">
        <v>0</v>
      </c>
      <c r="K284" s="5" t="n">
        <v>1</v>
      </c>
      <c r="L284" s="5" t="n">
        <v>0</v>
      </c>
      <c r="M284" s="5" t="n">
        <v>0</v>
      </c>
      <c r="N284" s="5" t="n">
        <v>0</v>
      </c>
      <c r="O284" s="5" t="n">
        <v>1</v>
      </c>
      <c r="P284" s="5" t="n">
        <v>0</v>
      </c>
      <c r="Q284" s="5" t="n">
        <v>0</v>
      </c>
      <c r="R284" s="5" t="n">
        <v>0</v>
      </c>
      <c r="S284" s="5" t="n">
        <v>1</v>
      </c>
      <c r="T284" s="5" t="n">
        <v>0</v>
      </c>
      <c r="U284" s="5" t="inlineStr">
        <is>
          <t>training</t>
        </is>
      </c>
    </row>
    <row r="285">
      <c r="A285" s="5" t="n">
        <v>257</v>
      </c>
      <c r="B285" s="5" t="n">
        <v>0</v>
      </c>
      <c r="C285" s="5" t="n">
        <v>24</v>
      </c>
      <c r="D285" s="5" t="n">
        <v>2684</v>
      </c>
      <c r="E285" s="5" t="n">
        <v>35</v>
      </c>
      <c r="F285" s="5" t="n">
        <v>4</v>
      </c>
      <c r="G285" s="5" t="n">
        <v>0</v>
      </c>
      <c r="H285" s="5" t="n">
        <v>0</v>
      </c>
      <c r="I285" s="5" t="n">
        <v>0</v>
      </c>
      <c r="J285" s="5" t="n">
        <v>1</v>
      </c>
      <c r="K285" s="5" t="n">
        <v>0</v>
      </c>
      <c r="L285" s="5" t="n">
        <v>0</v>
      </c>
      <c r="M285" s="5" t="n">
        <v>0</v>
      </c>
      <c r="N285" s="5" t="n">
        <v>0</v>
      </c>
      <c r="O285" s="5" t="n">
        <v>0</v>
      </c>
      <c r="P285" s="5" t="n">
        <v>0</v>
      </c>
      <c r="Q285" s="5" t="n">
        <v>0</v>
      </c>
      <c r="R285" s="5" t="n">
        <v>0</v>
      </c>
      <c r="S285" s="5" t="n">
        <v>1</v>
      </c>
      <c r="T285" s="5" t="n">
        <v>0</v>
      </c>
      <c r="U285" s="5" t="inlineStr">
        <is>
          <t>training</t>
        </is>
      </c>
    </row>
    <row r="286">
      <c r="A286" s="5" t="n">
        <v>258</v>
      </c>
      <c r="B286" s="5" t="n">
        <v>1</v>
      </c>
      <c r="C286" s="5" t="n">
        <v>12</v>
      </c>
      <c r="D286" s="5" t="n">
        <v>2149</v>
      </c>
      <c r="E286" s="5" t="n">
        <v>29</v>
      </c>
      <c r="F286" s="5" t="n">
        <v>4</v>
      </c>
      <c r="G286" s="5" t="n">
        <v>1</v>
      </c>
      <c r="H286" s="5" t="n">
        <v>0</v>
      </c>
      <c r="I286" s="5" t="n">
        <v>0</v>
      </c>
      <c r="J286" s="5" t="n">
        <v>0</v>
      </c>
      <c r="K286" s="5" t="n">
        <v>0</v>
      </c>
      <c r="L286" s="5" t="n">
        <v>1</v>
      </c>
      <c r="M286" s="5" t="n">
        <v>0</v>
      </c>
      <c r="N286" s="5" t="n">
        <v>0</v>
      </c>
      <c r="O286" s="5" t="n">
        <v>0</v>
      </c>
      <c r="P286" s="5" t="n">
        <v>0</v>
      </c>
      <c r="Q286" s="5" t="n">
        <v>1</v>
      </c>
      <c r="R286" s="5" t="n">
        <v>0</v>
      </c>
      <c r="S286" s="5" t="n">
        <v>1</v>
      </c>
      <c r="T286" s="5" t="n">
        <v>0</v>
      </c>
      <c r="U286" s="5" t="inlineStr">
        <is>
          <t>testing</t>
        </is>
      </c>
    </row>
    <row r="287">
      <c r="A287" s="5" t="n">
        <v>259</v>
      </c>
      <c r="B287" s="5" t="n">
        <v>0</v>
      </c>
      <c r="C287" s="5" t="n">
        <v>15</v>
      </c>
      <c r="D287" s="5" t="n">
        <v>3812</v>
      </c>
      <c r="E287" s="5" t="n">
        <v>23</v>
      </c>
      <c r="F287" s="5" t="n">
        <v>1</v>
      </c>
      <c r="G287" s="5" t="n">
        <v>0</v>
      </c>
      <c r="H287" s="5" t="n">
        <v>0</v>
      </c>
      <c r="I287" s="5" t="n">
        <v>0</v>
      </c>
      <c r="J287" s="5" t="n">
        <v>0</v>
      </c>
      <c r="K287" s="5" t="n">
        <v>0</v>
      </c>
      <c r="L287" s="5" t="n">
        <v>0</v>
      </c>
      <c r="M287" s="5" t="n">
        <v>1</v>
      </c>
      <c r="N287" s="5" t="n">
        <v>0</v>
      </c>
      <c r="O287" s="5" t="n">
        <v>0</v>
      </c>
      <c r="P287" s="5" t="n">
        <v>0</v>
      </c>
      <c r="Q287" s="5" t="n">
        <v>0</v>
      </c>
      <c r="R287" s="5" t="n">
        <v>1</v>
      </c>
      <c r="S287" s="5" t="n">
        <v>0</v>
      </c>
      <c r="T287" s="5" t="n">
        <v>0</v>
      </c>
      <c r="U287" s="5" t="inlineStr">
        <is>
          <t>training</t>
        </is>
      </c>
    </row>
    <row r="288">
      <c r="A288" s="5" t="n">
        <v>260</v>
      </c>
      <c r="B288" s="5" t="n">
        <v>0</v>
      </c>
      <c r="C288" s="5" t="n">
        <v>11</v>
      </c>
      <c r="D288" s="5" t="n">
        <v>1154</v>
      </c>
      <c r="E288" s="5" t="n">
        <v>57</v>
      </c>
      <c r="F288" s="5" t="n">
        <v>4</v>
      </c>
      <c r="G288" s="5" t="n">
        <v>0</v>
      </c>
      <c r="H288" s="5" t="n">
        <v>0</v>
      </c>
      <c r="I288" s="5" t="n">
        <v>0</v>
      </c>
      <c r="J288" s="5" t="n">
        <v>1</v>
      </c>
      <c r="K288" s="5" t="n">
        <v>0</v>
      </c>
      <c r="L288" s="5" t="n">
        <v>0</v>
      </c>
      <c r="M288" s="5" t="n">
        <v>1</v>
      </c>
      <c r="N288" s="5" t="n">
        <v>0</v>
      </c>
      <c r="O288" s="5" t="n">
        <v>0</v>
      </c>
      <c r="P288" s="5" t="n">
        <v>0</v>
      </c>
      <c r="Q288" s="5" t="n">
        <v>0</v>
      </c>
      <c r="R288" s="5" t="n">
        <v>0</v>
      </c>
      <c r="S288" s="5" t="n">
        <v>1</v>
      </c>
      <c r="T288" s="5" t="n">
        <v>0</v>
      </c>
      <c r="U288" s="5" t="inlineStr">
        <is>
          <t>training</t>
        </is>
      </c>
    </row>
    <row r="289">
      <c r="A289" s="5" t="n">
        <v>261</v>
      </c>
      <c r="B289" s="5" t="n">
        <v>0</v>
      </c>
      <c r="C289" s="5" t="n">
        <v>12</v>
      </c>
      <c r="D289" s="5" t="n">
        <v>1657</v>
      </c>
      <c r="E289" s="5" t="n">
        <v>27</v>
      </c>
      <c r="F289" s="5" t="n">
        <v>2</v>
      </c>
      <c r="G289" s="5" t="n">
        <v>1</v>
      </c>
      <c r="H289" s="5" t="n">
        <v>0</v>
      </c>
      <c r="I289" s="5" t="n">
        <v>0</v>
      </c>
      <c r="J289" s="5" t="n">
        <v>0</v>
      </c>
      <c r="K289" s="5" t="n">
        <v>0</v>
      </c>
      <c r="L289" s="5" t="n">
        <v>0</v>
      </c>
      <c r="M289" s="5" t="n">
        <v>0</v>
      </c>
      <c r="N289" s="5" t="n">
        <v>0</v>
      </c>
      <c r="O289" s="5" t="n">
        <v>0</v>
      </c>
      <c r="P289" s="5" t="n">
        <v>0</v>
      </c>
      <c r="Q289" s="5" t="n">
        <v>0</v>
      </c>
      <c r="R289" s="5" t="n">
        <v>0</v>
      </c>
      <c r="S289" s="5" t="n">
        <v>0</v>
      </c>
      <c r="T289" s="5" t="n">
        <v>1</v>
      </c>
      <c r="U289" s="5" t="inlineStr">
        <is>
          <t>training</t>
        </is>
      </c>
    </row>
    <row r="290">
      <c r="A290" s="5" t="n">
        <v>262</v>
      </c>
      <c r="B290" s="5" t="n">
        <v>0</v>
      </c>
      <c r="C290" s="5" t="n">
        <v>24</v>
      </c>
      <c r="D290" s="5" t="n">
        <v>1603</v>
      </c>
      <c r="E290" s="5" t="n">
        <v>55</v>
      </c>
      <c r="F290" s="5" t="n">
        <v>4</v>
      </c>
      <c r="G290" s="5" t="n">
        <v>1</v>
      </c>
      <c r="H290" s="5" t="n">
        <v>0</v>
      </c>
      <c r="I290" s="5" t="n">
        <v>0</v>
      </c>
      <c r="J290" s="5" t="n">
        <v>0</v>
      </c>
      <c r="K290" s="5" t="n">
        <v>0</v>
      </c>
      <c r="L290" s="5" t="n">
        <v>0</v>
      </c>
      <c r="M290" s="5" t="n">
        <v>0</v>
      </c>
      <c r="N290" s="5" t="n">
        <v>0</v>
      </c>
      <c r="O290" s="5" t="n">
        <v>0</v>
      </c>
      <c r="P290" s="5" t="n">
        <v>0</v>
      </c>
      <c r="Q290" s="5" t="n">
        <v>0</v>
      </c>
      <c r="R290" s="5" t="n">
        <v>0</v>
      </c>
      <c r="S290" s="5" t="n">
        <v>1</v>
      </c>
      <c r="T290" s="5" t="n">
        <v>0</v>
      </c>
      <c r="U290" s="5" t="inlineStr">
        <is>
          <t>testing</t>
        </is>
      </c>
    </row>
    <row r="291">
      <c r="A291" s="5" t="n">
        <v>263</v>
      </c>
      <c r="B291" s="5" t="n">
        <v>0</v>
      </c>
      <c r="C291" s="5" t="n">
        <v>18</v>
      </c>
      <c r="D291" s="5" t="n">
        <v>5302</v>
      </c>
      <c r="E291" s="5" t="n">
        <v>36</v>
      </c>
      <c r="F291" s="5" t="n">
        <v>2</v>
      </c>
      <c r="G291" s="5" t="n">
        <v>1</v>
      </c>
      <c r="H291" s="5" t="n">
        <v>0</v>
      </c>
      <c r="I291" s="5" t="n">
        <v>0</v>
      </c>
      <c r="J291" s="5" t="n">
        <v>1</v>
      </c>
      <c r="K291" s="5" t="n">
        <v>0</v>
      </c>
      <c r="L291" s="5" t="n">
        <v>0</v>
      </c>
      <c r="M291" s="5" t="n">
        <v>0</v>
      </c>
      <c r="N291" s="5" t="n">
        <v>0</v>
      </c>
      <c r="O291" s="5" t="n">
        <v>0</v>
      </c>
      <c r="P291" s="5" t="n">
        <v>0</v>
      </c>
      <c r="Q291" s="5" t="n">
        <v>1</v>
      </c>
      <c r="R291" s="5" t="n">
        <v>1</v>
      </c>
      <c r="S291" s="5" t="n">
        <v>0</v>
      </c>
      <c r="T291" s="5" t="n">
        <v>0</v>
      </c>
      <c r="U291" s="5" t="inlineStr">
        <is>
          <t>training</t>
        </is>
      </c>
    </row>
    <row r="292">
      <c r="A292" s="5" t="n">
        <v>264</v>
      </c>
      <c r="B292" s="5" t="n">
        <v>0</v>
      </c>
      <c r="C292" s="5" t="n">
        <v>12</v>
      </c>
      <c r="D292" s="5" t="n">
        <v>2748</v>
      </c>
      <c r="E292" s="5" t="n">
        <v>57</v>
      </c>
      <c r="F292" s="5" t="n">
        <v>2</v>
      </c>
      <c r="G292" s="5" t="n">
        <v>0</v>
      </c>
      <c r="H292" s="5" t="n">
        <v>0</v>
      </c>
      <c r="I292" s="5" t="n">
        <v>0</v>
      </c>
      <c r="J292" s="5" t="n">
        <v>1</v>
      </c>
      <c r="K292" s="5" t="n">
        <v>0</v>
      </c>
      <c r="L292" s="5" t="n">
        <v>0</v>
      </c>
      <c r="M292" s="5" t="n">
        <v>0</v>
      </c>
      <c r="N292" s="5" t="n">
        <v>0</v>
      </c>
      <c r="O292" s="5" t="n">
        <v>0</v>
      </c>
      <c r="P292" s="5" t="n">
        <v>0</v>
      </c>
      <c r="Q292" s="5" t="n">
        <v>1</v>
      </c>
      <c r="R292" s="5" t="n">
        <v>0</v>
      </c>
      <c r="S292" s="5" t="n">
        <v>0</v>
      </c>
      <c r="T292" s="5" t="n">
        <v>0</v>
      </c>
      <c r="U292" s="5" t="inlineStr">
        <is>
          <t>training</t>
        </is>
      </c>
    </row>
    <row r="293">
      <c r="A293" s="5" t="n">
        <v>265</v>
      </c>
      <c r="B293" s="5" t="n">
        <v>0</v>
      </c>
      <c r="C293" s="5" t="n">
        <v>10</v>
      </c>
      <c r="D293" s="5" t="n">
        <v>1231</v>
      </c>
      <c r="E293" s="5" t="n">
        <v>32</v>
      </c>
      <c r="F293" s="5" t="n">
        <v>3</v>
      </c>
      <c r="G293" s="5" t="n">
        <v>0</v>
      </c>
      <c r="H293" s="5" t="n">
        <v>0</v>
      </c>
      <c r="I293" s="5" t="n">
        <v>0</v>
      </c>
      <c r="J293" s="5" t="n">
        <v>1</v>
      </c>
      <c r="K293" s="5" t="n">
        <v>0</v>
      </c>
      <c r="L293" s="5" t="n">
        <v>0</v>
      </c>
      <c r="M293" s="5" t="n">
        <v>0</v>
      </c>
      <c r="N293" s="5" t="n">
        <v>0</v>
      </c>
      <c r="O293" s="5" t="n">
        <v>0</v>
      </c>
      <c r="P293" s="5" t="n">
        <v>0</v>
      </c>
      <c r="Q293" s="5" t="n">
        <v>0</v>
      </c>
      <c r="R293" s="5" t="n">
        <v>1</v>
      </c>
      <c r="S293" s="5" t="n">
        <v>0</v>
      </c>
      <c r="T293" s="5" t="n">
        <v>0</v>
      </c>
      <c r="U293" s="5" t="inlineStr">
        <is>
          <t>training</t>
        </is>
      </c>
    </row>
    <row r="294">
      <c r="A294" s="5" t="n">
        <v>266</v>
      </c>
      <c r="B294" s="5" t="n">
        <v>1</v>
      </c>
      <c r="C294" s="5" t="n">
        <v>15</v>
      </c>
      <c r="D294" s="5" t="n">
        <v>802</v>
      </c>
      <c r="E294" s="5" t="n">
        <v>37</v>
      </c>
      <c r="F294" s="5" t="n">
        <v>4</v>
      </c>
      <c r="G294" s="5" t="n">
        <v>0</v>
      </c>
      <c r="H294" s="5" t="n">
        <v>1</v>
      </c>
      <c r="I294" s="5" t="n">
        <v>0</v>
      </c>
      <c r="J294" s="5" t="n">
        <v>0</v>
      </c>
      <c r="K294" s="5" t="n">
        <v>0</v>
      </c>
      <c r="L294" s="5" t="n">
        <v>0</v>
      </c>
      <c r="M294" s="5" t="n">
        <v>0</v>
      </c>
      <c r="N294" s="5" t="n">
        <v>0</v>
      </c>
      <c r="O294" s="5" t="n">
        <v>0</v>
      </c>
      <c r="P294" s="5" t="n">
        <v>0</v>
      </c>
      <c r="Q294" s="5" t="n">
        <v>0</v>
      </c>
      <c r="R294" s="5" t="n">
        <v>0</v>
      </c>
      <c r="S294" s="5" t="n">
        <v>1</v>
      </c>
      <c r="T294" s="5" t="n">
        <v>0</v>
      </c>
      <c r="U294" s="5" t="inlineStr">
        <is>
          <t>training</t>
        </is>
      </c>
    </row>
    <row r="295">
      <c r="A295" s="5" t="n">
        <v>267</v>
      </c>
      <c r="B295" s="5" t="n">
        <v>0</v>
      </c>
      <c r="C295" s="5" t="n">
        <v>36</v>
      </c>
      <c r="D295" s="5" t="n">
        <v>6304</v>
      </c>
      <c r="E295" s="5" t="n">
        <v>36</v>
      </c>
      <c r="F295" s="5" t="n">
        <v>4</v>
      </c>
      <c r="G295" s="5" t="n">
        <v>0</v>
      </c>
      <c r="H295" s="5" t="n">
        <v>0</v>
      </c>
      <c r="I295" s="5" t="n">
        <v>0</v>
      </c>
      <c r="J295" s="5" t="n">
        <v>1</v>
      </c>
      <c r="K295" s="5" t="n">
        <v>0</v>
      </c>
      <c r="L295" s="5" t="n">
        <v>0</v>
      </c>
      <c r="M295" s="5" t="n">
        <v>0</v>
      </c>
      <c r="N295" s="5" t="n">
        <v>0</v>
      </c>
      <c r="O295" s="5" t="n">
        <v>1</v>
      </c>
      <c r="P295" s="5" t="n">
        <v>0</v>
      </c>
      <c r="Q295" s="5" t="n">
        <v>0</v>
      </c>
      <c r="R295" s="5" t="n">
        <v>0</v>
      </c>
      <c r="S295" s="5" t="n">
        <v>0</v>
      </c>
      <c r="T295" s="5" t="n">
        <v>0</v>
      </c>
      <c r="U295" s="5" t="inlineStr">
        <is>
          <t>testing</t>
        </is>
      </c>
    </row>
    <row r="296">
      <c r="A296" s="5" t="n">
        <v>268</v>
      </c>
      <c r="B296" s="5" t="n">
        <v>0</v>
      </c>
      <c r="C296" s="5" t="n">
        <v>24</v>
      </c>
      <c r="D296" s="5" t="n">
        <v>1533</v>
      </c>
      <c r="E296" s="5" t="n">
        <v>38</v>
      </c>
      <c r="F296" s="5" t="n">
        <v>4</v>
      </c>
      <c r="G296" s="5" t="n">
        <v>0</v>
      </c>
      <c r="H296" s="5" t="n">
        <v>0</v>
      </c>
      <c r="I296" s="5" t="n">
        <v>0</v>
      </c>
      <c r="J296" s="5" t="n">
        <v>0</v>
      </c>
      <c r="K296" s="5" t="n">
        <v>0</v>
      </c>
      <c r="L296" s="5" t="n">
        <v>0</v>
      </c>
      <c r="M296" s="5" t="n">
        <v>0</v>
      </c>
      <c r="N296" s="5" t="n">
        <v>0</v>
      </c>
      <c r="O296" s="5" t="n">
        <v>0</v>
      </c>
      <c r="P296" s="5" t="n">
        <v>0</v>
      </c>
      <c r="Q296" s="5" t="n">
        <v>0</v>
      </c>
      <c r="R296" s="5" t="n">
        <v>0</v>
      </c>
      <c r="S296" s="5" t="n">
        <v>1</v>
      </c>
      <c r="T296" s="5" t="n">
        <v>0</v>
      </c>
      <c r="U296" s="5" t="inlineStr">
        <is>
          <t>training</t>
        </is>
      </c>
    </row>
    <row r="297">
      <c r="A297" s="5" t="n">
        <v>269</v>
      </c>
      <c r="B297" s="5" t="n">
        <v>1</v>
      </c>
      <c r="C297" s="5" t="n">
        <v>14</v>
      </c>
      <c r="D297" s="5" t="n">
        <v>8978</v>
      </c>
      <c r="E297" s="5" t="n">
        <v>45</v>
      </c>
      <c r="F297" s="5" t="n">
        <v>1</v>
      </c>
      <c r="G297" s="5" t="n">
        <v>1</v>
      </c>
      <c r="H297" s="5" t="n">
        <v>0</v>
      </c>
      <c r="I297" s="5" t="n">
        <v>0</v>
      </c>
      <c r="J297" s="5" t="n">
        <v>0</v>
      </c>
      <c r="K297" s="5" t="n">
        <v>0</v>
      </c>
      <c r="L297" s="5" t="n">
        <v>0</v>
      </c>
      <c r="M297" s="5" t="n">
        <v>0</v>
      </c>
      <c r="N297" s="5" t="n">
        <v>0</v>
      </c>
      <c r="O297" s="5" t="n">
        <v>0</v>
      </c>
      <c r="P297" s="5" t="n">
        <v>0</v>
      </c>
      <c r="Q297" s="5" t="n">
        <v>0</v>
      </c>
      <c r="R297" s="5" t="n">
        <v>1</v>
      </c>
      <c r="S297" s="5" t="n">
        <v>0</v>
      </c>
      <c r="T297" s="5" t="n">
        <v>0</v>
      </c>
      <c r="U297" s="5" t="inlineStr">
        <is>
          <t>testing</t>
        </is>
      </c>
    </row>
    <row r="298">
      <c r="A298" s="5" t="n">
        <v>270</v>
      </c>
      <c r="B298" s="5" t="n">
        <v>0</v>
      </c>
      <c r="C298" s="5" t="n">
        <v>24</v>
      </c>
      <c r="D298" s="5" t="n">
        <v>999</v>
      </c>
      <c r="E298" s="5" t="n">
        <v>25</v>
      </c>
      <c r="F298" s="5" t="n">
        <v>4</v>
      </c>
      <c r="G298" s="5" t="n">
        <v>0</v>
      </c>
      <c r="H298" s="5" t="n">
        <v>0</v>
      </c>
      <c r="I298" s="5" t="n">
        <v>0</v>
      </c>
      <c r="J298" s="5" t="n">
        <v>0</v>
      </c>
      <c r="K298" s="5" t="n">
        <v>0</v>
      </c>
      <c r="L298" s="5" t="n">
        <v>0</v>
      </c>
      <c r="M298" s="5" t="n">
        <v>0</v>
      </c>
      <c r="N298" s="5" t="n">
        <v>0</v>
      </c>
      <c r="O298" s="5" t="n">
        <v>1</v>
      </c>
      <c r="P298" s="5" t="n">
        <v>0</v>
      </c>
      <c r="Q298" s="5" t="n">
        <v>0</v>
      </c>
      <c r="R298" s="5" t="n">
        <v>0</v>
      </c>
      <c r="S298" s="5" t="n">
        <v>1</v>
      </c>
      <c r="T298" s="5" t="n">
        <v>0</v>
      </c>
      <c r="U298" s="5" t="inlineStr">
        <is>
          <t>training</t>
        </is>
      </c>
    </row>
    <row r="299">
      <c r="A299" s="5" t="n">
        <v>271</v>
      </c>
      <c r="B299" s="5" t="n">
        <v>0</v>
      </c>
      <c r="C299" s="5" t="n">
        <v>18</v>
      </c>
      <c r="D299" s="5" t="n">
        <v>2662</v>
      </c>
      <c r="E299" s="5" t="n">
        <v>32</v>
      </c>
      <c r="F299" s="5" t="n">
        <v>4</v>
      </c>
      <c r="G299" s="5" t="n">
        <v>0</v>
      </c>
      <c r="H299" s="5" t="n">
        <v>0</v>
      </c>
      <c r="I299" s="5" t="n">
        <v>0</v>
      </c>
      <c r="J299" s="5" t="n">
        <v>0</v>
      </c>
      <c r="K299" s="5" t="n">
        <v>0</v>
      </c>
      <c r="L299" s="5" t="n">
        <v>0</v>
      </c>
      <c r="M299" s="5" t="n">
        <v>0</v>
      </c>
      <c r="N299" s="5" t="n">
        <v>0</v>
      </c>
      <c r="O299" s="5" t="n">
        <v>1</v>
      </c>
      <c r="P299" s="5" t="n">
        <v>0</v>
      </c>
      <c r="Q299" s="5" t="n">
        <v>0</v>
      </c>
      <c r="R299" s="5" t="n">
        <v>1</v>
      </c>
      <c r="S299" s="5" t="n">
        <v>0</v>
      </c>
      <c r="T299" s="5" t="n">
        <v>0</v>
      </c>
      <c r="U299" s="5" t="inlineStr">
        <is>
          <t>testing</t>
        </is>
      </c>
    </row>
    <row r="300">
      <c r="A300" s="5" t="n">
        <v>272</v>
      </c>
      <c r="B300" s="5" t="n">
        <v>0</v>
      </c>
      <c r="C300" s="5" t="n">
        <v>12</v>
      </c>
      <c r="D300" s="5" t="n">
        <v>1402</v>
      </c>
      <c r="E300" s="5" t="n">
        <v>37</v>
      </c>
      <c r="F300" s="5" t="n">
        <v>3</v>
      </c>
      <c r="G300" s="5" t="n">
        <v>0</v>
      </c>
      <c r="H300" s="5" t="n">
        <v>0</v>
      </c>
      <c r="I300" s="5" t="n">
        <v>0</v>
      </c>
      <c r="J300" s="5" t="n">
        <v>1</v>
      </c>
      <c r="K300" s="5" t="n">
        <v>0</v>
      </c>
      <c r="L300" s="5" t="n">
        <v>0</v>
      </c>
      <c r="M300" s="5" t="n">
        <v>1</v>
      </c>
      <c r="N300" s="5" t="n">
        <v>0</v>
      </c>
      <c r="O300" s="5" t="n">
        <v>0</v>
      </c>
      <c r="P300" s="5" t="n">
        <v>1</v>
      </c>
      <c r="Q300" s="5" t="n">
        <v>0</v>
      </c>
      <c r="R300" s="5" t="n">
        <v>0</v>
      </c>
      <c r="S300" s="5" t="n">
        <v>0</v>
      </c>
      <c r="T300" s="5" t="n">
        <v>1</v>
      </c>
      <c r="U300" s="5" t="inlineStr">
        <is>
          <t>testing</t>
        </is>
      </c>
    </row>
    <row r="301">
      <c r="A301" s="5" t="n">
        <v>273</v>
      </c>
      <c r="B301" s="5" t="n">
        <v>0</v>
      </c>
      <c r="C301" s="5" t="n">
        <v>48</v>
      </c>
      <c r="D301" s="5" t="n">
        <v>12169</v>
      </c>
      <c r="E301" s="5" t="n">
        <v>36</v>
      </c>
      <c r="F301" s="5" t="n">
        <v>4</v>
      </c>
      <c r="G301" s="5" t="n">
        <v>0</v>
      </c>
      <c r="H301" s="5" t="n">
        <v>1</v>
      </c>
      <c r="I301" s="5" t="n">
        <v>0</v>
      </c>
      <c r="J301" s="5" t="n">
        <v>0</v>
      </c>
      <c r="K301" s="5" t="n">
        <v>0</v>
      </c>
      <c r="L301" s="5" t="n">
        <v>1</v>
      </c>
      <c r="M301" s="5" t="n">
        <v>0</v>
      </c>
      <c r="N301" s="5" t="n">
        <v>0</v>
      </c>
      <c r="O301" s="5" t="n">
        <v>1</v>
      </c>
      <c r="P301" s="5" t="n">
        <v>0</v>
      </c>
      <c r="Q301" s="5" t="n">
        <v>1</v>
      </c>
      <c r="R301" s="5" t="n">
        <v>1</v>
      </c>
      <c r="S301" s="5" t="n">
        <v>0</v>
      </c>
      <c r="T301" s="5" t="n">
        <v>0</v>
      </c>
      <c r="U301" s="5" t="inlineStr">
        <is>
          <t>training</t>
        </is>
      </c>
    </row>
    <row r="302">
      <c r="A302" s="5" t="n">
        <v>274</v>
      </c>
      <c r="B302" s="5" t="n">
        <v>1</v>
      </c>
      <c r="C302" s="5" t="n">
        <v>48</v>
      </c>
      <c r="D302" s="5" t="n">
        <v>3060</v>
      </c>
      <c r="E302" s="5" t="n">
        <v>28</v>
      </c>
      <c r="F302" s="5" t="n">
        <v>4</v>
      </c>
      <c r="G302" s="5" t="n">
        <v>0</v>
      </c>
      <c r="H302" s="5" t="n">
        <v>1</v>
      </c>
      <c r="I302" s="5" t="n">
        <v>0</v>
      </c>
      <c r="J302" s="5" t="n">
        <v>0</v>
      </c>
      <c r="K302" s="5" t="n">
        <v>0</v>
      </c>
      <c r="L302" s="5" t="n">
        <v>0</v>
      </c>
      <c r="M302" s="5" t="n">
        <v>0</v>
      </c>
      <c r="N302" s="5" t="n">
        <v>0</v>
      </c>
      <c r="O302" s="5" t="n">
        <v>0</v>
      </c>
      <c r="P302" s="5" t="n">
        <v>0</v>
      </c>
      <c r="Q302" s="5" t="n">
        <v>0</v>
      </c>
      <c r="R302" s="5" t="n">
        <v>0</v>
      </c>
      <c r="S302" s="5" t="n">
        <v>1</v>
      </c>
      <c r="T302" s="5" t="n">
        <v>0</v>
      </c>
      <c r="U302" s="5" t="inlineStr">
        <is>
          <t>training</t>
        </is>
      </c>
    </row>
    <row r="303">
      <c r="A303" s="5" t="n">
        <v>275</v>
      </c>
      <c r="B303" s="5" t="n">
        <v>1</v>
      </c>
      <c r="C303" s="5" t="n">
        <v>30</v>
      </c>
      <c r="D303" s="5" t="n">
        <v>11998</v>
      </c>
      <c r="E303" s="5" t="n">
        <v>34</v>
      </c>
      <c r="F303" s="5" t="n">
        <v>1</v>
      </c>
      <c r="G303" s="5" t="n">
        <v>1</v>
      </c>
      <c r="H303" s="5" t="n">
        <v>0</v>
      </c>
      <c r="I303" s="5" t="n">
        <v>0</v>
      </c>
      <c r="J303" s="5" t="n">
        <v>0</v>
      </c>
      <c r="K303" s="5" t="n">
        <v>0</v>
      </c>
      <c r="L303" s="5" t="n">
        <v>0</v>
      </c>
      <c r="M303" s="5" t="n">
        <v>0</v>
      </c>
      <c r="N303" s="5" t="n">
        <v>0</v>
      </c>
      <c r="O303" s="5" t="n">
        <v>0</v>
      </c>
      <c r="P303" s="5" t="n">
        <v>0</v>
      </c>
      <c r="Q303" s="5" t="n">
        <v>0</v>
      </c>
      <c r="R303" s="5" t="n">
        <v>0</v>
      </c>
      <c r="S303" s="5" t="n">
        <v>0</v>
      </c>
      <c r="T303" s="5" t="n">
        <v>0</v>
      </c>
      <c r="U303" s="5" t="inlineStr">
        <is>
          <t>training</t>
        </is>
      </c>
    </row>
    <row r="304">
      <c r="A304" s="5" t="n">
        <v>276</v>
      </c>
      <c r="B304" s="5" t="n">
        <v>0</v>
      </c>
      <c r="C304" s="5" t="n">
        <v>9</v>
      </c>
      <c r="D304" s="5" t="n">
        <v>2697</v>
      </c>
      <c r="E304" s="5" t="n">
        <v>32</v>
      </c>
      <c r="F304" s="5" t="n">
        <v>1</v>
      </c>
      <c r="G304" s="5" t="n">
        <v>0</v>
      </c>
      <c r="H304" s="5" t="n">
        <v>0</v>
      </c>
      <c r="I304" s="5" t="n">
        <v>0</v>
      </c>
      <c r="J304" s="5" t="n">
        <v>0</v>
      </c>
      <c r="K304" s="5" t="n">
        <v>0</v>
      </c>
      <c r="L304" s="5" t="n">
        <v>0</v>
      </c>
      <c r="M304" s="5" t="n">
        <v>0</v>
      </c>
      <c r="N304" s="5" t="n">
        <v>0</v>
      </c>
      <c r="O304" s="5" t="n">
        <v>0</v>
      </c>
      <c r="P304" s="5" t="n">
        <v>0</v>
      </c>
      <c r="Q304" s="5" t="n">
        <v>0</v>
      </c>
      <c r="R304" s="5" t="n">
        <v>0</v>
      </c>
      <c r="S304" s="5" t="n">
        <v>1</v>
      </c>
      <c r="T304" s="5" t="n">
        <v>0</v>
      </c>
      <c r="U304" s="5" t="inlineStr">
        <is>
          <t>training</t>
        </is>
      </c>
    </row>
    <row r="305">
      <c r="A305" s="5" t="n">
        <v>277</v>
      </c>
      <c r="B305" s="5" t="n">
        <v>0</v>
      </c>
      <c r="C305" s="5" t="n">
        <v>18</v>
      </c>
      <c r="D305" s="5" t="n">
        <v>2404</v>
      </c>
      <c r="E305" s="5" t="n">
        <v>26</v>
      </c>
      <c r="F305" s="5" t="n">
        <v>2</v>
      </c>
      <c r="G305" s="5" t="n">
        <v>0</v>
      </c>
      <c r="H305" s="5" t="n">
        <v>0</v>
      </c>
      <c r="I305" s="5" t="n">
        <v>0</v>
      </c>
      <c r="J305" s="5" t="n">
        <v>1</v>
      </c>
      <c r="K305" s="5" t="n">
        <v>0</v>
      </c>
      <c r="L305" s="5" t="n">
        <v>0</v>
      </c>
      <c r="M305" s="5" t="n">
        <v>0</v>
      </c>
      <c r="N305" s="5" t="n">
        <v>0</v>
      </c>
      <c r="O305" s="5" t="n">
        <v>0</v>
      </c>
      <c r="P305" s="5" t="n">
        <v>0</v>
      </c>
      <c r="Q305" s="5" t="n">
        <v>0</v>
      </c>
      <c r="R305" s="5" t="n">
        <v>0</v>
      </c>
      <c r="S305" s="5" t="n">
        <v>1</v>
      </c>
      <c r="T305" s="5" t="n">
        <v>0</v>
      </c>
      <c r="U305" s="5" t="inlineStr">
        <is>
          <t>training</t>
        </is>
      </c>
    </row>
    <row r="306">
      <c r="A306" s="5" t="n">
        <v>278</v>
      </c>
      <c r="B306" s="5" t="n">
        <v>0</v>
      </c>
      <c r="C306" s="5" t="n">
        <v>12</v>
      </c>
      <c r="D306" s="5" t="n">
        <v>1262</v>
      </c>
      <c r="E306" s="5" t="n">
        <v>49</v>
      </c>
      <c r="F306" s="5" t="n">
        <v>2</v>
      </c>
      <c r="G306" s="5" t="n">
        <v>1</v>
      </c>
      <c r="H306" s="5" t="n">
        <v>0</v>
      </c>
      <c r="I306" s="5" t="n">
        <v>0</v>
      </c>
      <c r="J306" s="5" t="n">
        <v>0</v>
      </c>
      <c r="K306" s="5" t="n">
        <v>0</v>
      </c>
      <c r="L306" s="5" t="n">
        <v>0</v>
      </c>
      <c r="M306" s="5" t="n">
        <v>0</v>
      </c>
      <c r="N306" s="5" t="n">
        <v>0</v>
      </c>
      <c r="O306" s="5" t="n">
        <v>1</v>
      </c>
      <c r="P306" s="5" t="n">
        <v>0</v>
      </c>
      <c r="Q306" s="5" t="n">
        <v>0</v>
      </c>
      <c r="R306" s="5" t="n">
        <v>0</v>
      </c>
      <c r="S306" s="5" t="n">
        <v>0</v>
      </c>
      <c r="T306" s="5" t="n">
        <v>1</v>
      </c>
      <c r="U306" s="5" t="inlineStr">
        <is>
          <t>training</t>
        </is>
      </c>
    </row>
    <row r="307">
      <c r="A307" s="5" t="n">
        <v>279</v>
      </c>
      <c r="B307" s="5" t="n">
        <v>1</v>
      </c>
      <c r="C307" s="5" t="n">
        <v>6</v>
      </c>
      <c r="D307" s="5" t="n">
        <v>4611</v>
      </c>
      <c r="E307" s="5" t="n">
        <v>32</v>
      </c>
      <c r="F307" s="5" t="n">
        <v>1</v>
      </c>
      <c r="G307" s="5" t="n">
        <v>0</v>
      </c>
      <c r="H307" s="5" t="n">
        <v>0</v>
      </c>
      <c r="I307" s="5" t="n">
        <v>0</v>
      </c>
      <c r="J307" s="5" t="n">
        <v>0</v>
      </c>
      <c r="K307" s="5" t="n">
        <v>0</v>
      </c>
      <c r="L307" s="5" t="n">
        <v>0</v>
      </c>
      <c r="M307" s="5" t="n">
        <v>0</v>
      </c>
      <c r="N307" s="5" t="n">
        <v>0</v>
      </c>
      <c r="O307" s="5" t="n">
        <v>0</v>
      </c>
      <c r="P307" s="5" t="n">
        <v>0</v>
      </c>
      <c r="Q307" s="5" t="n">
        <v>0</v>
      </c>
      <c r="R307" s="5" t="n">
        <v>0</v>
      </c>
      <c r="S307" s="5" t="n">
        <v>0</v>
      </c>
      <c r="T307" s="5" t="n">
        <v>1</v>
      </c>
      <c r="U307" s="5" t="inlineStr">
        <is>
          <t>testing</t>
        </is>
      </c>
    </row>
    <row r="308">
      <c r="A308" s="5" t="n">
        <v>280</v>
      </c>
      <c r="B308" s="5" t="n">
        <v>0</v>
      </c>
      <c r="C308" s="5" t="n">
        <v>24</v>
      </c>
      <c r="D308" s="5" t="n">
        <v>1901</v>
      </c>
      <c r="E308" s="5" t="n">
        <v>29</v>
      </c>
      <c r="F308" s="5" t="n">
        <v>4</v>
      </c>
      <c r="G308" s="5" t="n">
        <v>0</v>
      </c>
      <c r="H308" s="5" t="n">
        <v>0</v>
      </c>
      <c r="I308" s="5" t="n">
        <v>0</v>
      </c>
      <c r="J308" s="5" t="n">
        <v>0</v>
      </c>
      <c r="K308" s="5" t="n">
        <v>0</v>
      </c>
      <c r="L308" s="5" t="n">
        <v>0</v>
      </c>
      <c r="M308" s="5" t="n">
        <v>1</v>
      </c>
      <c r="N308" s="5" t="n">
        <v>0</v>
      </c>
      <c r="O308" s="5" t="n">
        <v>0</v>
      </c>
      <c r="P308" s="5" t="n">
        <v>1</v>
      </c>
      <c r="Q308" s="5" t="n">
        <v>0</v>
      </c>
      <c r="R308" s="5" t="n">
        <v>0</v>
      </c>
      <c r="S308" s="5" t="n">
        <v>1</v>
      </c>
      <c r="T308" s="5" t="n">
        <v>0</v>
      </c>
      <c r="U308" s="5" t="inlineStr">
        <is>
          <t>testing</t>
        </is>
      </c>
    </row>
    <row r="309">
      <c r="A309" s="5" t="n">
        <v>281</v>
      </c>
      <c r="B309" s="5" t="n">
        <v>0</v>
      </c>
      <c r="C309" s="5" t="n">
        <v>15</v>
      </c>
      <c r="D309" s="5" t="n">
        <v>3368</v>
      </c>
      <c r="E309" s="5" t="n">
        <v>23</v>
      </c>
      <c r="F309" s="5" t="n">
        <v>3</v>
      </c>
      <c r="G309" s="5" t="n">
        <v>0</v>
      </c>
      <c r="H309" s="5" t="n">
        <v>0</v>
      </c>
      <c r="I309" s="5" t="n">
        <v>0</v>
      </c>
      <c r="J309" s="5" t="n">
        <v>1</v>
      </c>
      <c r="K309" s="5" t="n">
        <v>0</v>
      </c>
      <c r="L309" s="5" t="n">
        <v>0</v>
      </c>
      <c r="M309" s="5" t="n">
        <v>0</v>
      </c>
      <c r="N309" s="5" t="n">
        <v>1</v>
      </c>
      <c r="O309" s="5" t="n">
        <v>0</v>
      </c>
      <c r="P309" s="5" t="n">
        <v>1</v>
      </c>
      <c r="Q309" s="5" t="n">
        <v>0</v>
      </c>
      <c r="R309" s="5" t="n">
        <v>1</v>
      </c>
      <c r="S309" s="5" t="n">
        <v>0</v>
      </c>
      <c r="T309" s="5" t="n">
        <v>0</v>
      </c>
      <c r="U309" s="5" t="inlineStr">
        <is>
          <t>testing</t>
        </is>
      </c>
    </row>
    <row r="310">
      <c r="A310" s="5" t="n">
        <v>282</v>
      </c>
      <c r="B310" s="5" t="n">
        <v>0</v>
      </c>
      <c r="C310" s="5" t="n">
        <v>12</v>
      </c>
      <c r="D310" s="5" t="n">
        <v>1574</v>
      </c>
      <c r="E310" s="5" t="n">
        <v>50</v>
      </c>
      <c r="F310" s="5" t="n">
        <v>4</v>
      </c>
      <c r="G310" s="5" t="n">
        <v>0</v>
      </c>
      <c r="H310" s="5" t="n">
        <v>0</v>
      </c>
      <c r="I310" s="5" t="n">
        <v>0</v>
      </c>
      <c r="J310" s="5" t="n">
        <v>0</v>
      </c>
      <c r="K310" s="5" t="n">
        <v>0</v>
      </c>
      <c r="L310" s="5" t="n">
        <v>0</v>
      </c>
      <c r="M310" s="5" t="n">
        <v>0</v>
      </c>
      <c r="N310" s="5" t="n">
        <v>0</v>
      </c>
      <c r="O310" s="5" t="n">
        <v>0</v>
      </c>
      <c r="P310" s="5" t="n">
        <v>0</v>
      </c>
      <c r="Q310" s="5" t="n">
        <v>0</v>
      </c>
      <c r="R310" s="5" t="n">
        <v>0</v>
      </c>
      <c r="S310" s="5" t="n">
        <v>0</v>
      </c>
      <c r="T310" s="5" t="n">
        <v>1</v>
      </c>
      <c r="U310" s="5" t="inlineStr">
        <is>
          <t>training</t>
        </is>
      </c>
    </row>
    <row r="311">
      <c r="A311" s="5" t="n">
        <v>283</v>
      </c>
      <c r="B311" s="5" t="n">
        <v>0</v>
      </c>
      <c r="C311" s="5" t="n">
        <v>18</v>
      </c>
      <c r="D311" s="5" t="n">
        <v>1445</v>
      </c>
      <c r="E311" s="5" t="n">
        <v>49</v>
      </c>
      <c r="F311" s="5" t="n">
        <v>4</v>
      </c>
      <c r="G311" s="5" t="n">
        <v>0</v>
      </c>
      <c r="H311" s="5" t="n">
        <v>0</v>
      </c>
      <c r="I311" s="5" t="n">
        <v>1</v>
      </c>
      <c r="J311" s="5" t="n">
        <v>0</v>
      </c>
      <c r="K311" s="5" t="n">
        <v>0</v>
      </c>
      <c r="L311" s="5" t="n">
        <v>1</v>
      </c>
      <c r="M311" s="5" t="n">
        <v>0</v>
      </c>
      <c r="N311" s="5" t="n">
        <v>0</v>
      </c>
      <c r="O311" s="5" t="n">
        <v>1</v>
      </c>
      <c r="P311" s="5" t="n">
        <v>0</v>
      </c>
      <c r="Q311" s="5" t="n">
        <v>0</v>
      </c>
      <c r="R311" s="5" t="n">
        <v>0</v>
      </c>
      <c r="S311" s="5" t="n">
        <v>1</v>
      </c>
      <c r="T311" s="5" t="n">
        <v>0</v>
      </c>
      <c r="U311" s="5" t="inlineStr">
        <is>
          <t>training</t>
        </is>
      </c>
    </row>
    <row r="312">
      <c r="A312" s="5" t="n">
        <v>284</v>
      </c>
      <c r="B312" s="5" t="n">
        <v>0</v>
      </c>
      <c r="C312" s="5" t="n">
        <v>15</v>
      </c>
      <c r="D312" s="5" t="n">
        <v>1520</v>
      </c>
      <c r="E312" s="5" t="n">
        <v>63</v>
      </c>
      <c r="F312" s="5" t="n">
        <v>4</v>
      </c>
      <c r="G312" s="5" t="n">
        <v>0</v>
      </c>
      <c r="H312" s="5" t="n">
        <v>0</v>
      </c>
      <c r="I312" s="5" t="n">
        <v>0</v>
      </c>
      <c r="J312" s="5" t="n">
        <v>1</v>
      </c>
      <c r="K312" s="5" t="n">
        <v>0</v>
      </c>
      <c r="L312" s="5" t="n">
        <v>0</v>
      </c>
      <c r="M312" s="5" t="n">
        <v>0</v>
      </c>
      <c r="N312" s="5" t="n">
        <v>0</v>
      </c>
      <c r="O312" s="5" t="n">
        <v>1</v>
      </c>
      <c r="P312" s="5" t="n">
        <v>0</v>
      </c>
      <c r="Q312" s="5" t="n">
        <v>0</v>
      </c>
      <c r="R312" s="5" t="n">
        <v>0</v>
      </c>
      <c r="S312" s="5" t="n">
        <v>0</v>
      </c>
      <c r="T312" s="5" t="n">
        <v>1</v>
      </c>
      <c r="U312" s="5" t="inlineStr">
        <is>
          <t>training</t>
        </is>
      </c>
    </row>
    <row r="313">
      <c r="A313" s="5" t="n">
        <v>285</v>
      </c>
      <c r="B313" s="5" t="n">
        <v>0</v>
      </c>
      <c r="C313" s="5" t="n">
        <v>24</v>
      </c>
      <c r="D313" s="5" t="n">
        <v>3878</v>
      </c>
      <c r="E313" s="5" t="n">
        <v>37</v>
      </c>
      <c r="F313" s="5" t="n">
        <v>4</v>
      </c>
      <c r="G313" s="5" t="n">
        <v>0</v>
      </c>
      <c r="H313" s="5" t="n">
        <v>1</v>
      </c>
      <c r="I313" s="5" t="n">
        <v>0</v>
      </c>
      <c r="J313" s="5" t="n">
        <v>1</v>
      </c>
      <c r="K313" s="5" t="n">
        <v>0</v>
      </c>
      <c r="L313" s="5" t="n">
        <v>0</v>
      </c>
      <c r="M313" s="5" t="n">
        <v>1</v>
      </c>
      <c r="N313" s="5" t="n">
        <v>0</v>
      </c>
      <c r="O313" s="5" t="n">
        <v>0</v>
      </c>
      <c r="P313" s="5" t="n">
        <v>0</v>
      </c>
      <c r="Q313" s="5" t="n">
        <v>0</v>
      </c>
      <c r="R313" s="5" t="n">
        <v>1</v>
      </c>
      <c r="S313" s="5" t="n">
        <v>0</v>
      </c>
      <c r="T313" s="5" t="n">
        <v>0</v>
      </c>
      <c r="U313" s="5" t="inlineStr">
        <is>
          <t>training</t>
        </is>
      </c>
    </row>
    <row r="314">
      <c r="A314" s="5" t="n">
        <v>286</v>
      </c>
      <c r="B314" s="5" t="n">
        <v>0</v>
      </c>
      <c r="C314" s="5" t="n">
        <v>47</v>
      </c>
      <c r="D314" s="5" t="n">
        <v>10722</v>
      </c>
      <c r="E314" s="5" t="n">
        <v>35</v>
      </c>
      <c r="F314" s="5" t="n">
        <v>1</v>
      </c>
      <c r="G314" s="5" t="n">
        <v>1</v>
      </c>
      <c r="H314" s="5" t="n">
        <v>0</v>
      </c>
      <c r="I314" s="5" t="n">
        <v>0</v>
      </c>
      <c r="J314" s="5" t="n">
        <v>0</v>
      </c>
      <c r="K314" s="5" t="n">
        <v>0</v>
      </c>
      <c r="L314" s="5" t="n">
        <v>0</v>
      </c>
      <c r="M314" s="5" t="n">
        <v>0</v>
      </c>
      <c r="N314" s="5" t="n">
        <v>0</v>
      </c>
      <c r="O314" s="5" t="n">
        <v>0</v>
      </c>
      <c r="P314" s="5" t="n">
        <v>0</v>
      </c>
      <c r="Q314" s="5" t="n">
        <v>0</v>
      </c>
      <c r="R314" s="5" t="n">
        <v>1</v>
      </c>
      <c r="S314" s="5" t="n">
        <v>0</v>
      </c>
      <c r="T314" s="5" t="n">
        <v>0</v>
      </c>
      <c r="U314" s="5" t="inlineStr">
        <is>
          <t>testing</t>
        </is>
      </c>
    </row>
    <row r="315">
      <c r="A315" s="5" t="n">
        <v>287</v>
      </c>
      <c r="B315" s="5" t="n">
        <v>0</v>
      </c>
      <c r="C315" s="5" t="n">
        <v>48</v>
      </c>
      <c r="D315" s="5" t="n">
        <v>4788</v>
      </c>
      <c r="E315" s="5" t="n">
        <v>26</v>
      </c>
      <c r="F315" s="5" t="n">
        <v>4</v>
      </c>
      <c r="G315" s="5" t="n">
        <v>1</v>
      </c>
      <c r="H315" s="5" t="n">
        <v>0</v>
      </c>
      <c r="I315" s="5" t="n">
        <v>0</v>
      </c>
      <c r="J315" s="5" t="n">
        <v>0</v>
      </c>
      <c r="K315" s="5" t="n">
        <v>0</v>
      </c>
      <c r="L315" s="5" t="n">
        <v>0</v>
      </c>
      <c r="M315" s="5" t="n">
        <v>0</v>
      </c>
      <c r="N315" s="5" t="n">
        <v>0</v>
      </c>
      <c r="O315" s="5" t="n">
        <v>0</v>
      </c>
      <c r="P315" s="5" t="n">
        <v>0</v>
      </c>
      <c r="Q315" s="5" t="n">
        <v>0</v>
      </c>
      <c r="R315" s="5" t="n">
        <v>1</v>
      </c>
      <c r="S315" s="5" t="n">
        <v>0</v>
      </c>
      <c r="T315" s="5" t="n">
        <v>0</v>
      </c>
      <c r="U315" s="5" t="inlineStr">
        <is>
          <t>training</t>
        </is>
      </c>
    </row>
    <row r="316">
      <c r="A316" s="5" t="n">
        <v>288</v>
      </c>
      <c r="B316" s="5" t="n">
        <v>0</v>
      </c>
      <c r="C316" s="5" t="n">
        <v>48</v>
      </c>
      <c r="D316" s="5" t="n">
        <v>7582</v>
      </c>
      <c r="E316" s="5" t="n">
        <v>31</v>
      </c>
      <c r="F316" s="5" t="n">
        <v>2</v>
      </c>
      <c r="G316" s="5" t="n">
        <v>0</v>
      </c>
      <c r="H316" s="5" t="n">
        <v>1</v>
      </c>
      <c r="I316" s="5" t="n">
        <v>0</v>
      </c>
      <c r="J316" s="5" t="n">
        <v>0</v>
      </c>
      <c r="K316" s="5" t="n">
        <v>1</v>
      </c>
      <c r="L316" s="5" t="n">
        <v>0</v>
      </c>
      <c r="M316" s="5" t="n">
        <v>1</v>
      </c>
      <c r="N316" s="5" t="n">
        <v>0</v>
      </c>
      <c r="O316" s="5" t="n">
        <v>0</v>
      </c>
      <c r="P316" s="5" t="n">
        <v>0</v>
      </c>
      <c r="Q316" s="5" t="n">
        <v>1</v>
      </c>
      <c r="R316" s="5" t="n">
        <v>0</v>
      </c>
      <c r="S316" s="5" t="n">
        <v>0</v>
      </c>
      <c r="T316" s="5" t="n">
        <v>0</v>
      </c>
      <c r="U316" s="5" t="inlineStr">
        <is>
          <t>testing</t>
        </is>
      </c>
    </row>
    <row r="317">
      <c r="A317" s="5" t="n">
        <v>289</v>
      </c>
      <c r="B317" s="5" t="n">
        <v>0</v>
      </c>
      <c r="C317" s="5" t="n">
        <v>12</v>
      </c>
      <c r="D317" s="5" t="n">
        <v>1092</v>
      </c>
      <c r="E317" s="5" t="n">
        <v>49</v>
      </c>
      <c r="F317" s="5" t="n">
        <v>4</v>
      </c>
      <c r="G317" s="5" t="n">
        <v>0</v>
      </c>
      <c r="H317" s="5" t="n">
        <v>1</v>
      </c>
      <c r="I317" s="5" t="n">
        <v>0</v>
      </c>
      <c r="J317" s="5" t="n">
        <v>0</v>
      </c>
      <c r="K317" s="5" t="n">
        <v>0</v>
      </c>
      <c r="L317" s="5" t="n">
        <v>0</v>
      </c>
      <c r="M317" s="5" t="n">
        <v>0</v>
      </c>
      <c r="N317" s="5" t="n">
        <v>0</v>
      </c>
      <c r="O317" s="5" t="n">
        <v>0</v>
      </c>
      <c r="P317" s="5" t="n">
        <v>0</v>
      </c>
      <c r="Q317" s="5" t="n">
        <v>0</v>
      </c>
      <c r="R317" s="5" t="n">
        <v>0</v>
      </c>
      <c r="S317" s="5" t="n">
        <v>1</v>
      </c>
      <c r="T317" s="5" t="n">
        <v>0</v>
      </c>
      <c r="U317" s="5" t="inlineStr">
        <is>
          <t>testing</t>
        </is>
      </c>
    </row>
    <row r="318">
      <c r="A318" s="5" t="n">
        <v>290</v>
      </c>
      <c r="B318" s="5" t="n">
        <v>1</v>
      </c>
      <c r="C318" s="5" t="n">
        <v>24</v>
      </c>
      <c r="D318" s="5" t="n">
        <v>1024</v>
      </c>
      <c r="E318" s="5" t="n">
        <v>48</v>
      </c>
      <c r="F318" s="5" t="n">
        <v>4</v>
      </c>
      <c r="G318" s="5" t="n">
        <v>1</v>
      </c>
      <c r="H318" s="5" t="n">
        <v>0</v>
      </c>
      <c r="I318" s="5" t="n">
        <v>0</v>
      </c>
      <c r="J318" s="5" t="n">
        <v>0</v>
      </c>
      <c r="K318" s="5" t="n">
        <v>1</v>
      </c>
      <c r="L318" s="5" t="n">
        <v>0</v>
      </c>
      <c r="M318" s="5" t="n">
        <v>0</v>
      </c>
      <c r="N318" s="5" t="n">
        <v>0</v>
      </c>
      <c r="O318" s="5" t="n">
        <v>0</v>
      </c>
      <c r="P318" s="5" t="n">
        <v>0</v>
      </c>
      <c r="Q318" s="5" t="n">
        <v>0</v>
      </c>
      <c r="R318" s="5" t="n">
        <v>0</v>
      </c>
      <c r="S318" s="5" t="n">
        <v>1</v>
      </c>
      <c r="T318" s="5" t="n">
        <v>0</v>
      </c>
      <c r="U318" s="5" t="inlineStr">
        <is>
          <t>training</t>
        </is>
      </c>
    </row>
    <row r="319">
      <c r="A319" s="5" t="n">
        <v>291</v>
      </c>
      <c r="B319" s="5" t="n">
        <v>0</v>
      </c>
      <c r="C319" s="5" t="n">
        <v>12</v>
      </c>
      <c r="D319" s="5" t="n">
        <v>1076</v>
      </c>
      <c r="E319" s="5" t="n">
        <v>26</v>
      </c>
      <c r="F319" s="5" t="n">
        <v>2</v>
      </c>
      <c r="G319" s="5" t="n">
        <v>0</v>
      </c>
      <c r="H319" s="5" t="n">
        <v>0</v>
      </c>
      <c r="I319" s="5" t="n">
        <v>0</v>
      </c>
      <c r="J319" s="5" t="n">
        <v>0</v>
      </c>
      <c r="K319" s="5" t="n">
        <v>0</v>
      </c>
      <c r="L319" s="5" t="n">
        <v>0</v>
      </c>
      <c r="M319" s="5" t="n">
        <v>0</v>
      </c>
      <c r="N319" s="5" t="n">
        <v>0</v>
      </c>
      <c r="O319" s="5" t="n">
        <v>0</v>
      </c>
      <c r="P319" s="5" t="n">
        <v>0</v>
      </c>
      <c r="Q319" s="5" t="n">
        <v>0</v>
      </c>
      <c r="R319" s="5" t="n">
        <v>0</v>
      </c>
      <c r="S319" s="5" t="n">
        <v>0</v>
      </c>
      <c r="T319" s="5" t="n">
        <v>0</v>
      </c>
      <c r="U319" s="5" t="inlineStr">
        <is>
          <t>training</t>
        </is>
      </c>
    </row>
    <row r="320">
      <c r="A320" s="5" t="n">
        <v>292</v>
      </c>
      <c r="B320" s="5" t="n">
        <v>1</v>
      </c>
      <c r="C320" s="5" t="n">
        <v>36</v>
      </c>
      <c r="D320" s="5" t="n">
        <v>9398</v>
      </c>
      <c r="E320" s="5" t="n">
        <v>28</v>
      </c>
      <c r="F320" s="5" t="n">
        <v>1</v>
      </c>
      <c r="G320" s="5" t="n">
        <v>0</v>
      </c>
      <c r="H320" s="5" t="n">
        <v>1</v>
      </c>
      <c r="I320" s="5" t="n">
        <v>0</v>
      </c>
      <c r="J320" s="5" t="n">
        <v>0</v>
      </c>
      <c r="K320" s="5" t="n">
        <v>0</v>
      </c>
      <c r="L320" s="5" t="n">
        <v>0</v>
      </c>
      <c r="M320" s="5" t="n">
        <v>0</v>
      </c>
      <c r="N320" s="5" t="n">
        <v>0</v>
      </c>
      <c r="O320" s="5" t="n">
        <v>0</v>
      </c>
      <c r="P320" s="5" t="n">
        <v>1</v>
      </c>
      <c r="Q320" s="5" t="n">
        <v>0</v>
      </c>
      <c r="R320" s="5" t="n">
        <v>1</v>
      </c>
      <c r="S320" s="5" t="n">
        <v>0</v>
      </c>
      <c r="T320" s="5" t="n">
        <v>0</v>
      </c>
      <c r="U320" s="5" t="inlineStr">
        <is>
          <t>training</t>
        </is>
      </c>
    </row>
    <row r="321">
      <c r="A321" s="5" t="n">
        <v>293</v>
      </c>
      <c r="B321" s="5" t="n">
        <v>0</v>
      </c>
      <c r="C321" s="5" t="n">
        <v>24</v>
      </c>
      <c r="D321" s="5" t="n">
        <v>6419</v>
      </c>
      <c r="E321" s="5" t="n">
        <v>44</v>
      </c>
      <c r="F321" s="5" t="n">
        <v>2</v>
      </c>
      <c r="G321" s="5" t="n">
        <v>1</v>
      </c>
      <c r="H321" s="5" t="n">
        <v>0</v>
      </c>
      <c r="I321" s="5" t="n">
        <v>0</v>
      </c>
      <c r="J321" s="5" t="n">
        <v>1</v>
      </c>
      <c r="K321" s="5" t="n">
        <v>0</v>
      </c>
      <c r="L321" s="5" t="n">
        <v>0</v>
      </c>
      <c r="M321" s="5" t="n">
        <v>0</v>
      </c>
      <c r="N321" s="5" t="n">
        <v>0</v>
      </c>
      <c r="O321" s="5" t="n">
        <v>0</v>
      </c>
      <c r="P321" s="5" t="n">
        <v>0</v>
      </c>
      <c r="Q321" s="5" t="n">
        <v>1</v>
      </c>
      <c r="R321" s="5" t="n">
        <v>1</v>
      </c>
      <c r="S321" s="5" t="n">
        <v>0</v>
      </c>
      <c r="T321" s="5" t="n">
        <v>0</v>
      </c>
      <c r="U321" s="5" t="inlineStr">
        <is>
          <t>training</t>
        </is>
      </c>
    </row>
    <row r="322">
      <c r="A322" s="5" t="n">
        <v>294</v>
      </c>
      <c r="B322" s="5" t="n">
        <v>0</v>
      </c>
      <c r="C322" s="5" t="n">
        <v>42</v>
      </c>
      <c r="D322" s="5" t="n">
        <v>4796</v>
      </c>
      <c r="E322" s="5" t="n">
        <v>56</v>
      </c>
      <c r="F322" s="5" t="n">
        <v>4</v>
      </c>
      <c r="G322" s="5" t="n">
        <v>0</v>
      </c>
      <c r="H322" s="5" t="n">
        <v>0</v>
      </c>
      <c r="I322" s="5" t="n">
        <v>1</v>
      </c>
      <c r="J322" s="5" t="n">
        <v>1</v>
      </c>
      <c r="K322" s="5" t="n">
        <v>0</v>
      </c>
      <c r="L322" s="5" t="n">
        <v>0</v>
      </c>
      <c r="M322" s="5" t="n">
        <v>0</v>
      </c>
      <c r="N322" s="5" t="n">
        <v>0</v>
      </c>
      <c r="O322" s="5" t="n">
        <v>0</v>
      </c>
      <c r="P322" s="5" t="n">
        <v>0</v>
      </c>
      <c r="Q322" s="5" t="n">
        <v>1</v>
      </c>
      <c r="R322" s="5" t="n">
        <v>1</v>
      </c>
      <c r="S322" s="5" t="n">
        <v>0</v>
      </c>
      <c r="T322" s="5" t="n">
        <v>0</v>
      </c>
      <c r="U322" s="5" t="inlineStr">
        <is>
          <t>training</t>
        </is>
      </c>
    </row>
    <row r="323">
      <c r="A323" s="5" t="n">
        <v>295</v>
      </c>
      <c r="B323" s="5" t="n">
        <v>0</v>
      </c>
      <c r="C323" s="5" t="n">
        <v>48</v>
      </c>
      <c r="D323" s="5" t="n">
        <v>7629</v>
      </c>
      <c r="E323" s="5" t="n">
        <v>46</v>
      </c>
      <c r="F323" s="5" t="n">
        <v>4</v>
      </c>
      <c r="G323" s="5" t="n">
        <v>0</v>
      </c>
      <c r="H323" s="5" t="n">
        <v>0</v>
      </c>
      <c r="I323" s="5" t="n">
        <v>0</v>
      </c>
      <c r="J323" s="5" t="n">
        <v>1</v>
      </c>
      <c r="K323" s="5" t="n">
        <v>0</v>
      </c>
      <c r="L323" s="5" t="n">
        <v>0</v>
      </c>
      <c r="M323" s="5" t="n">
        <v>0</v>
      </c>
      <c r="N323" s="5" t="n">
        <v>0</v>
      </c>
      <c r="O323" s="5" t="n">
        <v>1</v>
      </c>
      <c r="P323" s="5" t="n">
        <v>0</v>
      </c>
      <c r="Q323" s="5" t="n">
        <v>0</v>
      </c>
      <c r="R323" s="5" t="n">
        <v>0</v>
      </c>
      <c r="S323" s="5" t="n">
        <v>0</v>
      </c>
      <c r="T323" s="5" t="n">
        <v>0</v>
      </c>
      <c r="U323" s="5" t="inlineStr">
        <is>
          <t>training</t>
        </is>
      </c>
    </row>
    <row r="324">
      <c r="A324" s="5" t="n">
        <v>296</v>
      </c>
      <c r="B324" s="5" t="n">
        <v>1</v>
      </c>
      <c r="C324" s="5" t="n">
        <v>48</v>
      </c>
      <c r="D324" s="5" t="n">
        <v>9960</v>
      </c>
      <c r="E324" s="5" t="n">
        <v>26</v>
      </c>
      <c r="F324" s="5" t="n">
        <v>1</v>
      </c>
      <c r="G324" s="5" t="n">
        <v>0</v>
      </c>
      <c r="H324" s="5" t="n">
        <v>1</v>
      </c>
      <c r="I324" s="5" t="n">
        <v>0</v>
      </c>
      <c r="J324" s="5" t="n">
        <v>0</v>
      </c>
      <c r="K324" s="5" t="n">
        <v>0</v>
      </c>
      <c r="L324" s="5" t="n">
        <v>0</v>
      </c>
      <c r="M324" s="5" t="n">
        <v>0</v>
      </c>
      <c r="N324" s="5" t="n">
        <v>0</v>
      </c>
      <c r="O324" s="5" t="n">
        <v>0</v>
      </c>
      <c r="P324" s="5" t="n">
        <v>0</v>
      </c>
      <c r="Q324" s="5" t="n">
        <v>0</v>
      </c>
      <c r="R324" s="5" t="n">
        <v>0</v>
      </c>
      <c r="S324" s="5" t="n">
        <v>0</v>
      </c>
      <c r="T324" s="5" t="n">
        <v>1</v>
      </c>
      <c r="U324" s="5" t="inlineStr">
        <is>
          <t>testing</t>
        </is>
      </c>
    </row>
    <row r="325">
      <c r="A325" s="5" t="n">
        <v>297</v>
      </c>
      <c r="B325" s="5" t="n">
        <v>0</v>
      </c>
      <c r="C325" s="5" t="n">
        <v>12</v>
      </c>
      <c r="D325" s="5" t="n">
        <v>4675</v>
      </c>
      <c r="E325" s="5" t="n">
        <v>20</v>
      </c>
      <c r="F325" s="5" t="n">
        <v>1</v>
      </c>
      <c r="G325" s="5" t="n">
        <v>0</v>
      </c>
      <c r="H325" s="5" t="n">
        <v>0</v>
      </c>
      <c r="I325" s="5" t="n">
        <v>0</v>
      </c>
      <c r="J325" s="5" t="n">
        <v>0</v>
      </c>
      <c r="K325" s="5" t="n">
        <v>0</v>
      </c>
      <c r="L325" s="5" t="n">
        <v>0</v>
      </c>
      <c r="M325" s="5" t="n">
        <v>0</v>
      </c>
      <c r="N325" s="5" t="n">
        <v>0</v>
      </c>
      <c r="O325" s="5" t="n">
        <v>1</v>
      </c>
      <c r="P325" s="5" t="n">
        <v>1</v>
      </c>
      <c r="Q325" s="5" t="n">
        <v>0</v>
      </c>
      <c r="R325" s="5" t="n">
        <v>1</v>
      </c>
      <c r="S325" s="5" t="n">
        <v>0</v>
      </c>
      <c r="T325" s="5" t="n">
        <v>0</v>
      </c>
      <c r="U325" s="5" t="inlineStr">
        <is>
          <t>training</t>
        </is>
      </c>
    </row>
    <row r="326">
      <c r="A326" s="5" t="n">
        <v>298</v>
      </c>
      <c r="B326" s="5" t="n">
        <v>0</v>
      </c>
      <c r="C326" s="5" t="n">
        <v>10</v>
      </c>
      <c r="D326" s="5" t="n">
        <v>1287</v>
      </c>
      <c r="E326" s="5" t="n">
        <v>45</v>
      </c>
      <c r="F326" s="5" t="n">
        <v>4</v>
      </c>
      <c r="G326" s="5" t="n">
        <v>0</v>
      </c>
      <c r="H326" s="5" t="n">
        <v>0</v>
      </c>
      <c r="I326" s="5" t="n">
        <v>0</v>
      </c>
      <c r="J326" s="5" t="n">
        <v>0</v>
      </c>
      <c r="K326" s="5" t="n">
        <v>0</v>
      </c>
      <c r="L326" s="5" t="n">
        <v>0</v>
      </c>
      <c r="M326" s="5" t="n">
        <v>0</v>
      </c>
      <c r="N326" s="5" t="n">
        <v>0</v>
      </c>
      <c r="O326" s="5" t="n">
        <v>1</v>
      </c>
      <c r="P326" s="5" t="n">
        <v>0</v>
      </c>
      <c r="Q326" s="5" t="n">
        <v>0</v>
      </c>
      <c r="R326" s="5" t="n">
        <v>1</v>
      </c>
      <c r="S326" s="5" t="n">
        <v>0</v>
      </c>
      <c r="T326" s="5" t="n">
        <v>0</v>
      </c>
      <c r="U326" s="5" t="inlineStr">
        <is>
          <t>testing</t>
        </is>
      </c>
    </row>
    <row r="327">
      <c r="A327" s="5" t="n">
        <v>299</v>
      </c>
      <c r="B327" s="5" t="n">
        <v>0</v>
      </c>
      <c r="C327" s="5" t="n">
        <v>18</v>
      </c>
      <c r="D327" s="5" t="n">
        <v>2515</v>
      </c>
      <c r="E327" s="5" t="n">
        <v>43</v>
      </c>
      <c r="F327" s="5" t="n">
        <v>3</v>
      </c>
      <c r="G327" s="5" t="n">
        <v>0</v>
      </c>
      <c r="H327" s="5" t="n">
        <v>0</v>
      </c>
      <c r="I327" s="5" t="n">
        <v>0</v>
      </c>
      <c r="J327" s="5" t="n">
        <v>0</v>
      </c>
      <c r="K327" s="5" t="n">
        <v>0</v>
      </c>
      <c r="L327" s="5" t="n">
        <v>0</v>
      </c>
      <c r="M327" s="5" t="n">
        <v>0</v>
      </c>
      <c r="N327" s="5" t="n">
        <v>0</v>
      </c>
      <c r="O327" s="5" t="n">
        <v>0</v>
      </c>
      <c r="P327" s="5" t="n">
        <v>0</v>
      </c>
      <c r="Q327" s="5" t="n">
        <v>0</v>
      </c>
      <c r="R327" s="5" t="n">
        <v>0</v>
      </c>
      <c r="S327" s="5" t="n">
        <v>0</v>
      </c>
      <c r="T327" s="5" t="n">
        <v>1</v>
      </c>
      <c r="U327" s="5" t="inlineStr">
        <is>
          <t>testing</t>
        </is>
      </c>
    </row>
    <row r="328">
      <c r="A328" s="5" t="n">
        <v>300</v>
      </c>
      <c r="B328" s="5" t="n">
        <v>0</v>
      </c>
      <c r="C328" s="5" t="n">
        <v>21</v>
      </c>
      <c r="D328" s="5" t="n">
        <v>2745</v>
      </c>
      <c r="E328" s="5" t="n">
        <v>32</v>
      </c>
      <c r="F328" s="5" t="n">
        <v>3</v>
      </c>
      <c r="G328" s="5" t="n">
        <v>0</v>
      </c>
      <c r="H328" s="5" t="n">
        <v>1</v>
      </c>
      <c r="I328" s="5" t="n">
        <v>0</v>
      </c>
      <c r="J328" s="5" t="n">
        <v>1</v>
      </c>
      <c r="K328" s="5" t="n">
        <v>0</v>
      </c>
      <c r="L328" s="5" t="n">
        <v>0</v>
      </c>
      <c r="M328" s="5" t="n">
        <v>0</v>
      </c>
      <c r="N328" s="5" t="n">
        <v>1</v>
      </c>
      <c r="O328" s="5" t="n">
        <v>0</v>
      </c>
      <c r="P328" s="5" t="n">
        <v>0</v>
      </c>
      <c r="Q328" s="5" t="n">
        <v>0</v>
      </c>
      <c r="R328" s="5" t="n">
        <v>0</v>
      </c>
      <c r="S328" s="5" t="n">
        <v>0</v>
      </c>
      <c r="T328" s="5" t="n">
        <v>1</v>
      </c>
      <c r="U328" s="5" t="inlineStr">
        <is>
          <t>testing</t>
        </is>
      </c>
    </row>
    <row r="329">
      <c r="A329" s="5" t="n">
        <v>301</v>
      </c>
      <c r="B329" s="5" t="n">
        <v>0</v>
      </c>
      <c r="C329" s="5" t="n">
        <v>6</v>
      </c>
      <c r="D329" s="5" t="n">
        <v>672</v>
      </c>
      <c r="E329" s="5" t="n">
        <v>54</v>
      </c>
      <c r="F329" s="5" t="n">
        <v>1</v>
      </c>
      <c r="G329" s="5" t="n">
        <v>0</v>
      </c>
      <c r="H329" s="5" t="n">
        <v>0</v>
      </c>
      <c r="I329" s="5" t="n">
        <v>0</v>
      </c>
      <c r="J329" s="5" t="n">
        <v>0</v>
      </c>
      <c r="K329" s="5" t="n">
        <v>0</v>
      </c>
      <c r="L329" s="5" t="n">
        <v>0</v>
      </c>
      <c r="M329" s="5" t="n">
        <v>0</v>
      </c>
      <c r="N329" s="5" t="n">
        <v>0</v>
      </c>
      <c r="O329" s="5" t="n">
        <v>0</v>
      </c>
      <c r="P329" s="5" t="n">
        <v>0</v>
      </c>
      <c r="Q329" s="5" t="n">
        <v>0</v>
      </c>
      <c r="R329" s="5" t="n">
        <v>1</v>
      </c>
      <c r="S329" s="5" t="n">
        <v>0</v>
      </c>
      <c r="T329" s="5" t="n">
        <v>0</v>
      </c>
      <c r="U329" s="5" t="inlineStr">
        <is>
          <t>training</t>
        </is>
      </c>
    </row>
    <row r="330">
      <c r="A330" s="5" t="n">
        <v>302</v>
      </c>
      <c r="B330" s="5" t="n">
        <v>1</v>
      </c>
      <c r="C330" s="5" t="n">
        <v>36</v>
      </c>
      <c r="D330" s="5" t="n">
        <v>3804</v>
      </c>
      <c r="E330" s="5" t="n">
        <v>42</v>
      </c>
      <c r="F330" s="5" t="n">
        <v>4</v>
      </c>
      <c r="G330" s="5" t="n">
        <v>0</v>
      </c>
      <c r="H330" s="5" t="n">
        <v>1</v>
      </c>
      <c r="I330" s="5" t="n">
        <v>0</v>
      </c>
      <c r="J330" s="5" t="n">
        <v>0</v>
      </c>
      <c r="K330" s="5" t="n">
        <v>0</v>
      </c>
      <c r="L330" s="5" t="n">
        <v>1</v>
      </c>
      <c r="M330" s="5" t="n">
        <v>0</v>
      </c>
      <c r="N330" s="5" t="n">
        <v>0</v>
      </c>
      <c r="O330" s="5" t="n">
        <v>0</v>
      </c>
      <c r="P330" s="5" t="n">
        <v>0</v>
      </c>
      <c r="Q330" s="5" t="n">
        <v>0</v>
      </c>
      <c r="R330" s="5" t="n">
        <v>0</v>
      </c>
      <c r="S330" s="5" t="n">
        <v>1</v>
      </c>
      <c r="T330" s="5" t="n">
        <v>0</v>
      </c>
      <c r="U330" s="5" t="inlineStr">
        <is>
          <t>testing</t>
        </is>
      </c>
    </row>
    <row r="331">
      <c r="A331" s="5" t="n">
        <v>303</v>
      </c>
      <c r="B331" s="5" t="n">
        <v>1</v>
      </c>
      <c r="C331" s="5" t="n">
        <v>24</v>
      </c>
      <c r="D331" s="5" t="n">
        <v>1344</v>
      </c>
      <c r="E331" s="5" t="n">
        <v>37</v>
      </c>
      <c r="F331" s="5" t="n">
        <v>4</v>
      </c>
      <c r="G331" s="5" t="n">
        <v>0</v>
      </c>
      <c r="H331" s="5" t="n">
        <v>0</v>
      </c>
      <c r="I331" s="5" t="n">
        <v>1</v>
      </c>
      <c r="J331" s="5" t="n">
        <v>1</v>
      </c>
      <c r="K331" s="5" t="n">
        <v>0</v>
      </c>
      <c r="L331" s="5" t="n">
        <v>0</v>
      </c>
      <c r="M331" s="5" t="n">
        <v>0</v>
      </c>
      <c r="N331" s="5" t="n">
        <v>0</v>
      </c>
      <c r="O331" s="5" t="n">
        <v>1</v>
      </c>
      <c r="P331" s="5" t="n">
        <v>0</v>
      </c>
      <c r="Q331" s="5" t="n">
        <v>0</v>
      </c>
      <c r="R331" s="5" t="n">
        <v>1</v>
      </c>
      <c r="S331" s="5" t="n">
        <v>0</v>
      </c>
      <c r="T331" s="5" t="n">
        <v>0</v>
      </c>
      <c r="U331" s="5" t="inlineStr">
        <is>
          <t>training</t>
        </is>
      </c>
    </row>
    <row r="332">
      <c r="A332" s="5" t="n">
        <v>304</v>
      </c>
      <c r="B332" s="5" t="n">
        <v>0</v>
      </c>
      <c r="C332" s="5" t="n">
        <v>10</v>
      </c>
      <c r="D332" s="5" t="n">
        <v>1038</v>
      </c>
      <c r="E332" s="5" t="n">
        <v>49</v>
      </c>
      <c r="F332" s="5" t="n">
        <v>4</v>
      </c>
      <c r="G332" s="5" t="n">
        <v>1</v>
      </c>
      <c r="H332" s="5" t="n">
        <v>0</v>
      </c>
      <c r="I332" s="5" t="n">
        <v>0</v>
      </c>
      <c r="J332" s="5" t="n">
        <v>1</v>
      </c>
      <c r="K332" s="5" t="n">
        <v>0</v>
      </c>
      <c r="L332" s="5" t="n">
        <v>0</v>
      </c>
      <c r="M332" s="5" t="n">
        <v>0</v>
      </c>
      <c r="N332" s="5" t="n">
        <v>0</v>
      </c>
      <c r="O332" s="5" t="n">
        <v>0</v>
      </c>
      <c r="P332" s="5" t="n">
        <v>0</v>
      </c>
      <c r="Q332" s="5" t="n">
        <v>0</v>
      </c>
      <c r="R332" s="5" t="n">
        <v>1</v>
      </c>
      <c r="S332" s="5" t="n">
        <v>0</v>
      </c>
      <c r="T332" s="5" t="n">
        <v>0</v>
      </c>
      <c r="U332" s="5" t="inlineStr">
        <is>
          <t>testing</t>
        </is>
      </c>
    </row>
    <row r="333">
      <c r="A333" s="5" t="n">
        <v>305</v>
      </c>
      <c r="B333" s="5" t="n">
        <v>1</v>
      </c>
      <c r="C333" s="5" t="n">
        <v>48</v>
      </c>
      <c r="D333" s="5" t="n">
        <v>10127</v>
      </c>
      <c r="E333" s="5" t="n">
        <v>44</v>
      </c>
      <c r="F333" s="5" t="n">
        <v>2</v>
      </c>
      <c r="G333" s="5" t="n">
        <v>0</v>
      </c>
      <c r="H333" s="5" t="n">
        <v>0</v>
      </c>
      <c r="I333" s="5" t="n">
        <v>0</v>
      </c>
      <c r="J333" s="5" t="n">
        <v>1</v>
      </c>
      <c r="K333" s="5" t="n">
        <v>0</v>
      </c>
      <c r="L333" s="5" t="n">
        <v>0</v>
      </c>
      <c r="M333" s="5" t="n">
        <v>1</v>
      </c>
      <c r="N333" s="5" t="n">
        <v>0</v>
      </c>
      <c r="O333" s="5" t="n">
        <v>0</v>
      </c>
      <c r="P333" s="5" t="n">
        <v>0</v>
      </c>
      <c r="Q333" s="5" t="n">
        <v>1</v>
      </c>
      <c r="R333" s="5" t="n">
        <v>1</v>
      </c>
      <c r="S333" s="5" t="n">
        <v>0</v>
      </c>
      <c r="T333" s="5" t="n">
        <v>0</v>
      </c>
      <c r="U333" s="5" t="inlineStr">
        <is>
          <t>training</t>
        </is>
      </c>
    </row>
    <row r="334">
      <c r="A334" s="5" t="n">
        <v>306</v>
      </c>
      <c r="B334" s="5" t="n">
        <v>0</v>
      </c>
      <c r="C334" s="5" t="n">
        <v>6</v>
      </c>
      <c r="D334" s="5" t="n">
        <v>1543</v>
      </c>
      <c r="E334" s="5" t="n">
        <v>33</v>
      </c>
      <c r="F334" s="5" t="n">
        <v>4</v>
      </c>
      <c r="G334" s="5" t="n">
        <v>0</v>
      </c>
      <c r="H334" s="5" t="n">
        <v>0</v>
      </c>
      <c r="I334" s="5" t="n">
        <v>0</v>
      </c>
      <c r="J334" s="5" t="n">
        <v>0</v>
      </c>
      <c r="K334" s="5" t="n">
        <v>0</v>
      </c>
      <c r="L334" s="5" t="n">
        <v>0</v>
      </c>
      <c r="M334" s="5" t="n">
        <v>0</v>
      </c>
      <c r="N334" s="5" t="n">
        <v>1</v>
      </c>
      <c r="O334" s="5" t="n">
        <v>0</v>
      </c>
      <c r="P334" s="5" t="n">
        <v>0</v>
      </c>
      <c r="Q334" s="5" t="n">
        <v>0</v>
      </c>
      <c r="R334" s="5" t="n">
        <v>0</v>
      </c>
      <c r="S334" s="5" t="n">
        <v>0</v>
      </c>
      <c r="T334" s="5" t="n">
        <v>1</v>
      </c>
      <c r="U334" s="5" t="inlineStr">
        <is>
          <t>training</t>
        </is>
      </c>
    </row>
    <row r="335">
      <c r="A335" s="5" t="n">
        <v>307</v>
      </c>
      <c r="B335" s="5" t="n">
        <v>0</v>
      </c>
      <c r="C335" s="5" t="n">
        <v>30</v>
      </c>
      <c r="D335" s="5" t="n">
        <v>4811</v>
      </c>
      <c r="E335" s="5" t="n">
        <v>24</v>
      </c>
      <c r="F335" s="5" t="n">
        <v>2</v>
      </c>
      <c r="G335" s="5" t="n">
        <v>0</v>
      </c>
      <c r="H335" s="5" t="n">
        <v>0</v>
      </c>
      <c r="I335" s="5" t="n">
        <v>0</v>
      </c>
      <c r="J335" s="5" t="n">
        <v>0</v>
      </c>
      <c r="K335" s="5" t="n">
        <v>0</v>
      </c>
      <c r="L335" s="5" t="n">
        <v>0</v>
      </c>
      <c r="M335" s="5" t="n">
        <v>0</v>
      </c>
      <c r="N335" s="5" t="n">
        <v>0</v>
      </c>
      <c r="O335" s="5" t="n">
        <v>1</v>
      </c>
      <c r="P335" s="5" t="n">
        <v>1</v>
      </c>
      <c r="Q335" s="5" t="n">
        <v>0</v>
      </c>
      <c r="R335" s="5" t="n">
        <v>1</v>
      </c>
      <c r="S335" s="5" t="n">
        <v>0</v>
      </c>
      <c r="T335" s="5" t="n">
        <v>0</v>
      </c>
      <c r="U335" s="5" t="inlineStr">
        <is>
          <t>training</t>
        </is>
      </c>
    </row>
    <row r="336">
      <c r="A336" s="5" t="n">
        <v>308</v>
      </c>
      <c r="B336" s="5" t="n">
        <v>1</v>
      </c>
      <c r="C336" s="5" t="n">
        <v>12</v>
      </c>
      <c r="D336" s="5" t="n">
        <v>727</v>
      </c>
      <c r="E336" s="5" t="n">
        <v>33</v>
      </c>
      <c r="F336" s="5" t="n">
        <v>4</v>
      </c>
      <c r="G336" s="5" t="n">
        <v>1</v>
      </c>
      <c r="H336" s="5" t="n">
        <v>0</v>
      </c>
      <c r="I336" s="5" t="n">
        <v>0</v>
      </c>
      <c r="J336" s="5" t="n">
        <v>0</v>
      </c>
      <c r="K336" s="5" t="n">
        <v>0</v>
      </c>
      <c r="L336" s="5" t="n">
        <v>0</v>
      </c>
      <c r="M336" s="5" t="n">
        <v>1</v>
      </c>
      <c r="N336" s="5" t="n">
        <v>0</v>
      </c>
      <c r="O336" s="5" t="n">
        <v>0</v>
      </c>
      <c r="P336" s="5" t="n">
        <v>0</v>
      </c>
      <c r="Q336" s="5" t="n">
        <v>0</v>
      </c>
      <c r="R336" s="5" t="n">
        <v>0</v>
      </c>
      <c r="S336" s="5" t="n">
        <v>1</v>
      </c>
      <c r="T336" s="5" t="n">
        <v>0</v>
      </c>
      <c r="U336" s="5" t="inlineStr">
        <is>
          <t>training</t>
        </is>
      </c>
    </row>
    <row r="337">
      <c r="A337" s="5" t="n">
        <v>309</v>
      </c>
      <c r="B337" s="5" t="n">
        <v>1</v>
      </c>
      <c r="C337" s="5" t="n">
        <v>8</v>
      </c>
      <c r="D337" s="5" t="n">
        <v>1237</v>
      </c>
      <c r="E337" s="5" t="n">
        <v>24</v>
      </c>
      <c r="F337" s="5" t="n">
        <v>3</v>
      </c>
      <c r="G337" s="5" t="n">
        <v>0</v>
      </c>
      <c r="H337" s="5" t="n">
        <v>1</v>
      </c>
      <c r="I337" s="5" t="n">
        <v>0</v>
      </c>
      <c r="J337" s="5" t="n">
        <v>0</v>
      </c>
      <c r="K337" s="5" t="n">
        <v>0</v>
      </c>
      <c r="L337" s="5" t="n">
        <v>0</v>
      </c>
      <c r="M337" s="5" t="n">
        <v>0</v>
      </c>
      <c r="N337" s="5" t="n">
        <v>0</v>
      </c>
      <c r="O337" s="5" t="n">
        <v>0</v>
      </c>
      <c r="P337" s="5" t="n">
        <v>0</v>
      </c>
      <c r="Q337" s="5" t="n">
        <v>0</v>
      </c>
      <c r="R337" s="5" t="n">
        <v>0</v>
      </c>
      <c r="S337" s="5" t="n">
        <v>0</v>
      </c>
      <c r="T337" s="5" t="n">
        <v>1</v>
      </c>
      <c r="U337" s="5" t="inlineStr">
        <is>
          <t>training</t>
        </is>
      </c>
    </row>
    <row r="338">
      <c r="A338" s="5" t="n">
        <v>310</v>
      </c>
      <c r="B338" s="5" t="n">
        <v>0</v>
      </c>
      <c r="C338" s="5" t="n">
        <v>9</v>
      </c>
      <c r="D338" s="5" t="n">
        <v>276</v>
      </c>
      <c r="E338" s="5" t="n">
        <v>22</v>
      </c>
      <c r="F338" s="5" t="n">
        <v>4</v>
      </c>
      <c r="G338" s="5" t="n">
        <v>0</v>
      </c>
      <c r="H338" s="5" t="n">
        <v>1</v>
      </c>
      <c r="I338" s="5" t="n">
        <v>0</v>
      </c>
      <c r="J338" s="5" t="n">
        <v>0</v>
      </c>
      <c r="K338" s="5" t="n">
        <v>0</v>
      </c>
      <c r="L338" s="5" t="n">
        <v>0</v>
      </c>
      <c r="M338" s="5" t="n">
        <v>0</v>
      </c>
      <c r="N338" s="5" t="n">
        <v>0</v>
      </c>
      <c r="O338" s="5" t="n">
        <v>0</v>
      </c>
      <c r="P338" s="5" t="n">
        <v>1</v>
      </c>
      <c r="Q338" s="5" t="n">
        <v>0</v>
      </c>
      <c r="R338" s="5" t="n">
        <v>1</v>
      </c>
      <c r="S338" s="5" t="n">
        <v>0</v>
      </c>
      <c r="T338" s="5" t="n">
        <v>0</v>
      </c>
      <c r="U338" s="5" t="inlineStr">
        <is>
          <t>training</t>
        </is>
      </c>
    </row>
    <row r="339">
      <c r="A339" s="5" t="n">
        <v>311</v>
      </c>
      <c r="B339" s="5" t="n">
        <v>0</v>
      </c>
      <c r="C339" s="5" t="n">
        <v>48</v>
      </c>
      <c r="D339" s="5" t="n">
        <v>5381</v>
      </c>
      <c r="E339" s="5" t="n">
        <v>40</v>
      </c>
      <c r="F339" s="5" t="n">
        <v>3</v>
      </c>
      <c r="G339" s="5" t="n">
        <v>0</v>
      </c>
      <c r="H339" s="5" t="n">
        <v>1</v>
      </c>
      <c r="I339" s="5" t="n">
        <v>0</v>
      </c>
      <c r="J339" s="5" t="n">
        <v>0</v>
      </c>
      <c r="K339" s="5" t="n">
        <v>0</v>
      </c>
      <c r="L339" s="5" t="n">
        <v>0</v>
      </c>
      <c r="M339" s="5" t="n">
        <v>0</v>
      </c>
      <c r="N339" s="5" t="n">
        <v>0</v>
      </c>
      <c r="O339" s="5" t="n">
        <v>1</v>
      </c>
      <c r="P339" s="5" t="n">
        <v>0</v>
      </c>
      <c r="Q339" s="5" t="n">
        <v>1</v>
      </c>
      <c r="R339" s="5" t="n">
        <v>0</v>
      </c>
      <c r="S339" s="5" t="n">
        <v>0</v>
      </c>
      <c r="T339" s="5" t="n">
        <v>0</v>
      </c>
      <c r="U339" s="5" t="inlineStr">
        <is>
          <t>training</t>
        </is>
      </c>
    </row>
    <row r="340">
      <c r="A340" s="5" t="n">
        <v>312</v>
      </c>
      <c r="B340" s="5" t="n">
        <v>0</v>
      </c>
      <c r="C340" s="5" t="n">
        <v>24</v>
      </c>
      <c r="D340" s="5" t="n">
        <v>5511</v>
      </c>
      <c r="E340" s="5" t="n">
        <v>25</v>
      </c>
      <c r="F340" s="5" t="n">
        <v>4</v>
      </c>
      <c r="G340" s="5" t="n">
        <v>0</v>
      </c>
      <c r="H340" s="5" t="n">
        <v>0</v>
      </c>
      <c r="I340" s="5" t="n">
        <v>0</v>
      </c>
      <c r="J340" s="5" t="n">
        <v>0</v>
      </c>
      <c r="K340" s="5" t="n">
        <v>0</v>
      </c>
      <c r="L340" s="5" t="n">
        <v>0</v>
      </c>
      <c r="M340" s="5" t="n">
        <v>1</v>
      </c>
      <c r="N340" s="5" t="n">
        <v>0</v>
      </c>
      <c r="O340" s="5" t="n">
        <v>0</v>
      </c>
      <c r="P340" s="5" t="n">
        <v>0</v>
      </c>
      <c r="Q340" s="5" t="n">
        <v>0</v>
      </c>
      <c r="R340" s="5" t="n">
        <v>0</v>
      </c>
      <c r="S340" s="5" t="n">
        <v>0</v>
      </c>
      <c r="T340" s="5" t="n">
        <v>1</v>
      </c>
      <c r="U340" s="5" t="inlineStr">
        <is>
          <t>testing</t>
        </is>
      </c>
    </row>
    <row r="341">
      <c r="A341" s="5" t="n">
        <v>313</v>
      </c>
      <c r="B341" s="5" t="n">
        <v>0</v>
      </c>
      <c r="C341" s="5" t="n">
        <v>24</v>
      </c>
      <c r="D341" s="5" t="n">
        <v>3749</v>
      </c>
      <c r="E341" s="5" t="n">
        <v>26</v>
      </c>
      <c r="F341" s="5" t="n">
        <v>2</v>
      </c>
      <c r="G341" s="5" t="n">
        <v>0</v>
      </c>
      <c r="H341" s="5" t="n">
        <v>0</v>
      </c>
      <c r="I341" s="5" t="n">
        <v>1</v>
      </c>
      <c r="J341" s="5" t="n">
        <v>0</v>
      </c>
      <c r="K341" s="5" t="n">
        <v>0</v>
      </c>
      <c r="L341" s="5" t="n">
        <v>0</v>
      </c>
      <c r="M341" s="5" t="n">
        <v>0</v>
      </c>
      <c r="N341" s="5" t="n">
        <v>0</v>
      </c>
      <c r="O341" s="5" t="n">
        <v>0</v>
      </c>
      <c r="P341" s="5" t="n">
        <v>0</v>
      </c>
      <c r="Q341" s="5" t="n">
        <v>0</v>
      </c>
      <c r="R341" s="5" t="n">
        <v>0</v>
      </c>
      <c r="S341" s="5" t="n">
        <v>0</v>
      </c>
      <c r="T341" s="5" t="n">
        <v>1</v>
      </c>
      <c r="U341" s="5" t="inlineStr">
        <is>
          <t>training</t>
        </is>
      </c>
    </row>
    <row r="342">
      <c r="A342" s="5" t="n">
        <v>314</v>
      </c>
      <c r="B342" s="5" t="n">
        <v>1</v>
      </c>
      <c r="C342" s="5" t="n">
        <v>12</v>
      </c>
      <c r="D342" s="5" t="n">
        <v>685</v>
      </c>
      <c r="E342" s="5" t="n">
        <v>25</v>
      </c>
      <c r="F342" s="5" t="n">
        <v>2</v>
      </c>
      <c r="G342" s="5" t="n">
        <v>0</v>
      </c>
      <c r="H342" s="5" t="n">
        <v>1</v>
      </c>
      <c r="I342" s="5" t="n">
        <v>0</v>
      </c>
      <c r="J342" s="5" t="n">
        <v>0</v>
      </c>
      <c r="K342" s="5" t="n">
        <v>0</v>
      </c>
      <c r="L342" s="5" t="n">
        <v>0</v>
      </c>
      <c r="M342" s="5" t="n">
        <v>0</v>
      </c>
      <c r="N342" s="5" t="n">
        <v>0</v>
      </c>
      <c r="O342" s="5" t="n">
        <v>0</v>
      </c>
      <c r="P342" s="5" t="n">
        <v>0</v>
      </c>
      <c r="Q342" s="5" t="n">
        <v>0</v>
      </c>
      <c r="R342" s="5" t="n">
        <v>1</v>
      </c>
      <c r="S342" s="5" t="n">
        <v>0</v>
      </c>
      <c r="T342" s="5" t="n">
        <v>0</v>
      </c>
      <c r="U342" s="5" t="inlineStr">
        <is>
          <t>training</t>
        </is>
      </c>
    </row>
    <row r="343">
      <c r="A343" s="5" t="n">
        <v>315</v>
      </c>
      <c r="B343" s="5" t="n">
        <v>0</v>
      </c>
      <c r="C343" s="5" t="n">
        <v>4</v>
      </c>
      <c r="D343" s="5" t="n">
        <v>1494</v>
      </c>
      <c r="E343" s="5" t="n">
        <v>29</v>
      </c>
      <c r="F343" s="5" t="n">
        <v>1</v>
      </c>
      <c r="G343" s="5" t="n">
        <v>0</v>
      </c>
      <c r="H343" s="5" t="n">
        <v>0</v>
      </c>
      <c r="I343" s="5" t="n">
        <v>1</v>
      </c>
      <c r="J343" s="5" t="n">
        <v>0</v>
      </c>
      <c r="K343" s="5" t="n">
        <v>0</v>
      </c>
      <c r="L343" s="5" t="n">
        <v>0</v>
      </c>
      <c r="M343" s="5" t="n">
        <v>0</v>
      </c>
      <c r="N343" s="5" t="n">
        <v>0</v>
      </c>
      <c r="O343" s="5" t="n">
        <v>1</v>
      </c>
      <c r="P343" s="5" t="n">
        <v>0</v>
      </c>
      <c r="Q343" s="5" t="n">
        <v>0</v>
      </c>
      <c r="R343" s="5" t="n">
        <v>1</v>
      </c>
      <c r="S343" s="5" t="n">
        <v>0</v>
      </c>
      <c r="T343" s="5" t="n">
        <v>0</v>
      </c>
      <c r="U343" s="5" t="inlineStr">
        <is>
          <t>testing</t>
        </is>
      </c>
    </row>
    <row r="344">
      <c r="A344" s="5" t="n">
        <v>316</v>
      </c>
      <c r="B344" s="5" t="n">
        <v>1</v>
      </c>
      <c r="C344" s="5" t="n">
        <v>36</v>
      </c>
      <c r="D344" s="5" t="n">
        <v>2746</v>
      </c>
      <c r="E344" s="5" t="n">
        <v>31</v>
      </c>
      <c r="F344" s="5" t="n">
        <v>4</v>
      </c>
      <c r="G344" s="5" t="n">
        <v>1</v>
      </c>
      <c r="H344" s="5" t="n">
        <v>0</v>
      </c>
      <c r="I344" s="5" t="n">
        <v>0</v>
      </c>
      <c r="J344" s="5" t="n">
        <v>0</v>
      </c>
      <c r="K344" s="5" t="n">
        <v>0</v>
      </c>
      <c r="L344" s="5" t="n">
        <v>1</v>
      </c>
      <c r="M344" s="5" t="n">
        <v>0</v>
      </c>
      <c r="N344" s="5" t="n">
        <v>0</v>
      </c>
      <c r="O344" s="5" t="n">
        <v>0</v>
      </c>
      <c r="P344" s="5" t="n">
        <v>0</v>
      </c>
      <c r="Q344" s="5" t="n">
        <v>0</v>
      </c>
      <c r="R344" s="5" t="n">
        <v>0</v>
      </c>
      <c r="S344" s="5" t="n">
        <v>0</v>
      </c>
      <c r="T344" s="5" t="n">
        <v>1</v>
      </c>
      <c r="U344" s="5" t="inlineStr">
        <is>
          <t>training</t>
        </is>
      </c>
    </row>
    <row r="345">
      <c r="A345" s="5" t="n">
        <v>317</v>
      </c>
      <c r="B345" s="5" t="n">
        <v>0</v>
      </c>
      <c r="C345" s="5" t="n">
        <v>12</v>
      </c>
      <c r="D345" s="5" t="n">
        <v>708</v>
      </c>
      <c r="E345" s="5" t="n">
        <v>38</v>
      </c>
      <c r="F345" s="5" t="n">
        <v>2</v>
      </c>
      <c r="G345" s="5" t="n">
        <v>1</v>
      </c>
      <c r="H345" s="5" t="n">
        <v>0</v>
      </c>
      <c r="I345" s="5" t="n">
        <v>0</v>
      </c>
      <c r="J345" s="5" t="n">
        <v>0</v>
      </c>
      <c r="K345" s="5" t="n">
        <v>0</v>
      </c>
      <c r="L345" s="5" t="n">
        <v>0</v>
      </c>
      <c r="M345" s="5" t="n">
        <v>0</v>
      </c>
      <c r="N345" s="5" t="n">
        <v>0</v>
      </c>
      <c r="O345" s="5" t="n">
        <v>0</v>
      </c>
      <c r="P345" s="5" t="n">
        <v>0</v>
      </c>
      <c r="Q345" s="5" t="n">
        <v>0</v>
      </c>
      <c r="R345" s="5" t="n">
        <v>0</v>
      </c>
      <c r="S345" s="5" t="n">
        <v>0</v>
      </c>
      <c r="T345" s="5" t="n">
        <v>1</v>
      </c>
      <c r="U345" s="5" t="inlineStr">
        <is>
          <t>training</t>
        </is>
      </c>
    </row>
    <row r="346">
      <c r="A346" s="5" t="n">
        <v>318</v>
      </c>
      <c r="B346" s="5" t="n">
        <v>0</v>
      </c>
      <c r="C346" s="5" t="n">
        <v>24</v>
      </c>
      <c r="D346" s="5" t="n">
        <v>4351</v>
      </c>
      <c r="E346" s="5" t="n">
        <v>48</v>
      </c>
      <c r="F346" s="5" t="n">
        <v>1</v>
      </c>
      <c r="G346" s="5" t="n">
        <v>0</v>
      </c>
      <c r="H346" s="5" t="n">
        <v>1</v>
      </c>
      <c r="I346" s="5" t="n">
        <v>0</v>
      </c>
      <c r="J346" s="5" t="n">
        <v>0</v>
      </c>
      <c r="K346" s="5" t="n">
        <v>0</v>
      </c>
      <c r="L346" s="5" t="n">
        <v>0</v>
      </c>
      <c r="M346" s="5" t="n">
        <v>0</v>
      </c>
      <c r="N346" s="5" t="n">
        <v>0</v>
      </c>
      <c r="O346" s="5" t="n">
        <v>1</v>
      </c>
      <c r="P346" s="5" t="n">
        <v>0</v>
      </c>
      <c r="Q346" s="5" t="n">
        <v>0</v>
      </c>
      <c r="R346" s="5" t="n">
        <v>0</v>
      </c>
      <c r="S346" s="5" t="n">
        <v>0</v>
      </c>
      <c r="T346" s="5" t="n">
        <v>1</v>
      </c>
      <c r="U346" s="5" t="inlineStr">
        <is>
          <t>testing</t>
        </is>
      </c>
    </row>
    <row r="347">
      <c r="A347" s="5" t="n">
        <v>319</v>
      </c>
      <c r="B347" s="5" t="n">
        <v>0</v>
      </c>
      <c r="C347" s="5" t="n">
        <v>12</v>
      </c>
      <c r="D347" s="5" t="n">
        <v>701</v>
      </c>
      <c r="E347" s="5" t="n">
        <v>32</v>
      </c>
      <c r="F347" s="5" t="n">
        <v>4</v>
      </c>
      <c r="G347" s="5" t="n">
        <v>0</v>
      </c>
      <c r="H347" s="5" t="n">
        <v>0</v>
      </c>
      <c r="I347" s="5" t="n">
        <v>0</v>
      </c>
      <c r="J347" s="5" t="n">
        <v>1</v>
      </c>
      <c r="K347" s="5" t="n">
        <v>0</v>
      </c>
      <c r="L347" s="5" t="n">
        <v>0</v>
      </c>
      <c r="M347" s="5" t="n">
        <v>0</v>
      </c>
      <c r="N347" s="5" t="n">
        <v>0</v>
      </c>
      <c r="O347" s="5" t="n">
        <v>0</v>
      </c>
      <c r="P347" s="5" t="n">
        <v>0</v>
      </c>
      <c r="Q347" s="5" t="n">
        <v>0</v>
      </c>
      <c r="R347" s="5" t="n">
        <v>0</v>
      </c>
      <c r="S347" s="5" t="n">
        <v>0</v>
      </c>
      <c r="T347" s="5" t="n">
        <v>0</v>
      </c>
      <c r="U347" s="5" t="inlineStr">
        <is>
          <t>training</t>
        </is>
      </c>
    </row>
    <row r="348">
      <c r="A348" s="5" t="n">
        <v>320</v>
      </c>
      <c r="B348" s="5" t="n">
        <v>0</v>
      </c>
      <c r="C348" s="5" t="n">
        <v>15</v>
      </c>
      <c r="D348" s="5" t="n">
        <v>3643</v>
      </c>
      <c r="E348" s="5" t="n">
        <v>27</v>
      </c>
      <c r="F348" s="5" t="n">
        <v>1</v>
      </c>
      <c r="G348" s="5" t="n">
        <v>1</v>
      </c>
      <c r="H348" s="5" t="n">
        <v>0</v>
      </c>
      <c r="I348" s="5" t="n">
        <v>0</v>
      </c>
      <c r="J348" s="5" t="n">
        <v>0</v>
      </c>
      <c r="K348" s="5" t="n">
        <v>1</v>
      </c>
      <c r="L348" s="5" t="n">
        <v>0</v>
      </c>
      <c r="M348" s="5" t="n">
        <v>0</v>
      </c>
      <c r="N348" s="5" t="n">
        <v>0</v>
      </c>
      <c r="O348" s="5" t="n">
        <v>0</v>
      </c>
      <c r="P348" s="5" t="n">
        <v>0</v>
      </c>
      <c r="Q348" s="5" t="n">
        <v>0</v>
      </c>
      <c r="R348" s="5" t="n">
        <v>0</v>
      </c>
      <c r="S348" s="5" t="n">
        <v>0</v>
      </c>
      <c r="T348" s="5" t="n">
        <v>1</v>
      </c>
      <c r="U348" s="5" t="inlineStr">
        <is>
          <t>training</t>
        </is>
      </c>
    </row>
    <row r="349">
      <c r="A349" s="5" t="n">
        <v>321</v>
      </c>
      <c r="B349" s="5" t="n">
        <v>1</v>
      </c>
      <c r="C349" s="5" t="n">
        <v>30</v>
      </c>
      <c r="D349" s="5" t="n">
        <v>4249</v>
      </c>
      <c r="E349" s="5" t="n">
        <v>28</v>
      </c>
      <c r="F349" s="5" t="n">
        <v>4</v>
      </c>
      <c r="G349" s="5" t="n">
        <v>0</v>
      </c>
      <c r="H349" s="5" t="n">
        <v>1</v>
      </c>
      <c r="I349" s="5" t="n">
        <v>0</v>
      </c>
      <c r="J349" s="5" t="n">
        <v>1</v>
      </c>
      <c r="K349" s="5" t="n">
        <v>0</v>
      </c>
      <c r="L349" s="5" t="n">
        <v>0</v>
      </c>
      <c r="M349" s="5" t="n">
        <v>0</v>
      </c>
      <c r="N349" s="5" t="n">
        <v>0</v>
      </c>
      <c r="O349" s="5" t="n">
        <v>0</v>
      </c>
      <c r="P349" s="5" t="n">
        <v>0</v>
      </c>
      <c r="Q349" s="5" t="n">
        <v>0</v>
      </c>
      <c r="R349" s="5" t="n">
        <v>1</v>
      </c>
      <c r="S349" s="5" t="n">
        <v>0</v>
      </c>
      <c r="T349" s="5" t="n">
        <v>0</v>
      </c>
      <c r="U349" s="5" t="inlineStr">
        <is>
          <t>testing</t>
        </is>
      </c>
    </row>
    <row r="350">
      <c r="A350" s="5" t="n">
        <v>322</v>
      </c>
      <c r="B350" s="5" t="n">
        <v>1</v>
      </c>
      <c r="C350" s="5" t="n">
        <v>24</v>
      </c>
      <c r="D350" s="5" t="n">
        <v>1938</v>
      </c>
      <c r="E350" s="5" t="n">
        <v>32</v>
      </c>
      <c r="F350" s="5" t="n">
        <v>4</v>
      </c>
      <c r="G350" s="5" t="n">
        <v>1</v>
      </c>
      <c r="H350" s="5" t="n">
        <v>0</v>
      </c>
      <c r="I350" s="5" t="n">
        <v>0</v>
      </c>
      <c r="J350" s="5" t="n">
        <v>0</v>
      </c>
      <c r="K350" s="5" t="n">
        <v>0</v>
      </c>
      <c r="L350" s="5" t="n">
        <v>0</v>
      </c>
      <c r="M350" s="5" t="n">
        <v>0</v>
      </c>
      <c r="N350" s="5" t="n">
        <v>0</v>
      </c>
      <c r="O350" s="5" t="n">
        <v>0</v>
      </c>
      <c r="P350" s="5" t="n">
        <v>0</v>
      </c>
      <c r="Q350" s="5" t="n">
        <v>0</v>
      </c>
      <c r="R350" s="5" t="n">
        <v>0</v>
      </c>
      <c r="S350" s="5" t="n">
        <v>1</v>
      </c>
      <c r="T350" s="5" t="n">
        <v>0</v>
      </c>
      <c r="U350" s="5" t="inlineStr">
        <is>
          <t>testing</t>
        </is>
      </c>
    </row>
    <row r="351">
      <c r="A351" s="5" t="n">
        <v>323</v>
      </c>
      <c r="B351" s="5" t="n">
        <v>0</v>
      </c>
      <c r="C351" s="5" t="n">
        <v>24</v>
      </c>
      <c r="D351" s="5" t="n">
        <v>2910</v>
      </c>
      <c r="E351" s="5" t="n">
        <v>34</v>
      </c>
      <c r="F351" s="5" t="n">
        <v>2</v>
      </c>
      <c r="G351" s="5" t="n">
        <v>1</v>
      </c>
      <c r="H351" s="5" t="n">
        <v>0</v>
      </c>
      <c r="I351" s="5" t="n">
        <v>0</v>
      </c>
      <c r="J351" s="5" t="n">
        <v>0</v>
      </c>
      <c r="K351" s="5" t="n">
        <v>0</v>
      </c>
      <c r="L351" s="5" t="n">
        <v>0</v>
      </c>
      <c r="M351" s="5" t="n">
        <v>0</v>
      </c>
      <c r="N351" s="5" t="n">
        <v>0</v>
      </c>
      <c r="O351" s="5" t="n">
        <v>0</v>
      </c>
      <c r="P351" s="5" t="n">
        <v>0</v>
      </c>
      <c r="Q351" s="5" t="n">
        <v>1</v>
      </c>
      <c r="R351" s="5" t="n">
        <v>1</v>
      </c>
      <c r="S351" s="5" t="n">
        <v>0</v>
      </c>
      <c r="T351" s="5" t="n">
        <v>0</v>
      </c>
      <c r="U351" s="5" t="inlineStr">
        <is>
          <t>training</t>
        </is>
      </c>
    </row>
    <row r="352">
      <c r="A352" s="5" t="n">
        <v>324</v>
      </c>
      <c r="B352" s="5" t="n">
        <v>0</v>
      </c>
      <c r="C352" s="5" t="n">
        <v>18</v>
      </c>
      <c r="D352" s="5" t="n">
        <v>2659</v>
      </c>
      <c r="E352" s="5" t="n">
        <v>28</v>
      </c>
      <c r="F352" s="5" t="n">
        <v>4</v>
      </c>
      <c r="G352" s="5" t="n">
        <v>1</v>
      </c>
      <c r="H352" s="5" t="n">
        <v>0</v>
      </c>
      <c r="I352" s="5" t="n">
        <v>0</v>
      </c>
      <c r="J352" s="5" t="n">
        <v>0</v>
      </c>
      <c r="K352" s="5" t="n">
        <v>0</v>
      </c>
      <c r="L352" s="5" t="n">
        <v>0</v>
      </c>
      <c r="M352" s="5" t="n">
        <v>0</v>
      </c>
      <c r="N352" s="5" t="n">
        <v>1</v>
      </c>
      <c r="O352" s="5" t="n">
        <v>0</v>
      </c>
      <c r="P352" s="5" t="n">
        <v>0</v>
      </c>
      <c r="Q352" s="5" t="n">
        <v>0</v>
      </c>
      <c r="R352" s="5" t="n">
        <v>0</v>
      </c>
      <c r="S352" s="5" t="n">
        <v>0</v>
      </c>
      <c r="T352" s="5" t="n">
        <v>1</v>
      </c>
      <c r="U352" s="5" t="inlineStr">
        <is>
          <t>training</t>
        </is>
      </c>
    </row>
    <row r="353">
      <c r="A353" s="5" t="n">
        <v>325</v>
      </c>
      <c r="B353" s="5" t="n">
        <v>0</v>
      </c>
      <c r="C353" s="5" t="n">
        <v>18</v>
      </c>
      <c r="D353" s="5" t="n">
        <v>1028</v>
      </c>
      <c r="E353" s="5" t="n">
        <v>36</v>
      </c>
      <c r="F353" s="5" t="n">
        <v>4</v>
      </c>
      <c r="G353" s="5" t="n">
        <v>0</v>
      </c>
      <c r="H353" s="5" t="n">
        <v>0</v>
      </c>
      <c r="I353" s="5" t="n">
        <v>0</v>
      </c>
      <c r="J353" s="5" t="n">
        <v>1</v>
      </c>
      <c r="K353" s="5" t="n">
        <v>0</v>
      </c>
      <c r="L353" s="5" t="n">
        <v>0</v>
      </c>
      <c r="M353" s="5" t="n">
        <v>0</v>
      </c>
      <c r="N353" s="5" t="n">
        <v>0</v>
      </c>
      <c r="O353" s="5" t="n">
        <v>0</v>
      </c>
      <c r="P353" s="5" t="n">
        <v>0</v>
      </c>
      <c r="Q353" s="5" t="n">
        <v>0</v>
      </c>
      <c r="R353" s="5" t="n">
        <v>1</v>
      </c>
      <c r="S353" s="5" t="n">
        <v>0</v>
      </c>
      <c r="T353" s="5" t="n">
        <v>0</v>
      </c>
      <c r="U353" s="5" t="inlineStr">
        <is>
          <t>training</t>
        </is>
      </c>
    </row>
    <row r="354">
      <c r="A354" s="5" t="n">
        <v>326</v>
      </c>
      <c r="B354" s="5" t="n">
        <v>0</v>
      </c>
      <c r="C354" s="5" t="n">
        <v>8</v>
      </c>
      <c r="D354" s="5" t="n">
        <v>3398</v>
      </c>
      <c r="E354" s="5" t="n">
        <v>39</v>
      </c>
      <c r="F354" s="5" t="n">
        <v>1</v>
      </c>
      <c r="G354" s="5" t="n">
        <v>1</v>
      </c>
      <c r="H354" s="5" t="n">
        <v>0</v>
      </c>
      <c r="I354" s="5" t="n">
        <v>0</v>
      </c>
      <c r="J354" s="5" t="n">
        <v>1</v>
      </c>
      <c r="K354" s="5" t="n">
        <v>0</v>
      </c>
      <c r="L354" s="5" t="n">
        <v>0</v>
      </c>
      <c r="M354" s="5" t="n">
        <v>0</v>
      </c>
      <c r="N354" s="5" t="n">
        <v>0</v>
      </c>
      <c r="O354" s="5" t="n">
        <v>0</v>
      </c>
      <c r="P354" s="5" t="n">
        <v>0</v>
      </c>
      <c r="Q354" s="5" t="n">
        <v>0</v>
      </c>
      <c r="R354" s="5" t="n">
        <v>1</v>
      </c>
      <c r="S354" s="5" t="n">
        <v>0</v>
      </c>
      <c r="T354" s="5" t="n">
        <v>0</v>
      </c>
      <c r="U354" s="5" t="inlineStr">
        <is>
          <t>training</t>
        </is>
      </c>
    </row>
    <row r="355">
      <c r="A355" s="5" t="n">
        <v>327</v>
      </c>
      <c r="B355" s="5" t="n">
        <v>0</v>
      </c>
      <c r="C355" s="5" t="n">
        <v>12</v>
      </c>
      <c r="D355" s="5" t="n">
        <v>5801</v>
      </c>
      <c r="E355" s="5" t="n">
        <v>49</v>
      </c>
      <c r="F355" s="5" t="n">
        <v>2</v>
      </c>
      <c r="G355" s="5" t="n">
        <v>0</v>
      </c>
      <c r="H355" s="5" t="n">
        <v>0</v>
      </c>
      <c r="I355" s="5" t="n">
        <v>0</v>
      </c>
      <c r="J355" s="5" t="n">
        <v>1</v>
      </c>
      <c r="K355" s="5" t="n">
        <v>0</v>
      </c>
      <c r="L355" s="5" t="n">
        <v>0</v>
      </c>
      <c r="M355" s="5" t="n">
        <v>0</v>
      </c>
      <c r="N355" s="5" t="n">
        <v>0</v>
      </c>
      <c r="O355" s="5" t="n">
        <v>1</v>
      </c>
      <c r="P355" s="5" t="n">
        <v>1</v>
      </c>
      <c r="Q355" s="5" t="n">
        <v>0</v>
      </c>
      <c r="R355" s="5" t="n">
        <v>0</v>
      </c>
      <c r="S355" s="5" t="n">
        <v>0</v>
      </c>
      <c r="T355" s="5" t="n">
        <v>1</v>
      </c>
      <c r="U355" s="5" t="inlineStr">
        <is>
          <t>testing</t>
        </is>
      </c>
    </row>
    <row r="356">
      <c r="A356" s="5" t="n">
        <v>328</v>
      </c>
      <c r="B356" s="5" t="n">
        <v>0</v>
      </c>
      <c r="C356" s="5" t="n">
        <v>24</v>
      </c>
      <c r="D356" s="5" t="n">
        <v>1525</v>
      </c>
      <c r="E356" s="5" t="n">
        <v>34</v>
      </c>
      <c r="F356" s="5" t="n">
        <v>4</v>
      </c>
      <c r="G356" s="5" t="n">
        <v>0</v>
      </c>
      <c r="H356" s="5" t="n">
        <v>0</v>
      </c>
      <c r="I356" s="5" t="n">
        <v>0</v>
      </c>
      <c r="J356" s="5" t="n">
        <v>0</v>
      </c>
      <c r="K356" s="5" t="n">
        <v>0</v>
      </c>
      <c r="L356" s="5" t="n">
        <v>0</v>
      </c>
      <c r="M356" s="5" t="n">
        <v>0</v>
      </c>
      <c r="N356" s="5" t="n">
        <v>1</v>
      </c>
      <c r="O356" s="5" t="n">
        <v>0</v>
      </c>
      <c r="P356" s="5" t="n">
        <v>0</v>
      </c>
      <c r="Q356" s="5" t="n">
        <v>0</v>
      </c>
      <c r="R356" s="5" t="n">
        <v>1</v>
      </c>
      <c r="S356" s="5" t="n">
        <v>0</v>
      </c>
      <c r="T356" s="5" t="n">
        <v>0</v>
      </c>
      <c r="U356" s="5" t="inlineStr">
        <is>
          <t>training</t>
        </is>
      </c>
    </row>
    <row r="357">
      <c r="A357" s="5" t="n">
        <v>329</v>
      </c>
      <c r="B357" s="5" t="n">
        <v>0</v>
      </c>
      <c r="C357" s="5" t="n">
        <v>36</v>
      </c>
      <c r="D357" s="5" t="n">
        <v>4473</v>
      </c>
      <c r="E357" s="5" t="n">
        <v>31</v>
      </c>
      <c r="F357" s="5" t="n">
        <v>4</v>
      </c>
      <c r="G357" s="5" t="n">
        <v>0</v>
      </c>
      <c r="H357" s="5" t="n">
        <v>0</v>
      </c>
      <c r="I357" s="5" t="n">
        <v>1</v>
      </c>
      <c r="J357" s="5" t="n">
        <v>0</v>
      </c>
      <c r="K357" s="5" t="n">
        <v>0</v>
      </c>
      <c r="L357" s="5" t="n">
        <v>0</v>
      </c>
      <c r="M357" s="5" t="n">
        <v>0</v>
      </c>
      <c r="N357" s="5" t="n">
        <v>0</v>
      </c>
      <c r="O357" s="5" t="n">
        <v>0</v>
      </c>
      <c r="P357" s="5" t="n">
        <v>0</v>
      </c>
      <c r="Q357" s="5" t="n">
        <v>0</v>
      </c>
      <c r="R357" s="5" t="n">
        <v>0</v>
      </c>
      <c r="S357" s="5" t="n">
        <v>1</v>
      </c>
      <c r="T357" s="5" t="n">
        <v>0</v>
      </c>
      <c r="U357" s="5" t="inlineStr">
        <is>
          <t>training</t>
        </is>
      </c>
    </row>
    <row r="358">
      <c r="A358" s="5" t="n">
        <v>330</v>
      </c>
      <c r="B358" s="5" t="n">
        <v>0</v>
      </c>
      <c r="C358" s="5" t="n">
        <v>6</v>
      </c>
      <c r="D358" s="5" t="n">
        <v>1068</v>
      </c>
      <c r="E358" s="5" t="n">
        <v>28</v>
      </c>
      <c r="F358" s="5" t="n">
        <v>4</v>
      </c>
      <c r="G358" s="5" t="n">
        <v>0</v>
      </c>
      <c r="H358" s="5" t="n">
        <v>1</v>
      </c>
      <c r="I358" s="5" t="n">
        <v>0</v>
      </c>
      <c r="J358" s="5" t="n">
        <v>0</v>
      </c>
      <c r="K358" s="5" t="n">
        <v>0</v>
      </c>
      <c r="L358" s="5" t="n">
        <v>0</v>
      </c>
      <c r="M358" s="5" t="n">
        <v>0</v>
      </c>
      <c r="N358" s="5" t="n">
        <v>0</v>
      </c>
      <c r="O358" s="5" t="n">
        <v>0</v>
      </c>
      <c r="P358" s="5" t="n">
        <v>0</v>
      </c>
      <c r="Q358" s="5" t="n">
        <v>0</v>
      </c>
      <c r="R358" s="5" t="n">
        <v>0</v>
      </c>
      <c r="S358" s="5" t="n">
        <v>1</v>
      </c>
      <c r="T358" s="5" t="n">
        <v>0</v>
      </c>
      <c r="U358" s="5" t="inlineStr">
        <is>
          <t>training</t>
        </is>
      </c>
    </row>
    <row r="359">
      <c r="A359" s="5" t="n">
        <v>331</v>
      </c>
      <c r="B359" s="5" t="n">
        <v>0</v>
      </c>
      <c r="C359" s="5" t="n">
        <v>24</v>
      </c>
      <c r="D359" s="5" t="n">
        <v>6615</v>
      </c>
      <c r="E359" s="5" t="n">
        <v>75</v>
      </c>
      <c r="F359" s="5" t="n">
        <v>2</v>
      </c>
      <c r="G359" s="5" t="n">
        <v>1</v>
      </c>
      <c r="H359" s="5" t="n">
        <v>0</v>
      </c>
      <c r="I359" s="5" t="n">
        <v>0</v>
      </c>
      <c r="J359" s="5" t="n">
        <v>1</v>
      </c>
      <c r="K359" s="5" t="n">
        <v>0</v>
      </c>
      <c r="L359" s="5" t="n">
        <v>0</v>
      </c>
      <c r="M359" s="5" t="n">
        <v>0</v>
      </c>
      <c r="N359" s="5" t="n">
        <v>0</v>
      </c>
      <c r="O359" s="5" t="n">
        <v>0</v>
      </c>
      <c r="P359" s="5" t="n">
        <v>0</v>
      </c>
      <c r="Q359" s="5" t="n">
        <v>1</v>
      </c>
      <c r="R359" s="5" t="n">
        <v>1</v>
      </c>
      <c r="S359" s="5" t="n">
        <v>0</v>
      </c>
      <c r="T359" s="5" t="n">
        <v>0</v>
      </c>
      <c r="U359" s="5" t="inlineStr">
        <is>
          <t>training</t>
        </is>
      </c>
    </row>
    <row r="360">
      <c r="A360" s="5" t="n">
        <v>332</v>
      </c>
      <c r="B360" s="5" t="n">
        <v>1</v>
      </c>
      <c r="C360" s="5" t="n">
        <v>18</v>
      </c>
      <c r="D360" s="5" t="n">
        <v>1864</v>
      </c>
      <c r="E360" s="5" t="n">
        <v>30</v>
      </c>
      <c r="F360" s="5" t="n">
        <v>4</v>
      </c>
      <c r="G360" s="5" t="n">
        <v>0</v>
      </c>
      <c r="H360" s="5" t="n">
        <v>0</v>
      </c>
      <c r="I360" s="5" t="n">
        <v>0</v>
      </c>
      <c r="J360" s="5" t="n">
        <v>1</v>
      </c>
      <c r="K360" s="5" t="n">
        <v>0</v>
      </c>
      <c r="L360" s="5" t="n">
        <v>0</v>
      </c>
      <c r="M360" s="5" t="n">
        <v>1</v>
      </c>
      <c r="N360" s="5" t="n">
        <v>0</v>
      </c>
      <c r="O360" s="5" t="n">
        <v>0</v>
      </c>
      <c r="P360" s="5" t="n">
        <v>0</v>
      </c>
      <c r="Q360" s="5" t="n">
        <v>0</v>
      </c>
      <c r="R360" s="5" t="n">
        <v>0</v>
      </c>
      <c r="S360" s="5" t="n">
        <v>0</v>
      </c>
      <c r="T360" s="5" t="n">
        <v>0</v>
      </c>
      <c r="U360" s="5" t="inlineStr">
        <is>
          <t>training</t>
        </is>
      </c>
    </row>
    <row r="361">
      <c r="A361" s="5" t="n">
        <v>333</v>
      </c>
      <c r="B361" s="5" t="n">
        <v>1</v>
      </c>
      <c r="C361" s="5" t="n">
        <v>60</v>
      </c>
      <c r="D361" s="5" t="n">
        <v>7408</v>
      </c>
      <c r="E361" s="5" t="n">
        <v>24</v>
      </c>
      <c r="F361" s="5" t="n">
        <v>4</v>
      </c>
      <c r="G361" s="5" t="n">
        <v>0</v>
      </c>
      <c r="H361" s="5" t="n">
        <v>1</v>
      </c>
      <c r="I361" s="5" t="n">
        <v>0</v>
      </c>
      <c r="J361" s="5" t="n">
        <v>0</v>
      </c>
      <c r="K361" s="5" t="n">
        <v>0</v>
      </c>
      <c r="L361" s="5" t="n">
        <v>0</v>
      </c>
      <c r="M361" s="5" t="n">
        <v>1</v>
      </c>
      <c r="N361" s="5" t="n">
        <v>0</v>
      </c>
      <c r="O361" s="5" t="n">
        <v>0</v>
      </c>
      <c r="P361" s="5" t="n">
        <v>0</v>
      </c>
      <c r="Q361" s="5" t="n">
        <v>0</v>
      </c>
      <c r="R361" s="5" t="n">
        <v>1</v>
      </c>
      <c r="S361" s="5" t="n">
        <v>0</v>
      </c>
      <c r="T361" s="5" t="n">
        <v>0</v>
      </c>
      <c r="U361" s="5" t="inlineStr">
        <is>
          <t>training</t>
        </is>
      </c>
    </row>
    <row r="362">
      <c r="A362" s="5" t="n">
        <v>334</v>
      </c>
      <c r="B362" s="5" t="n">
        <v>1</v>
      </c>
      <c r="C362" s="5" t="n">
        <v>48</v>
      </c>
      <c r="D362" s="5" t="n">
        <v>11590</v>
      </c>
      <c r="E362" s="5" t="n">
        <v>24</v>
      </c>
      <c r="F362" s="5" t="n">
        <v>2</v>
      </c>
      <c r="G362" s="5" t="n">
        <v>0</v>
      </c>
      <c r="H362" s="5" t="n">
        <v>0</v>
      </c>
      <c r="I362" s="5" t="n">
        <v>0</v>
      </c>
      <c r="J362" s="5" t="n">
        <v>1</v>
      </c>
      <c r="K362" s="5" t="n">
        <v>0</v>
      </c>
      <c r="L362" s="5" t="n">
        <v>0</v>
      </c>
      <c r="M362" s="5" t="n">
        <v>1</v>
      </c>
      <c r="N362" s="5" t="n">
        <v>0</v>
      </c>
      <c r="O362" s="5" t="n">
        <v>0</v>
      </c>
      <c r="P362" s="5" t="n">
        <v>1</v>
      </c>
      <c r="Q362" s="5" t="n">
        <v>0</v>
      </c>
      <c r="R362" s="5" t="n">
        <v>1</v>
      </c>
      <c r="S362" s="5" t="n">
        <v>0</v>
      </c>
      <c r="T362" s="5" t="n">
        <v>0</v>
      </c>
      <c r="U362" s="5" t="inlineStr">
        <is>
          <t>training</t>
        </is>
      </c>
    </row>
    <row r="363">
      <c r="A363" s="5" t="n">
        <v>335</v>
      </c>
      <c r="B363" s="5" t="n">
        <v>1</v>
      </c>
      <c r="C363" s="5" t="n">
        <v>24</v>
      </c>
      <c r="D363" s="5" t="n">
        <v>4110</v>
      </c>
      <c r="E363" s="5" t="n">
        <v>23</v>
      </c>
      <c r="F363" s="5" t="n">
        <v>3</v>
      </c>
      <c r="G363" s="5" t="n">
        <v>1</v>
      </c>
      <c r="H363" s="5" t="n">
        <v>0</v>
      </c>
      <c r="I363" s="5" t="n">
        <v>0</v>
      </c>
      <c r="J363" s="5" t="n">
        <v>0</v>
      </c>
      <c r="K363" s="5" t="n">
        <v>0</v>
      </c>
      <c r="L363" s="5" t="n">
        <v>1</v>
      </c>
      <c r="M363" s="5" t="n">
        <v>0</v>
      </c>
      <c r="N363" s="5" t="n">
        <v>0</v>
      </c>
      <c r="O363" s="5" t="n">
        <v>0</v>
      </c>
      <c r="P363" s="5" t="n">
        <v>1</v>
      </c>
      <c r="Q363" s="5" t="n">
        <v>0</v>
      </c>
      <c r="R363" s="5" t="n">
        <v>0</v>
      </c>
      <c r="S363" s="5" t="n">
        <v>0</v>
      </c>
      <c r="T363" s="5" t="n">
        <v>1</v>
      </c>
      <c r="U363" s="5" t="inlineStr">
        <is>
          <t>training</t>
        </is>
      </c>
    </row>
    <row r="364">
      <c r="A364" s="5" t="n">
        <v>336</v>
      </c>
      <c r="B364" s="5" t="n">
        <v>1</v>
      </c>
      <c r="C364" s="5" t="n">
        <v>6</v>
      </c>
      <c r="D364" s="5" t="n">
        <v>3384</v>
      </c>
      <c r="E364" s="5" t="n">
        <v>44</v>
      </c>
      <c r="F364" s="5" t="n">
        <v>1</v>
      </c>
      <c r="G364" s="5" t="n">
        <v>1</v>
      </c>
      <c r="H364" s="5" t="n">
        <v>0</v>
      </c>
      <c r="I364" s="5" t="n">
        <v>0</v>
      </c>
      <c r="J364" s="5" t="n">
        <v>1</v>
      </c>
      <c r="K364" s="5" t="n">
        <v>0</v>
      </c>
      <c r="L364" s="5" t="n">
        <v>0</v>
      </c>
      <c r="M364" s="5" t="n">
        <v>0</v>
      </c>
      <c r="N364" s="5" t="n">
        <v>0</v>
      </c>
      <c r="O364" s="5" t="n">
        <v>0</v>
      </c>
      <c r="P364" s="5" t="n">
        <v>1</v>
      </c>
      <c r="Q364" s="5" t="n">
        <v>0</v>
      </c>
      <c r="R364" s="5" t="n">
        <v>0</v>
      </c>
      <c r="S364" s="5" t="n">
        <v>0</v>
      </c>
      <c r="T364" s="5" t="n">
        <v>1</v>
      </c>
      <c r="U364" s="5" t="inlineStr">
        <is>
          <t>training</t>
        </is>
      </c>
    </row>
    <row r="365">
      <c r="A365" s="5" t="n">
        <v>337</v>
      </c>
      <c r="B365" s="5" t="n">
        <v>0</v>
      </c>
      <c r="C365" s="5" t="n">
        <v>13</v>
      </c>
      <c r="D365" s="5" t="n">
        <v>2101</v>
      </c>
      <c r="E365" s="5" t="n">
        <v>23</v>
      </c>
      <c r="F365" s="5" t="n">
        <v>2</v>
      </c>
      <c r="G365" s="5" t="n">
        <v>0</v>
      </c>
      <c r="H365" s="5" t="n">
        <v>1</v>
      </c>
      <c r="I365" s="5" t="n">
        <v>0</v>
      </c>
      <c r="J365" s="5" t="n">
        <v>0</v>
      </c>
      <c r="K365" s="5" t="n">
        <v>0</v>
      </c>
      <c r="L365" s="5" t="n">
        <v>0</v>
      </c>
      <c r="M365" s="5" t="n">
        <v>0</v>
      </c>
      <c r="N365" s="5" t="n">
        <v>0</v>
      </c>
      <c r="O365" s="5" t="n">
        <v>0</v>
      </c>
      <c r="P365" s="5" t="n">
        <v>0</v>
      </c>
      <c r="Q365" s="5" t="n">
        <v>0</v>
      </c>
      <c r="R365" s="5" t="n">
        <v>0</v>
      </c>
      <c r="S365" s="5" t="n">
        <v>1</v>
      </c>
      <c r="T365" s="5" t="n">
        <v>0</v>
      </c>
      <c r="U365" s="5" t="inlineStr">
        <is>
          <t>training</t>
        </is>
      </c>
    </row>
    <row r="366">
      <c r="A366" s="5" t="n">
        <v>338</v>
      </c>
      <c r="B366" s="5" t="n">
        <v>1</v>
      </c>
      <c r="C366" s="5" t="n">
        <v>15</v>
      </c>
      <c r="D366" s="5" t="n">
        <v>1275</v>
      </c>
      <c r="E366" s="5" t="n">
        <v>24</v>
      </c>
      <c r="F366" s="5" t="n">
        <v>4</v>
      </c>
      <c r="G366" s="5" t="n">
        <v>1</v>
      </c>
      <c r="H366" s="5" t="n">
        <v>0</v>
      </c>
      <c r="I366" s="5" t="n">
        <v>0</v>
      </c>
      <c r="J366" s="5" t="n">
        <v>0</v>
      </c>
      <c r="K366" s="5" t="n">
        <v>0</v>
      </c>
      <c r="L366" s="5" t="n">
        <v>0</v>
      </c>
      <c r="M366" s="5" t="n">
        <v>0</v>
      </c>
      <c r="N366" s="5" t="n">
        <v>0</v>
      </c>
      <c r="O366" s="5" t="n">
        <v>1</v>
      </c>
      <c r="P366" s="5" t="n">
        <v>1</v>
      </c>
      <c r="Q366" s="5" t="n">
        <v>0</v>
      </c>
      <c r="R366" s="5" t="n">
        <v>0</v>
      </c>
      <c r="S366" s="5" t="n">
        <v>0</v>
      </c>
      <c r="T366" s="5" t="n">
        <v>0</v>
      </c>
      <c r="U366" s="5" t="inlineStr">
        <is>
          <t>testing</t>
        </is>
      </c>
    </row>
    <row r="367">
      <c r="A367" s="5" t="n">
        <v>339</v>
      </c>
      <c r="B367" s="5" t="n">
        <v>0</v>
      </c>
      <c r="C367" s="5" t="n">
        <v>24</v>
      </c>
      <c r="D367" s="5" t="n">
        <v>4169</v>
      </c>
      <c r="E367" s="5" t="n">
        <v>28</v>
      </c>
      <c r="F367" s="5" t="n">
        <v>4</v>
      </c>
      <c r="G367" s="5" t="n">
        <v>1</v>
      </c>
      <c r="H367" s="5" t="n">
        <v>0</v>
      </c>
      <c r="I367" s="5" t="n">
        <v>0</v>
      </c>
      <c r="J367" s="5" t="n">
        <v>0</v>
      </c>
      <c r="K367" s="5" t="n">
        <v>0</v>
      </c>
      <c r="L367" s="5" t="n">
        <v>0</v>
      </c>
      <c r="M367" s="5" t="n">
        <v>0</v>
      </c>
      <c r="N367" s="5" t="n">
        <v>0</v>
      </c>
      <c r="O367" s="5" t="n">
        <v>0</v>
      </c>
      <c r="P367" s="5" t="n">
        <v>0</v>
      </c>
      <c r="Q367" s="5" t="n">
        <v>0</v>
      </c>
      <c r="R367" s="5" t="n">
        <v>0</v>
      </c>
      <c r="S367" s="5" t="n">
        <v>0</v>
      </c>
      <c r="T367" s="5" t="n">
        <v>1</v>
      </c>
      <c r="U367" s="5" t="inlineStr">
        <is>
          <t>training</t>
        </is>
      </c>
    </row>
    <row r="368">
      <c r="A368" s="5" t="n">
        <v>340</v>
      </c>
      <c r="B368" s="5" t="n">
        <v>0</v>
      </c>
      <c r="C368" s="5" t="n">
        <v>10</v>
      </c>
      <c r="D368" s="5" t="n">
        <v>1521</v>
      </c>
      <c r="E368" s="5" t="n">
        <v>31</v>
      </c>
      <c r="F368" s="5" t="n">
        <v>4</v>
      </c>
      <c r="G368" s="5" t="n">
        <v>0</v>
      </c>
      <c r="H368" s="5" t="n">
        <v>1</v>
      </c>
      <c r="I368" s="5" t="n">
        <v>0</v>
      </c>
      <c r="J368" s="5" t="n">
        <v>0</v>
      </c>
      <c r="K368" s="5" t="n">
        <v>0</v>
      </c>
      <c r="L368" s="5" t="n">
        <v>0</v>
      </c>
      <c r="M368" s="5" t="n">
        <v>0</v>
      </c>
      <c r="N368" s="5" t="n">
        <v>0</v>
      </c>
      <c r="O368" s="5" t="n">
        <v>0</v>
      </c>
      <c r="P368" s="5" t="n">
        <v>0</v>
      </c>
      <c r="Q368" s="5" t="n">
        <v>0</v>
      </c>
      <c r="R368" s="5" t="n">
        <v>0</v>
      </c>
      <c r="S368" s="5" t="n">
        <v>0</v>
      </c>
      <c r="T368" s="5" t="n">
        <v>1</v>
      </c>
      <c r="U368" s="5" t="inlineStr">
        <is>
          <t>training</t>
        </is>
      </c>
    </row>
    <row r="369">
      <c r="A369" s="5" t="n">
        <v>341</v>
      </c>
      <c r="B369" s="5" t="n">
        <v>0</v>
      </c>
      <c r="C369" s="5" t="n">
        <v>24</v>
      </c>
      <c r="D369" s="5" t="n">
        <v>5743</v>
      </c>
      <c r="E369" s="5" t="n">
        <v>24</v>
      </c>
      <c r="F369" s="5" t="n">
        <v>2</v>
      </c>
      <c r="G369" s="5" t="n">
        <v>0</v>
      </c>
      <c r="H369" s="5" t="n">
        <v>1</v>
      </c>
      <c r="I369" s="5" t="n">
        <v>0</v>
      </c>
      <c r="J369" s="5" t="n">
        <v>1</v>
      </c>
      <c r="K369" s="5" t="n">
        <v>0</v>
      </c>
      <c r="L369" s="5" t="n">
        <v>0</v>
      </c>
      <c r="M369" s="5" t="n">
        <v>0</v>
      </c>
      <c r="N369" s="5" t="n">
        <v>0</v>
      </c>
      <c r="O369" s="5" t="n">
        <v>0</v>
      </c>
      <c r="P369" s="5" t="n">
        <v>0</v>
      </c>
      <c r="Q369" s="5" t="n">
        <v>1</v>
      </c>
      <c r="R369" s="5" t="n">
        <v>0</v>
      </c>
      <c r="S369" s="5" t="n">
        <v>0</v>
      </c>
      <c r="T369" s="5" t="n">
        <v>0</v>
      </c>
      <c r="U369" s="5" t="inlineStr">
        <is>
          <t>training</t>
        </is>
      </c>
    </row>
    <row r="370">
      <c r="A370" s="5" t="n">
        <v>342</v>
      </c>
      <c r="B370" s="5" t="n">
        <v>0</v>
      </c>
      <c r="C370" s="5" t="n">
        <v>21</v>
      </c>
      <c r="D370" s="5" t="n">
        <v>3599</v>
      </c>
      <c r="E370" s="5" t="n">
        <v>26</v>
      </c>
      <c r="F370" s="5" t="n">
        <v>1</v>
      </c>
      <c r="G370" s="5" t="n">
        <v>1</v>
      </c>
      <c r="H370" s="5" t="n">
        <v>0</v>
      </c>
      <c r="I370" s="5" t="n">
        <v>0</v>
      </c>
      <c r="J370" s="5" t="n">
        <v>0</v>
      </c>
      <c r="K370" s="5" t="n">
        <v>0</v>
      </c>
      <c r="L370" s="5" t="n">
        <v>0</v>
      </c>
      <c r="M370" s="5" t="n">
        <v>0</v>
      </c>
      <c r="N370" s="5" t="n">
        <v>0</v>
      </c>
      <c r="O370" s="5" t="n">
        <v>0</v>
      </c>
      <c r="P370" s="5" t="n">
        <v>1</v>
      </c>
      <c r="Q370" s="5" t="n">
        <v>0</v>
      </c>
      <c r="R370" s="5" t="n">
        <v>0</v>
      </c>
      <c r="S370" s="5" t="n">
        <v>0</v>
      </c>
      <c r="T370" s="5" t="n">
        <v>1</v>
      </c>
      <c r="U370" s="5" t="inlineStr">
        <is>
          <t>testing</t>
        </is>
      </c>
    </row>
    <row r="371">
      <c r="A371" s="5" t="n">
        <v>343</v>
      </c>
      <c r="B371" s="5" t="n">
        <v>0</v>
      </c>
      <c r="C371" s="5" t="n">
        <v>18</v>
      </c>
      <c r="D371" s="5" t="n">
        <v>3213</v>
      </c>
      <c r="E371" s="5" t="n">
        <v>25</v>
      </c>
      <c r="F371" s="5" t="n">
        <v>1</v>
      </c>
      <c r="G371" s="5" t="n">
        <v>0</v>
      </c>
      <c r="H371" s="5" t="n">
        <v>1</v>
      </c>
      <c r="I371" s="5" t="n">
        <v>0</v>
      </c>
      <c r="J371" s="5" t="n">
        <v>0</v>
      </c>
      <c r="K371" s="5" t="n">
        <v>0</v>
      </c>
      <c r="L371" s="5" t="n">
        <v>0</v>
      </c>
      <c r="M371" s="5" t="n">
        <v>1</v>
      </c>
      <c r="N371" s="5" t="n">
        <v>0</v>
      </c>
      <c r="O371" s="5" t="n">
        <v>0</v>
      </c>
      <c r="P371" s="5" t="n">
        <v>1</v>
      </c>
      <c r="Q371" s="5" t="n">
        <v>0</v>
      </c>
      <c r="R371" s="5" t="n">
        <v>0</v>
      </c>
      <c r="S371" s="5" t="n">
        <v>1</v>
      </c>
      <c r="T371" s="5" t="n">
        <v>0</v>
      </c>
      <c r="U371" s="5" t="inlineStr">
        <is>
          <t>training</t>
        </is>
      </c>
    </row>
    <row r="372">
      <c r="A372" s="5" t="n">
        <v>344</v>
      </c>
      <c r="B372" s="5" t="n">
        <v>0</v>
      </c>
      <c r="C372" s="5" t="n">
        <v>18</v>
      </c>
      <c r="D372" s="5" t="n">
        <v>4439</v>
      </c>
      <c r="E372" s="5" t="n">
        <v>33</v>
      </c>
      <c r="F372" s="5" t="n">
        <v>1</v>
      </c>
      <c r="G372" s="5" t="n">
        <v>0</v>
      </c>
      <c r="H372" s="5" t="n">
        <v>1</v>
      </c>
      <c r="I372" s="5" t="n">
        <v>0</v>
      </c>
      <c r="J372" s="5" t="n">
        <v>0</v>
      </c>
      <c r="K372" s="5" t="n">
        <v>0</v>
      </c>
      <c r="L372" s="5" t="n">
        <v>0</v>
      </c>
      <c r="M372" s="5" t="n">
        <v>0</v>
      </c>
      <c r="N372" s="5" t="n">
        <v>0</v>
      </c>
      <c r="O372" s="5" t="n">
        <v>0</v>
      </c>
      <c r="P372" s="5" t="n">
        <v>0</v>
      </c>
      <c r="Q372" s="5" t="n">
        <v>0</v>
      </c>
      <c r="R372" s="5" t="n">
        <v>0</v>
      </c>
      <c r="S372" s="5" t="n">
        <v>0</v>
      </c>
      <c r="T372" s="5" t="n">
        <v>0</v>
      </c>
      <c r="U372" s="5" t="inlineStr">
        <is>
          <t>testing</t>
        </is>
      </c>
    </row>
    <row r="373">
      <c r="A373" s="5" t="n">
        <v>345</v>
      </c>
      <c r="B373" s="5" t="n">
        <v>0</v>
      </c>
      <c r="C373" s="5" t="n">
        <v>10</v>
      </c>
      <c r="D373" s="5" t="n">
        <v>3949</v>
      </c>
      <c r="E373" s="5" t="n">
        <v>37</v>
      </c>
      <c r="F373" s="5" t="n">
        <v>1</v>
      </c>
      <c r="G373" s="5" t="n">
        <v>0</v>
      </c>
      <c r="H373" s="5" t="n">
        <v>0</v>
      </c>
      <c r="I373" s="5" t="n">
        <v>1</v>
      </c>
      <c r="J373" s="5" t="n">
        <v>0</v>
      </c>
      <c r="K373" s="5" t="n">
        <v>0</v>
      </c>
      <c r="L373" s="5" t="n">
        <v>0</v>
      </c>
      <c r="M373" s="5" t="n">
        <v>0</v>
      </c>
      <c r="N373" s="5" t="n">
        <v>0</v>
      </c>
      <c r="O373" s="5" t="n">
        <v>0</v>
      </c>
      <c r="P373" s="5" t="n">
        <v>0</v>
      </c>
      <c r="Q373" s="5" t="n">
        <v>0</v>
      </c>
      <c r="R373" s="5" t="n">
        <v>1</v>
      </c>
      <c r="S373" s="5" t="n">
        <v>0</v>
      </c>
      <c r="T373" s="5" t="n">
        <v>0</v>
      </c>
      <c r="U373" s="5" t="inlineStr">
        <is>
          <t>training</t>
        </is>
      </c>
    </row>
    <row r="374">
      <c r="A374" s="5" t="n">
        <v>346</v>
      </c>
      <c r="B374" s="5" t="n">
        <v>0</v>
      </c>
      <c r="C374" s="5" t="n">
        <v>15</v>
      </c>
      <c r="D374" s="5" t="n">
        <v>1459</v>
      </c>
      <c r="E374" s="5" t="n">
        <v>43</v>
      </c>
      <c r="F374" s="5" t="n">
        <v>4</v>
      </c>
      <c r="G374" s="5" t="n">
        <v>0</v>
      </c>
      <c r="H374" s="5" t="n">
        <v>0</v>
      </c>
      <c r="I374" s="5" t="n">
        <v>0</v>
      </c>
      <c r="J374" s="5" t="n">
        <v>1</v>
      </c>
      <c r="K374" s="5" t="n">
        <v>0</v>
      </c>
      <c r="L374" s="5" t="n">
        <v>0</v>
      </c>
      <c r="M374" s="5" t="n">
        <v>0</v>
      </c>
      <c r="N374" s="5" t="n">
        <v>0</v>
      </c>
      <c r="O374" s="5" t="n">
        <v>0</v>
      </c>
      <c r="P374" s="5" t="n">
        <v>0</v>
      </c>
      <c r="Q374" s="5" t="n">
        <v>0</v>
      </c>
      <c r="R374" s="5" t="n">
        <v>0</v>
      </c>
      <c r="S374" s="5" t="n">
        <v>1</v>
      </c>
      <c r="T374" s="5" t="n">
        <v>0</v>
      </c>
      <c r="U374" s="5" t="inlineStr">
        <is>
          <t>training</t>
        </is>
      </c>
    </row>
    <row r="375">
      <c r="A375" s="5" t="n">
        <v>347</v>
      </c>
      <c r="B375" s="5" t="n">
        <v>0</v>
      </c>
      <c r="C375" s="5" t="n">
        <v>13</v>
      </c>
      <c r="D375" s="5" t="n">
        <v>882</v>
      </c>
      <c r="E375" s="5" t="n">
        <v>23</v>
      </c>
      <c r="F375" s="5" t="n">
        <v>4</v>
      </c>
      <c r="G375" s="5" t="n">
        <v>0</v>
      </c>
      <c r="H375" s="5" t="n">
        <v>1</v>
      </c>
      <c r="I375" s="5" t="n">
        <v>0</v>
      </c>
      <c r="J375" s="5" t="n">
        <v>1</v>
      </c>
      <c r="K375" s="5" t="n">
        <v>0</v>
      </c>
      <c r="L375" s="5" t="n">
        <v>0</v>
      </c>
      <c r="M375" s="5" t="n">
        <v>0</v>
      </c>
      <c r="N375" s="5" t="n">
        <v>0</v>
      </c>
      <c r="O375" s="5" t="n">
        <v>0</v>
      </c>
      <c r="P375" s="5" t="n">
        <v>0</v>
      </c>
      <c r="Q375" s="5" t="n">
        <v>0</v>
      </c>
      <c r="R375" s="5" t="n">
        <v>0</v>
      </c>
      <c r="S375" s="5" t="n">
        <v>1</v>
      </c>
      <c r="T375" s="5" t="n">
        <v>0</v>
      </c>
      <c r="U375" s="5" t="inlineStr">
        <is>
          <t>training</t>
        </is>
      </c>
    </row>
    <row r="376">
      <c r="A376" s="5" t="n">
        <v>348</v>
      </c>
      <c r="B376" s="5" t="n">
        <v>0</v>
      </c>
      <c r="C376" s="5" t="n">
        <v>24</v>
      </c>
      <c r="D376" s="5" t="n">
        <v>3758</v>
      </c>
      <c r="E376" s="5" t="n">
        <v>23</v>
      </c>
      <c r="F376" s="5" t="n">
        <v>1</v>
      </c>
      <c r="G376" s="5" t="n">
        <v>0</v>
      </c>
      <c r="H376" s="5" t="n">
        <v>1</v>
      </c>
      <c r="I376" s="5" t="n">
        <v>0</v>
      </c>
      <c r="J376" s="5" t="n">
        <v>0</v>
      </c>
      <c r="K376" s="5" t="n">
        <v>0</v>
      </c>
      <c r="L376" s="5" t="n">
        <v>0</v>
      </c>
      <c r="M376" s="5" t="n">
        <v>1</v>
      </c>
      <c r="N376" s="5" t="n">
        <v>0</v>
      </c>
      <c r="O376" s="5" t="n">
        <v>0</v>
      </c>
      <c r="P376" s="5" t="n">
        <v>1</v>
      </c>
      <c r="Q376" s="5" t="n">
        <v>0</v>
      </c>
      <c r="R376" s="5" t="n">
        <v>0</v>
      </c>
      <c r="S376" s="5" t="n">
        <v>1</v>
      </c>
      <c r="T376" s="5" t="n">
        <v>0</v>
      </c>
      <c r="U376" s="5" t="inlineStr">
        <is>
          <t>training</t>
        </is>
      </c>
    </row>
    <row r="377">
      <c r="A377" s="5" t="n">
        <v>349</v>
      </c>
      <c r="B377" s="5" t="n">
        <v>0</v>
      </c>
      <c r="C377" s="5" t="n">
        <v>6</v>
      </c>
      <c r="D377" s="5" t="n">
        <v>1743</v>
      </c>
      <c r="E377" s="5" t="n">
        <v>34</v>
      </c>
      <c r="F377" s="5" t="n">
        <v>1</v>
      </c>
      <c r="G377" s="5" t="n">
        <v>0</v>
      </c>
      <c r="H377" s="5" t="n">
        <v>0</v>
      </c>
      <c r="I377" s="5" t="n">
        <v>0</v>
      </c>
      <c r="J377" s="5" t="n">
        <v>0</v>
      </c>
      <c r="K377" s="5" t="n">
        <v>1</v>
      </c>
      <c r="L377" s="5" t="n">
        <v>0</v>
      </c>
      <c r="M377" s="5" t="n">
        <v>1</v>
      </c>
      <c r="N377" s="5" t="n">
        <v>0</v>
      </c>
      <c r="O377" s="5" t="n">
        <v>0</v>
      </c>
      <c r="P377" s="5" t="n">
        <v>0</v>
      </c>
      <c r="Q377" s="5" t="n">
        <v>0</v>
      </c>
      <c r="R377" s="5" t="n">
        <v>0</v>
      </c>
      <c r="S377" s="5" t="n">
        <v>0</v>
      </c>
      <c r="T377" s="5" t="n">
        <v>0</v>
      </c>
      <c r="U377" s="5" t="inlineStr">
        <is>
          <t>training</t>
        </is>
      </c>
    </row>
    <row r="378">
      <c r="A378" s="5" t="n">
        <v>350</v>
      </c>
      <c r="B378" s="5" t="n">
        <v>1</v>
      </c>
      <c r="C378" s="5" t="n">
        <v>9</v>
      </c>
      <c r="D378" s="5" t="n">
        <v>1136</v>
      </c>
      <c r="E378" s="5" t="n">
        <v>32</v>
      </c>
      <c r="F378" s="5" t="n">
        <v>4</v>
      </c>
      <c r="G378" s="5" t="n">
        <v>0</v>
      </c>
      <c r="H378" s="5" t="n">
        <v>1</v>
      </c>
      <c r="I378" s="5" t="n">
        <v>0</v>
      </c>
      <c r="J378" s="5" t="n">
        <v>1</v>
      </c>
      <c r="K378" s="5" t="n">
        <v>0</v>
      </c>
      <c r="L378" s="5" t="n">
        <v>0</v>
      </c>
      <c r="M378" s="5" t="n">
        <v>0</v>
      </c>
      <c r="N378" s="5" t="n">
        <v>1</v>
      </c>
      <c r="O378" s="5" t="n">
        <v>0</v>
      </c>
      <c r="P378" s="5" t="n">
        <v>0</v>
      </c>
      <c r="Q378" s="5" t="n">
        <v>1</v>
      </c>
      <c r="R378" s="5" t="n">
        <v>0</v>
      </c>
      <c r="S378" s="5" t="n">
        <v>0</v>
      </c>
      <c r="T378" s="5" t="n">
        <v>0</v>
      </c>
      <c r="U378" s="5" t="inlineStr">
        <is>
          <t>training</t>
        </is>
      </c>
    </row>
    <row r="379">
      <c r="A379" s="5" t="n">
        <v>351</v>
      </c>
      <c r="B379" s="5" t="n">
        <v>0</v>
      </c>
      <c r="C379" s="5" t="n">
        <v>9</v>
      </c>
      <c r="D379" s="5" t="n">
        <v>1236</v>
      </c>
      <c r="E379" s="5" t="n">
        <v>23</v>
      </c>
      <c r="F379" s="5" t="n">
        <v>1</v>
      </c>
      <c r="G379" s="5" t="n">
        <v>0</v>
      </c>
      <c r="H379" s="5" t="n">
        <v>0</v>
      </c>
      <c r="I379" s="5" t="n">
        <v>0</v>
      </c>
      <c r="J379" s="5" t="n">
        <v>0</v>
      </c>
      <c r="K379" s="5" t="n">
        <v>0</v>
      </c>
      <c r="L379" s="5" t="n">
        <v>0</v>
      </c>
      <c r="M379" s="5" t="n">
        <v>0</v>
      </c>
      <c r="N379" s="5" t="n">
        <v>0</v>
      </c>
      <c r="O379" s="5" t="n">
        <v>0</v>
      </c>
      <c r="P379" s="5" t="n">
        <v>1</v>
      </c>
      <c r="Q379" s="5" t="n">
        <v>0</v>
      </c>
      <c r="R379" s="5" t="n">
        <v>0</v>
      </c>
      <c r="S379" s="5" t="n">
        <v>0</v>
      </c>
      <c r="T379" s="5" t="n">
        <v>0</v>
      </c>
      <c r="U379" s="5" t="inlineStr">
        <is>
          <t>training</t>
        </is>
      </c>
    </row>
    <row r="380">
      <c r="A380" s="5" t="n">
        <v>352</v>
      </c>
      <c r="B380" s="5" t="n">
        <v>1</v>
      </c>
      <c r="C380" s="5" t="n">
        <v>9</v>
      </c>
      <c r="D380" s="5" t="n">
        <v>959</v>
      </c>
      <c r="E380" s="5" t="n">
        <v>29</v>
      </c>
      <c r="F380" s="5" t="n">
        <v>1</v>
      </c>
      <c r="G380" s="5" t="n">
        <v>0</v>
      </c>
      <c r="H380" s="5" t="n">
        <v>1</v>
      </c>
      <c r="I380" s="5" t="n">
        <v>0</v>
      </c>
      <c r="J380" s="5" t="n">
        <v>0</v>
      </c>
      <c r="K380" s="5" t="n">
        <v>0</v>
      </c>
      <c r="L380" s="5" t="n">
        <v>0</v>
      </c>
      <c r="M380" s="5" t="n">
        <v>0</v>
      </c>
      <c r="N380" s="5" t="n">
        <v>0</v>
      </c>
      <c r="O380" s="5" t="n">
        <v>0</v>
      </c>
      <c r="P380" s="5" t="n">
        <v>0</v>
      </c>
      <c r="Q380" s="5" t="n">
        <v>0</v>
      </c>
      <c r="R380" s="5" t="n">
        <v>0</v>
      </c>
      <c r="S380" s="5" t="n">
        <v>0</v>
      </c>
      <c r="T380" s="5" t="n">
        <v>1</v>
      </c>
      <c r="U380" s="5" t="inlineStr">
        <is>
          <t>training</t>
        </is>
      </c>
    </row>
    <row r="381">
      <c r="A381" s="5" t="n">
        <v>353</v>
      </c>
      <c r="B381" s="5" t="n">
        <v>0</v>
      </c>
      <c r="C381" s="5" t="n">
        <v>18</v>
      </c>
      <c r="D381" s="5" t="n">
        <v>3229</v>
      </c>
      <c r="E381" s="5" t="n">
        <v>38</v>
      </c>
      <c r="F381" s="5" t="n">
        <v>2</v>
      </c>
      <c r="G381" s="5" t="n">
        <v>0</v>
      </c>
      <c r="H381" s="5" t="n">
        <v>0</v>
      </c>
      <c r="I381" s="5" t="n">
        <v>0</v>
      </c>
      <c r="J381" s="5" t="n">
        <v>1</v>
      </c>
      <c r="K381" s="5" t="n">
        <v>0</v>
      </c>
      <c r="L381" s="5" t="n">
        <v>0</v>
      </c>
      <c r="M381" s="5" t="n">
        <v>0</v>
      </c>
      <c r="N381" s="5" t="n">
        <v>0</v>
      </c>
      <c r="O381" s="5" t="n">
        <v>1</v>
      </c>
      <c r="P381" s="5" t="n">
        <v>0</v>
      </c>
      <c r="Q381" s="5" t="n">
        <v>0</v>
      </c>
      <c r="R381" s="5" t="n">
        <v>1</v>
      </c>
      <c r="S381" s="5" t="n">
        <v>0</v>
      </c>
      <c r="T381" s="5" t="n">
        <v>0</v>
      </c>
      <c r="U381" s="5" t="inlineStr">
        <is>
          <t>training</t>
        </is>
      </c>
    </row>
    <row r="382">
      <c r="A382" s="5" t="n">
        <v>354</v>
      </c>
      <c r="B382" s="5" t="n">
        <v>1</v>
      </c>
      <c r="C382" s="5" t="n">
        <v>12</v>
      </c>
      <c r="D382" s="5" t="n">
        <v>6199</v>
      </c>
      <c r="E382" s="5" t="n">
        <v>28</v>
      </c>
      <c r="F382" s="5" t="n">
        <v>4</v>
      </c>
      <c r="G382" s="5" t="n">
        <v>1</v>
      </c>
      <c r="H382" s="5" t="n">
        <v>0</v>
      </c>
      <c r="I382" s="5" t="n">
        <v>0</v>
      </c>
      <c r="J382" s="5" t="n">
        <v>0</v>
      </c>
      <c r="K382" s="5" t="n">
        <v>0</v>
      </c>
      <c r="L382" s="5" t="n">
        <v>1</v>
      </c>
      <c r="M382" s="5" t="n">
        <v>0</v>
      </c>
      <c r="N382" s="5" t="n">
        <v>0</v>
      </c>
      <c r="O382" s="5" t="n">
        <v>0</v>
      </c>
      <c r="P382" s="5" t="n">
        <v>1</v>
      </c>
      <c r="Q382" s="5" t="n">
        <v>0</v>
      </c>
      <c r="R382" s="5" t="n">
        <v>0</v>
      </c>
      <c r="S382" s="5" t="n">
        <v>1</v>
      </c>
      <c r="T382" s="5" t="n">
        <v>0</v>
      </c>
      <c r="U382" s="5" t="inlineStr">
        <is>
          <t>training</t>
        </is>
      </c>
    </row>
    <row r="383">
      <c r="A383" s="5" t="n">
        <v>355</v>
      </c>
      <c r="B383" s="5" t="n">
        <v>0</v>
      </c>
      <c r="C383" s="5" t="n">
        <v>10</v>
      </c>
      <c r="D383" s="5" t="n">
        <v>727</v>
      </c>
      <c r="E383" s="5" t="n">
        <v>46</v>
      </c>
      <c r="F383" s="5" t="n">
        <v>4</v>
      </c>
      <c r="G383" s="5" t="n">
        <v>0</v>
      </c>
      <c r="H383" s="5" t="n">
        <v>0</v>
      </c>
      <c r="I383" s="5" t="n">
        <v>0</v>
      </c>
      <c r="J383" s="5" t="n">
        <v>0</v>
      </c>
      <c r="K383" s="5" t="n">
        <v>0</v>
      </c>
      <c r="L383" s="5" t="n">
        <v>0</v>
      </c>
      <c r="M383" s="5" t="n">
        <v>1</v>
      </c>
      <c r="N383" s="5" t="n">
        <v>0</v>
      </c>
      <c r="O383" s="5" t="n">
        <v>0</v>
      </c>
      <c r="P383" s="5" t="n">
        <v>0</v>
      </c>
      <c r="Q383" s="5" t="n">
        <v>1</v>
      </c>
      <c r="R383" s="5" t="n">
        <v>0</v>
      </c>
      <c r="S383" s="5" t="n">
        <v>0</v>
      </c>
      <c r="T383" s="5" t="n">
        <v>0</v>
      </c>
      <c r="U383" s="5" t="inlineStr">
        <is>
          <t>training</t>
        </is>
      </c>
    </row>
    <row r="384">
      <c r="A384" s="5" t="n">
        <v>356</v>
      </c>
      <c r="B384" s="5" t="n">
        <v>1</v>
      </c>
      <c r="C384" s="5" t="n">
        <v>24</v>
      </c>
      <c r="D384" s="5" t="n">
        <v>1246</v>
      </c>
      <c r="E384" s="5" t="n">
        <v>23</v>
      </c>
      <c r="F384" s="5" t="n">
        <v>4</v>
      </c>
      <c r="G384" s="5" t="n">
        <v>0</v>
      </c>
      <c r="H384" s="5" t="n">
        <v>1</v>
      </c>
      <c r="I384" s="5" t="n">
        <v>0</v>
      </c>
      <c r="J384" s="5" t="n">
        <v>0</v>
      </c>
      <c r="K384" s="5" t="n">
        <v>0</v>
      </c>
      <c r="L384" s="5" t="n">
        <v>0</v>
      </c>
      <c r="M384" s="5" t="n">
        <v>0</v>
      </c>
      <c r="N384" s="5" t="n">
        <v>0</v>
      </c>
      <c r="O384" s="5" t="n">
        <v>0</v>
      </c>
      <c r="P384" s="5" t="n">
        <v>0</v>
      </c>
      <c r="Q384" s="5" t="n">
        <v>0</v>
      </c>
      <c r="R384" s="5" t="n">
        <v>1</v>
      </c>
      <c r="S384" s="5" t="n">
        <v>0</v>
      </c>
      <c r="T384" s="5" t="n">
        <v>0</v>
      </c>
      <c r="U384" s="5" t="inlineStr">
        <is>
          <t>training</t>
        </is>
      </c>
    </row>
    <row r="385">
      <c r="A385" s="5" t="n">
        <v>357</v>
      </c>
      <c r="B385" s="5" t="n">
        <v>0</v>
      </c>
      <c r="C385" s="5" t="n">
        <v>12</v>
      </c>
      <c r="D385" s="5" t="n">
        <v>2331</v>
      </c>
      <c r="E385" s="5" t="n">
        <v>49</v>
      </c>
      <c r="F385" s="5" t="n">
        <v>1</v>
      </c>
      <c r="G385" s="5" t="n">
        <v>0</v>
      </c>
      <c r="H385" s="5" t="n">
        <v>0</v>
      </c>
      <c r="I385" s="5" t="n">
        <v>0</v>
      </c>
      <c r="J385" s="5" t="n">
        <v>1</v>
      </c>
      <c r="K385" s="5" t="n">
        <v>0</v>
      </c>
      <c r="L385" s="5" t="n">
        <v>0</v>
      </c>
      <c r="M385" s="5" t="n">
        <v>0</v>
      </c>
      <c r="N385" s="5" t="n">
        <v>0</v>
      </c>
      <c r="O385" s="5" t="n">
        <v>1</v>
      </c>
      <c r="P385" s="5" t="n">
        <v>0</v>
      </c>
      <c r="Q385" s="5" t="n">
        <v>0</v>
      </c>
      <c r="R385" s="5" t="n">
        <v>0</v>
      </c>
      <c r="S385" s="5" t="n">
        <v>1</v>
      </c>
      <c r="T385" s="5" t="n">
        <v>0</v>
      </c>
      <c r="U385" s="5" t="inlineStr">
        <is>
          <t>training</t>
        </is>
      </c>
    </row>
    <row r="386">
      <c r="A386" s="5" t="n">
        <v>358</v>
      </c>
      <c r="B386" s="5" t="n">
        <v>1</v>
      </c>
      <c r="C386" s="5" t="n">
        <v>36</v>
      </c>
      <c r="D386" s="5" t="n">
        <v>4463</v>
      </c>
      <c r="E386" s="5" t="n">
        <v>26</v>
      </c>
      <c r="F386" s="5" t="n">
        <v>4</v>
      </c>
      <c r="G386" s="5" t="n">
        <v>0</v>
      </c>
      <c r="H386" s="5" t="n">
        <v>0</v>
      </c>
      <c r="I386" s="5" t="n">
        <v>0</v>
      </c>
      <c r="J386" s="5" t="n">
        <v>0</v>
      </c>
      <c r="K386" s="5" t="n">
        <v>1</v>
      </c>
      <c r="L386" s="5" t="n">
        <v>0</v>
      </c>
      <c r="M386" s="5" t="n">
        <v>0</v>
      </c>
      <c r="N386" s="5" t="n">
        <v>0</v>
      </c>
      <c r="O386" s="5" t="n">
        <v>0</v>
      </c>
      <c r="P386" s="5" t="n">
        <v>0</v>
      </c>
      <c r="Q386" s="5" t="n">
        <v>0</v>
      </c>
      <c r="R386" s="5" t="n">
        <v>0</v>
      </c>
      <c r="S386" s="5" t="n">
        <v>1</v>
      </c>
      <c r="T386" s="5" t="n">
        <v>0</v>
      </c>
      <c r="U386" s="5" t="inlineStr">
        <is>
          <t>training</t>
        </is>
      </c>
    </row>
    <row r="387">
      <c r="A387" s="5" t="n">
        <v>359</v>
      </c>
      <c r="B387" s="5" t="n">
        <v>0</v>
      </c>
      <c r="C387" s="5" t="n">
        <v>12</v>
      </c>
      <c r="D387" s="5" t="n">
        <v>776</v>
      </c>
      <c r="E387" s="5" t="n">
        <v>28</v>
      </c>
      <c r="F387" s="5" t="n">
        <v>4</v>
      </c>
      <c r="G387" s="5" t="n">
        <v>0</v>
      </c>
      <c r="H387" s="5" t="n">
        <v>0</v>
      </c>
      <c r="I387" s="5" t="n">
        <v>0</v>
      </c>
      <c r="J387" s="5" t="n">
        <v>0</v>
      </c>
      <c r="K387" s="5" t="n">
        <v>0</v>
      </c>
      <c r="L387" s="5" t="n">
        <v>0</v>
      </c>
      <c r="M387" s="5" t="n">
        <v>0</v>
      </c>
      <c r="N387" s="5" t="n">
        <v>0</v>
      </c>
      <c r="O387" s="5" t="n">
        <v>0</v>
      </c>
      <c r="P387" s="5" t="n">
        <v>0</v>
      </c>
      <c r="Q387" s="5" t="n">
        <v>0</v>
      </c>
      <c r="R387" s="5" t="n">
        <v>0</v>
      </c>
      <c r="S387" s="5" t="n">
        <v>1</v>
      </c>
      <c r="T387" s="5" t="n">
        <v>0</v>
      </c>
      <c r="U387" s="5" t="inlineStr">
        <is>
          <t>training</t>
        </is>
      </c>
    </row>
    <row r="388">
      <c r="A388" s="5" t="n">
        <v>360</v>
      </c>
      <c r="B388" s="5" t="n">
        <v>1</v>
      </c>
      <c r="C388" s="5" t="n">
        <v>30</v>
      </c>
      <c r="D388" s="5" t="n">
        <v>2406</v>
      </c>
      <c r="E388" s="5" t="n">
        <v>23</v>
      </c>
      <c r="F388" s="5" t="n">
        <v>4</v>
      </c>
      <c r="G388" s="5" t="n">
        <v>1</v>
      </c>
      <c r="H388" s="5" t="n">
        <v>0</v>
      </c>
      <c r="I388" s="5" t="n">
        <v>0</v>
      </c>
      <c r="J388" s="5" t="n">
        <v>0</v>
      </c>
      <c r="K388" s="5" t="n">
        <v>0</v>
      </c>
      <c r="L388" s="5" t="n">
        <v>0</v>
      </c>
      <c r="M388" s="5" t="n">
        <v>0</v>
      </c>
      <c r="N388" s="5" t="n">
        <v>0</v>
      </c>
      <c r="O388" s="5" t="n">
        <v>0</v>
      </c>
      <c r="P388" s="5" t="n">
        <v>1</v>
      </c>
      <c r="Q388" s="5" t="n">
        <v>0</v>
      </c>
      <c r="R388" s="5" t="n">
        <v>0</v>
      </c>
      <c r="S388" s="5" t="n">
        <v>0</v>
      </c>
      <c r="T388" s="5" t="n">
        <v>1</v>
      </c>
      <c r="U388" s="5" t="inlineStr">
        <is>
          <t>testing</t>
        </is>
      </c>
    </row>
    <row r="389">
      <c r="A389" s="5" t="n">
        <v>361</v>
      </c>
      <c r="B389" s="5" t="n">
        <v>0</v>
      </c>
      <c r="C389" s="5" t="n">
        <v>18</v>
      </c>
      <c r="D389" s="5" t="n">
        <v>1239</v>
      </c>
      <c r="E389" s="5" t="n">
        <v>61</v>
      </c>
      <c r="F389" s="5" t="n">
        <v>4</v>
      </c>
      <c r="G389" s="5" t="n">
        <v>0</v>
      </c>
      <c r="H389" s="5" t="n">
        <v>1</v>
      </c>
      <c r="I389" s="5" t="n">
        <v>0</v>
      </c>
      <c r="J389" s="5" t="n">
        <v>0</v>
      </c>
      <c r="K389" s="5" t="n">
        <v>0</v>
      </c>
      <c r="L389" s="5" t="n">
        <v>0</v>
      </c>
      <c r="M389" s="5" t="n">
        <v>0</v>
      </c>
      <c r="N389" s="5" t="n">
        <v>0</v>
      </c>
      <c r="O389" s="5" t="n">
        <v>1</v>
      </c>
      <c r="P389" s="5" t="n">
        <v>0</v>
      </c>
      <c r="Q389" s="5" t="n">
        <v>1</v>
      </c>
      <c r="R389" s="5" t="n">
        <v>0</v>
      </c>
      <c r="S389" s="5" t="n">
        <v>0</v>
      </c>
      <c r="T389" s="5" t="n">
        <v>0</v>
      </c>
      <c r="U389" s="5" t="inlineStr">
        <is>
          <t>training</t>
        </is>
      </c>
    </row>
    <row r="390">
      <c r="A390" s="5" t="n">
        <v>362</v>
      </c>
      <c r="B390" s="5" t="n">
        <v>0</v>
      </c>
      <c r="C390" s="5" t="n">
        <v>12</v>
      </c>
      <c r="D390" s="5" t="n">
        <v>3399</v>
      </c>
      <c r="E390" s="5" t="n">
        <v>37</v>
      </c>
      <c r="F390" s="5" t="n">
        <v>2</v>
      </c>
      <c r="G390" s="5" t="n">
        <v>0</v>
      </c>
      <c r="H390" s="5" t="n">
        <v>0</v>
      </c>
      <c r="I390" s="5" t="n">
        <v>1</v>
      </c>
      <c r="J390" s="5" t="n">
        <v>0</v>
      </c>
      <c r="K390" s="5" t="n">
        <v>0</v>
      </c>
      <c r="L390" s="5" t="n">
        <v>0</v>
      </c>
      <c r="M390" s="5" t="n">
        <v>0</v>
      </c>
      <c r="N390" s="5" t="n">
        <v>0</v>
      </c>
      <c r="O390" s="5" t="n">
        <v>1</v>
      </c>
      <c r="P390" s="5" t="n">
        <v>0</v>
      </c>
      <c r="Q390" s="5" t="n">
        <v>0</v>
      </c>
      <c r="R390" s="5" t="n">
        <v>0</v>
      </c>
      <c r="S390" s="5" t="n">
        <v>1</v>
      </c>
      <c r="T390" s="5" t="n">
        <v>0</v>
      </c>
      <c r="U390" s="5" t="inlineStr">
        <is>
          <t>testing</t>
        </is>
      </c>
    </row>
    <row r="391">
      <c r="A391" s="5" t="n">
        <v>363</v>
      </c>
      <c r="B391" s="5" t="n">
        <v>0</v>
      </c>
      <c r="C391" s="5" t="n">
        <v>12</v>
      </c>
      <c r="D391" s="5" t="n">
        <v>2247</v>
      </c>
      <c r="E391" s="5" t="n">
        <v>36</v>
      </c>
      <c r="F391" s="5" t="n">
        <v>2</v>
      </c>
      <c r="G391" s="5" t="n">
        <v>0</v>
      </c>
      <c r="H391" s="5" t="n">
        <v>0</v>
      </c>
      <c r="I391" s="5" t="n">
        <v>1</v>
      </c>
      <c r="J391" s="5" t="n">
        <v>0</v>
      </c>
      <c r="K391" s="5" t="n">
        <v>1</v>
      </c>
      <c r="L391" s="5" t="n">
        <v>0</v>
      </c>
      <c r="M391" s="5" t="n">
        <v>0</v>
      </c>
      <c r="N391" s="5" t="n">
        <v>0</v>
      </c>
      <c r="O391" s="5" t="n">
        <v>0</v>
      </c>
      <c r="P391" s="5" t="n">
        <v>0</v>
      </c>
      <c r="Q391" s="5" t="n">
        <v>0</v>
      </c>
      <c r="R391" s="5" t="n">
        <v>1</v>
      </c>
      <c r="S391" s="5" t="n">
        <v>0</v>
      </c>
      <c r="T391" s="5" t="n">
        <v>0</v>
      </c>
      <c r="U391" s="5" t="inlineStr">
        <is>
          <t>training</t>
        </is>
      </c>
    </row>
    <row r="392">
      <c r="A392" s="5" t="n">
        <v>364</v>
      </c>
      <c r="B392" s="5" t="n">
        <v>0</v>
      </c>
      <c r="C392" s="5" t="n">
        <v>6</v>
      </c>
      <c r="D392" s="5" t="n">
        <v>1766</v>
      </c>
      <c r="E392" s="5" t="n">
        <v>21</v>
      </c>
      <c r="F392" s="5" t="n">
        <v>1</v>
      </c>
      <c r="G392" s="5" t="n">
        <v>0</v>
      </c>
      <c r="H392" s="5" t="n">
        <v>0</v>
      </c>
      <c r="I392" s="5" t="n">
        <v>0</v>
      </c>
      <c r="J392" s="5" t="n">
        <v>0</v>
      </c>
      <c r="K392" s="5" t="n">
        <v>0</v>
      </c>
      <c r="L392" s="5" t="n">
        <v>0</v>
      </c>
      <c r="M392" s="5" t="n">
        <v>0</v>
      </c>
      <c r="N392" s="5" t="n">
        <v>0</v>
      </c>
      <c r="O392" s="5" t="n">
        <v>0</v>
      </c>
      <c r="P392" s="5" t="n">
        <v>1</v>
      </c>
      <c r="Q392" s="5" t="n">
        <v>0</v>
      </c>
      <c r="R392" s="5" t="n">
        <v>0</v>
      </c>
      <c r="S392" s="5" t="n">
        <v>0</v>
      </c>
      <c r="T392" s="5" t="n">
        <v>1</v>
      </c>
      <c r="U392" s="5" t="inlineStr">
        <is>
          <t>training</t>
        </is>
      </c>
    </row>
    <row r="393">
      <c r="A393" s="5" t="n">
        <v>365</v>
      </c>
      <c r="B393" s="5" t="n">
        <v>1</v>
      </c>
      <c r="C393" s="5" t="n">
        <v>18</v>
      </c>
      <c r="D393" s="5" t="n">
        <v>2473</v>
      </c>
      <c r="E393" s="5" t="n">
        <v>25</v>
      </c>
      <c r="F393" s="5" t="n">
        <v>4</v>
      </c>
      <c r="G393" s="5" t="n">
        <v>1</v>
      </c>
      <c r="H393" s="5" t="n">
        <v>0</v>
      </c>
      <c r="I393" s="5" t="n">
        <v>0</v>
      </c>
      <c r="J393" s="5" t="n">
        <v>0</v>
      </c>
      <c r="K393" s="5" t="n">
        <v>0</v>
      </c>
      <c r="L393" s="5" t="n">
        <v>0</v>
      </c>
      <c r="M393" s="5" t="n">
        <v>0</v>
      </c>
      <c r="N393" s="5" t="n">
        <v>0</v>
      </c>
      <c r="O393" s="5" t="n">
        <v>0</v>
      </c>
      <c r="P393" s="5" t="n">
        <v>0</v>
      </c>
      <c r="Q393" s="5" t="n">
        <v>0</v>
      </c>
      <c r="R393" s="5" t="n">
        <v>0</v>
      </c>
      <c r="S393" s="5" t="n">
        <v>0</v>
      </c>
      <c r="T393" s="5" t="n">
        <v>1</v>
      </c>
      <c r="U393" s="5" t="inlineStr">
        <is>
          <t>testing</t>
        </is>
      </c>
    </row>
    <row r="394">
      <c r="A394" s="5" t="n">
        <v>366</v>
      </c>
      <c r="B394" s="5" t="n">
        <v>0</v>
      </c>
      <c r="C394" s="5" t="n">
        <v>12</v>
      </c>
      <c r="D394" s="5" t="n">
        <v>1542</v>
      </c>
      <c r="E394" s="5" t="n">
        <v>36</v>
      </c>
      <c r="F394" s="5" t="n">
        <v>2</v>
      </c>
      <c r="G394" s="5" t="n">
        <v>0</v>
      </c>
      <c r="H394" s="5" t="n">
        <v>0</v>
      </c>
      <c r="I394" s="5" t="n">
        <v>0</v>
      </c>
      <c r="J394" s="5" t="n">
        <v>0</v>
      </c>
      <c r="K394" s="5" t="n">
        <v>0</v>
      </c>
      <c r="L394" s="5" t="n">
        <v>0</v>
      </c>
      <c r="M394" s="5" t="n">
        <v>0</v>
      </c>
      <c r="N394" s="5" t="n">
        <v>0</v>
      </c>
      <c r="O394" s="5" t="n">
        <v>0</v>
      </c>
      <c r="P394" s="5" t="n">
        <v>0</v>
      </c>
      <c r="Q394" s="5" t="n">
        <v>0</v>
      </c>
      <c r="R394" s="5" t="n">
        <v>0</v>
      </c>
      <c r="S394" s="5" t="n">
        <v>0</v>
      </c>
      <c r="T394" s="5" t="n">
        <v>0</v>
      </c>
      <c r="U394" s="5" t="inlineStr">
        <is>
          <t>testing</t>
        </is>
      </c>
    </row>
    <row r="395">
      <c r="A395" s="5" t="n">
        <v>367</v>
      </c>
      <c r="B395" s="5" t="n">
        <v>0</v>
      </c>
      <c r="C395" s="5" t="n">
        <v>18</v>
      </c>
      <c r="D395" s="5" t="n">
        <v>3850</v>
      </c>
      <c r="E395" s="5" t="n">
        <v>27</v>
      </c>
      <c r="F395" s="5" t="n">
        <v>3</v>
      </c>
      <c r="G395" s="5" t="n">
        <v>0</v>
      </c>
      <c r="H395" s="5" t="n">
        <v>0</v>
      </c>
      <c r="I395" s="5" t="n">
        <v>0</v>
      </c>
      <c r="J395" s="5" t="n">
        <v>1</v>
      </c>
      <c r="K395" s="5" t="n">
        <v>0</v>
      </c>
      <c r="L395" s="5" t="n">
        <v>0</v>
      </c>
      <c r="M395" s="5" t="n">
        <v>0</v>
      </c>
      <c r="N395" s="5" t="n">
        <v>0</v>
      </c>
      <c r="O395" s="5" t="n">
        <v>0</v>
      </c>
      <c r="P395" s="5" t="n">
        <v>0</v>
      </c>
      <c r="Q395" s="5" t="n">
        <v>0</v>
      </c>
      <c r="R395" s="5" t="n">
        <v>1</v>
      </c>
      <c r="S395" s="5" t="n">
        <v>0</v>
      </c>
      <c r="T395" s="5" t="n">
        <v>0</v>
      </c>
      <c r="U395" s="5" t="inlineStr">
        <is>
          <t>training</t>
        </is>
      </c>
    </row>
    <row r="396">
      <c r="A396" s="5" t="n">
        <v>368</v>
      </c>
      <c r="B396" s="5" t="n">
        <v>0</v>
      </c>
      <c r="C396" s="5" t="n">
        <v>18</v>
      </c>
      <c r="D396" s="5" t="n">
        <v>3650</v>
      </c>
      <c r="E396" s="5" t="n">
        <v>22</v>
      </c>
      <c r="F396" s="5" t="n">
        <v>1</v>
      </c>
      <c r="G396" s="5" t="n">
        <v>1</v>
      </c>
      <c r="H396" s="5" t="n">
        <v>0</v>
      </c>
      <c r="I396" s="5" t="n">
        <v>0</v>
      </c>
      <c r="J396" s="5" t="n">
        <v>0</v>
      </c>
      <c r="K396" s="5" t="n">
        <v>0</v>
      </c>
      <c r="L396" s="5" t="n">
        <v>0</v>
      </c>
      <c r="M396" s="5" t="n">
        <v>0</v>
      </c>
      <c r="N396" s="5" t="n">
        <v>0</v>
      </c>
      <c r="O396" s="5" t="n">
        <v>0</v>
      </c>
      <c r="P396" s="5" t="n">
        <v>1</v>
      </c>
      <c r="Q396" s="5" t="n">
        <v>0</v>
      </c>
      <c r="R396" s="5" t="n">
        <v>0</v>
      </c>
      <c r="S396" s="5" t="n">
        <v>0</v>
      </c>
      <c r="T396" s="5" t="n">
        <v>1</v>
      </c>
      <c r="U396" s="5" t="inlineStr">
        <is>
          <t>training</t>
        </is>
      </c>
    </row>
    <row r="397">
      <c r="A397" s="5" t="n">
        <v>369</v>
      </c>
      <c r="B397" s="5" t="n">
        <v>1</v>
      </c>
      <c r="C397" s="5" t="n">
        <v>36</v>
      </c>
      <c r="D397" s="5" t="n">
        <v>3446</v>
      </c>
      <c r="E397" s="5" t="n">
        <v>42</v>
      </c>
      <c r="F397" s="5" t="n">
        <v>4</v>
      </c>
      <c r="G397" s="5" t="n">
        <v>1</v>
      </c>
      <c r="H397" s="5" t="n">
        <v>0</v>
      </c>
      <c r="I397" s="5" t="n">
        <v>0</v>
      </c>
      <c r="J397" s="5" t="n">
        <v>0</v>
      </c>
      <c r="K397" s="5" t="n">
        <v>0</v>
      </c>
      <c r="L397" s="5" t="n">
        <v>0</v>
      </c>
      <c r="M397" s="5" t="n">
        <v>0</v>
      </c>
      <c r="N397" s="5" t="n">
        <v>0</v>
      </c>
      <c r="O397" s="5" t="n">
        <v>0</v>
      </c>
      <c r="P397" s="5" t="n">
        <v>0</v>
      </c>
      <c r="Q397" s="5" t="n">
        <v>0</v>
      </c>
      <c r="R397" s="5" t="n">
        <v>0</v>
      </c>
      <c r="S397" s="5" t="n">
        <v>0</v>
      </c>
      <c r="T397" s="5" t="n">
        <v>1</v>
      </c>
      <c r="U397" s="5" t="inlineStr">
        <is>
          <t>training</t>
        </is>
      </c>
    </row>
    <row r="398">
      <c r="A398" s="5" t="n">
        <v>370</v>
      </c>
      <c r="B398" s="5" t="n">
        <v>0</v>
      </c>
      <c r="C398" s="5" t="n">
        <v>18</v>
      </c>
      <c r="D398" s="5" t="n">
        <v>3001</v>
      </c>
      <c r="E398" s="5" t="n">
        <v>40</v>
      </c>
      <c r="F398" s="5" t="n">
        <v>2</v>
      </c>
      <c r="G398" s="5" t="n">
        <v>0</v>
      </c>
      <c r="H398" s="5" t="n">
        <v>1</v>
      </c>
      <c r="I398" s="5" t="n">
        <v>0</v>
      </c>
      <c r="J398" s="5" t="n">
        <v>0</v>
      </c>
      <c r="K398" s="5" t="n">
        <v>0</v>
      </c>
      <c r="L398" s="5" t="n">
        <v>0</v>
      </c>
      <c r="M398" s="5" t="n">
        <v>0</v>
      </c>
      <c r="N398" s="5" t="n">
        <v>0</v>
      </c>
      <c r="O398" s="5" t="n">
        <v>0</v>
      </c>
      <c r="P398" s="5" t="n">
        <v>1</v>
      </c>
      <c r="Q398" s="5" t="n">
        <v>0</v>
      </c>
      <c r="R398" s="5" t="n">
        <v>0</v>
      </c>
      <c r="S398" s="5" t="n">
        <v>0</v>
      </c>
      <c r="T398" s="5" t="n">
        <v>1</v>
      </c>
      <c r="U398" s="5" t="inlineStr">
        <is>
          <t>training</t>
        </is>
      </c>
    </row>
    <row r="399">
      <c r="A399" s="5" t="n">
        <v>371</v>
      </c>
      <c r="B399" s="5" t="n">
        <v>0</v>
      </c>
      <c r="C399" s="5" t="n">
        <v>36</v>
      </c>
      <c r="D399" s="5" t="n">
        <v>3079</v>
      </c>
      <c r="E399" s="5" t="n">
        <v>36</v>
      </c>
      <c r="F399" s="5" t="n">
        <v>4</v>
      </c>
      <c r="G399" s="5" t="n">
        <v>0</v>
      </c>
      <c r="H399" s="5" t="n">
        <v>0</v>
      </c>
      <c r="I399" s="5" t="n">
        <v>0</v>
      </c>
      <c r="J399" s="5" t="n">
        <v>0</v>
      </c>
      <c r="K399" s="5" t="n">
        <v>0</v>
      </c>
      <c r="L399" s="5" t="n">
        <v>0</v>
      </c>
      <c r="M399" s="5" t="n">
        <v>0</v>
      </c>
      <c r="N399" s="5" t="n">
        <v>0</v>
      </c>
      <c r="O399" s="5" t="n">
        <v>1</v>
      </c>
      <c r="P399" s="5" t="n">
        <v>0</v>
      </c>
      <c r="Q399" s="5" t="n">
        <v>0</v>
      </c>
      <c r="R399" s="5" t="n">
        <v>1</v>
      </c>
      <c r="S399" s="5" t="n">
        <v>0</v>
      </c>
      <c r="T399" s="5" t="n">
        <v>0</v>
      </c>
      <c r="U399" s="5" t="inlineStr">
        <is>
          <t>training</t>
        </is>
      </c>
    </row>
    <row r="400">
      <c r="A400" s="5" t="n">
        <v>372</v>
      </c>
      <c r="B400" s="5" t="n">
        <v>0</v>
      </c>
      <c r="C400" s="5" t="n">
        <v>18</v>
      </c>
      <c r="D400" s="5" t="n">
        <v>6070</v>
      </c>
      <c r="E400" s="5" t="n">
        <v>33</v>
      </c>
      <c r="F400" s="5" t="n">
        <v>3</v>
      </c>
      <c r="G400" s="5" t="n">
        <v>0</v>
      </c>
      <c r="H400" s="5" t="n">
        <v>0</v>
      </c>
      <c r="I400" s="5" t="n">
        <v>0</v>
      </c>
      <c r="J400" s="5" t="n">
        <v>1</v>
      </c>
      <c r="K400" s="5" t="n">
        <v>0</v>
      </c>
      <c r="L400" s="5" t="n">
        <v>0</v>
      </c>
      <c r="M400" s="5" t="n">
        <v>0</v>
      </c>
      <c r="N400" s="5" t="n">
        <v>0</v>
      </c>
      <c r="O400" s="5" t="n">
        <v>0</v>
      </c>
      <c r="P400" s="5" t="n">
        <v>0</v>
      </c>
      <c r="Q400" s="5" t="n">
        <v>0</v>
      </c>
      <c r="R400" s="5" t="n">
        <v>0</v>
      </c>
      <c r="S400" s="5" t="n">
        <v>1</v>
      </c>
      <c r="T400" s="5" t="n">
        <v>0</v>
      </c>
      <c r="U400" s="5" t="inlineStr">
        <is>
          <t>training</t>
        </is>
      </c>
    </row>
    <row r="401">
      <c r="A401" s="5" t="n">
        <v>373</v>
      </c>
      <c r="B401" s="5" t="n">
        <v>0</v>
      </c>
      <c r="C401" s="5" t="n">
        <v>10</v>
      </c>
      <c r="D401" s="5" t="n">
        <v>2146</v>
      </c>
      <c r="E401" s="5" t="n">
        <v>23</v>
      </c>
      <c r="F401" s="5" t="n">
        <v>1</v>
      </c>
      <c r="G401" s="5" t="n">
        <v>0</v>
      </c>
      <c r="H401" s="5" t="n">
        <v>0</v>
      </c>
      <c r="I401" s="5" t="n">
        <v>0</v>
      </c>
      <c r="J401" s="5" t="n">
        <v>1</v>
      </c>
      <c r="K401" s="5" t="n">
        <v>0</v>
      </c>
      <c r="L401" s="5" t="n">
        <v>0</v>
      </c>
      <c r="M401" s="5" t="n">
        <v>0</v>
      </c>
      <c r="N401" s="5" t="n">
        <v>0</v>
      </c>
      <c r="O401" s="5" t="n">
        <v>0</v>
      </c>
      <c r="P401" s="5" t="n">
        <v>1</v>
      </c>
      <c r="Q401" s="5" t="n">
        <v>0</v>
      </c>
      <c r="R401" s="5" t="n">
        <v>0</v>
      </c>
      <c r="S401" s="5" t="n">
        <v>0</v>
      </c>
      <c r="T401" s="5" t="n">
        <v>1</v>
      </c>
      <c r="U401" s="5" t="inlineStr">
        <is>
          <t>training</t>
        </is>
      </c>
    </row>
    <row r="402">
      <c r="A402" s="5" t="n">
        <v>374</v>
      </c>
      <c r="B402" s="5" t="n">
        <v>0</v>
      </c>
      <c r="C402" s="5" t="n">
        <v>60</v>
      </c>
      <c r="D402" s="5" t="n">
        <v>13756</v>
      </c>
      <c r="E402" s="5" t="n">
        <v>63</v>
      </c>
      <c r="F402" s="5" t="n">
        <v>2</v>
      </c>
      <c r="G402" s="5" t="n">
        <v>0</v>
      </c>
      <c r="H402" s="5" t="n">
        <v>0</v>
      </c>
      <c r="I402" s="5" t="n">
        <v>0</v>
      </c>
      <c r="J402" s="5" t="n">
        <v>1</v>
      </c>
      <c r="K402" s="5" t="n">
        <v>0</v>
      </c>
      <c r="L402" s="5" t="n">
        <v>0</v>
      </c>
      <c r="M402" s="5" t="n">
        <v>0</v>
      </c>
      <c r="N402" s="5" t="n">
        <v>0</v>
      </c>
      <c r="O402" s="5" t="n">
        <v>1</v>
      </c>
      <c r="P402" s="5" t="n">
        <v>0</v>
      </c>
      <c r="Q402" s="5" t="n">
        <v>1</v>
      </c>
      <c r="R402" s="5" t="n">
        <v>1</v>
      </c>
      <c r="S402" s="5" t="n">
        <v>0</v>
      </c>
      <c r="T402" s="5" t="n">
        <v>0</v>
      </c>
      <c r="U402" s="5" t="inlineStr">
        <is>
          <t>training</t>
        </is>
      </c>
    </row>
    <row r="403">
      <c r="A403" s="5" t="n">
        <v>375</v>
      </c>
      <c r="B403" s="5" t="n">
        <v>1</v>
      </c>
      <c r="C403" s="5" t="n">
        <v>60</v>
      </c>
      <c r="D403" s="5" t="n">
        <v>14782</v>
      </c>
      <c r="E403" s="5" t="n">
        <v>60</v>
      </c>
      <c r="F403" s="5" t="n">
        <v>3</v>
      </c>
      <c r="G403" s="5" t="n">
        <v>0</v>
      </c>
      <c r="H403" s="5" t="n">
        <v>1</v>
      </c>
      <c r="I403" s="5" t="n">
        <v>0</v>
      </c>
      <c r="J403" s="5" t="n">
        <v>0</v>
      </c>
      <c r="K403" s="5" t="n">
        <v>0</v>
      </c>
      <c r="L403" s="5" t="n">
        <v>1</v>
      </c>
      <c r="M403" s="5" t="n">
        <v>1</v>
      </c>
      <c r="N403" s="5" t="n">
        <v>0</v>
      </c>
      <c r="O403" s="5" t="n">
        <v>0</v>
      </c>
      <c r="P403" s="5" t="n">
        <v>0</v>
      </c>
      <c r="Q403" s="5" t="n">
        <v>1</v>
      </c>
      <c r="R403" s="5" t="n">
        <v>0</v>
      </c>
      <c r="S403" s="5" t="n">
        <v>0</v>
      </c>
      <c r="T403" s="5" t="n">
        <v>0</v>
      </c>
      <c r="U403" s="5" t="inlineStr">
        <is>
          <t>training</t>
        </is>
      </c>
    </row>
    <row r="404">
      <c r="A404" s="5" t="n">
        <v>376</v>
      </c>
      <c r="B404" s="5" t="n">
        <v>1</v>
      </c>
      <c r="C404" s="5" t="n">
        <v>48</v>
      </c>
      <c r="D404" s="5" t="n">
        <v>7685</v>
      </c>
      <c r="E404" s="5" t="n">
        <v>37</v>
      </c>
      <c r="F404" s="5" t="n">
        <v>2</v>
      </c>
      <c r="G404" s="5" t="n">
        <v>1</v>
      </c>
      <c r="H404" s="5" t="n">
        <v>0</v>
      </c>
      <c r="I404" s="5" t="n">
        <v>0</v>
      </c>
      <c r="J404" s="5" t="n">
        <v>0</v>
      </c>
      <c r="K404" s="5" t="n">
        <v>0</v>
      </c>
      <c r="L404" s="5" t="n">
        <v>1</v>
      </c>
      <c r="M404" s="5" t="n">
        <v>0</v>
      </c>
      <c r="N404" s="5" t="n">
        <v>0</v>
      </c>
      <c r="O404" s="5" t="n">
        <v>0</v>
      </c>
      <c r="P404" s="5" t="n">
        <v>1</v>
      </c>
      <c r="Q404" s="5" t="n">
        <v>0</v>
      </c>
      <c r="R404" s="5" t="n">
        <v>0</v>
      </c>
      <c r="S404" s="5" t="n">
        <v>0</v>
      </c>
      <c r="T404" s="5" t="n">
        <v>0</v>
      </c>
      <c r="U404" s="5" t="inlineStr">
        <is>
          <t>training</t>
        </is>
      </c>
    </row>
    <row r="405">
      <c r="A405" s="5" t="n">
        <v>377</v>
      </c>
      <c r="B405" s="5" t="n">
        <v>0</v>
      </c>
      <c r="C405" s="5" t="n">
        <v>18</v>
      </c>
      <c r="D405" s="5" t="n">
        <v>2320</v>
      </c>
      <c r="E405" s="5" t="n">
        <v>34</v>
      </c>
      <c r="F405" s="5" t="n">
        <v>2</v>
      </c>
      <c r="G405" s="5" t="n">
        <v>0</v>
      </c>
      <c r="H405" s="5" t="n">
        <v>0</v>
      </c>
      <c r="I405" s="5" t="n">
        <v>0</v>
      </c>
      <c r="J405" s="5" t="n">
        <v>0</v>
      </c>
      <c r="K405" s="5" t="n">
        <v>1</v>
      </c>
      <c r="L405" s="5" t="n">
        <v>0</v>
      </c>
      <c r="M405" s="5" t="n">
        <v>0</v>
      </c>
      <c r="N405" s="5" t="n">
        <v>0</v>
      </c>
      <c r="O405" s="5" t="n">
        <v>0</v>
      </c>
      <c r="P405" s="5" t="n">
        <v>0</v>
      </c>
      <c r="Q405" s="5" t="n">
        <v>0</v>
      </c>
      <c r="R405" s="5" t="n">
        <v>0</v>
      </c>
      <c r="S405" s="5" t="n">
        <v>1</v>
      </c>
      <c r="T405" s="5" t="n">
        <v>0</v>
      </c>
      <c r="U405" s="5" t="inlineStr">
        <is>
          <t>training</t>
        </is>
      </c>
    </row>
    <row r="406">
      <c r="A406" s="5" t="n">
        <v>378</v>
      </c>
      <c r="B406" s="5" t="n">
        <v>0</v>
      </c>
      <c r="C406" s="5" t="n">
        <v>7</v>
      </c>
      <c r="D406" s="5" t="n">
        <v>846</v>
      </c>
      <c r="E406" s="5" t="n">
        <v>36</v>
      </c>
      <c r="F406" s="5" t="n">
        <v>3</v>
      </c>
      <c r="G406" s="5" t="n">
        <v>0</v>
      </c>
      <c r="H406" s="5" t="n">
        <v>0</v>
      </c>
      <c r="I406" s="5" t="n">
        <v>0</v>
      </c>
      <c r="J406" s="5" t="n">
        <v>0</v>
      </c>
      <c r="K406" s="5" t="n">
        <v>1</v>
      </c>
      <c r="L406" s="5" t="n">
        <v>0</v>
      </c>
      <c r="M406" s="5" t="n">
        <v>0</v>
      </c>
      <c r="N406" s="5" t="n">
        <v>0</v>
      </c>
      <c r="O406" s="5" t="n">
        <v>1</v>
      </c>
      <c r="P406" s="5" t="n">
        <v>0</v>
      </c>
      <c r="Q406" s="5" t="n">
        <v>1</v>
      </c>
      <c r="R406" s="5" t="n">
        <v>0</v>
      </c>
      <c r="S406" s="5" t="n">
        <v>1</v>
      </c>
      <c r="T406" s="5" t="n">
        <v>0</v>
      </c>
      <c r="U406" s="5" t="inlineStr">
        <is>
          <t>training</t>
        </is>
      </c>
    </row>
    <row r="407">
      <c r="A407" s="5" t="n">
        <v>379</v>
      </c>
      <c r="B407" s="5" t="n">
        <v>1</v>
      </c>
      <c r="C407" s="5" t="n">
        <v>36</v>
      </c>
      <c r="D407" s="5" t="n">
        <v>14318</v>
      </c>
      <c r="E407" s="5" t="n">
        <v>57</v>
      </c>
      <c r="F407" s="5" t="n">
        <v>4</v>
      </c>
      <c r="G407" s="5" t="n">
        <v>0</v>
      </c>
      <c r="H407" s="5" t="n">
        <v>1</v>
      </c>
      <c r="I407" s="5" t="n">
        <v>0</v>
      </c>
      <c r="J407" s="5" t="n">
        <v>0</v>
      </c>
      <c r="K407" s="5" t="n">
        <v>0</v>
      </c>
      <c r="L407" s="5" t="n">
        <v>0</v>
      </c>
      <c r="M407" s="5" t="n">
        <v>0</v>
      </c>
      <c r="N407" s="5" t="n">
        <v>0</v>
      </c>
      <c r="O407" s="5" t="n">
        <v>0</v>
      </c>
      <c r="P407" s="5" t="n">
        <v>0</v>
      </c>
      <c r="Q407" s="5" t="n">
        <v>1</v>
      </c>
      <c r="R407" s="5" t="n">
        <v>1</v>
      </c>
      <c r="S407" s="5" t="n">
        <v>0</v>
      </c>
      <c r="T407" s="5" t="n">
        <v>0</v>
      </c>
      <c r="U407" s="5" t="inlineStr">
        <is>
          <t>training</t>
        </is>
      </c>
    </row>
    <row r="408">
      <c r="A408" s="5" t="n">
        <v>380</v>
      </c>
      <c r="B408" s="5" t="n">
        <v>0</v>
      </c>
      <c r="C408" s="5" t="n">
        <v>6</v>
      </c>
      <c r="D408" s="5" t="n">
        <v>362</v>
      </c>
      <c r="E408" s="5" t="n">
        <v>52</v>
      </c>
      <c r="F408" s="5" t="n">
        <v>4</v>
      </c>
      <c r="G408" s="5" t="n">
        <v>0</v>
      </c>
      <c r="H408" s="5" t="n">
        <v>0</v>
      </c>
      <c r="I408" s="5" t="n">
        <v>0</v>
      </c>
      <c r="J408" s="5" t="n">
        <v>1</v>
      </c>
      <c r="K408" s="5" t="n">
        <v>0</v>
      </c>
      <c r="L408" s="5" t="n">
        <v>0</v>
      </c>
      <c r="M408" s="5" t="n">
        <v>1</v>
      </c>
      <c r="N408" s="5" t="n">
        <v>0</v>
      </c>
      <c r="O408" s="5" t="n">
        <v>0</v>
      </c>
      <c r="P408" s="5" t="n">
        <v>0</v>
      </c>
      <c r="Q408" s="5" t="n">
        <v>0</v>
      </c>
      <c r="R408" s="5" t="n">
        <v>1</v>
      </c>
      <c r="S408" s="5" t="n">
        <v>0</v>
      </c>
      <c r="T408" s="5" t="n">
        <v>0</v>
      </c>
      <c r="U408" s="5" t="inlineStr">
        <is>
          <t>training</t>
        </is>
      </c>
    </row>
    <row r="409">
      <c r="A409" s="5" t="n">
        <v>381</v>
      </c>
      <c r="B409" s="5" t="n">
        <v>0</v>
      </c>
      <c r="C409" s="5" t="n">
        <v>20</v>
      </c>
      <c r="D409" s="5" t="n">
        <v>2212</v>
      </c>
      <c r="E409" s="5" t="n">
        <v>39</v>
      </c>
      <c r="F409" s="5" t="n">
        <v>4</v>
      </c>
      <c r="G409" s="5" t="n">
        <v>1</v>
      </c>
      <c r="H409" s="5" t="n">
        <v>0</v>
      </c>
      <c r="I409" s="5" t="n">
        <v>0</v>
      </c>
      <c r="J409" s="5" t="n">
        <v>0</v>
      </c>
      <c r="K409" s="5" t="n">
        <v>0</v>
      </c>
      <c r="L409" s="5" t="n">
        <v>0</v>
      </c>
      <c r="M409" s="5" t="n">
        <v>0</v>
      </c>
      <c r="N409" s="5" t="n">
        <v>0</v>
      </c>
      <c r="O409" s="5" t="n">
        <v>1</v>
      </c>
      <c r="P409" s="5" t="n">
        <v>0</v>
      </c>
      <c r="Q409" s="5" t="n">
        <v>0</v>
      </c>
      <c r="R409" s="5" t="n">
        <v>0</v>
      </c>
      <c r="S409" s="5" t="n">
        <v>0</v>
      </c>
      <c r="T409" s="5" t="n">
        <v>1</v>
      </c>
      <c r="U409" s="5" t="inlineStr">
        <is>
          <t>testing</t>
        </is>
      </c>
    </row>
    <row r="410">
      <c r="A410" s="5" t="n">
        <v>382</v>
      </c>
      <c r="B410" s="5" t="n">
        <v>1</v>
      </c>
      <c r="C410" s="5" t="n">
        <v>18</v>
      </c>
      <c r="D410" s="5" t="n">
        <v>12976</v>
      </c>
      <c r="E410" s="5" t="n">
        <v>38</v>
      </c>
      <c r="F410" s="5" t="n">
        <v>3</v>
      </c>
      <c r="G410" s="5" t="n">
        <v>0</v>
      </c>
      <c r="H410" s="5" t="n">
        <v>1</v>
      </c>
      <c r="I410" s="5" t="n">
        <v>0</v>
      </c>
      <c r="J410" s="5" t="n">
        <v>0</v>
      </c>
      <c r="K410" s="5" t="n">
        <v>0</v>
      </c>
      <c r="L410" s="5" t="n">
        <v>0</v>
      </c>
      <c r="M410" s="5" t="n">
        <v>0</v>
      </c>
      <c r="N410" s="5" t="n">
        <v>0</v>
      </c>
      <c r="O410" s="5" t="n">
        <v>0</v>
      </c>
      <c r="P410" s="5" t="n">
        <v>0</v>
      </c>
      <c r="Q410" s="5" t="n">
        <v>1</v>
      </c>
      <c r="R410" s="5" t="n">
        <v>1</v>
      </c>
      <c r="S410" s="5" t="n">
        <v>0</v>
      </c>
      <c r="T410" s="5" t="n">
        <v>0</v>
      </c>
      <c r="U410" s="5" t="inlineStr">
        <is>
          <t>testing</t>
        </is>
      </c>
    </row>
    <row r="411">
      <c r="A411" s="5" t="n">
        <v>383</v>
      </c>
      <c r="B411" s="5" t="n">
        <v>0</v>
      </c>
      <c r="C411" s="5" t="n">
        <v>22</v>
      </c>
      <c r="D411" s="5" t="n">
        <v>1283</v>
      </c>
      <c r="E411" s="5" t="n">
        <v>25</v>
      </c>
      <c r="F411" s="5" t="n">
        <v>4</v>
      </c>
      <c r="G411" s="5" t="n">
        <v>0</v>
      </c>
      <c r="H411" s="5" t="n">
        <v>0</v>
      </c>
      <c r="I411" s="5" t="n">
        <v>0</v>
      </c>
      <c r="J411" s="5" t="n">
        <v>0</v>
      </c>
      <c r="K411" s="5" t="n">
        <v>0</v>
      </c>
      <c r="L411" s="5" t="n">
        <v>0</v>
      </c>
      <c r="M411" s="5" t="n">
        <v>0</v>
      </c>
      <c r="N411" s="5" t="n">
        <v>0</v>
      </c>
      <c r="O411" s="5" t="n">
        <v>1</v>
      </c>
      <c r="P411" s="5" t="n">
        <v>1</v>
      </c>
      <c r="Q411" s="5" t="n">
        <v>0</v>
      </c>
      <c r="R411" s="5" t="n">
        <v>1</v>
      </c>
      <c r="S411" s="5" t="n">
        <v>0</v>
      </c>
      <c r="T411" s="5" t="n">
        <v>0</v>
      </c>
      <c r="U411" s="5" t="inlineStr">
        <is>
          <t>training</t>
        </is>
      </c>
    </row>
    <row r="412">
      <c r="A412" s="5" t="n">
        <v>384</v>
      </c>
      <c r="B412" s="5" t="n">
        <v>0</v>
      </c>
      <c r="C412" s="5" t="n">
        <v>12</v>
      </c>
      <c r="D412" s="5" t="n">
        <v>1330</v>
      </c>
      <c r="E412" s="5" t="n">
        <v>26</v>
      </c>
      <c r="F412" s="5" t="n">
        <v>4</v>
      </c>
      <c r="G412" s="5" t="n">
        <v>0</v>
      </c>
      <c r="H412" s="5" t="n">
        <v>0</v>
      </c>
      <c r="I412" s="5" t="n">
        <v>1</v>
      </c>
      <c r="J412" s="5" t="n">
        <v>0</v>
      </c>
      <c r="K412" s="5" t="n">
        <v>0</v>
      </c>
      <c r="L412" s="5" t="n">
        <v>0</v>
      </c>
      <c r="M412" s="5" t="n">
        <v>0</v>
      </c>
      <c r="N412" s="5" t="n">
        <v>0</v>
      </c>
      <c r="O412" s="5" t="n">
        <v>0</v>
      </c>
      <c r="P412" s="5" t="n">
        <v>0</v>
      </c>
      <c r="Q412" s="5" t="n">
        <v>0</v>
      </c>
      <c r="R412" s="5" t="n">
        <v>1</v>
      </c>
      <c r="S412" s="5" t="n">
        <v>0</v>
      </c>
      <c r="T412" s="5" t="n">
        <v>0</v>
      </c>
      <c r="U412" s="5" t="inlineStr">
        <is>
          <t>training</t>
        </is>
      </c>
    </row>
    <row r="413">
      <c r="A413" s="5" t="n">
        <v>385</v>
      </c>
      <c r="B413" s="5" t="n">
        <v>0</v>
      </c>
      <c r="C413" s="5" t="n">
        <v>30</v>
      </c>
      <c r="D413" s="5" t="n">
        <v>4272</v>
      </c>
      <c r="E413" s="5" t="n">
        <v>26</v>
      </c>
      <c r="F413" s="5" t="n">
        <v>2</v>
      </c>
      <c r="G413" s="5" t="n">
        <v>0</v>
      </c>
      <c r="H413" s="5" t="n">
        <v>0</v>
      </c>
      <c r="I413" s="5" t="n">
        <v>0</v>
      </c>
      <c r="J413" s="5" t="n">
        <v>0</v>
      </c>
      <c r="K413" s="5" t="n">
        <v>1</v>
      </c>
      <c r="L413" s="5" t="n">
        <v>0</v>
      </c>
      <c r="M413" s="5" t="n">
        <v>1</v>
      </c>
      <c r="N413" s="5" t="n">
        <v>0</v>
      </c>
      <c r="O413" s="5" t="n">
        <v>0</v>
      </c>
      <c r="P413" s="5" t="n">
        <v>0</v>
      </c>
      <c r="Q413" s="5" t="n">
        <v>0</v>
      </c>
      <c r="R413" s="5" t="n">
        <v>0</v>
      </c>
      <c r="S413" s="5" t="n">
        <v>0</v>
      </c>
      <c r="T413" s="5" t="n">
        <v>0</v>
      </c>
      <c r="U413" s="5" t="inlineStr">
        <is>
          <t>training</t>
        </is>
      </c>
    </row>
    <row r="414">
      <c r="A414" s="5" t="n">
        <v>386</v>
      </c>
      <c r="B414" s="5" t="n">
        <v>0</v>
      </c>
      <c r="C414" s="5" t="n">
        <v>18</v>
      </c>
      <c r="D414" s="5" t="n">
        <v>2238</v>
      </c>
      <c r="E414" s="5" t="n">
        <v>25</v>
      </c>
      <c r="F414" s="5" t="n">
        <v>2</v>
      </c>
      <c r="G414" s="5" t="n">
        <v>0</v>
      </c>
      <c r="H414" s="5" t="n">
        <v>0</v>
      </c>
      <c r="I414" s="5" t="n">
        <v>0</v>
      </c>
      <c r="J414" s="5" t="n">
        <v>1</v>
      </c>
      <c r="K414" s="5" t="n">
        <v>0</v>
      </c>
      <c r="L414" s="5" t="n">
        <v>0</v>
      </c>
      <c r="M414" s="5" t="n">
        <v>0</v>
      </c>
      <c r="N414" s="5" t="n">
        <v>0</v>
      </c>
      <c r="O414" s="5" t="n">
        <v>0</v>
      </c>
      <c r="P414" s="5" t="n">
        <v>0</v>
      </c>
      <c r="Q414" s="5" t="n">
        <v>0</v>
      </c>
      <c r="R414" s="5" t="n">
        <v>0</v>
      </c>
      <c r="S414" s="5" t="n">
        <v>1</v>
      </c>
      <c r="T414" s="5" t="n">
        <v>0</v>
      </c>
      <c r="U414" s="5" t="inlineStr">
        <is>
          <t>testing</t>
        </is>
      </c>
    </row>
    <row r="415">
      <c r="A415" s="5" t="n">
        <v>387</v>
      </c>
      <c r="B415" s="5" t="n">
        <v>0</v>
      </c>
      <c r="C415" s="5" t="n">
        <v>18</v>
      </c>
      <c r="D415" s="5" t="n">
        <v>1126</v>
      </c>
      <c r="E415" s="5" t="n">
        <v>21</v>
      </c>
      <c r="F415" s="5" t="n">
        <v>4</v>
      </c>
      <c r="G415" s="5" t="n">
        <v>0</v>
      </c>
      <c r="H415" s="5" t="n">
        <v>0</v>
      </c>
      <c r="I415" s="5" t="n">
        <v>0</v>
      </c>
      <c r="J415" s="5" t="n">
        <v>0</v>
      </c>
      <c r="K415" s="5" t="n">
        <v>0</v>
      </c>
      <c r="L415" s="5" t="n">
        <v>0</v>
      </c>
      <c r="M415" s="5" t="n">
        <v>0</v>
      </c>
      <c r="N415" s="5" t="n">
        <v>0</v>
      </c>
      <c r="O415" s="5" t="n">
        <v>1</v>
      </c>
      <c r="P415" s="5" t="n">
        <v>1</v>
      </c>
      <c r="Q415" s="5" t="n">
        <v>0</v>
      </c>
      <c r="R415" s="5" t="n">
        <v>0</v>
      </c>
      <c r="S415" s="5" t="n">
        <v>1</v>
      </c>
      <c r="T415" s="5" t="n">
        <v>0</v>
      </c>
      <c r="U415" s="5" t="inlineStr">
        <is>
          <t>testing</t>
        </is>
      </c>
    </row>
    <row r="416">
      <c r="A416" s="5" t="n">
        <v>388</v>
      </c>
      <c r="B416" s="5" t="n">
        <v>0</v>
      </c>
      <c r="C416" s="5" t="n">
        <v>18</v>
      </c>
      <c r="D416" s="5" t="n">
        <v>7374</v>
      </c>
      <c r="E416" s="5" t="n">
        <v>40</v>
      </c>
      <c r="F416" s="5" t="n">
        <v>4</v>
      </c>
      <c r="G416" s="5" t="n">
        <v>0</v>
      </c>
      <c r="H416" s="5" t="n">
        <v>1</v>
      </c>
      <c r="I416" s="5" t="n">
        <v>0</v>
      </c>
      <c r="J416" s="5" t="n">
        <v>1</v>
      </c>
      <c r="K416" s="5" t="n">
        <v>0</v>
      </c>
      <c r="L416" s="5" t="n">
        <v>0</v>
      </c>
      <c r="M416" s="5" t="n">
        <v>0</v>
      </c>
      <c r="N416" s="5" t="n">
        <v>0</v>
      </c>
      <c r="O416" s="5" t="n">
        <v>0</v>
      </c>
      <c r="P416" s="5" t="n">
        <v>0</v>
      </c>
      <c r="Q416" s="5" t="n">
        <v>0</v>
      </c>
      <c r="R416" s="5" t="n">
        <v>0</v>
      </c>
      <c r="S416" s="5" t="n">
        <v>0</v>
      </c>
      <c r="T416" s="5" t="n">
        <v>1</v>
      </c>
      <c r="U416" s="5" t="inlineStr">
        <is>
          <t>training</t>
        </is>
      </c>
    </row>
    <row r="417">
      <c r="A417" s="5" t="n">
        <v>389</v>
      </c>
      <c r="B417" s="5" t="n">
        <v>0</v>
      </c>
      <c r="C417" s="5" t="n">
        <v>15</v>
      </c>
      <c r="D417" s="5" t="n">
        <v>2326</v>
      </c>
      <c r="E417" s="5" t="n">
        <v>27</v>
      </c>
      <c r="F417" s="5" t="n">
        <v>2</v>
      </c>
      <c r="G417" s="5" t="n">
        <v>0</v>
      </c>
      <c r="H417" s="5" t="n">
        <v>1</v>
      </c>
      <c r="I417" s="5" t="n">
        <v>0</v>
      </c>
      <c r="J417" s="5" t="n">
        <v>1</v>
      </c>
      <c r="K417" s="5" t="n">
        <v>0</v>
      </c>
      <c r="L417" s="5" t="n">
        <v>0</v>
      </c>
      <c r="M417" s="5" t="n">
        <v>1</v>
      </c>
      <c r="N417" s="5" t="n">
        <v>0</v>
      </c>
      <c r="O417" s="5" t="n">
        <v>0</v>
      </c>
      <c r="P417" s="5" t="n">
        <v>0</v>
      </c>
      <c r="Q417" s="5" t="n">
        <v>0</v>
      </c>
      <c r="R417" s="5" t="n">
        <v>0</v>
      </c>
      <c r="S417" s="5" t="n">
        <v>0</v>
      </c>
      <c r="T417" s="5" t="n">
        <v>0</v>
      </c>
      <c r="U417" s="5" t="inlineStr">
        <is>
          <t>testing</t>
        </is>
      </c>
    </row>
    <row r="418">
      <c r="A418" s="5" t="n">
        <v>390</v>
      </c>
      <c r="B418" s="5" t="n">
        <v>0</v>
      </c>
      <c r="C418" s="5" t="n">
        <v>9</v>
      </c>
      <c r="D418" s="5" t="n">
        <v>1449</v>
      </c>
      <c r="E418" s="5" t="n">
        <v>27</v>
      </c>
      <c r="F418" s="5" t="n">
        <v>3</v>
      </c>
      <c r="G418" s="5" t="n">
        <v>0</v>
      </c>
      <c r="H418" s="5" t="n">
        <v>0</v>
      </c>
      <c r="I418" s="5" t="n">
        <v>0</v>
      </c>
      <c r="J418" s="5" t="n">
        <v>0</v>
      </c>
      <c r="K418" s="5" t="n">
        <v>0</v>
      </c>
      <c r="L418" s="5" t="n">
        <v>0</v>
      </c>
      <c r="M418" s="5" t="n">
        <v>0</v>
      </c>
      <c r="N418" s="5" t="n">
        <v>0</v>
      </c>
      <c r="O418" s="5" t="n">
        <v>0</v>
      </c>
      <c r="P418" s="5" t="n">
        <v>0</v>
      </c>
      <c r="Q418" s="5" t="n">
        <v>0</v>
      </c>
      <c r="R418" s="5" t="n">
        <v>0</v>
      </c>
      <c r="S418" s="5" t="n">
        <v>0</v>
      </c>
      <c r="T418" s="5" t="n">
        <v>0</v>
      </c>
      <c r="U418" s="5" t="inlineStr">
        <is>
          <t>training</t>
        </is>
      </c>
    </row>
    <row r="419">
      <c r="A419" s="5" t="n">
        <v>391</v>
      </c>
      <c r="B419" s="5" t="n">
        <v>0</v>
      </c>
      <c r="C419" s="5" t="n">
        <v>18</v>
      </c>
      <c r="D419" s="5" t="n">
        <v>1820</v>
      </c>
      <c r="E419" s="5" t="n">
        <v>30</v>
      </c>
      <c r="F419" s="5" t="n">
        <v>2</v>
      </c>
      <c r="G419" s="5" t="n">
        <v>0</v>
      </c>
      <c r="H419" s="5" t="n">
        <v>0</v>
      </c>
      <c r="I419" s="5" t="n">
        <v>0</v>
      </c>
      <c r="J419" s="5" t="n">
        <v>0</v>
      </c>
      <c r="K419" s="5" t="n">
        <v>0</v>
      </c>
      <c r="L419" s="5" t="n">
        <v>0</v>
      </c>
      <c r="M419" s="5" t="n">
        <v>0</v>
      </c>
      <c r="N419" s="5" t="n">
        <v>0</v>
      </c>
      <c r="O419" s="5" t="n">
        <v>0</v>
      </c>
      <c r="P419" s="5" t="n">
        <v>0</v>
      </c>
      <c r="Q419" s="5" t="n">
        <v>0</v>
      </c>
      <c r="R419" s="5" t="n">
        <v>1</v>
      </c>
      <c r="S419" s="5" t="n">
        <v>0</v>
      </c>
      <c r="T419" s="5" t="n">
        <v>0</v>
      </c>
      <c r="U419" s="5" t="inlineStr">
        <is>
          <t>training</t>
        </is>
      </c>
    </row>
    <row r="420">
      <c r="A420" s="5" t="n">
        <v>392</v>
      </c>
      <c r="B420" s="5" t="n">
        <v>0</v>
      </c>
      <c r="C420" s="5" t="n">
        <v>12</v>
      </c>
      <c r="D420" s="5" t="n">
        <v>983</v>
      </c>
      <c r="E420" s="5" t="n">
        <v>19</v>
      </c>
      <c r="F420" s="5" t="n">
        <v>1</v>
      </c>
      <c r="G420" s="5" t="n">
        <v>0</v>
      </c>
      <c r="H420" s="5" t="n">
        <v>1</v>
      </c>
      <c r="I420" s="5" t="n">
        <v>0</v>
      </c>
      <c r="J420" s="5" t="n">
        <v>0</v>
      </c>
      <c r="K420" s="5" t="n">
        <v>0</v>
      </c>
      <c r="L420" s="5" t="n">
        <v>0</v>
      </c>
      <c r="M420" s="5" t="n">
        <v>0</v>
      </c>
      <c r="N420" s="5" t="n">
        <v>1</v>
      </c>
      <c r="O420" s="5" t="n">
        <v>0</v>
      </c>
      <c r="P420" s="5" t="n">
        <v>1</v>
      </c>
      <c r="Q420" s="5" t="n">
        <v>0</v>
      </c>
      <c r="R420" s="5" t="n">
        <v>0</v>
      </c>
      <c r="S420" s="5" t="n">
        <v>0</v>
      </c>
      <c r="T420" s="5" t="n">
        <v>1</v>
      </c>
      <c r="U420" s="5" t="inlineStr">
        <is>
          <t>testing</t>
        </is>
      </c>
    </row>
    <row r="421">
      <c r="A421" s="5" t="n">
        <v>393</v>
      </c>
      <c r="B421" s="5" t="n">
        <v>0</v>
      </c>
      <c r="C421" s="5" t="n">
        <v>36</v>
      </c>
      <c r="D421" s="5" t="n">
        <v>3249</v>
      </c>
      <c r="E421" s="5" t="n">
        <v>39</v>
      </c>
      <c r="F421" s="5" t="n">
        <v>2</v>
      </c>
      <c r="G421" s="5" t="n">
        <v>1</v>
      </c>
      <c r="H421" s="5" t="n">
        <v>0</v>
      </c>
      <c r="I421" s="5" t="n">
        <v>0</v>
      </c>
      <c r="J421" s="5" t="n">
        <v>0</v>
      </c>
      <c r="K421" s="5" t="n">
        <v>0</v>
      </c>
      <c r="L421" s="5" t="n">
        <v>0</v>
      </c>
      <c r="M421" s="5" t="n">
        <v>0</v>
      </c>
      <c r="N421" s="5" t="n">
        <v>0</v>
      </c>
      <c r="O421" s="5" t="n">
        <v>0</v>
      </c>
      <c r="P421" s="5" t="n">
        <v>0</v>
      </c>
      <c r="Q421" s="5" t="n">
        <v>1</v>
      </c>
      <c r="R421" s="5" t="n">
        <v>1</v>
      </c>
      <c r="S421" s="5" t="n">
        <v>0</v>
      </c>
      <c r="T421" s="5" t="n">
        <v>0</v>
      </c>
      <c r="U421" s="5" t="inlineStr">
        <is>
          <t>testing</t>
        </is>
      </c>
    </row>
    <row r="422">
      <c r="A422" s="5" t="n">
        <v>394</v>
      </c>
      <c r="B422" s="5" t="n">
        <v>0</v>
      </c>
      <c r="C422" s="5" t="n">
        <v>6</v>
      </c>
      <c r="D422" s="5" t="n">
        <v>1957</v>
      </c>
      <c r="E422" s="5" t="n">
        <v>31</v>
      </c>
      <c r="F422" s="5" t="n">
        <v>1</v>
      </c>
      <c r="G422" s="5" t="n">
        <v>1</v>
      </c>
      <c r="H422" s="5" t="n">
        <v>0</v>
      </c>
      <c r="I422" s="5" t="n">
        <v>0</v>
      </c>
      <c r="J422" s="5" t="n">
        <v>1</v>
      </c>
      <c r="K422" s="5" t="n">
        <v>0</v>
      </c>
      <c r="L422" s="5" t="n">
        <v>0</v>
      </c>
      <c r="M422" s="5" t="n">
        <v>0</v>
      </c>
      <c r="N422" s="5" t="n">
        <v>0</v>
      </c>
      <c r="O422" s="5" t="n">
        <v>0</v>
      </c>
      <c r="P422" s="5" t="n">
        <v>0</v>
      </c>
      <c r="Q422" s="5" t="n">
        <v>0</v>
      </c>
      <c r="R422" s="5" t="n">
        <v>0</v>
      </c>
      <c r="S422" s="5" t="n">
        <v>1</v>
      </c>
      <c r="T422" s="5" t="n">
        <v>0</v>
      </c>
      <c r="U422" s="5" t="inlineStr">
        <is>
          <t>testing</t>
        </is>
      </c>
    </row>
    <row r="423">
      <c r="A423" s="5" t="n">
        <v>395</v>
      </c>
      <c r="B423" s="5" t="n">
        <v>0</v>
      </c>
      <c r="C423" s="5" t="n">
        <v>9</v>
      </c>
      <c r="D423" s="5" t="n">
        <v>2406</v>
      </c>
      <c r="E423" s="5" t="n">
        <v>31</v>
      </c>
      <c r="F423" s="5" t="n">
        <v>2</v>
      </c>
      <c r="G423" s="5" t="n">
        <v>0</v>
      </c>
      <c r="H423" s="5" t="n">
        <v>0</v>
      </c>
      <c r="I423" s="5" t="n">
        <v>0</v>
      </c>
      <c r="J423" s="5" t="n">
        <v>1</v>
      </c>
      <c r="K423" s="5" t="n">
        <v>0</v>
      </c>
      <c r="L423" s="5" t="n">
        <v>0</v>
      </c>
      <c r="M423" s="5" t="n">
        <v>0</v>
      </c>
      <c r="N423" s="5" t="n">
        <v>0</v>
      </c>
      <c r="O423" s="5" t="n">
        <v>0</v>
      </c>
      <c r="P423" s="5" t="n">
        <v>0</v>
      </c>
      <c r="Q423" s="5" t="n">
        <v>0</v>
      </c>
      <c r="R423" s="5" t="n">
        <v>0</v>
      </c>
      <c r="S423" s="5" t="n">
        <v>0</v>
      </c>
      <c r="T423" s="5" t="n">
        <v>1</v>
      </c>
      <c r="U423" s="5" t="inlineStr">
        <is>
          <t>training</t>
        </is>
      </c>
    </row>
    <row r="424">
      <c r="A424" s="5" t="n">
        <v>396</v>
      </c>
      <c r="B424" s="5" t="n">
        <v>0</v>
      </c>
      <c r="C424" s="5" t="n">
        <v>39</v>
      </c>
      <c r="D424" s="5" t="n">
        <v>11760</v>
      </c>
      <c r="E424" s="5" t="n">
        <v>32</v>
      </c>
      <c r="F424" s="5" t="n">
        <v>2</v>
      </c>
      <c r="G424" s="5" t="n">
        <v>0</v>
      </c>
      <c r="H424" s="5" t="n">
        <v>1</v>
      </c>
      <c r="I424" s="5" t="n">
        <v>0</v>
      </c>
      <c r="J424" s="5" t="n">
        <v>0</v>
      </c>
      <c r="K424" s="5" t="n">
        <v>1</v>
      </c>
      <c r="L424" s="5" t="n">
        <v>0</v>
      </c>
      <c r="M424" s="5" t="n">
        <v>1</v>
      </c>
      <c r="N424" s="5" t="n">
        <v>0</v>
      </c>
      <c r="O424" s="5" t="n">
        <v>0</v>
      </c>
      <c r="P424" s="5" t="n">
        <v>1</v>
      </c>
      <c r="Q424" s="5" t="n">
        <v>0</v>
      </c>
      <c r="R424" s="5" t="n">
        <v>0</v>
      </c>
      <c r="S424" s="5" t="n">
        <v>0</v>
      </c>
      <c r="T424" s="5" t="n">
        <v>0</v>
      </c>
      <c r="U424" s="5" t="inlineStr">
        <is>
          <t>training</t>
        </is>
      </c>
    </row>
    <row r="425">
      <c r="A425" s="5" t="n">
        <v>397</v>
      </c>
      <c r="B425" s="5" t="n">
        <v>0</v>
      </c>
      <c r="C425" s="5" t="n">
        <v>12</v>
      </c>
      <c r="D425" s="5" t="n">
        <v>2578</v>
      </c>
      <c r="E425" s="5" t="n">
        <v>55</v>
      </c>
      <c r="F425" s="5" t="n">
        <v>3</v>
      </c>
      <c r="G425" s="5" t="n">
        <v>1</v>
      </c>
      <c r="H425" s="5" t="n">
        <v>0</v>
      </c>
      <c r="I425" s="5" t="n">
        <v>0</v>
      </c>
      <c r="J425" s="5" t="n">
        <v>0</v>
      </c>
      <c r="K425" s="5" t="n">
        <v>0</v>
      </c>
      <c r="L425" s="5" t="n">
        <v>0</v>
      </c>
      <c r="M425" s="5" t="n">
        <v>0</v>
      </c>
      <c r="N425" s="5" t="n">
        <v>0</v>
      </c>
      <c r="O425" s="5" t="n">
        <v>0</v>
      </c>
      <c r="P425" s="5" t="n">
        <v>0</v>
      </c>
      <c r="Q425" s="5" t="n">
        <v>1</v>
      </c>
      <c r="R425" s="5" t="n">
        <v>0</v>
      </c>
      <c r="S425" s="5" t="n">
        <v>0</v>
      </c>
      <c r="T425" s="5" t="n">
        <v>1</v>
      </c>
      <c r="U425" s="5" t="inlineStr">
        <is>
          <t>testing</t>
        </is>
      </c>
    </row>
    <row r="426">
      <c r="A426" s="5" t="n">
        <v>398</v>
      </c>
      <c r="B426" s="5" t="n">
        <v>0</v>
      </c>
      <c r="C426" s="5" t="n">
        <v>36</v>
      </c>
      <c r="D426" s="5" t="n">
        <v>2348</v>
      </c>
      <c r="E426" s="5" t="n">
        <v>46</v>
      </c>
      <c r="F426" s="5" t="n">
        <v>3</v>
      </c>
      <c r="G426" s="5" t="n">
        <v>1</v>
      </c>
      <c r="H426" s="5" t="n">
        <v>0</v>
      </c>
      <c r="I426" s="5" t="n">
        <v>0</v>
      </c>
      <c r="J426" s="5" t="n">
        <v>1</v>
      </c>
      <c r="K426" s="5" t="n">
        <v>0</v>
      </c>
      <c r="L426" s="5" t="n">
        <v>0</v>
      </c>
      <c r="M426" s="5" t="n">
        <v>0</v>
      </c>
      <c r="N426" s="5" t="n">
        <v>0</v>
      </c>
      <c r="O426" s="5" t="n">
        <v>0</v>
      </c>
      <c r="P426" s="5" t="n">
        <v>0</v>
      </c>
      <c r="Q426" s="5" t="n">
        <v>0</v>
      </c>
      <c r="R426" s="5" t="n">
        <v>0</v>
      </c>
      <c r="S426" s="5" t="n">
        <v>0</v>
      </c>
      <c r="T426" s="5" t="n">
        <v>1</v>
      </c>
      <c r="U426" s="5" t="inlineStr">
        <is>
          <t>testing</t>
        </is>
      </c>
    </row>
    <row r="427">
      <c r="A427" s="5" t="n">
        <v>399</v>
      </c>
      <c r="B427" s="5" t="n">
        <v>1</v>
      </c>
      <c r="C427" s="5" t="n">
        <v>12</v>
      </c>
      <c r="D427" s="5" t="n">
        <v>1223</v>
      </c>
      <c r="E427" s="5" t="n">
        <v>46</v>
      </c>
      <c r="F427" s="5" t="n">
        <v>1</v>
      </c>
      <c r="G427" s="5" t="n">
        <v>0</v>
      </c>
      <c r="H427" s="5" t="n">
        <v>1</v>
      </c>
      <c r="I427" s="5" t="n">
        <v>0</v>
      </c>
      <c r="J427" s="5" t="n">
        <v>0</v>
      </c>
      <c r="K427" s="5" t="n">
        <v>0</v>
      </c>
      <c r="L427" s="5" t="n">
        <v>0</v>
      </c>
      <c r="M427" s="5" t="n">
        <v>0</v>
      </c>
      <c r="N427" s="5" t="n">
        <v>0</v>
      </c>
      <c r="O427" s="5" t="n">
        <v>0</v>
      </c>
      <c r="P427" s="5" t="n">
        <v>1</v>
      </c>
      <c r="Q427" s="5" t="n">
        <v>0</v>
      </c>
      <c r="R427" s="5" t="n">
        <v>1</v>
      </c>
      <c r="S427" s="5" t="n">
        <v>0</v>
      </c>
      <c r="T427" s="5" t="n">
        <v>0</v>
      </c>
      <c r="U427" s="5" t="inlineStr">
        <is>
          <t>training</t>
        </is>
      </c>
    </row>
    <row r="428">
      <c r="A428" s="5" t="n">
        <v>400</v>
      </c>
      <c r="B428" s="5" t="n">
        <v>0</v>
      </c>
      <c r="C428" s="5" t="n">
        <v>24</v>
      </c>
      <c r="D428" s="5" t="n">
        <v>1516</v>
      </c>
      <c r="E428" s="5" t="n">
        <v>43</v>
      </c>
      <c r="F428" s="5" t="n">
        <v>4</v>
      </c>
      <c r="G428" s="5" t="n">
        <v>0</v>
      </c>
      <c r="H428" s="5" t="n">
        <v>0</v>
      </c>
      <c r="I428" s="5" t="n">
        <v>0</v>
      </c>
      <c r="J428" s="5" t="n">
        <v>1</v>
      </c>
      <c r="K428" s="5" t="n">
        <v>0</v>
      </c>
      <c r="L428" s="5" t="n">
        <v>0</v>
      </c>
      <c r="M428" s="5" t="n">
        <v>0</v>
      </c>
      <c r="N428" s="5" t="n">
        <v>1</v>
      </c>
      <c r="O428" s="5" t="n">
        <v>0</v>
      </c>
      <c r="P428" s="5" t="n">
        <v>0</v>
      </c>
      <c r="Q428" s="5" t="n">
        <v>0</v>
      </c>
      <c r="R428" s="5" t="n">
        <v>0</v>
      </c>
      <c r="S428" s="5" t="n">
        <v>1</v>
      </c>
      <c r="T428" s="5" t="n">
        <v>0</v>
      </c>
      <c r="U428" s="5" t="inlineStr">
        <is>
          <t>training</t>
        </is>
      </c>
    </row>
    <row r="429">
      <c r="A429" s="5" t="n">
        <v>401</v>
      </c>
      <c r="B429" s="5" t="n">
        <v>0</v>
      </c>
      <c r="C429" s="5" t="n">
        <v>18</v>
      </c>
      <c r="D429" s="5" t="n">
        <v>1473</v>
      </c>
      <c r="E429" s="5" t="n">
        <v>39</v>
      </c>
      <c r="F429" s="5" t="n">
        <v>3</v>
      </c>
      <c r="G429" s="5" t="n">
        <v>0</v>
      </c>
      <c r="H429" s="5" t="n">
        <v>0</v>
      </c>
      <c r="I429" s="5" t="n">
        <v>0</v>
      </c>
      <c r="J429" s="5" t="n">
        <v>0</v>
      </c>
      <c r="K429" s="5" t="n">
        <v>0</v>
      </c>
      <c r="L429" s="5" t="n">
        <v>0</v>
      </c>
      <c r="M429" s="5" t="n">
        <v>0</v>
      </c>
      <c r="N429" s="5" t="n">
        <v>0</v>
      </c>
      <c r="O429" s="5" t="n">
        <v>0</v>
      </c>
      <c r="P429" s="5" t="n">
        <v>0</v>
      </c>
      <c r="Q429" s="5" t="n">
        <v>0</v>
      </c>
      <c r="R429" s="5" t="n">
        <v>0</v>
      </c>
      <c r="S429" s="5" t="n">
        <v>1</v>
      </c>
      <c r="T429" s="5" t="n">
        <v>0</v>
      </c>
      <c r="U429" s="5" t="inlineStr">
        <is>
          <t>testing</t>
        </is>
      </c>
    </row>
    <row r="430">
      <c r="A430" s="5" t="n">
        <v>402</v>
      </c>
      <c r="B430" s="5" t="n">
        <v>0</v>
      </c>
      <c r="C430" s="5" t="n">
        <v>18</v>
      </c>
      <c r="D430" s="5" t="n">
        <v>1887</v>
      </c>
      <c r="E430" s="5" t="n">
        <v>28</v>
      </c>
      <c r="F430" s="5" t="n">
        <v>4</v>
      </c>
      <c r="G430" s="5" t="n">
        <v>0</v>
      </c>
      <c r="H430" s="5" t="n">
        <v>1</v>
      </c>
      <c r="I430" s="5" t="n">
        <v>0</v>
      </c>
      <c r="J430" s="5" t="n">
        <v>1</v>
      </c>
      <c r="K430" s="5" t="n">
        <v>0</v>
      </c>
      <c r="L430" s="5" t="n">
        <v>0</v>
      </c>
      <c r="M430" s="5" t="n">
        <v>0</v>
      </c>
      <c r="N430" s="5" t="n">
        <v>0</v>
      </c>
      <c r="O430" s="5" t="n">
        <v>1</v>
      </c>
      <c r="P430" s="5" t="n">
        <v>0</v>
      </c>
      <c r="Q430" s="5" t="n">
        <v>0</v>
      </c>
      <c r="R430" s="5" t="n">
        <v>0</v>
      </c>
      <c r="S430" s="5" t="n">
        <v>0</v>
      </c>
      <c r="T430" s="5" t="n">
        <v>0</v>
      </c>
      <c r="U430" s="5" t="inlineStr">
        <is>
          <t>training</t>
        </is>
      </c>
    </row>
    <row r="431">
      <c r="A431" s="5" t="n">
        <v>403</v>
      </c>
      <c r="B431" s="5" t="n">
        <v>1</v>
      </c>
      <c r="C431" s="5" t="n">
        <v>24</v>
      </c>
      <c r="D431" s="5" t="n">
        <v>8648</v>
      </c>
      <c r="E431" s="5" t="n">
        <v>27</v>
      </c>
      <c r="F431" s="5" t="n">
        <v>2</v>
      </c>
      <c r="G431" s="5" t="n">
        <v>0</v>
      </c>
      <c r="H431" s="5" t="n">
        <v>0</v>
      </c>
      <c r="I431" s="5" t="n">
        <v>0</v>
      </c>
      <c r="J431" s="5" t="n">
        <v>0</v>
      </c>
      <c r="K431" s="5" t="n">
        <v>1</v>
      </c>
      <c r="L431" s="5" t="n">
        <v>0</v>
      </c>
      <c r="M431" s="5" t="n">
        <v>0</v>
      </c>
      <c r="N431" s="5" t="n">
        <v>0</v>
      </c>
      <c r="O431" s="5" t="n">
        <v>0</v>
      </c>
      <c r="P431" s="5" t="n">
        <v>0</v>
      </c>
      <c r="Q431" s="5" t="n">
        <v>0</v>
      </c>
      <c r="R431" s="5" t="n">
        <v>0</v>
      </c>
      <c r="S431" s="5" t="n">
        <v>0</v>
      </c>
      <c r="T431" s="5" t="n">
        <v>0</v>
      </c>
      <c r="U431" s="5" t="inlineStr">
        <is>
          <t>training</t>
        </is>
      </c>
    </row>
    <row r="432">
      <c r="A432" s="5" t="n">
        <v>404</v>
      </c>
      <c r="B432" s="5" t="n">
        <v>0</v>
      </c>
      <c r="C432" s="5" t="n">
        <v>14</v>
      </c>
      <c r="D432" s="5" t="n">
        <v>802</v>
      </c>
      <c r="E432" s="5" t="n">
        <v>27</v>
      </c>
      <c r="F432" s="5" t="n">
        <v>4</v>
      </c>
      <c r="G432" s="5" t="n">
        <v>0</v>
      </c>
      <c r="H432" s="5" t="n">
        <v>0</v>
      </c>
      <c r="I432" s="5" t="n">
        <v>0</v>
      </c>
      <c r="J432" s="5" t="n">
        <v>0</v>
      </c>
      <c r="K432" s="5" t="n">
        <v>1</v>
      </c>
      <c r="L432" s="5" t="n">
        <v>0</v>
      </c>
      <c r="M432" s="5" t="n">
        <v>0</v>
      </c>
      <c r="N432" s="5" t="n">
        <v>0</v>
      </c>
      <c r="O432" s="5" t="n">
        <v>0</v>
      </c>
      <c r="P432" s="5" t="n">
        <v>0</v>
      </c>
      <c r="Q432" s="5" t="n">
        <v>0</v>
      </c>
      <c r="R432" s="5" t="n">
        <v>1</v>
      </c>
      <c r="S432" s="5" t="n">
        <v>0</v>
      </c>
      <c r="T432" s="5" t="n">
        <v>0</v>
      </c>
      <c r="U432" s="5" t="inlineStr">
        <is>
          <t>training</t>
        </is>
      </c>
    </row>
    <row r="433">
      <c r="A433" s="5" t="n">
        <v>405</v>
      </c>
      <c r="B433" s="5" t="n">
        <v>0</v>
      </c>
      <c r="C433" s="5" t="n">
        <v>18</v>
      </c>
      <c r="D433" s="5" t="n">
        <v>2899</v>
      </c>
      <c r="E433" s="5" t="n">
        <v>43</v>
      </c>
      <c r="F433" s="5" t="n">
        <v>4</v>
      </c>
      <c r="G433" s="5" t="n">
        <v>0</v>
      </c>
      <c r="H433" s="5" t="n">
        <v>1</v>
      </c>
      <c r="I433" s="5" t="n">
        <v>0</v>
      </c>
      <c r="J433" s="5" t="n">
        <v>0</v>
      </c>
      <c r="K433" s="5" t="n">
        <v>1</v>
      </c>
      <c r="L433" s="5" t="n">
        <v>0</v>
      </c>
      <c r="M433" s="5" t="n">
        <v>0</v>
      </c>
      <c r="N433" s="5" t="n">
        <v>0</v>
      </c>
      <c r="O433" s="5" t="n">
        <v>1</v>
      </c>
      <c r="P433" s="5" t="n">
        <v>0</v>
      </c>
      <c r="Q433" s="5" t="n">
        <v>0</v>
      </c>
      <c r="R433" s="5" t="n">
        <v>1</v>
      </c>
      <c r="S433" s="5" t="n">
        <v>0</v>
      </c>
      <c r="T433" s="5" t="n">
        <v>0</v>
      </c>
      <c r="U433" s="5" t="inlineStr">
        <is>
          <t>training</t>
        </is>
      </c>
    </row>
    <row r="434">
      <c r="A434" s="5" t="n">
        <v>406</v>
      </c>
      <c r="B434" s="5" t="n">
        <v>1</v>
      </c>
      <c r="C434" s="5" t="n">
        <v>24</v>
      </c>
      <c r="D434" s="5" t="n">
        <v>2039</v>
      </c>
      <c r="E434" s="5" t="n">
        <v>22</v>
      </c>
      <c r="F434" s="5" t="n">
        <v>1</v>
      </c>
      <c r="G434" s="5" t="n">
        <v>0</v>
      </c>
      <c r="H434" s="5" t="n">
        <v>1</v>
      </c>
      <c r="I434" s="5" t="n">
        <v>0</v>
      </c>
      <c r="J434" s="5" t="n">
        <v>0</v>
      </c>
      <c r="K434" s="5" t="n">
        <v>0</v>
      </c>
      <c r="L434" s="5" t="n">
        <v>0</v>
      </c>
      <c r="M434" s="5" t="n">
        <v>0</v>
      </c>
      <c r="N434" s="5" t="n">
        <v>0</v>
      </c>
      <c r="O434" s="5" t="n">
        <v>0</v>
      </c>
      <c r="P434" s="5" t="n">
        <v>0</v>
      </c>
      <c r="Q434" s="5" t="n">
        <v>0</v>
      </c>
      <c r="R434" s="5" t="n">
        <v>0</v>
      </c>
      <c r="S434" s="5" t="n">
        <v>1</v>
      </c>
      <c r="T434" s="5" t="n">
        <v>0</v>
      </c>
      <c r="U434" s="5" t="inlineStr">
        <is>
          <t>training</t>
        </is>
      </c>
    </row>
    <row r="435">
      <c r="A435" s="5" t="n">
        <v>407</v>
      </c>
      <c r="B435" s="5" t="n">
        <v>0</v>
      </c>
      <c r="C435" s="5" t="n">
        <v>24</v>
      </c>
      <c r="D435" s="5" t="n">
        <v>2197</v>
      </c>
      <c r="E435" s="5" t="n">
        <v>43</v>
      </c>
      <c r="F435" s="5" t="n">
        <v>4</v>
      </c>
      <c r="G435" s="5" t="n">
        <v>0</v>
      </c>
      <c r="H435" s="5" t="n">
        <v>0</v>
      </c>
      <c r="I435" s="5" t="n">
        <v>0</v>
      </c>
      <c r="J435" s="5" t="n">
        <v>1</v>
      </c>
      <c r="K435" s="5" t="n">
        <v>0</v>
      </c>
      <c r="L435" s="5" t="n">
        <v>0</v>
      </c>
      <c r="M435" s="5" t="n">
        <v>0</v>
      </c>
      <c r="N435" s="5" t="n">
        <v>0</v>
      </c>
      <c r="O435" s="5" t="n">
        <v>1</v>
      </c>
      <c r="P435" s="5" t="n">
        <v>0</v>
      </c>
      <c r="Q435" s="5" t="n">
        <v>0</v>
      </c>
      <c r="R435" s="5" t="n">
        <v>1</v>
      </c>
      <c r="S435" s="5" t="n">
        <v>0</v>
      </c>
      <c r="T435" s="5" t="n">
        <v>0</v>
      </c>
      <c r="U435" s="5" t="inlineStr">
        <is>
          <t>training</t>
        </is>
      </c>
    </row>
    <row r="436">
      <c r="A436" s="5" t="n">
        <v>408</v>
      </c>
      <c r="B436" s="5" t="n">
        <v>0</v>
      </c>
      <c r="C436" s="5" t="n">
        <v>15</v>
      </c>
      <c r="D436" s="5" t="n">
        <v>1053</v>
      </c>
      <c r="E436" s="5" t="n">
        <v>27</v>
      </c>
      <c r="F436" s="5" t="n">
        <v>4</v>
      </c>
      <c r="G436" s="5" t="n">
        <v>1</v>
      </c>
      <c r="H436" s="5" t="n">
        <v>0</v>
      </c>
      <c r="I436" s="5" t="n">
        <v>0</v>
      </c>
      <c r="J436" s="5" t="n">
        <v>0</v>
      </c>
      <c r="K436" s="5" t="n">
        <v>0</v>
      </c>
      <c r="L436" s="5" t="n">
        <v>0</v>
      </c>
      <c r="M436" s="5" t="n">
        <v>0</v>
      </c>
      <c r="N436" s="5" t="n">
        <v>0</v>
      </c>
      <c r="O436" s="5" t="n">
        <v>0</v>
      </c>
      <c r="P436" s="5" t="n">
        <v>0</v>
      </c>
      <c r="Q436" s="5" t="n">
        <v>0</v>
      </c>
      <c r="R436" s="5" t="n">
        <v>0</v>
      </c>
      <c r="S436" s="5" t="n">
        <v>1</v>
      </c>
      <c r="T436" s="5" t="n">
        <v>0</v>
      </c>
      <c r="U436" s="5" t="inlineStr">
        <is>
          <t>testing</t>
        </is>
      </c>
    </row>
    <row r="437">
      <c r="A437" s="5" t="n">
        <v>409</v>
      </c>
      <c r="B437" s="5" t="n">
        <v>0</v>
      </c>
      <c r="C437" s="5" t="n">
        <v>24</v>
      </c>
      <c r="D437" s="5" t="n">
        <v>3235</v>
      </c>
      <c r="E437" s="5" t="n">
        <v>26</v>
      </c>
      <c r="F437" s="5" t="n">
        <v>3</v>
      </c>
      <c r="G437" s="5" t="n">
        <v>0</v>
      </c>
      <c r="H437" s="5" t="n">
        <v>0</v>
      </c>
      <c r="I437" s="5" t="n">
        <v>0</v>
      </c>
      <c r="J437" s="5" t="n">
        <v>0</v>
      </c>
      <c r="K437" s="5" t="n">
        <v>0</v>
      </c>
      <c r="L437" s="5" t="n">
        <v>0</v>
      </c>
      <c r="M437" s="5" t="n">
        <v>1</v>
      </c>
      <c r="N437" s="5" t="n">
        <v>0</v>
      </c>
      <c r="O437" s="5" t="n">
        <v>0</v>
      </c>
      <c r="P437" s="5" t="n">
        <v>0</v>
      </c>
      <c r="Q437" s="5" t="n">
        <v>0</v>
      </c>
      <c r="R437" s="5" t="n">
        <v>0</v>
      </c>
      <c r="S437" s="5" t="n">
        <v>1</v>
      </c>
      <c r="T437" s="5" t="n">
        <v>0</v>
      </c>
      <c r="U437" s="5" t="inlineStr">
        <is>
          <t>training</t>
        </is>
      </c>
    </row>
    <row r="438">
      <c r="A438" s="5" t="n">
        <v>410</v>
      </c>
      <c r="B438" s="5" t="n">
        <v>1</v>
      </c>
      <c r="C438" s="5" t="n">
        <v>12</v>
      </c>
      <c r="D438" s="5" t="n">
        <v>939</v>
      </c>
      <c r="E438" s="5" t="n">
        <v>28</v>
      </c>
      <c r="F438" s="5" t="n">
        <v>4</v>
      </c>
      <c r="G438" s="5" t="n">
        <v>0</v>
      </c>
      <c r="H438" s="5" t="n">
        <v>0</v>
      </c>
      <c r="I438" s="5" t="n">
        <v>1</v>
      </c>
      <c r="J438" s="5" t="n">
        <v>1</v>
      </c>
      <c r="K438" s="5" t="n">
        <v>0</v>
      </c>
      <c r="L438" s="5" t="n">
        <v>0</v>
      </c>
      <c r="M438" s="5" t="n">
        <v>1</v>
      </c>
      <c r="N438" s="5" t="n">
        <v>0</v>
      </c>
      <c r="O438" s="5" t="n">
        <v>0</v>
      </c>
      <c r="P438" s="5" t="n">
        <v>0</v>
      </c>
      <c r="Q438" s="5" t="n">
        <v>0</v>
      </c>
      <c r="R438" s="5" t="n">
        <v>1</v>
      </c>
      <c r="S438" s="5" t="n">
        <v>0</v>
      </c>
      <c r="T438" s="5" t="n">
        <v>0</v>
      </c>
      <c r="U438" s="5" t="inlineStr">
        <is>
          <t>testing</t>
        </is>
      </c>
    </row>
    <row r="439">
      <c r="A439" s="5" t="n">
        <v>411</v>
      </c>
      <c r="B439" s="5" t="n">
        <v>0</v>
      </c>
      <c r="C439" s="5" t="n">
        <v>24</v>
      </c>
      <c r="D439" s="5" t="n">
        <v>1967</v>
      </c>
      <c r="E439" s="5" t="n">
        <v>20</v>
      </c>
      <c r="F439" s="5" t="n">
        <v>4</v>
      </c>
      <c r="G439" s="5" t="n">
        <v>0</v>
      </c>
      <c r="H439" s="5" t="n">
        <v>1</v>
      </c>
      <c r="I439" s="5" t="n">
        <v>0</v>
      </c>
      <c r="J439" s="5" t="n">
        <v>0</v>
      </c>
      <c r="K439" s="5" t="n">
        <v>0</v>
      </c>
      <c r="L439" s="5" t="n">
        <v>0</v>
      </c>
      <c r="M439" s="5" t="n">
        <v>0</v>
      </c>
      <c r="N439" s="5" t="n">
        <v>0</v>
      </c>
      <c r="O439" s="5" t="n">
        <v>0</v>
      </c>
      <c r="P439" s="5" t="n">
        <v>0</v>
      </c>
      <c r="Q439" s="5" t="n">
        <v>0</v>
      </c>
      <c r="R439" s="5" t="n">
        <v>0</v>
      </c>
      <c r="S439" s="5" t="n">
        <v>1</v>
      </c>
      <c r="T439" s="5" t="n">
        <v>0</v>
      </c>
      <c r="U439" s="5" t="inlineStr">
        <is>
          <t>testing</t>
        </is>
      </c>
    </row>
    <row r="440">
      <c r="A440" s="5" t="n">
        <v>412</v>
      </c>
      <c r="B440" s="5" t="n">
        <v>0</v>
      </c>
      <c r="C440" s="5" t="n">
        <v>33</v>
      </c>
      <c r="D440" s="5" t="n">
        <v>7253</v>
      </c>
      <c r="E440" s="5" t="n">
        <v>35</v>
      </c>
      <c r="F440" s="5" t="n">
        <v>3</v>
      </c>
      <c r="G440" s="5" t="n">
        <v>0</v>
      </c>
      <c r="H440" s="5" t="n">
        <v>0</v>
      </c>
      <c r="I440" s="5" t="n">
        <v>0</v>
      </c>
      <c r="J440" s="5" t="n">
        <v>1</v>
      </c>
      <c r="K440" s="5" t="n">
        <v>0</v>
      </c>
      <c r="L440" s="5" t="n">
        <v>0</v>
      </c>
      <c r="M440" s="5" t="n">
        <v>0</v>
      </c>
      <c r="N440" s="5" t="n">
        <v>0</v>
      </c>
      <c r="O440" s="5" t="n">
        <v>0</v>
      </c>
      <c r="P440" s="5" t="n">
        <v>0</v>
      </c>
      <c r="Q440" s="5" t="n">
        <v>0</v>
      </c>
      <c r="R440" s="5" t="n">
        <v>1</v>
      </c>
      <c r="S440" s="5" t="n">
        <v>0</v>
      </c>
      <c r="T440" s="5" t="n">
        <v>0</v>
      </c>
      <c r="U440" s="5" t="inlineStr">
        <is>
          <t>testing</t>
        </is>
      </c>
    </row>
    <row r="441">
      <c r="A441" s="5" t="n">
        <v>413</v>
      </c>
      <c r="B441" s="5" t="n">
        <v>1</v>
      </c>
      <c r="C441" s="5" t="n">
        <v>12</v>
      </c>
      <c r="D441" s="5" t="n">
        <v>2292</v>
      </c>
      <c r="E441" s="5" t="n">
        <v>42</v>
      </c>
      <c r="F441" s="5" t="n">
        <v>4</v>
      </c>
      <c r="G441" s="5" t="n">
        <v>0</v>
      </c>
      <c r="H441" s="5" t="n">
        <v>0</v>
      </c>
      <c r="I441" s="5" t="n">
        <v>0</v>
      </c>
      <c r="J441" s="5" t="n">
        <v>1</v>
      </c>
      <c r="K441" s="5" t="n">
        <v>0</v>
      </c>
      <c r="L441" s="5" t="n">
        <v>0</v>
      </c>
      <c r="M441" s="5" t="n">
        <v>0</v>
      </c>
      <c r="N441" s="5" t="n">
        <v>0</v>
      </c>
      <c r="O441" s="5" t="n">
        <v>0</v>
      </c>
      <c r="P441" s="5" t="n">
        <v>0</v>
      </c>
      <c r="Q441" s="5" t="n">
        <v>0</v>
      </c>
      <c r="R441" s="5" t="n">
        <v>0</v>
      </c>
      <c r="S441" s="5" t="n">
        <v>0</v>
      </c>
      <c r="T441" s="5" t="n">
        <v>0</v>
      </c>
      <c r="U441" s="5" t="inlineStr">
        <is>
          <t>training</t>
        </is>
      </c>
    </row>
    <row r="442">
      <c r="A442" s="5" t="n">
        <v>414</v>
      </c>
      <c r="B442" s="5" t="n">
        <v>0</v>
      </c>
      <c r="C442" s="5" t="n">
        <v>10</v>
      </c>
      <c r="D442" s="5" t="n">
        <v>1597</v>
      </c>
      <c r="E442" s="5" t="n">
        <v>40</v>
      </c>
      <c r="F442" s="5" t="n">
        <v>3</v>
      </c>
      <c r="G442" s="5" t="n">
        <v>0</v>
      </c>
      <c r="H442" s="5" t="n">
        <v>0</v>
      </c>
      <c r="I442" s="5" t="n">
        <v>0</v>
      </c>
      <c r="J442" s="5" t="n">
        <v>0</v>
      </c>
      <c r="K442" s="5" t="n">
        <v>0</v>
      </c>
      <c r="L442" s="5" t="n">
        <v>0</v>
      </c>
      <c r="M442" s="5" t="n">
        <v>1</v>
      </c>
      <c r="N442" s="5" t="n">
        <v>0</v>
      </c>
      <c r="O442" s="5" t="n">
        <v>0</v>
      </c>
      <c r="P442" s="5" t="n">
        <v>1</v>
      </c>
      <c r="Q442" s="5" t="n">
        <v>0</v>
      </c>
      <c r="R442" s="5" t="n">
        <v>1</v>
      </c>
      <c r="S442" s="5" t="n">
        <v>0</v>
      </c>
      <c r="T442" s="5" t="n">
        <v>0</v>
      </c>
      <c r="U442" s="5" t="inlineStr">
        <is>
          <t>training</t>
        </is>
      </c>
    </row>
    <row r="443">
      <c r="A443" s="5" t="n">
        <v>415</v>
      </c>
      <c r="B443" s="5" t="n">
        <v>1</v>
      </c>
      <c r="C443" s="5" t="n">
        <v>24</v>
      </c>
      <c r="D443" s="5" t="n">
        <v>1381</v>
      </c>
      <c r="E443" s="5" t="n">
        <v>35</v>
      </c>
      <c r="F443" s="5" t="n">
        <v>4</v>
      </c>
      <c r="G443" s="5" t="n">
        <v>1</v>
      </c>
      <c r="H443" s="5" t="n">
        <v>0</v>
      </c>
      <c r="I443" s="5" t="n">
        <v>0</v>
      </c>
      <c r="J443" s="5" t="n">
        <v>0</v>
      </c>
      <c r="K443" s="5" t="n">
        <v>0</v>
      </c>
      <c r="L443" s="5" t="n">
        <v>0</v>
      </c>
      <c r="M443" s="5" t="n">
        <v>0</v>
      </c>
      <c r="N443" s="5" t="n">
        <v>0</v>
      </c>
      <c r="O443" s="5" t="n">
        <v>1</v>
      </c>
      <c r="P443" s="5" t="n">
        <v>0</v>
      </c>
      <c r="Q443" s="5" t="n">
        <v>0</v>
      </c>
      <c r="R443" s="5" t="n">
        <v>1</v>
      </c>
      <c r="S443" s="5" t="n">
        <v>0</v>
      </c>
      <c r="T443" s="5" t="n">
        <v>0</v>
      </c>
      <c r="U443" s="5" t="inlineStr">
        <is>
          <t>training</t>
        </is>
      </c>
    </row>
    <row r="444">
      <c r="A444" s="5" t="n">
        <v>416</v>
      </c>
      <c r="B444" s="5" t="n">
        <v>0</v>
      </c>
      <c r="C444" s="5" t="n">
        <v>36</v>
      </c>
      <c r="D444" s="5" t="n">
        <v>5842</v>
      </c>
      <c r="E444" s="5" t="n">
        <v>35</v>
      </c>
      <c r="F444" s="5" t="n">
        <v>2</v>
      </c>
      <c r="G444" s="5" t="n">
        <v>0</v>
      </c>
      <c r="H444" s="5" t="n">
        <v>0</v>
      </c>
      <c r="I444" s="5" t="n">
        <v>0</v>
      </c>
      <c r="J444" s="5" t="n">
        <v>1</v>
      </c>
      <c r="K444" s="5" t="n">
        <v>0</v>
      </c>
      <c r="L444" s="5" t="n">
        <v>0</v>
      </c>
      <c r="M444" s="5" t="n">
        <v>0</v>
      </c>
      <c r="N444" s="5" t="n">
        <v>0</v>
      </c>
      <c r="O444" s="5" t="n">
        <v>0</v>
      </c>
      <c r="P444" s="5" t="n">
        <v>0</v>
      </c>
      <c r="Q444" s="5" t="n">
        <v>0</v>
      </c>
      <c r="R444" s="5" t="n">
        <v>1</v>
      </c>
      <c r="S444" s="5" t="n">
        <v>0</v>
      </c>
      <c r="T444" s="5" t="n">
        <v>0</v>
      </c>
      <c r="U444" s="5" t="inlineStr">
        <is>
          <t>training</t>
        </is>
      </c>
    </row>
    <row r="445">
      <c r="A445" s="5" t="n">
        <v>417</v>
      </c>
      <c r="B445" s="5" t="n">
        <v>1</v>
      </c>
      <c r="C445" s="5" t="n">
        <v>12</v>
      </c>
      <c r="D445" s="5" t="n">
        <v>2579</v>
      </c>
      <c r="E445" s="5" t="n">
        <v>33</v>
      </c>
      <c r="F445" s="5" t="n">
        <v>4</v>
      </c>
      <c r="G445" s="5" t="n">
        <v>1</v>
      </c>
      <c r="H445" s="5" t="n">
        <v>0</v>
      </c>
      <c r="I445" s="5" t="n">
        <v>0</v>
      </c>
      <c r="J445" s="5" t="n">
        <v>0</v>
      </c>
      <c r="K445" s="5" t="n">
        <v>0</v>
      </c>
      <c r="L445" s="5" t="n">
        <v>0</v>
      </c>
      <c r="M445" s="5" t="n">
        <v>0</v>
      </c>
      <c r="N445" s="5" t="n">
        <v>0</v>
      </c>
      <c r="O445" s="5" t="n">
        <v>0</v>
      </c>
      <c r="P445" s="5" t="n">
        <v>0</v>
      </c>
      <c r="Q445" s="5" t="n">
        <v>0</v>
      </c>
      <c r="R445" s="5" t="n">
        <v>1</v>
      </c>
      <c r="S445" s="5" t="n">
        <v>0</v>
      </c>
      <c r="T445" s="5" t="n">
        <v>0</v>
      </c>
      <c r="U445" s="5" t="inlineStr">
        <is>
          <t>testing</t>
        </is>
      </c>
    </row>
    <row r="446">
      <c r="A446" s="5" t="n">
        <v>418</v>
      </c>
      <c r="B446" s="5" t="n">
        <v>0</v>
      </c>
      <c r="C446" s="5" t="n">
        <v>18</v>
      </c>
      <c r="D446" s="5" t="n">
        <v>8471</v>
      </c>
      <c r="E446" s="5" t="n">
        <v>23</v>
      </c>
      <c r="F446" s="5" t="n">
        <v>1</v>
      </c>
      <c r="G446" s="5" t="n">
        <v>1</v>
      </c>
      <c r="H446" s="5" t="n">
        <v>0</v>
      </c>
      <c r="I446" s="5" t="n">
        <v>0</v>
      </c>
      <c r="J446" s="5" t="n">
        <v>0</v>
      </c>
      <c r="K446" s="5" t="n">
        <v>1</v>
      </c>
      <c r="L446" s="5" t="n">
        <v>0</v>
      </c>
      <c r="M446" s="5" t="n">
        <v>0</v>
      </c>
      <c r="N446" s="5" t="n">
        <v>0</v>
      </c>
      <c r="O446" s="5" t="n">
        <v>1</v>
      </c>
      <c r="P446" s="5" t="n">
        <v>1</v>
      </c>
      <c r="Q446" s="5" t="n">
        <v>0</v>
      </c>
      <c r="R446" s="5" t="n">
        <v>0</v>
      </c>
      <c r="S446" s="5" t="n">
        <v>0</v>
      </c>
      <c r="T446" s="5" t="n">
        <v>0</v>
      </c>
      <c r="U446" s="5" t="inlineStr">
        <is>
          <t>training</t>
        </is>
      </c>
    </row>
    <row r="447">
      <c r="A447" s="5" t="n">
        <v>419</v>
      </c>
      <c r="B447" s="5" t="n">
        <v>0</v>
      </c>
      <c r="C447" s="5" t="n">
        <v>21</v>
      </c>
      <c r="D447" s="5" t="n">
        <v>2782</v>
      </c>
      <c r="E447" s="5" t="n">
        <v>31</v>
      </c>
      <c r="F447" s="5" t="n">
        <v>1</v>
      </c>
      <c r="G447" s="5" t="n">
        <v>0</v>
      </c>
      <c r="H447" s="5" t="n">
        <v>0</v>
      </c>
      <c r="I447" s="5" t="n">
        <v>0</v>
      </c>
      <c r="J447" s="5" t="n">
        <v>0</v>
      </c>
      <c r="K447" s="5" t="n">
        <v>0</v>
      </c>
      <c r="L447" s="5" t="n">
        <v>0</v>
      </c>
      <c r="M447" s="5" t="n">
        <v>1</v>
      </c>
      <c r="N447" s="5" t="n">
        <v>0</v>
      </c>
      <c r="O447" s="5" t="n">
        <v>0</v>
      </c>
      <c r="P447" s="5" t="n">
        <v>0</v>
      </c>
      <c r="Q447" s="5" t="n">
        <v>0</v>
      </c>
      <c r="R447" s="5" t="n">
        <v>1</v>
      </c>
      <c r="S447" s="5" t="n">
        <v>0</v>
      </c>
      <c r="T447" s="5" t="n">
        <v>0</v>
      </c>
      <c r="U447" s="5" t="inlineStr">
        <is>
          <t>training</t>
        </is>
      </c>
    </row>
    <row r="448">
      <c r="A448" s="5" t="n">
        <v>420</v>
      </c>
      <c r="B448" s="5" t="n">
        <v>1</v>
      </c>
      <c r="C448" s="5" t="n">
        <v>18</v>
      </c>
      <c r="D448" s="5" t="n">
        <v>1042</v>
      </c>
      <c r="E448" s="5" t="n">
        <v>33</v>
      </c>
      <c r="F448" s="5" t="n">
        <v>4</v>
      </c>
      <c r="G448" s="5" t="n">
        <v>0</v>
      </c>
      <c r="H448" s="5" t="n">
        <v>1</v>
      </c>
      <c r="I448" s="5" t="n">
        <v>0</v>
      </c>
      <c r="J448" s="5" t="n">
        <v>0</v>
      </c>
      <c r="K448" s="5" t="n">
        <v>0</v>
      </c>
      <c r="L448" s="5" t="n">
        <v>0</v>
      </c>
      <c r="M448" s="5" t="n">
        <v>0</v>
      </c>
      <c r="N448" s="5" t="n">
        <v>0</v>
      </c>
      <c r="O448" s="5" t="n">
        <v>1</v>
      </c>
      <c r="P448" s="5" t="n">
        <v>0</v>
      </c>
      <c r="Q448" s="5" t="n">
        <v>0</v>
      </c>
      <c r="R448" s="5" t="n">
        <v>1</v>
      </c>
      <c r="S448" s="5" t="n">
        <v>0</v>
      </c>
      <c r="T448" s="5" t="n">
        <v>0</v>
      </c>
      <c r="U448" s="5" t="inlineStr">
        <is>
          <t>training</t>
        </is>
      </c>
    </row>
    <row r="449">
      <c r="A449" s="5" t="n">
        <v>421</v>
      </c>
      <c r="B449" s="5" t="n">
        <v>0</v>
      </c>
      <c r="C449" s="5" t="n">
        <v>15</v>
      </c>
      <c r="D449" s="5" t="n">
        <v>3186</v>
      </c>
      <c r="E449" s="5" t="n">
        <v>20</v>
      </c>
      <c r="F449" s="5" t="n">
        <v>2</v>
      </c>
      <c r="G449" s="5" t="n">
        <v>0</v>
      </c>
      <c r="H449" s="5" t="n">
        <v>0</v>
      </c>
      <c r="I449" s="5" t="n">
        <v>0</v>
      </c>
      <c r="J449" s="5" t="n">
        <v>0</v>
      </c>
      <c r="K449" s="5" t="n">
        <v>0</v>
      </c>
      <c r="L449" s="5" t="n">
        <v>0</v>
      </c>
      <c r="M449" s="5" t="n">
        <v>0</v>
      </c>
      <c r="N449" s="5" t="n">
        <v>1</v>
      </c>
      <c r="O449" s="5" t="n">
        <v>0</v>
      </c>
      <c r="P449" s="5" t="n">
        <v>1</v>
      </c>
      <c r="Q449" s="5" t="n">
        <v>0</v>
      </c>
      <c r="R449" s="5" t="n">
        <v>1</v>
      </c>
      <c r="S449" s="5" t="n">
        <v>0</v>
      </c>
      <c r="T449" s="5" t="n">
        <v>0</v>
      </c>
      <c r="U449" s="5" t="inlineStr">
        <is>
          <t>testing</t>
        </is>
      </c>
    </row>
    <row r="450">
      <c r="A450" s="5" t="n">
        <v>422</v>
      </c>
      <c r="B450" s="5" t="n">
        <v>0</v>
      </c>
      <c r="C450" s="5" t="n">
        <v>12</v>
      </c>
      <c r="D450" s="5" t="n">
        <v>2028</v>
      </c>
      <c r="E450" s="5" t="n">
        <v>30</v>
      </c>
      <c r="F450" s="5" t="n">
        <v>4</v>
      </c>
      <c r="G450" s="5" t="n">
        <v>0</v>
      </c>
      <c r="H450" s="5" t="n">
        <v>1</v>
      </c>
      <c r="I450" s="5" t="n">
        <v>0</v>
      </c>
      <c r="J450" s="5" t="n">
        <v>0</v>
      </c>
      <c r="K450" s="5" t="n">
        <v>0</v>
      </c>
      <c r="L450" s="5" t="n">
        <v>0</v>
      </c>
      <c r="M450" s="5" t="n">
        <v>0</v>
      </c>
      <c r="N450" s="5" t="n">
        <v>0</v>
      </c>
      <c r="O450" s="5" t="n">
        <v>1</v>
      </c>
      <c r="P450" s="5" t="n">
        <v>0</v>
      </c>
      <c r="Q450" s="5" t="n">
        <v>0</v>
      </c>
      <c r="R450" s="5" t="n">
        <v>1</v>
      </c>
      <c r="S450" s="5" t="n">
        <v>0</v>
      </c>
      <c r="T450" s="5" t="n">
        <v>0</v>
      </c>
      <c r="U450" s="5" t="inlineStr">
        <is>
          <t>training</t>
        </is>
      </c>
    </row>
    <row r="451">
      <c r="A451" s="5" t="n">
        <v>423</v>
      </c>
      <c r="B451" s="5" t="n">
        <v>0</v>
      </c>
      <c r="C451" s="5" t="n">
        <v>12</v>
      </c>
      <c r="D451" s="5" t="n">
        <v>958</v>
      </c>
      <c r="E451" s="5" t="n">
        <v>47</v>
      </c>
      <c r="F451" s="5" t="n">
        <v>2</v>
      </c>
      <c r="G451" s="5" t="n">
        <v>0</v>
      </c>
      <c r="H451" s="5" t="n">
        <v>1</v>
      </c>
      <c r="I451" s="5" t="n">
        <v>0</v>
      </c>
      <c r="J451" s="5" t="n">
        <v>1</v>
      </c>
      <c r="K451" s="5" t="n">
        <v>0</v>
      </c>
      <c r="L451" s="5" t="n">
        <v>0</v>
      </c>
      <c r="M451" s="5" t="n">
        <v>0</v>
      </c>
      <c r="N451" s="5" t="n">
        <v>0</v>
      </c>
      <c r="O451" s="5" t="n">
        <v>0</v>
      </c>
      <c r="P451" s="5" t="n">
        <v>0</v>
      </c>
      <c r="Q451" s="5" t="n">
        <v>0</v>
      </c>
      <c r="R451" s="5" t="n">
        <v>1</v>
      </c>
      <c r="S451" s="5" t="n">
        <v>0</v>
      </c>
      <c r="T451" s="5" t="n">
        <v>0</v>
      </c>
      <c r="U451" s="5" t="inlineStr">
        <is>
          <t>training</t>
        </is>
      </c>
    </row>
    <row r="452">
      <c r="A452" s="5" t="n">
        <v>424</v>
      </c>
      <c r="B452" s="5" t="n">
        <v>0</v>
      </c>
      <c r="C452" s="5" t="n">
        <v>21</v>
      </c>
      <c r="D452" s="5" t="n">
        <v>1591</v>
      </c>
      <c r="E452" s="5" t="n">
        <v>34</v>
      </c>
      <c r="F452" s="5" t="n">
        <v>4</v>
      </c>
      <c r="G452" s="5" t="n">
        <v>0</v>
      </c>
      <c r="H452" s="5" t="n">
        <v>0</v>
      </c>
      <c r="I452" s="5" t="n">
        <v>0</v>
      </c>
      <c r="J452" s="5" t="n">
        <v>0</v>
      </c>
      <c r="K452" s="5" t="n">
        <v>1</v>
      </c>
      <c r="L452" s="5" t="n">
        <v>0</v>
      </c>
      <c r="M452" s="5" t="n">
        <v>1</v>
      </c>
      <c r="N452" s="5" t="n">
        <v>0</v>
      </c>
      <c r="O452" s="5" t="n">
        <v>0</v>
      </c>
      <c r="P452" s="5" t="n">
        <v>0</v>
      </c>
      <c r="Q452" s="5" t="n">
        <v>0</v>
      </c>
      <c r="R452" s="5" t="n">
        <v>0</v>
      </c>
      <c r="S452" s="5" t="n">
        <v>0</v>
      </c>
      <c r="T452" s="5" t="n">
        <v>1</v>
      </c>
      <c r="U452" s="5" t="inlineStr">
        <is>
          <t>training</t>
        </is>
      </c>
    </row>
    <row r="453">
      <c r="A453" s="5" t="n">
        <v>425</v>
      </c>
      <c r="B453" s="5" t="n">
        <v>1</v>
      </c>
      <c r="C453" s="5" t="n">
        <v>12</v>
      </c>
      <c r="D453" s="5" t="n">
        <v>2762</v>
      </c>
      <c r="E453" s="5" t="n">
        <v>25</v>
      </c>
      <c r="F453" s="5" t="n">
        <v>1</v>
      </c>
      <c r="G453" s="5" t="n">
        <v>0</v>
      </c>
      <c r="H453" s="5" t="n">
        <v>1</v>
      </c>
      <c r="I453" s="5" t="n">
        <v>0</v>
      </c>
      <c r="J453" s="5" t="n">
        <v>0</v>
      </c>
      <c r="K453" s="5" t="n">
        <v>0</v>
      </c>
      <c r="L453" s="5" t="n">
        <v>0</v>
      </c>
      <c r="M453" s="5" t="n">
        <v>0</v>
      </c>
      <c r="N453" s="5" t="n">
        <v>0</v>
      </c>
      <c r="O453" s="5" t="n">
        <v>1</v>
      </c>
      <c r="P453" s="5" t="n">
        <v>0</v>
      </c>
      <c r="Q453" s="5" t="n">
        <v>0</v>
      </c>
      <c r="R453" s="5" t="n">
        <v>0</v>
      </c>
      <c r="S453" s="5" t="n">
        <v>0</v>
      </c>
      <c r="T453" s="5" t="n">
        <v>1</v>
      </c>
      <c r="U453" s="5" t="inlineStr">
        <is>
          <t>training</t>
        </is>
      </c>
    </row>
    <row r="454">
      <c r="A454" s="5" t="n">
        <v>426</v>
      </c>
      <c r="B454" s="5" t="n">
        <v>0</v>
      </c>
      <c r="C454" s="5" t="n">
        <v>18</v>
      </c>
      <c r="D454" s="5" t="n">
        <v>2779</v>
      </c>
      <c r="E454" s="5" t="n">
        <v>21</v>
      </c>
      <c r="F454" s="5" t="n">
        <v>1</v>
      </c>
      <c r="G454" s="5" t="n">
        <v>0</v>
      </c>
      <c r="H454" s="5" t="n">
        <v>1</v>
      </c>
      <c r="I454" s="5" t="n">
        <v>0</v>
      </c>
      <c r="J454" s="5" t="n">
        <v>0</v>
      </c>
      <c r="K454" s="5" t="n">
        <v>0</v>
      </c>
      <c r="L454" s="5" t="n">
        <v>0</v>
      </c>
      <c r="M454" s="5" t="n">
        <v>0</v>
      </c>
      <c r="N454" s="5" t="n">
        <v>0</v>
      </c>
      <c r="O454" s="5" t="n">
        <v>0</v>
      </c>
      <c r="P454" s="5" t="n">
        <v>1</v>
      </c>
      <c r="Q454" s="5" t="n">
        <v>0</v>
      </c>
      <c r="R454" s="5" t="n">
        <v>1</v>
      </c>
      <c r="S454" s="5" t="n">
        <v>0</v>
      </c>
      <c r="T454" s="5" t="n">
        <v>0</v>
      </c>
      <c r="U454" s="5" t="inlineStr">
        <is>
          <t>training</t>
        </is>
      </c>
    </row>
    <row r="455">
      <c r="A455" s="5" t="n">
        <v>427</v>
      </c>
      <c r="B455" s="5" t="n">
        <v>0</v>
      </c>
      <c r="C455" s="5" t="n">
        <v>28</v>
      </c>
      <c r="D455" s="5" t="n">
        <v>2743</v>
      </c>
      <c r="E455" s="5" t="n">
        <v>29</v>
      </c>
      <c r="F455" s="5" t="n">
        <v>4</v>
      </c>
      <c r="G455" s="5" t="n">
        <v>0</v>
      </c>
      <c r="H455" s="5" t="n">
        <v>0</v>
      </c>
      <c r="I455" s="5" t="n">
        <v>0</v>
      </c>
      <c r="J455" s="5" t="n">
        <v>1</v>
      </c>
      <c r="K455" s="5" t="n">
        <v>0</v>
      </c>
      <c r="L455" s="5" t="n">
        <v>0</v>
      </c>
      <c r="M455" s="5" t="n">
        <v>0</v>
      </c>
      <c r="N455" s="5" t="n">
        <v>0</v>
      </c>
      <c r="O455" s="5" t="n">
        <v>0</v>
      </c>
      <c r="P455" s="5" t="n">
        <v>0</v>
      </c>
      <c r="Q455" s="5" t="n">
        <v>0</v>
      </c>
      <c r="R455" s="5" t="n">
        <v>0</v>
      </c>
      <c r="S455" s="5" t="n">
        <v>1</v>
      </c>
      <c r="T455" s="5" t="n">
        <v>0</v>
      </c>
      <c r="U455" s="5" t="inlineStr">
        <is>
          <t>training</t>
        </is>
      </c>
    </row>
    <row r="456">
      <c r="A456" s="5" t="n">
        <v>428</v>
      </c>
      <c r="B456" s="5" t="n">
        <v>0</v>
      </c>
      <c r="C456" s="5" t="n">
        <v>18</v>
      </c>
      <c r="D456" s="5" t="n">
        <v>1149</v>
      </c>
      <c r="E456" s="5" t="n">
        <v>46</v>
      </c>
      <c r="F456" s="5" t="n">
        <v>4</v>
      </c>
      <c r="G456" s="5" t="n">
        <v>0</v>
      </c>
      <c r="H456" s="5" t="n">
        <v>0</v>
      </c>
      <c r="I456" s="5" t="n">
        <v>0</v>
      </c>
      <c r="J456" s="5" t="n">
        <v>1</v>
      </c>
      <c r="K456" s="5" t="n">
        <v>0</v>
      </c>
      <c r="L456" s="5" t="n">
        <v>0</v>
      </c>
      <c r="M456" s="5" t="n">
        <v>0</v>
      </c>
      <c r="N456" s="5" t="n">
        <v>1</v>
      </c>
      <c r="O456" s="5" t="n">
        <v>0</v>
      </c>
      <c r="P456" s="5" t="n">
        <v>0</v>
      </c>
      <c r="Q456" s="5" t="n">
        <v>0</v>
      </c>
      <c r="R456" s="5" t="n">
        <v>0</v>
      </c>
      <c r="S456" s="5" t="n">
        <v>1</v>
      </c>
      <c r="T456" s="5" t="n">
        <v>0</v>
      </c>
      <c r="U456" s="5" t="inlineStr">
        <is>
          <t>training</t>
        </is>
      </c>
    </row>
    <row r="457">
      <c r="A457" s="5" t="n">
        <v>429</v>
      </c>
      <c r="B457" s="5" t="n">
        <v>0</v>
      </c>
      <c r="C457" s="5" t="n">
        <v>9</v>
      </c>
      <c r="D457" s="5" t="n">
        <v>1313</v>
      </c>
      <c r="E457" s="5" t="n">
        <v>20</v>
      </c>
      <c r="F457" s="5" t="n">
        <v>1</v>
      </c>
      <c r="G457" s="5" t="n">
        <v>0</v>
      </c>
      <c r="H457" s="5" t="n">
        <v>0</v>
      </c>
      <c r="I457" s="5" t="n">
        <v>0</v>
      </c>
      <c r="J457" s="5" t="n">
        <v>0</v>
      </c>
      <c r="K457" s="5" t="n">
        <v>0</v>
      </c>
      <c r="L457" s="5" t="n">
        <v>0</v>
      </c>
      <c r="M457" s="5" t="n">
        <v>0</v>
      </c>
      <c r="N457" s="5" t="n">
        <v>0</v>
      </c>
      <c r="O457" s="5" t="n">
        <v>0</v>
      </c>
      <c r="P457" s="5" t="n">
        <v>0</v>
      </c>
      <c r="Q457" s="5" t="n">
        <v>0</v>
      </c>
      <c r="R457" s="5" t="n">
        <v>0</v>
      </c>
      <c r="S457" s="5" t="n">
        <v>0</v>
      </c>
      <c r="T457" s="5" t="n">
        <v>1</v>
      </c>
      <c r="U457" s="5" t="inlineStr">
        <is>
          <t>training</t>
        </is>
      </c>
    </row>
    <row r="458">
      <c r="A458" s="5" t="n">
        <v>430</v>
      </c>
      <c r="B458" s="5" t="n">
        <v>1</v>
      </c>
      <c r="C458" s="5" t="n">
        <v>18</v>
      </c>
      <c r="D458" s="5" t="n">
        <v>1190</v>
      </c>
      <c r="E458" s="5" t="n">
        <v>55</v>
      </c>
      <c r="F458" s="5" t="n">
        <v>2</v>
      </c>
      <c r="G458" s="5" t="n">
        <v>1</v>
      </c>
      <c r="H458" s="5" t="n">
        <v>0</v>
      </c>
      <c r="I458" s="5" t="n">
        <v>0</v>
      </c>
      <c r="J458" s="5" t="n">
        <v>1</v>
      </c>
      <c r="K458" s="5" t="n">
        <v>0</v>
      </c>
      <c r="L458" s="5" t="n">
        <v>0</v>
      </c>
      <c r="M458" s="5" t="n">
        <v>0</v>
      </c>
      <c r="N458" s="5" t="n">
        <v>0</v>
      </c>
      <c r="O458" s="5" t="n">
        <v>0</v>
      </c>
      <c r="P458" s="5" t="n">
        <v>0</v>
      </c>
      <c r="Q458" s="5" t="n">
        <v>1</v>
      </c>
      <c r="R458" s="5" t="n">
        <v>0</v>
      </c>
      <c r="S458" s="5" t="n">
        <v>0</v>
      </c>
      <c r="T458" s="5" t="n">
        <v>0</v>
      </c>
      <c r="U458" s="5" t="inlineStr">
        <is>
          <t>testing</t>
        </is>
      </c>
    </row>
    <row r="459">
      <c r="A459" s="5" t="n">
        <v>431</v>
      </c>
      <c r="B459" s="5" t="n">
        <v>0</v>
      </c>
      <c r="C459" s="5" t="n">
        <v>5</v>
      </c>
      <c r="D459" s="5" t="n">
        <v>3448</v>
      </c>
      <c r="E459" s="5" t="n">
        <v>74</v>
      </c>
      <c r="F459" s="5" t="n">
        <v>1</v>
      </c>
      <c r="G459" s="5" t="n">
        <v>0</v>
      </c>
      <c r="H459" s="5" t="n">
        <v>0</v>
      </c>
      <c r="I459" s="5" t="n">
        <v>0</v>
      </c>
      <c r="J459" s="5" t="n">
        <v>0</v>
      </c>
      <c r="K459" s="5" t="n">
        <v>0</v>
      </c>
      <c r="L459" s="5" t="n">
        <v>0</v>
      </c>
      <c r="M459" s="5" t="n">
        <v>0</v>
      </c>
      <c r="N459" s="5" t="n">
        <v>0</v>
      </c>
      <c r="O459" s="5" t="n">
        <v>0</v>
      </c>
      <c r="P459" s="5" t="n">
        <v>0</v>
      </c>
      <c r="Q459" s="5" t="n">
        <v>0</v>
      </c>
      <c r="R459" s="5" t="n">
        <v>0</v>
      </c>
      <c r="S459" s="5" t="n">
        <v>0</v>
      </c>
      <c r="T459" s="5" t="n">
        <v>0</v>
      </c>
      <c r="U459" s="5" t="inlineStr">
        <is>
          <t>testing</t>
        </is>
      </c>
    </row>
    <row r="460">
      <c r="A460" s="5" t="n">
        <v>432</v>
      </c>
      <c r="B460" s="5" t="n">
        <v>1</v>
      </c>
      <c r="C460" s="5" t="n">
        <v>24</v>
      </c>
      <c r="D460" s="5" t="n">
        <v>11328</v>
      </c>
      <c r="E460" s="5" t="n">
        <v>29</v>
      </c>
      <c r="F460" s="5" t="n">
        <v>2</v>
      </c>
      <c r="G460" s="5" t="n">
        <v>0</v>
      </c>
      <c r="H460" s="5" t="n">
        <v>1</v>
      </c>
      <c r="I460" s="5" t="n">
        <v>0</v>
      </c>
      <c r="J460" s="5" t="n">
        <v>0</v>
      </c>
      <c r="K460" s="5" t="n">
        <v>0</v>
      </c>
      <c r="L460" s="5" t="n">
        <v>0</v>
      </c>
      <c r="M460" s="5" t="n">
        <v>0</v>
      </c>
      <c r="N460" s="5" t="n">
        <v>0</v>
      </c>
      <c r="O460" s="5" t="n">
        <v>0</v>
      </c>
      <c r="P460" s="5" t="n">
        <v>0</v>
      </c>
      <c r="Q460" s="5" t="n">
        <v>0</v>
      </c>
      <c r="R460" s="5" t="n">
        <v>0</v>
      </c>
      <c r="S460" s="5" t="n">
        <v>0</v>
      </c>
      <c r="T460" s="5" t="n">
        <v>0</v>
      </c>
      <c r="U460" s="5" t="inlineStr">
        <is>
          <t>testing</t>
        </is>
      </c>
    </row>
    <row r="461">
      <c r="A461" s="5" t="n">
        <v>433</v>
      </c>
      <c r="B461" s="5" t="n">
        <v>0</v>
      </c>
      <c r="C461" s="5" t="n">
        <v>6</v>
      </c>
      <c r="D461" s="5" t="n">
        <v>1872</v>
      </c>
      <c r="E461" s="5" t="n">
        <v>36</v>
      </c>
      <c r="F461" s="5" t="n">
        <v>4</v>
      </c>
      <c r="G461" s="5" t="n">
        <v>1</v>
      </c>
      <c r="H461" s="5" t="n">
        <v>0</v>
      </c>
      <c r="I461" s="5" t="n">
        <v>0</v>
      </c>
      <c r="J461" s="5" t="n">
        <v>1</v>
      </c>
      <c r="K461" s="5" t="n">
        <v>0</v>
      </c>
      <c r="L461" s="5" t="n">
        <v>0</v>
      </c>
      <c r="M461" s="5" t="n">
        <v>0</v>
      </c>
      <c r="N461" s="5" t="n">
        <v>0</v>
      </c>
      <c r="O461" s="5" t="n">
        <v>0</v>
      </c>
      <c r="P461" s="5" t="n">
        <v>0</v>
      </c>
      <c r="Q461" s="5" t="n">
        <v>1</v>
      </c>
      <c r="R461" s="5" t="n">
        <v>0</v>
      </c>
      <c r="S461" s="5" t="n">
        <v>0</v>
      </c>
      <c r="T461" s="5" t="n">
        <v>1</v>
      </c>
      <c r="U461" s="5" t="inlineStr">
        <is>
          <t>testing</t>
        </is>
      </c>
    </row>
    <row r="462">
      <c r="A462" s="5" t="n">
        <v>434</v>
      </c>
      <c r="B462" s="5" t="n">
        <v>0</v>
      </c>
      <c r="C462" s="5" t="n">
        <v>24</v>
      </c>
      <c r="D462" s="5" t="n">
        <v>2058</v>
      </c>
      <c r="E462" s="5" t="n">
        <v>33</v>
      </c>
      <c r="F462" s="5" t="n">
        <v>4</v>
      </c>
      <c r="G462" s="5" t="n">
        <v>0</v>
      </c>
      <c r="H462" s="5" t="n">
        <v>0</v>
      </c>
      <c r="I462" s="5" t="n">
        <v>0</v>
      </c>
      <c r="J462" s="5" t="n">
        <v>1</v>
      </c>
      <c r="K462" s="5" t="n">
        <v>0</v>
      </c>
      <c r="L462" s="5" t="n">
        <v>0</v>
      </c>
      <c r="M462" s="5" t="n">
        <v>0</v>
      </c>
      <c r="N462" s="5" t="n">
        <v>0</v>
      </c>
      <c r="O462" s="5" t="n">
        <v>0</v>
      </c>
      <c r="P462" s="5" t="n">
        <v>0</v>
      </c>
      <c r="Q462" s="5" t="n">
        <v>0</v>
      </c>
      <c r="R462" s="5" t="n">
        <v>0</v>
      </c>
      <c r="S462" s="5" t="n">
        <v>0</v>
      </c>
      <c r="T462" s="5" t="n">
        <v>0</v>
      </c>
      <c r="U462" s="5" t="inlineStr">
        <is>
          <t>training</t>
        </is>
      </c>
    </row>
    <row r="463">
      <c r="A463" s="5" t="n">
        <v>435</v>
      </c>
      <c r="B463" s="5" t="n">
        <v>0</v>
      </c>
      <c r="C463" s="5" t="n">
        <v>9</v>
      </c>
      <c r="D463" s="5" t="n">
        <v>2136</v>
      </c>
      <c r="E463" s="5" t="n">
        <v>25</v>
      </c>
      <c r="F463" s="5" t="n">
        <v>3</v>
      </c>
      <c r="G463" s="5" t="n">
        <v>1</v>
      </c>
      <c r="H463" s="5" t="n">
        <v>0</v>
      </c>
      <c r="I463" s="5" t="n">
        <v>0</v>
      </c>
      <c r="J463" s="5" t="n">
        <v>0</v>
      </c>
      <c r="K463" s="5" t="n">
        <v>0</v>
      </c>
      <c r="L463" s="5" t="n">
        <v>0</v>
      </c>
      <c r="M463" s="5" t="n">
        <v>0</v>
      </c>
      <c r="N463" s="5" t="n">
        <v>0</v>
      </c>
      <c r="O463" s="5" t="n">
        <v>0</v>
      </c>
      <c r="P463" s="5" t="n">
        <v>0</v>
      </c>
      <c r="Q463" s="5" t="n">
        <v>0</v>
      </c>
      <c r="R463" s="5" t="n">
        <v>0</v>
      </c>
      <c r="S463" s="5" t="n">
        <v>0</v>
      </c>
      <c r="T463" s="5" t="n">
        <v>1</v>
      </c>
      <c r="U463" s="5" t="inlineStr">
        <is>
          <t>training</t>
        </is>
      </c>
    </row>
    <row r="464">
      <c r="A464" s="5" t="n">
        <v>436</v>
      </c>
      <c r="B464" s="5" t="n">
        <v>1</v>
      </c>
      <c r="C464" s="5" t="n">
        <v>12</v>
      </c>
      <c r="D464" s="5" t="n">
        <v>1484</v>
      </c>
      <c r="E464" s="5" t="n">
        <v>25</v>
      </c>
      <c r="F464" s="5" t="n">
        <v>2</v>
      </c>
      <c r="G464" s="5" t="n">
        <v>0</v>
      </c>
      <c r="H464" s="5" t="n">
        <v>1</v>
      </c>
      <c r="I464" s="5" t="n">
        <v>0</v>
      </c>
      <c r="J464" s="5" t="n">
        <v>0</v>
      </c>
      <c r="K464" s="5" t="n">
        <v>0</v>
      </c>
      <c r="L464" s="5" t="n">
        <v>0</v>
      </c>
      <c r="M464" s="5" t="n">
        <v>0</v>
      </c>
      <c r="N464" s="5" t="n">
        <v>0</v>
      </c>
      <c r="O464" s="5" t="n">
        <v>1</v>
      </c>
      <c r="P464" s="5" t="n">
        <v>0</v>
      </c>
      <c r="Q464" s="5" t="n">
        <v>0</v>
      </c>
      <c r="R464" s="5" t="n">
        <v>0</v>
      </c>
      <c r="S464" s="5" t="n">
        <v>1</v>
      </c>
      <c r="T464" s="5" t="n">
        <v>0</v>
      </c>
      <c r="U464" s="5" t="inlineStr">
        <is>
          <t>training</t>
        </is>
      </c>
    </row>
    <row r="465">
      <c r="A465" s="5" t="n">
        <v>437</v>
      </c>
      <c r="B465" s="5" t="n">
        <v>0</v>
      </c>
      <c r="C465" s="5" t="n">
        <v>6</v>
      </c>
      <c r="D465" s="5" t="n">
        <v>660</v>
      </c>
      <c r="E465" s="5" t="n">
        <v>23</v>
      </c>
      <c r="F465" s="5" t="n">
        <v>2</v>
      </c>
      <c r="G465" s="5" t="n">
        <v>0</v>
      </c>
      <c r="H465" s="5" t="n">
        <v>0</v>
      </c>
      <c r="I465" s="5" t="n">
        <v>0</v>
      </c>
      <c r="J465" s="5" t="n">
        <v>0</v>
      </c>
      <c r="K465" s="5" t="n">
        <v>0</v>
      </c>
      <c r="L465" s="5" t="n">
        <v>0</v>
      </c>
      <c r="M465" s="5" t="n">
        <v>1</v>
      </c>
      <c r="N465" s="5" t="n">
        <v>0</v>
      </c>
      <c r="O465" s="5" t="n">
        <v>0</v>
      </c>
      <c r="P465" s="5" t="n">
        <v>1</v>
      </c>
      <c r="Q465" s="5" t="n">
        <v>0</v>
      </c>
      <c r="R465" s="5" t="n">
        <v>0</v>
      </c>
      <c r="S465" s="5" t="n">
        <v>0</v>
      </c>
      <c r="T465" s="5" t="n">
        <v>0</v>
      </c>
      <c r="U465" s="5" t="inlineStr">
        <is>
          <t>training</t>
        </is>
      </c>
    </row>
    <row r="466">
      <c r="A466" s="5" t="n">
        <v>438</v>
      </c>
      <c r="B466" s="5" t="n">
        <v>0</v>
      </c>
      <c r="C466" s="5" t="n">
        <v>24</v>
      </c>
      <c r="D466" s="5" t="n">
        <v>1287</v>
      </c>
      <c r="E466" s="5" t="n">
        <v>37</v>
      </c>
      <c r="F466" s="5" t="n">
        <v>4</v>
      </c>
      <c r="G466" s="5" t="n">
        <v>0</v>
      </c>
      <c r="H466" s="5" t="n">
        <v>0</v>
      </c>
      <c r="I466" s="5" t="n">
        <v>0</v>
      </c>
      <c r="J466" s="5" t="n">
        <v>1</v>
      </c>
      <c r="K466" s="5" t="n">
        <v>0</v>
      </c>
      <c r="L466" s="5" t="n">
        <v>0</v>
      </c>
      <c r="M466" s="5" t="n">
        <v>0</v>
      </c>
      <c r="N466" s="5" t="n">
        <v>1</v>
      </c>
      <c r="O466" s="5" t="n">
        <v>0</v>
      </c>
      <c r="P466" s="5" t="n">
        <v>0</v>
      </c>
      <c r="Q466" s="5" t="n">
        <v>0</v>
      </c>
      <c r="R466" s="5" t="n">
        <v>1</v>
      </c>
      <c r="S466" s="5" t="n">
        <v>0</v>
      </c>
      <c r="T466" s="5" t="n">
        <v>0</v>
      </c>
      <c r="U466" s="5" t="inlineStr">
        <is>
          <t>testing</t>
        </is>
      </c>
    </row>
    <row r="467">
      <c r="A467" s="5" t="n">
        <v>439</v>
      </c>
      <c r="B467" s="5" t="n">
        <v>0</v>
      </c>
      <c r="C467" s="5" t="n">
        <v>42</v>
      </c>
      <c r="D467" s="5" t="n">
        <v>3394</v>
      </c>
      <c r="E467" s="5" t="n">
        <v>65</v>
      </c>
      <c r="F467" s="5" t="n">
        <v>4</v>
      </c>
      <c r="G467" s="5" t="n">
        <v>1</v>
      </c>
      <c r="H467" s="5" t="n">
        <v>0</v>
      </c>
      <c r="I467" s="5" t="n">
        <v>0</v>
      </c>
      <c r="J467" s="5" t="n">
        <v>1</v>
      </c>
      <c r="K467" s="5" t="n">
        <v>0</v>
      </c>
      <c r="L467" s="5" t="n">
        <v>0</v>
      </c>
      <c r="M467" s="5" t="n">
        <v>0</v>
      </c>
      <c r="N467" s="5" t="n">
        <v>0</v>
      </c>
      <c r="O467" s="5" t="n">
        <v>0</v>
      </c>
      <c r="P467" s="5" t="n">
        <v>0</v>
      </c>
      <c r="Q467" s="5" t="n">
        <v>0</v>
      </c>
      <c r="R467" s="5" t="n">
        <v>0</v>
      </c>
      <c r="S467" s="5" t="n">
        <v>0</v>
      </c>
      <c r="T467" s="5" t="n">
        <v>0</v>
      </c>
      <c r="U467" s="5" t="inlineStr">
        <is>
          <t>training</t>
        </is>
      </c>
    </row>
    <row r="468">
      <c r="A468" s="5" t="n">
        <v>440</v>
      </c>
      <c r="B468" s="5" t="n">
        <v>1</v>
      </c>
      <c r="C468" s="5" t="n">
        <v>12</v>
      </c>
      <c r="D468" s="5" t="n">
        <v>609</v>
      </c>
      <c r="E468" s="5" t="n">
        <v>26</v>
      </c>
      <c r="F468" s="5" t="n">
        <v>4</v>
      </c>
      <c r="G468" s="5" t="n">
        <v>0</v>
      </c>
      <c r="H468" s="5" t="n">
        <v>0</v>
      </c>
      <c r="I468" s="5" t="n">
        <v>1</v>
      </c>
      <c r="J468" s="5" t="n">
        <v>0</v>
      </c>
      <c r="K468" s="5" t="n">
        <v>0</v>
      </c>
      <c r="L468" s="5" t="n">
        <v>1</v>
      </c>
      <c r="M468" s="5" t="n">
        <v>0</v>
      </c>
      <c r="N468" s="5" t="n">
        <v>0</v>
      </c>
      <c r="O468" s="5" t="n">
        <v>0</v>
      </c>
      <c r="P468" s="5" t="n">
        <v>0</v>
      </c>
      <c r="Q468" s="5" t="n">
        <v>0</v>
      </c>
      <c r="R468" s="5" t="n">
        <v>0</v>
      </c>
      <c r="S468" s="5" t="n">
        <v>0</v>
      </c>
      <c r="T468" s="5" t="n">
        <v>0</v>
      </c>
      <c r="U468" s="5" t="inlineStr">
        <is>
          <t>training</t>
        </is>
      </c>
    </row>
    <row r="469">
      <c r="A469" s="5" t="n">
        <v>441</v>
      </c>
      <c r="B469" s="5" t="n">
        <v>0</v>
      </c>
      <c r="C469" s="5" t="n">
        <v>12</v>
      </c>
      <c r="D469" s="5" t="n">
        <v>1884</v>
      </c>
      <c r="E469" s="5" t="n">
        <v>39</v>
      </c>
      <c r="F469" s="5" t="n">
        <v>4</v>
      </c>
      <c r="G469" s="5" t="n">
        <v>0</v>
      </c>
      <c r="H469" s="5" t="n">
        <v>0</v>
      </c>
      <c r="I469" s="5" t="n">
        <v>0</v>
      </c>
      <c r="J469" s="5" t="n">
        <v>0</v>
      </c>
      <c r="K469" s="5" t="n">
        <v>0</v>
      </c>
      <c r="L469" s="5" t="n">
        <v>0</v>
      </c>
      <c r="M469" s="5" t="n">
        <v>0</v>
      </c>
      <c r="N469" s="5" t="n">
        <v>0</v>
      </c>
      <c r="O469" s="5" t="n">
        <v>0</v>
      </c>
      <c r="P469" s="5" t="n">
        <v>0</v>
      </c>
      <c r="Q469" s="5" t="n">
        <v>0</v>
      </c>
      <c r="R469" s="5" t="n">
        <v>1</v>
      </c>
      <c r="S469" s="5" t="n">
        <v>0</v>
      </c>
      <c r="T469" s="5" t="n">
        <v>0</v>
      </c>
      <c r="U469" s="5" t="inlineStr">
        <is>
          <t>testing</t>
        </is>
      </c>
    </row>
    <row r="470">
      <c r="A470" s="5" t="n">
        <v>442</v>
      </c>
      <c r="B470" s="5" t="n">
        <v>0</v>
      </c>
      <c r="C470" s="5" t="n">
        <v>12</v>
      </c>
      <c r="D470" s="5" t="n">
        <v>1620</v>
      </c>
      <c r="E470" s="5" t="n">
        <v>30</v>
      </c>
      <c r="F470" s="5" t="n">
        <v>2</v>
      </c>
      <c r="G470" s="5" t="n">
        <v>1</v>
      </c>
      <c r="H470" s="5" t="n">
        <v>0</v>
      </c>
      <c r="I470" s="5" t="n">
        <v>0</v>
      </c>
      <c r="J470" s="5" t="n">
        <v>0</v>
      </c>
      <c r="K470" s="5" t="n">
        <v>0</v>
      </c>
      <c r="L470" s="5" t="n">
        <v>0</v>
      </c>
      <c r="M470" s="5" t="n">
        <v>0</v>
      </c>
      <c r="N470" s="5" t="n">
        <v>0</v>
      </c>
      <c r="O470" s="5" t="n">
        <v>0</v>
      </c>
      <c r="P470" s="5" t="n">
        <v>0</v>
      </c>
      <c r="Q470" s="5" t="n">
        <v>0</v>
      </c>
      <c r="R470" s="5" t="n">
        <v>0</v>
      </c>
      <c r="S470" s="5" t="n">
        <v>0</v>
      </c>
      <c r="T470" s="5" t="n">
        <v>1</v>
      </c>
      <c r="U470" s="5" t="inlineStr">
        <is>
          <t>testing</t>
        </is>
      </c>
    </row>
    <row r="471">
      <c r="A471" s="5" t="n">
        <v>443</v>
      </c>
      <c r="B471" s="5" t="n">
        <v>0</v>
      </c>
      <c r="C471" s="5" t="n">
        <v>20</v>
      </c>
      <c r="D471" s="5" t="n">
        <v>2629</v>
      </c>
      <c r="E471" s="5" t="n">
        <v>29</v>
      </c>
      <c r="F471" s="5" t="n">
        <v>2</v>
      </c>
      <c r="G471" s="5" t="n">
        <v>0</v>
      </c>
      <c r="H471" s="5" t="n">
        <v>1</v>
      </c>
      <c r="I471" s="5" t="n">
        <v>0</v>
      </c>
      <c r="J471" s="5" t="n">
        <v>0</v>
      </c>
      <c r="K471" s="5" t="n">
        <v>1</v>
      </c>
      <c r="L471" s="5" t="n">
        <v>0</v>
      </c>
      <c r="M471" s="5" t="n">
        <v>0</v>
      </c>
      <c r="N471" s="5" t="n">
        <v>0</v>
      </c>
      <c r="O471" s="5" t="n">
        <v>0</v>
      </c>
      <c r="P471" s="5" t="n">
        <v>0</v>
      </c>
      <c r="Q471" s="5" t="n">
        <v>0</v>
      </c>
      <c r="R471" s="5" t="n">
        <v>0</v>
      </c>
      <c r="S471" s="5" t="n">
        <v>0</v>
      </c>
      <c r="T471" s="5" t="n">
        <v>0</v>
      </c>
      <c r="U471" s="5" t="inlineStr">
        <is>
          <t>training</t>
        </is>
      </c>
    </row>
    <row r="472">
      <c r="A472" s="5" t="n">
        <v>444</v>
      </c>
      <c r="B472" s="5" t="n">
        <v>1</v>
      </c>
      <c r="C472" s="5" t="n">
        <v>12</v>
      </c>
      <c r="D472" s="5" t="n">
        <v>719</v>
      </c>
      <c r="E472" s="5" t="n">
        <v>41</v>
      </c>
      <c r="F472" s="5" t="n">
        <v>4</v>
      </c>
      <c r="G472" s="5" t="n">
        <v>0</v>
      </c>
      <c r="H472" s="5" t="n">
        <v>0</v>
      </c>
      <c r="I472" s="5" t="n">
        <v>0</v>
      </c>
      <c r="J472" s="5" t="n">
        <v>0</v>
      </c>
      <c r="K472" s="5" t="n">
        <v>0</v>
      </c>
      <c r="L472" s="5" t="n">
        <v>0</v>
      </c>
      <c r="M472" s="5" t="n">
        <v>0</v>
      </c>
      <c r="N472" s="5" t="n">
        <v>0</v>
      </c>
      <c r="O472" s="5" t="n">
        <v>0</v>
      </c>
      <c r="P472" s="5" t="n">
        <v>0</v>
      </c>
      <c r="Q472" s="5" t="n">
        <v>0</v>
      </c>
      <c r="R472" s="5" t="n">
        <v>0</v>
      </c>
      <c r="S472" s="5" t="n">
        <v>0</v>
      </c>
      <c r="T472" s="5" t="n">
        <v>0</v>
      </c>
      <c r="U472" s="5" t="inlineStr">
        <is>
          <t>training</t>
        </is>
      </c>
    </row>
    <row r="473">
      <c r="A473" s="5" t="n">
        <v>445</v>
      </c>
      <c r="B473" s="5" t="n">
        <v>1</v>
      </c>
      <c r="C473" s="5" t="n">
        <v>48</v>
      </c>
      <c r="D473" s="5" t="n">
        <v>5096</v>
      </c>
      <c r="E473" s="5" t="n">
        <v>30</v>
      </c>
      <c r="F473" s="5" t="n">
        <v>2</v>
      </c>
      <c r="G473" s="5" t="n">
        <v>0</v>
      </c>
      <c r="H473" s="5" t="n">
        <v>1</v>
      </c>
      <c r="I473" s="5" t="n">
        <v>0</v>
      </c>
      <c r="J473" s="5" t="n">
        <v>1</v>
      </c>
      <c r="K473" s="5" t="n">
        <v>0</v>
      </c>
      <c r="L473" s="5" t="n">
        <v>0</v>
      </c>
      <c r="M473" s="5" t="n">
        <v>0</v>
      </c>
      <c r="N473" s="5" t="n">
        <v>0</v>
      </c>
      <c r="O473" s="5" t="n">
        <v>0</v>
      </c>
      <c r="P473" s="5" t="n">
        <v>0</v>
      </c>
      <c r="Q473" s="5" t="n">
        <v>0</v>
      </c>
      <c r="R473" s="5" t="n">
        <v>0</v>
      </c>
      <c r="S473" s="5" t="n">
        <v>0</v>
      </c>
      <c r="T473" s="5" t="n">
        <v>1</v>
      </c>
      <c r="U473" s="5" t="inlineStr">
        <is>
          <t>training</t>
        </is>
      </c>
    </row>
    <row r="474">
      <c r="A474" s="5" t="n">
        <v>446</v>
      </c>
      <c r="B474" s="5" t="n">
        <v>0</v>
      </c>
      <c r="C474" s="5" t="n">
        <v>9</v>
      </c>
      <c r="D474" s="5" t="n">
        <v>1244</v>
      </c>
      <c r="E474" s="5" t="n">
        <v>41</v>
      </c>
      <c r="F474" s="5" t="n">
        <v>4</v>
      </c>
      <c r="G474" s="5" t="n">
        <v>0</v>
      </c>
      <c r="H474" s="5" t="n">
        <v>0</v>
      </c>
      <c r="I474" s="5" t="n">
        <v>0</v>
      </c>
      <c r="J474" s="5" t="n">
        <v>1</v>
      </c>
      <c r="K474" s="5" t="n">
        <v>0</v>
      </c>
      <c r="L474" s="5" t="n">
        <v>0</v>
      </c>
      <c r="M474" s="5" t="n">
        <v>0</v>
      </c>
      <c r="N474" s="5" t="n">
        <v>0</v>
      </c>
      <c r="O474" s="5" t="n">
        <v>1</v>
      </c>
      <c r="P474" s="5" t="n">
        <v>1</v>
      </c>
      <c r="Q474" s="5" t="n">
        <v>0</v>
      </c>
      <c r="R474" s="5" t="n">
        <v>0</v>
      </c>
      <c r="S474" s="5" t="n">
        <v>0</v>
      </c>
      <c r="T474" s="5" t="n">
        <v>0</v>
      </c>
      <c r="U474" s="5" t="inlineStr">
        <is>
          <t>training</t>
        </is>
      </c>
    </row>
    <row r="475">
      <c r="A475" s="5" t="n">
        <v>447</v>
      </c>
      <c r="B475" s="5" t="n">
        <v>1</v>
      </c>
      <c r="C475" s="5" t="n">
        <v>36</v>
      </c>
      <c r="D475" s="5" t="n">
        <v>1842</v>
      </c>
      <c r="E475" s="5" t="n">
        <v>34</v>
      </c>
      <c r="F475" s="5" t="n">
        <v>4</v>
      </c>
      <c r="G475" s="5" t="n">
        <v>1</v>
      </c>
      <c r="H475" s="5" t="n">
        <v>0</v>
      </c>
      <c r="I475" s="5" t="n">
        <v>0</v>
      </c>
      <c r="J475" s="5" t="n">
        <v>0</v>
      </c>
      <c r="K475" s="5" t="n">
        <v>0</v>
      </c>
      <c r="L475" s="5" t="n">
        <v>0</v>
      </c>
      <c r="M475" s="5" t="n">
        <v>0</v>
      </c>
      <c r="N475" s="5" t="n">
        <v>0</v>
      </c>
      <c r="O475" s="5" t="n">
        <v>0</v>
      </c>
      <c r="P475" s="5" t="n">
        <v>0</v>
      </c>
      <c r="Q475" s="5" t="n">
        <v>0</v>
      </c>
      <c r="R475" s="5" t="n">
        <v>1</v>
      </c>
      <c r="S475" s="5" t="n">
        <v>0</v>
      </c>
      <c r="T475" s="5" t="n">
        <v>0</v>
      </c>
      <c r="U475" s="5" t="inlineStr">
        <is>
          <t>training</t>
        </is>
      </c>
    </row>
    <row r="476">
      <c r="A476" s="5" t="n">
        <v>448</v>
      </c>
      <c r="B476" s="5" t="n">
        <v>0</v>
      </c>
      <c r="C476" s="5" t="n">
        <v>7</v>
      </c>
      <c r="D476" s="5" t="n">
        <v>2576</v>
      </c>
      <c r="E476" s="5" t="n">
        <v>35</v>
      </c>
      <c r="F476" s="5" t="n">
        <v>2</v>
      </c>
      <c r="G476" s="5" t="n">
        <v>0</v>
      </c>
      <c r="H476" s="5" t="n">
        <v>1</v>
      </c>
      <c r="I476" s="5" t="n">
        <v>0</v>
      </c>
      <c r="J476" s="5" t="n">
        <v>0</v>
      </c>
      <c r="K476" s="5" t="n">
        <v>0</v>
      </c>
      <c r="L476" s="5" t="n">
        <v>0</v>
      </c>
      <c r="M476" s="5" t="n">
        <v>0</v>
      </c>
      <c r="N476" s="5" t="n">
        <v>0</v>
      </c>
      <c r="O476" s="5" t="n">
        <v>0</v>
      </c>
      <c r="P476" s="5" t="n">
        <v>0</v>
      </c>
      <c r="Q476" s="5" t="n">
        <v>0</v>
      </c>
      <c r="R476" s="5" t="n">
        <v>0</v>
      </c>
      <c r="S476" s="5" t="n">
        <v>1</v>
      </c>
      <c r="T476" s="5" t="n">
        <v>0</v>
      </c>
      <c r="U476" s="5" t="inlineStr">
        <is>
          <t>testing</t>
        </is>
      </c>
    </row>
    <row r="477">
      <c r="A477" s="5" t="n">
        <v>449</v>
      </c>
      <c r="B477" s="5" t="n">
        <v>0</v>
      </c>
      <c r="C477" s="5" t="n">
        <v>12</v>
      </c>
      <c r="D477" s="5" t="n">
        <v>1424</v>
      </c>
      <c r="E477" s="5" t="n">
        <v>55</v>
      </c>
      <c r="F477" s="5" t="n">
        <v>3</v>
      </c>
      <c r="G477" s="5" t="n">
        <v>0</v>
      </c>
      <c r="H477" s="5" t="n">
        <v>0</v>
      </c>
      <c r="I477" s="5" t="n">
        <v>1</v>
      </c>
      <c r="J477" s="5" t="n">
        <v>0</v>
      </c>
      <c r="K477" s="5" t="n">
        <v>0</v>
      </c>
      <c r="L477" s="5" t="n">
        <v>0</v>
      </c>
      <c r="M477" s="5" t="n">
        <v>0</v>
      </c>
      <c r="N477" s="5" t="n">
        <v>0</v>
      </c>
      <c r="O477" s="5" t="n">
        <v>1</v>
      </c>
      <c r="P477" s="5" t="n">
        <v>0</v>
      </c>
      <c r="Q477" s="5" t="n">
        <v>0</v>
      </c>
      <c r="R477" s="5" t="n">
        <v>0</v>
      </c>
      <c r="S477" s="5" t="n">
        <v>0</v>
      </c>
      <c r="T477" s="5" t="n">
        <v>1</v>
      </c>
      <c r="U477" s="5" t="inlineStr">
        <is>
          <t>testing</t>
        </is>
      </c>
    </row>
    <row r="478">
      <c r="A478" s="5" t="n">
        <v>450</v>
      </c>
      <c r="B478" s="5" t="n">
        <v>1</v>
      </c>
      <c r="C478" s="5" t="n">
        <v>15</v>
      </c>
      <c r="D478" s="5" t="n">
        <v>1512</v>
      </c>
      <c r="E478" s="5" t="n">
        <v>61</v>
      </c>
      <c r="F478" s="5" t="n">
        <v>3</v>
      </c>
      <c r="G478" s="5" t="n">
        <v>0</v>
      </c>
      <c r="H478" s="5" t="n">
        <v>1</v>
      </c>
      <c r="I478" s="5" t="n">
        <v>0</v>
      </c>
      <c r="J478" s="5" t="n">
        <v>0</v>
      </c>
      <c r="K478" s="5" t="n">
        <v>1</v>
      </c>
      <c r="L478" s="5" t="n">
        <v>0</v>
      </c>
      <c r="M478" s="5" t="n">
        <v>0</v>
      </c>
      <c r="N478" s="5" t="n">
        <v>1</v>
      </c>
      <c r="O478" s="5" t="n">
        <v>0</v>
      </c>
      <c r="P478" s="5" t="n">
        <v>0</v>
      </c>
      <c r="Q478" s="5" t="n">
        <v>0</v>
      </c>
      <c r="R478" s="5" t="n">
        <v>0</v>
      </c>
      <c r="S478" s="5" t="n">
        <v>0</v>
      </c>
      <c r="T478" s="5" t="n">
        <v>0</v>
      </c>
      <c r="U478" s="5" t="inlineStr">
        <is>
          <t>training</t>
        </is>
      </c>
    </row>
    <row r="479">
      <c r="A479" s="5" t="n">
        <v>451</v>
      </c>
      <c r="B479" s="5" t="n">
        <v>0</v>
      </c>
      <c r="C479" s="5" t="n">
        <v>36</v>
      </c>
      <c r="D479" s="5" t="n">
        <v>11054</v>
      </c>
      <c r="E479" s="5" t="n">
        <v>30</v>
      </c>
      <c r="F479" s="5" t="n">
        <v>4</v>
      </c>
      <c r="G479" s="5" t="n">
        <v>0</v>
      </c>
      <c r="H479" s="5" t="n">
        <v>0</v>
      </c>
      <c r="I479" s="5" t="n">
        <v>0</v>
      </c>
      <c r="J479" s="5" t="n">
        <v>1</v>
      </c>
      <c r="K479" s="5" t="n">
        <v>0</v>
      </c>
      <c r="L479" s="5" t="n">
        <v>0</v>
      </c>
      <c r="M479" s="5" t="n">
        <v>0</v>
      </c>
      <c r="N479" s="5" t="n">
        <v>0</v>
      </c>
      <c r="O479" s="5" t="n">
        <v>1</v>
      </c>
      <c r="P479" s="5" t="n">
        <v>0</v>
      </c>
      <c r="Q479" s="5" t="n">
        <v>0</v>
      </c>
      <c r="R479" s="5" t="n">
        <v>1</v>
      </c>
      <c r="S479" s="5" t="n">
        <v>0</v>
      </c>
      <c r="T479" s="5" t="n">
        <v>0</v>
      </c>
      <c r="U479" s="5" t="inlineStr">
        <is>
          <t>testing</t>
        </is>
      </c>
    </row>
    <row r="480">
      <c r="A480" s="5" t="n">
        <v>452</v>
      </c>
      <c r="B480" s="5" t="n">
        <v>0</v>
      </c>
      <c r="C480" s="5" t="n">
        <v>6</v>
      </c>
      <c r="D480" s="5" t="n">
        <v>518</v>
      </c>
      <c r="E480" s="5" t="n">
        <v>29</v>
      </c>
      <c r="F480" s="5" t="n">
        <v>3</v>
      </c>
      <c r="G480" s="5" t="n">
        <v>0</v>
      </c>
      <c r="H480" s="5" t="n">
        <v>0</v>
      </c>
      <c r="I480" s="5" t="n">
        <v>0</v>
      </c>
      <c r="J480" s="5" t="n">
        <v>0</v>
      </c>
      <c r="K480" s="5" t="n">
        <v>0</v>
      </c>
      <c r="L480" s="5" t="n">
        <v>0</v>
      </c>
      <c r="M480" s="5" t="n">
        <v>0</v>
      </c>
      <c r="N480" s="5" t="n">
        <v>0</v>
      </c>
      <c r="O480" s="5" t="n">
        <v>0</v>
      </c>
      <c r="P480" s="5" t="n">
        <v>0</v>
      </c>
      <c r="Q480" s="5" t="n">
        <v>0</v>
      </c>
      <c r="R480" s="5" t="n">
        <v>0</v>
      </c>
      <c r="S480" s="5" t="n">
        <v>1</v>
      </c>
      <c r="T480" s="5" t="n">
        <v>0</v>
      </c>
      <c r="U480" s="5" t="inlineStr">
        <is>
          <t>training</t>
        </is>
      </c>
    </row>
    <row r="481">
      <c r="A481" s="5" t="n">
        <v>453</v>
      </c>
      <c r="B481" s="5" t="n">
        <v>0</v>
      </c>
      <c r="C481" s="5" t="n">
        <v>12</v>
      </c>
      <c r="D481" s="5" t="n">
        <v>2759</v>
      </c>
      <c r="E481" s="5" t="n">
        <v>34</v>
      </c>
      <c r="F481" s="5" t="n">
        <v>2</v>
      </c>
      <c r="G481" s="5" t="n">
        <v>0</v>
      </c>
      <c r="H481" s="5" t="n">
        <v>0</v>
      </c>
      <c r="I481" s="5" t="n">
        <v>0</v>
      </c>
      <c r="J481" s="5" t="n">
        <v>0</v>
      </c>
      <c r="K481" s="5" t="n">
        <v>0</v>
      </c>
      <c r="L481" s="5" t="n">
        <v>1</v>
      </c>
      <c r="M481" s="5" t="n">
        <v>0</v>
      </c>
      <c r="N481" s="5" t="n">
        <v>0</v>
      </c>
      <c r="O481" s="5" t="n">
        <v>0</v>
      </c>
      <c r="P481" s="5" t="n">
        <v>0</v>
      </c>
      <c r="Q481" s="5" t="n">
        <v>0</v>
      </c>
      <c r="R481" s="5" t="n">
        <v>0</v>
      </c>
      <c r="S481" s="5" t="n">
        <v>0</v>
      </c>
      <c r="T481" s="5" t="n">
        <v>1</v>
      </c>
      <c r="U481" s="5" t="inlineStr">
        <is>
          <t>training</t>
        </is>
      </c>
    </row>
    <row r="482">
      <c r="A482" s="5" t="n">
        <v>454</v>
      </c>
      <c r="B482" s="5" t="n">
        <v>0</v>
      </c>
      <c r="C482" s="5" t="n">
        <v>24</v>
      </c>
      <c r="D482" s="5" t="n">
        <v>2670</v>
      </c>
      <c r="E482" s="5" t="n">
        <v>35</v>
      </c>
      <c r="F482" s="5" t="n">
        <v>4</v>
      </c>
      <c r="G482" s="5" t="n">
        <v>0</v>
      </c>
      <c r="H482" s="5" t="n">
        <v>0</v>
      </c>
      <c r="I482" s="5" t="n">
        <v>0</v>
      </c>
      <c r="J482" s="5" t="n">
        <v>0</v>
      </c>
      <c r="K482" s="5" t="n">
        <v>0</v>
      </c>
      <c r="L482" s="5" t="n">
        <v>0</v>
      </c>
      <c r="M482" s="5" t="n">
        <v>0</v>
      </c>
      <c r="N482" s="5" t="n">
        <v>0</v>
      </c>
      <c r="O482" s="5" t="n">
        <v>0</v>
      </c>
      <c r="P482" s="5" t="n">
        <v>0</v>
      </c>
      <c r="Q482" s="5" t="n">
        <v>0</v>
      </c>
      <c r="R482" s="5" t="n">
        <v>1</v>
      </c>
      <c r="S482" s="5" t="n">
        <v>0</v>
      </c>
      <c r="T482" s="5" t="n">
        <v>0</v>
      </c>
      <c r="U482" s="5" t="inlineStr">
        <is>
          <t>testing</t>
        </is>
      </c>
    </row>
    <row r="483">
      <c r="A483" s="5" t="n">
        <v>455</v>
      </c>
      <c r="B483" s="5" t="n">
        <v>1</v>
      </c>
      <c r="C483" s="5" t="n">
        <v>24</v>
      </c>
      <c r="D483" s="5" t="n">
        <v>4817</v>
      </c>
      <c r="E483" s="5" t="n">
        <v>31</v>
      </c>
      <c r="F483" s="5" t="n">
        <v>2</v>
      </c>
      <c r="G483" s="5" t="n">
        <v>1</v>
      </c>
      <c r="H483" s="5" t="n">
        <v>0</v>
      </c>
      <c r="I483" s="5" t="n">
        <v>0</v>
      </c>
      <c r="J483" s="5" t="n">
        <v>0</v>
      </c>
      <c r="K483" s="5" t="n">
        <v>0</v>
      </c>
      <c r="L483" s="5" t="n">
        <v>0</v>
      </c>
      <c r="M483" s="5" t="n">
        <v>0</v>
      </c>
      <c r="N483" s="5" t="n">
        <v>0</v>
      </c>
      <c r="O483" s="5" t="n">
        <v>0</v>
      </c>
      <c r="P483" s="5" t="n">
        <v>0</v>
      </c>
      <c r="Q483" s="5" t="n">
        <v>0</v>
      </c>
      <c r="R483" s="5" t="n">
        <v>1</v>
      </c>
      <c r="S483" s="5" t="n">
        <v>0</v>
      </c>
      <c r="T483" s="5" t="n">
        <v>0</v>
      </c>
      <c r="U483" s="5" t="inlineStr">
        <is>
          <t>testing</t>
        </is>
      </c>
    </row>
    <row r="484">
      <c r="A484" s="5" t="n">
        <v>456</v>
      </c>
      <c r="B484" s="5" t="n">
        <v>0</v>
      </c>
      <c r="C484" s="5" t="n">
        <v>24</v>
      </c>
      <c r="D484" s="5" t="n">
        <v>2679</v>
      </c>
      <c r="E484" s="5" t="n">
        <v>29</v>
      </c>
      <c r="F484" s="5" t="n">
        <v>4</v>
      </c>
      <c r="G484" s="5" t="n">
        <v>0</v>
      </c>
      <c r="H484" s="5" t="n">
        <v>0</v>
      </c>
      <c r="I484" s="5" t="n">
        <v>0</v>
      </c>
      <c r="J484" s="5" t="n">
        <v>0</v>
      </c>
      <c r="K484" s="5" t="n">
        <v>0</v>
      </c>
      <c r="L484" s="5" t="n">
        <v>0</v>
      </c>
      <c r="M484" s="5" t="n">
        <v>0</v>
      </c>
      <c r="N484" s="5" t="n">
        <v>0</v>
      </c>
      <c r="O484" s="5" t="n">
        <v>0</v>
      </c>
      <c r="P484" s="5" t="n">
        <v>0</v>
      </c>
      <c r="Q484" s="5" t="n">
        <v>0</v>
      </c>
      <c r="R484" s="5" t="n">
        <v>1</v>
      </c>
      <c r="S484" s="5" t="n">
        <v>0</v>
      </c>
      <c r="T484" s="5" t="n">
        <v>0</v>
      </c>
      <c r="U484" s="5" t="inlineStr">
        <is>
          <t>testing</t>
        </is>
      </c>
    </row>
    <row r="485">
      <c r="A485" s="5" t="n">
        <v>457</v>
      </c>
      <c r="B485" s="5" t="n">
        <v>0</v>
      </c>
      <c r="C485" s="5" t="n">
        <v>11</v>
      </c>
      <c r="D485" s="5" t="n">
        <v>3905</v>
      </c>
      <c r="E485" s="5" t="n">
        <v>36</v>
      </c>
      <c r="F485" s="5" t="n">
        <v>2</v>
      </c>
      <c r="G485" s="5" t="n">
        <v>1</v>
      </c>
      <c r="H485" s="5" t="n">
        <v>0</v>
      </c>
      <c r="I485" s="5" t="n">
        <v>0</v>
      </c>
      <c r="J485" s="5" t="n">
        <v>1</v>
      </c>
      <c r="K485" s="5" t="n">
        <v>0</v>
      </c>
      <c r="L485" s="5" t="n">
        <v>0</v>
      </c>
      <c r="M485" s="5" t="n">
        <v>0</v>
      </c>
      <c r="N485" s="5" t="n">
        <v>0</v>
      </c>
      <c r="O485" s="5" t="n">
        <v>0</v>
      </c>
      <c r="P485" s="5" t="n">
        <v>1</v>
      </c>
      <c r="Q485" s="5" t="n">
        <v>0</v>
      </c>
      <c r="R485" s="5" t="n">
        <v>1</v>
      </c>
      <c r="S485" s="5" t="n">
        <v>0</v>
      </c>
      <c r="T485" s="5" t="n">
        <v>0</v>
      </c>
      <c r="U485" s="5" t="inlineStr">
        <is>
          <t>testing</t>
        </is>
      </c>
    </row>
    <row r="486">
      <c r="A486" s="5" t="n">
        <v>458</v>
      </c>
      <c r="B486" s="5" t="n">
        <v>1</v>
      </c>
      <c r="C486" s="5" t="n">
        <v>12</v>
      </c>
      <c r="D486" s="5" t="n">
        <v>3386</v>
      </c>
      <c r="E486" s="5" t="n">
        <v>35</v>
      </c>
      <c r="F486" s="5" t="n">
        <v>3</v>
      </c>
      <c r="G486" s="5" t="n">
        <v>1</v>
      </c>
      <c r="H486" s="5" t="n">
        <v>0</v>
      </c>
      <c r="I486" s="5" t="n">
        <v>0</v>
      </c>
      <c r="J486" s="5" t="n">
        <v>0</v>
      </c>
      <c r="K486" s="5" t="n">
        <v>0</v>
      </c>
      <c r="L486" s="5" t="n">
        <v>0</v>
      </c>
      <c r="M486" s="5" t="n">
        <v>0</v>
      </c>
      <c r="N486" s="5" t="n">
        <v>0</v>
      </c>
      <c r="O486" s="5" t="n">
        <v>0</v>
      </c>
      <c r="P486" s="5" t="n">
        <v>0</v>
      </c>
      <c r="Q486" s="5" t="n">
        <v>1</v>
      </c>
      <c r="R486" s="5" t="n">
        <v>1</v>
      </c>
      <c r="S486" s="5" t="n">
        <v>0</v>
      </c>
      <c r="T486" s="5" t="n">
        <v>0</v>
      </c>
      <c r="U486" s="5" t="inlineStr">
        <is>
          <t>training</t>
        </is>
      </c>
    </row>
    <row r="487">
      <c r="A487" s="5" t="n">
        <v>459</v>
      </c>
      <c r="B487" s="5" t="n">
        <v>0</v>
      </c>
      <c r="C487" s="5" t="n">
        <v>6</v>
      </c>
      <c r="D487" s="5" t="n">
        <v>343</v>
      </c>
      <c r="E487" s="5" t="n">
        <v>27</v>
      </c>
      <c r="F487" s="5" t="n">
        <v>4</v>
      </c>
      <c r="G487" s="5" t="n">
        <v>1</v>
      </c>
      <c r="H487" s="5" t="n">
        <v>0</v>
      </c>
      <c r="I487" s="5" t="n">
        <v>0</v>
      </c>
      <c r="J487" s="5" t="n">
        <v>0</v>
      </c>
      <c r="K487" s="5" t="n">
        <v>0</v>
      </c>
      <c r="L487" s="5" t="n">
        <v>0</v>
      </c>
      <c r="M487" s="5" t="n">
        <v>0</v>
      </c>
      <c r="N487" s="5" t="n">
        <v>0</v>
      </c>
      <c r="O487" s="5" t="n">
        <v>0</v>
      </c>
      <c r="P487" s="5" t="n">
        <v>0</v>
      </c>
      <c r="Q487" s="5" t="n">
        <v>0</v>
      </c>
      <c r="R487" s="5" t="n">
        <v>0</v>
      </c>
      <c r="S487" s="5" t="n">
        <v>0</v>
      </c>
      <c r="T487" s="5" t="n">
        <v>0</v>
      </c>
      <c r="U487" s="5" t="inlineStr">
        <is>
          <t>training</t>
        </is>
      </c>
    </row>
    <row r="488">
      <c r="A488" s="5" t="n">
        <v>460</v>
      </c>
      <c r="B488" s="5" t="n">
        <v>0</v>
      </c>
      <c r="C488" s="5" t="n">
        <v>18</v>
      </c>
      <c r="D488" s="5" t="n">
        <v>4594</v>
      </c>
      <c r="E488" s="5" t="n">
        <v>32</v>
      </c>
      <c r="F488" s="5" t="n">
        <v>3</v>
      </c>
      <c r="G488" s="5" t="n">
        <v>0</v>
      </c>
      <c r="H488" s="5" t="n">
        <v>0</v>
      </c>
      <c r="I488" s="5" t="n">
        <v>0</v>
      </c>
      <c r="J488" s="5" t="n">
        <v>0</v>
      </c>
      <c r="K488" s="5" t="n">
        <v>0</v>
      </c>
      <c r="L488" s="5" t="n">
        <v>0</v>
      </c>
      <c r="M488" s="5" t="n">
        <v>0</v>
      </c>
      <c r="N488" s="5" t="n">
        <v>0</v>
      </c>
      <c r="O488" s="5" t="n">
        <v>0</v>
      </c>
      <c r="P488" s="5" t="n">
        <v>0</v>
      </c>
      <c r="Q488" s="5" t="n">
        <v>0</v>
      </c>
      <c r="R488" s="5" t="n">
        <v>0</v>
      </c>
      <c r="S488" s="5" t="n">
        <v>1</v>
      </c>
      <c r="T488" s="5" t="n">
        <v>0</v>
      </c>
      <c r="U488" s="5" t="inlineStr">
        <is>
          <t>testing</t>
        </is>
      </c>
    </row>
    <row r="489">
      <c r="A489" s="5" t="n">
        <v>461</v>
      </c>
      <c r="B489" s="5" t="n">
        <v>0</v>
      </c>
      <c r="C489" s="5" t="n">
        <v>36</v>
      </c>
      <c r="D489" s="5" t="n">
        <v>3620</v>
      </c>
      <c r="E489" s="5" t="n">
        <v>37</v>
      </c>
      <c r="F489" s="5" t="n">
        <v>1</v>
      </c>
      <c r="G489" s="5" t="n">
        <v>1</v>
      </c>
      <c r="H489" s="5" t="n">
        <v>0</v>
      </c>
      <c r="I489" s="5" t="n">
        <v>0</v>
      </c>
      <c r="J489" s="5" t="n">
        <v>0</v>
      </c>
      <c r="K489" s="5" t="n">
        <v>0</v>
      </c>
      <c r="L489" s="5" t="n">
        <v>0</v>
      </c>
      <c r="M489" s="5" t="n">
        <v>0</v>
      </c>
      <c r="N489" s="5" t="n">
        <v>0</v>
      </c>
      <c r="O489" s="5" t="n">
        <v>0</v>
      </c>
      <c r="P489" s="5" t="n">
        <v>0</v>
      </c>
      <c r="Q489" s="5" t="n">
        <v>0</v>
      </c>
      <c r="R489" s="5" t="n">
        <v>0</v>
      </c>
      <c r="S489" s="5" t="n">
        <v>0</v>
      </c>
      <c r="T489" s="5" t="n">
        <v>1</v>
      </c>
      <c r="U489" s="5" t="inlineStr">
        <is>
          <t>training</t>
        </is>
      </c>
    </row>
    <row r="490">
      <c r="A490" s="5" t="n">
        <v>462</v>
      </c>
      <c r="B490" s="5" t="n">
        <v>0</v>
      </c>
      <c r="C490" s="5" t="n">
        <v>15</v>
      </c>
      <c r="D490" s="5" t="n">
        <v>1721</v>
      </c>
      <c r="E490" s="5" t="n">
        <v>36</v>
      </c>
      <c r="F490" s="5" t="n">
        <v>2</v>
      </c>
      <c r="G490" s="5" t="n">
        <v>1</v>
      </c>
      <c r="H490" s="5" t="n">
        <v>0</v>
      </c>
      <c r="I490" s="5" t="n">
        <v>0</v>
      </c>
      <c r="J490" s="5" t="n">
        <v>0</v>
      </c>
      <c r="K490" s="5" t="n">
        <v>0</v>
      </c>
      <c r="L490" s="5" t="n">
        <v>0</v>
      </c>
      <c r="M490" s="5" t="n">
        <v>0</v>
      </c>
      <c r="N490" s="5" t="n">
        <v>0</v>
      </c>
      <c r="O490" s="5" t="n">
        <v>0</v>
      </c>
      <c r="P490" s="5" t="n">
        <v>0</v>
      </c>
      <c r="Q490" s="5" t="n">
        <v>0</v>
      </c>
      <c r="R490" s="5" t="n">
        <v>1</v>
      </c>
      <c r="S490" s="5" t="n">
        <v>0</v>
      </c>
      <c r="T490" s="5" t="n">
        <v>0</v>
      </c>
      <c r="U490" s="5" t="inlineStr">
        <is>
          <t>training</t>
        </is>
      </c>
    </row>
    <row r="491">
      <c r="A491" s="5" t="n">
        <v>463</v>
      </c>
      <c r="B491" s="5" t="n">
        <v>0</v>
      </c>
      <c r="C491" s="5" t="n">
        <v>12</v>
      </c>
      <c r="D491" s="5" t="n">
        <v>3017</v>
      </c>
      <c r="E491" s="5" t="n">
        <v>34</v>
      </c>
      <c r="F491" s="5" t="n">
        <v>3</v>
      </c>
      <c r="G491" s="5" t="n">
        <v>0</v>
      </c>
      <c r="H491" s="5" t="n">
        <v>1</v>
      </c>
      <c r="I491" s="5" t="n">
        <v>0</v>
      </c>
      <c r="J491" s="5" t="n">
        <v>0</v>
      </c>
      <c r="K491" s="5" t="n">
        <v>0</v>
      </c>
      <c r="L491" s="5" t="n">
        <v>0</v>
      </c>
      <c r="M491" s="5" t="n">
        <v>0</v>
      </c>
      <c r="N491" s="5" t="n">
        <v>0</v>
      </c>
      <c r="O491" s="5" t="n">
        <v>0</v>
      </c>
      <c r="P491" s="5" t="n">
        <v>1</v>
      </c>
      <c r="Q491" s="5" t="n">
        <v>0</v>
      </c>
      <c r="R491" s="5" t="n">
        <v>0</v>
      </c>
      <c r="S491" s="5" t="n">
        <v>0</v>
      </c>
      <c r="T491" s="5" t="n">
        <v>1</v>
      </c>
      <c r="U491" s="5" t="inlineStr">
        <is>
          <t>testing</t>
        </is>
      </c>
    </row>
    <row r="492">
      <c r="A492" s="5" t="n">
        <v>464</v>
      </c>
      <c r="B492" s="5" t="n">
        <v>0</v>
      </c>
      <c r="C492" s="5" t="n">
        <v>12</v>
      </c>
      <c r="D492" s="5" t="n">
        <v>754</v>
      </c>
      <c r="E492" s="5" t="n">
        <v>38</v>
      </c>
      <c r="F492" s="5" t="n">
        <v>4</v>
      </c>
      <c r="G492" s="5" t="n">
        <v>0</v>
      </c>
      <c r="H492" s="5" t="n">
        <v>1</v>
      </c>
      <c r="I492" s="5" t="n">
        <v>0</v>
      </c>
      <c r="J492" s="5" t="n">
        <v>0</v>
      </c>
      <c r="K492" s="5" t="n">
        <v>0</v>
      </c>
      <c r="L492" s="5" t="n">
        <v>0</v>
      </c>
      <c r="M492" s="5" t="n">
        <v>0</v>
      </c>
      <c r="N492" s="5" t="n">
        <v>0</v>
      </c>
      <c r="O492" s="5" t="n">
        <v>1</v>
      </c>
      <c r="P492" s="5" t="n">
        <v>0</v>
      </c>
      <c r="Q492" s="5" t="n">
        <v>0</v>
      </c>
      <c r="R492" s="5" t="n">
        <v>0</v>
      </c>
      <c r="S492" s="5" t="n">
        <v>0</v>
      </c>
      <c r="T492" s="5" t="n">
        <v>0</v>
      </c>
      <c r="U492" s="5" t="inlineStr">
        <is>
          <t>testing</t>
        </is>
      </c>
    </row>
    <row r="493">
      <c r="A493" s="5" t="n">
        <v>465</v>
      </c>
      <c r="B493" s="5" t="n">
        <v>0</v>
      </c>
      <c r="C493" s="5" t="n">
        <v>18</v>
      </c>
      <c r="D493" s="5" t="n">
        <v>1950</v>
      </c>
      <c r="E493" s="5" t="n">
        <v>34</v>
      </c>
      <c r="F493" s="5" t="n">
        <v>4</v>
      </c>
      <c r="G493" s="5" t="n">
        <v>0</v>
      </c>
      <c r="H493" s="5" t="n">
        <v>0</v>
      </c>
      <c r="I493" s="5" t="n">
        <v>0</v>
      </c>
      <c r="J493" s="5" t="n">
        <v>0</v>
      </c>
      <c r="K493" s="5" t="n">
        <v>0</v>
      </c>
      <c r="L493" s="5" t="n">
        <v>0</v>
      </c>
      <c r="M493" s="5" t="n">
        <v>0</v>
      </c>
      <c r="N493" s="5" t="n">
        <v>0</v>
      </c>
      <c r="O493" s="5" t="n">
        <v>0</v>
      </c>
      <c r="P493" s="5" t="n">
        <v>0</v>
      </c>
      <c r="Q493" s="5" t="n">
        <v>0</v>
      </c>
      <c r="R493" s="5" t="n">
        <v>0</v>
      </c>
      <c r="S493" s="5" t="n">
        <v>0</v>
      </c>
      <c r="T493" s="5" t="n">
        <v>0</v>
      </c>
      <c r="U493" s="5" t="inlineStr">
        <is>
          <t>training</t>
        </is>
      </c>
    </row>
    <row r="494">
      <c r="A494" s="5" t="n">
        <v>466</v>
      </c>
      <c r="B494" s="5" t="n">
        <v>0</v>
      </c>
      <c r="C494" s="5" t="n">
        <v>24</v>
      </c>
      <c r="D494" s="5" t="n">
        <v>2924</v>
      </c>
      <c r="E494" s="5" t="n">
        <v>63</v>
      </c>
      <c r="F494" s="5" t="n">
        <v>3</v>
      </c>
      <c r="G494" s="5" t="n">
        <v>1</v>
      </c>
      <c r="H494" s="5" t="n">
        <v>0</v>
      </c>
      <c r="I494" s="5" t="n">
        <v>0</v>
      </c>
      <c r="J494" s="5" t="n">
        <v>0</v>
      </c>
      <c r="K494" s="5" t="n">
        <v>0</v>
      </c>
      <c r="L494" s="5" t="n">
        <v>0</v>
      </c>
      <c r="M494" s="5" t="n">
        <v>0</v>
      </c>
      <c r="N494" s="5" t="n">
        <v>0</v>
      </c>
      <c r="O494" s="5" t="n">
        <v>0</v>
      </c>
      <c r="P494" s="5" t="n">
        <v>0</v>
      </c>
      <c r="Q494" s="5" t="n">
        <v>0</v>
      </c>
      <c r="R494" s="5" t="n">
        <v>1</v>
      </c>
      <c r="S494" s="5" t="n">
        <v>0</v>
      </c>
      <c r="T494" s="5" t="n">
        <v>0</v>
      </c>
      <c r="U494" s="5" t="inlineStr">
        <is>
          <t>training</t>
        </is>
      </c>
    </row>
    <row r="495">
      <c r="A495" s="5" t="n">
        <v>467</v>
      </c>
      <c r="B495" s="5" t="n">
        <v>1</v>
      </c>
      <c r="C495" s="5" t="n">
        <v>24</v>
      </c>
      <c r="D495" s="5" t="n">
        <v>1659</v>
      </c>
      <c r="E495" s="5" t="n">
        <v>29</v>
      </c>
      <c r="F495" s="5" t="n">
        <v>4</v>
      </c>
      <c r="G495" s="5" t="n">
        <v>1</v>
      </c>
      <c r="H495" s="5" t="n">
        <v>0</v>
      </c>
      <c r="I495" s="5" t="n">
        <v>0</v>
      </c>
      <c r="J495" s="5" t="n">
        <v>0</v>
      </c>
      <c r="K495" s="5" t="n">
        <v>1</v>
      </c>
      <c r="L495" s="5" t="n">
        <v>0</v>
      </c>
      <c r="M495" s="5" t="n">
        <v>0</v>
      </c>
      <c r="N495" s="5" t="n">
        <v>0</v>
      </c>
      <c r="O495" s="5" t="n">
        <v>0</v>
      </c>
      <c r="P495" s="5" t="n">
        <v>1</v>
      </c>
      <c r="Q495" s="5" t="n">
        <v>0</v>
      </c>
      <c r="R495" s="5" t="n">
        <v>0</v>
      </c>
      <c r="S495" s="5" t="n">
        <v>1</v>
      </c>
      <c r="T495" s="5" t="n">
        <v>0</v>
      </c>
      <c r="U495" s="5" t="inlineStr">
        <is>
          <t>testing</t>
        </is>
      </c>
    </row>
    <row r="496">
      <c r="A496" s="5" t="n">
        <v>468</v>
      </c>
      <c r="B496" s="5" t="n">
        <v>0</v>
      </c>
      <c r="C496" s="5" t="n">
        <v>48</v>
      </c>
      <c r="D496" s="5" t="n">
        <v>7238</v>
      </c>
      <c r="E496" s="5" t="n">
        <v>32</v>
      </c>
      <c r="F496" s="5" t="n">
        <v>3</v>
      </c>
      <c r="G496" s="5" t="n">
        <v>0</v>
      </c>
      <c r="H496" s="5" t="n">
        <v>0</v>
      </c>
      <c r="I496" s="5" t="n">
        <v>0</v>
      </c>
      <c r="J496" s="5" t="n">
        <v>0</v>
      </c>
      <c r="K496" s="5" t="n">
        <v>1</v>
      </c>
      <c r="L496" s="5" t="n">
        <v>0</v>
      </c>
      <c r="M496" s="5" t="n">
        <v>0</v>
      </c>
      <c r="N496" s="5" t="n">
        <v>0</v>
      </c>
      <c r="O496" s="5" t="n">
        <v>1</v>
      </c>
      <c r="P496" s="5" t="n">
        <v>0</v>
      </c>
      <c r="Q496" s="5" t="n">
        <v>0</v>
      </c>
      <c r="R496" s="5" t="n">
        <v>0</v>
      </c>
      <c r="S496" s="5" t="n">
        <v>1</v>
      </c>
      <c r="T496" s="5" t="n">
        <v>0</v>
      </c>
      <c r="U496" s="5" t="inlineStr">
        <is>
          <t>testing</t>
        </is>
      </c>
    </row>
    <row r="497">
      <c r="A497" s="5" t="n">
        <v>469</v>
      </c>
      <c r="B497" s="5" t="n">
        <v>0</v>
      </c>
      <c r="C497" s="5" t="n">
        <v>33</v>
      </c>
      <c r="D497" s="5" t="n">
        <v>2764</v>
      </c>
      <c r="E497" s="5" t="n">
        <v>26</v>
      </c>
      <c r="F497" s="5" t="n">
        <v>2</v>
      </c>
      <c r="G497" s="5" t="n">
        <v>0</v>
      </c>
      <c r="H497" s="5" t="n">
        <v>0</v>
      </c>
      <c r="I497" s="5" t="n">
        <v>0</v>
      </c>
      <c r="J497" s="5" t="n">
        <v>0</v>
      </c>
      <c r="K497" s="5" t="n">
        <v>1</v>
      </c>
      <c r="L497" s="5" t="n">
        <v>0</v>
      </c>
      <c r="M497" s="5" t="n">
        <v>0</v>
      </c>
      <c r="N497" s="5" t="n">
        <v>0</v>
      </c>
      <c r="O497" s="5" t="n">
        <v>0</v>
      </c>
      <c r="P497" s="5" t="n">
        <v>0</v>
      </c>
      <c r="Q497" s="5" t="n">
        <v>0</v>
      </c>
      <c r="R497" s="5" t="n">
        <v>0</v>
      </c>
      <c r="S497" s="5" t="n">
        <v>0</v>
      </c>
      <c r="T497" s="5" t="n">
        <v>0</v>
      </c>
      <c r="U497" s="5" t="inlineStr">
        <is>
          <t>training</t>
        </is>
      </c>
    </row>
    <row r="498">
      <c r="A498" s="5" t="n">
        <v>470</v>
      </c>
      <c r="B498" s="5" t="n">
        <v>0</v>
      </c>
      <c r="C498" s="5" t="n">
        <v>24</v>
      </c>
      <c r="D498" s="5" t="n">
        <v>4679</v>
      </c>
      <c r="E498" s="5" t="n">
        <v>35</v>
      </c>
      <c r="F498" s="5" t="n">
        <v>3</v>
      </c>
      <c r="G498" s="5" t="n">
        <v>0</v>
      </c>
      <c r="H498" s="5" t="n">
        <v>0</v>
      </c>
      <c r="I498" s="5" t="n">
        <v>0</v>
      </c>
      <c r="J498" s="5" t="n">
        <v>0</v>
      </c>
      <c r="K498" s="5" t="n">
        <v>1</v>
      </c>
      <c r="L498" s="5" t="n">
        <v>0</v>
      </c>
      <c r="M498" s="5" t="n">
        <v>0</v>
      </c>
      <c r="N498" s="5" t="n">
        <v>0</v>
      </c>
      <c r="O498" s="5" t="n">
        <v>0</v>
      </c>
      <c r="P498" s="5" t="n">
        <v>0</v>
      </c>
      <c r="Q498" s="5" t="n">
        <v>0</v>
      </c>
      <c r="R498" s="5" t="n">
        <v>1</v>
      </c>
      <c r="S498" s="5" t="n">
        <v>0</v>
      </c>
      <c r="T498" s="5" t="n">
        <v>0</v>
      </c>
      <c r="U498" s="5" t="inlineStr">
        <is>
          <t>training</t>
        </is>
      </c>
    </row>
    <row r="499">
      <c r="A499" s="5" t="n">
        <v>471</v>
      </c>
      <c r="B499" s="5" t="n">
        <v>1</v>
      </c>
      <c r="C499" s="5" t="n">
        <v>24</v>
      </c>
      <c r="D499" s="5" t="n">
        <v>3092</v>
      </c>
      <c r="E499" s="5" t="n">
        <v>22</v>
      </c>
      <c r="F499" s="5" t="n">
        <v>3</v>
      </c>
      <c r="G499" s="5" t="n">
        <v>0</v>
      </c>
      <c r="H499" s="5" t="n">
        <v>1</v>
      </c>
      <c r="I499" s="5" t="n">
        <v>0</v>
      </c>
      <c r="J499" s="5" t="n">
        <v>0</v>
      </c>
      <c r="K499" s="5" t="n">
        <v>0</v>
      </c>
      <c r="L499" s="5" t="n">
        <v>0</v>
      </c>
      <c r="M499" s="5" t="n">
        <v>1</v>
      </c>
      <c r="N499" s="5" t="n">
        <v>0</v>
      </c>
      <c r="O499" s="5" t="n">
        <v>0</v>
      </c>
      <c r="P499" s="5" t="n">
        <v>1</v>
      </c>
      <c r="Q499" s="5" t="n">
        <v>0</v>
      </c>
      <c r="R499" s="5" t="n">
        <v>0</v>
      </c>
      <c r="S499" s="5" t="n">
        <v>1</v>
      </c>
      <c r="T499" s="5" t="n">
        <v>0</v>
      </c>
      <c r="U499" s="5" t="inlineStr">
        <is>
          <t>testing</t>
        </is>
      </c>
    </row>
    <row r="500">
      <c r="A500" s="5" t="n">
        <v>472</v>
      </c>
      <c r="B500" s="5" t="n">
        <v>1</v>
      </c>
      <c r="C500" s="5" t="n">
        <v>6</v>
      </c>
      <c r="D500" s="5" t="n">
        <v>448</v>
      </c>
      <c r="E500" s="5" t="n">
        <v>23</v>
      </c>
      <c r="F500" s="5" t="n">
        <v>4</v>
      </c>
      <c r="G500" s="5" t="n">
        <v>1</v>
      </c>
      <c r="H500" s="5" t="n">
        <v>0</v>
      </c>
      <c r="I500" s="5" t="n">
        <v>0</v>
      </c>
      <c r="J500" s="5" t="n">
        <v>0</v>
      </c>
      <c r="K500" s="5" t="n">
        <v>0</v>
      </c>
      <c r="L500" s="5" t="n">
        <v>0</v>
      </c>
      <c r="M500" s="5" t="n">
        <v>0</v>
      </c>
      <c r="N500" s="5" t="n">
        <v>0</v>
      </c>
      <c r="O500" s="5" t="n">
        <v>0</v>
      </c>
      <c r="P500" s="5" t="n">
        <v>0</v>
      </c>
      <c r="Q500" s="5" t="n">
        <v>0</v>
      </c>
      <c r="R500" s="5" t="n">
        <v>0</v>
      </c>
      <c r="S500" s="5" t="n">
        <v>0</v>
      </c>
      <c r="T500" s="5" t="n">
        <v>0</v>
      </c>
      <c r="U500" s="5" t="inlineStr">
        <is>
          <t>training</t>
        </is>
      </c>
    </row>
    <row r="501">
      <c r="A501" s="5" t="n">
        <v>473</v>
      </c>
      <c r="B501" s="5" t="n">
        <v>1</v>
      </c>
      <c r="C501" s="5" t="n">
        <v>9</v>
      </c>
      <c r="D501" s="5" t="n">
        <v>654</v>
      </c>
      <c r="E501" s="5" t="n">
        <v>28</v>
      </c>
      <c r="F501" s="5" t="n">
        <v>4</v>
      </c>
      <c r="G501" s="5" t="n">
        <v>1</v>
      </c>
      <c r="H501" s="5" t="n">
        <v>0</v>
      </c>
      <c r="I501" s="5" t="n">
        <v>0</v>
      </c>
      <c r="J501" s="5" t="n">
        <v>0</v>
      </c>
      <c r="K501" s="5" t="n">
        <v>0</v>
      </c>
      <c r="L501" s="5" t="n">
        <v>0</v>
      </c>
      <c r="M501" s="5" t="n">
        <v>0</v>
      </c>
      <c r="N501" s="5" t="n">
        <v>0</v>
      </c>
      <c r="O501" s="5" t="n">
        <v>0</v>
      </c>
      <c r="P501" s="5" t="n">
        <v>0</v>
      </c>
      <c r="Q501" s="5" t="n">
        <v>0</v>
      </c>
      <c r="R501" s="5" t="n">
        <v>1</v>
      </c>
      <c r="S501" s="5" t="n">
        <v>0</v>
      </c>
      <c r="T501" s="5" t="n">
        <v>0</v>
      </c>
      <c r="U501" s="5" t="inlineStr">
        <is>
          <t>testing</t>
        </is>
      </c>
    </row>
    <row r="502">
      <c r="A502" s="5" t="n">
        <v>474</v>
      </c>
      <c r="B502" s="5" t="n">
        <v>0</v>
      </c>
      <c r="C502" s="5" t="n">
        <v>6</v>
      </c>
      <c r="D502" s="5" t="n">
        <v>1238</v>
      </c>
      <c r="E502" s="5" t="n">
        <v>36</v>
      </c>
      <c r="F502" s="5" t="n">
        <v>4</v>
      </c>
      <c r="G502" s="5" t="n">
        <v>0</v>
      </c>
      <c r="H502" s="5" t="n">
        <v>0</v>
      </c>
      <c r="I502" s="5" t="n">
        <v>0</v>
      </c>
      <c r="J502" s="5" t="n">
        <v>0</v>
      </c>
      <c r="K502" s="5" t="n">
        <v>0</v>
      </c>
      <c r="L502" s="5" t="n">
        <v>0</v>
      </c>
      <c r="M502" s="5" t="n">
        <v>0</v>
      </c>
      <c r="N502" s="5" t="n">
        <v>0</v>
      </c>
      <c r="O502" s="5" t="n">
        <v>1</v>
      </c>
      <c r="P502" s="5" t="n">
        <v>0</v>
      </c>
      <c r="Q502" s="5" t="n">
        <v>0</v>
      </c>
      <c r="R502" s="5" t="n">
        <v>0</v>
      </c>
      <c r="S502" s="5" t="n">
        <v>0</v>
      </c>
      <c r="T502" s="5" t="n">
        <v>0</v>
      </c>
      <c r="U502" s="5" t="inlineStr">
        <is>
          <t>testing</t>
        </is>
      </c>
    </row>
    <row r="503">
      <c r="A503" s="5" t="n">
        <v>475</v>
      </c>
      <c r="B503" s="5" t="n">
        <v>1</v>
      </c>
      <c r="C503" s="5" t="n">
        <v>18</v>
      </c>
      <c r="D503" s="5" t="n">
        <v>1245</v>
      </c>
      <c r="E503" s="5" t="n">
        <v>33</v>
      </c>
      <c r="F503" s="5" t="n">
        <v>4</v>
      </c>
      <c r="G503" s="5" t="n">
        <v>0</v>
      </c>
      <c r="H503" s="5" t="n">
        <v>1</v>
      </c>
      <c r="I503" s="5" t="n">
        <v>0</v>
      </c>
      <c r="J503" s="5" t="n">
        <v>1</v>
      </c>
      <c r="K503" s="5" t="n">
        <v>0</v>
      </c>
      <c r="L503" s="5" t="n">
        <v>0</v>
      </c>
      <c r="M503" s="5" t="n">
        <v>0</v>
      </c>
      <c r="N503" s="5" t="n">
        <v>0</v>
      </c>
      <c r="O503" s="5" t="n">
        <v>0</v>
      </c>
      <c r="P503" s="5" t="n">
        <v>0</v>
      </c>
      <c r="Q503" s="5" t="n">
        <v>0</v>
      </c>
      <c r="R503" s="5" t="n">
        <v>0</v>
      </c>
      <c r="S503" s="5" t="n">
        <v>1</v>
      </c>
      <c r="T503" s="5" t="n">
        <v>0</v>
      </c>
      <c r="U503" s="5" t="inlineStr">
        <is>
          <t>training</t>
        </is>
      </c>
    </row>
    <row r="504">
      <c r="A504" s="5" t="n">
        <v>476</v>
      </c>
      <c r="B504" s="5" t="n">
        <v>1</v>
      </c>
      <c r="C504" s="5" t="n">
        <v>18</v>
      </c>
      <c r="D504" s="5" t="n">
        <v>3114</v>
      </c>
      <c r="E504" s="5" t="n">
        <v>26</v>
      </c>
      <c r="F504" s="5" t="n">
        <v>1</v>
      </c>
      <c r="G504" s="5" t="n">
        <v>1</v>
      </c>
      <c r="H504" s="5" t="n">
        <v>0</v>
      </c>
      <c r="I504" s="5" t="n">
        <v>0</v>
      </c>
      <c r="J504" s="5" t="n">
        <v>0</v>
      </c>
      <c r="K504" s="5" t="n">
        <v>0</v>
      </c>
      <c r="L504" s="5" t="n">
        <v>1</v>
      </c>
      <c r="M504" s="5" t="n">
        <v>0</v>
      </c>
      <c r="N504" s="5" t="n">
        <v>0</v>
      </c>
      <c r="O504" s="5" t="n">
        <v>0</v>
      </c>
      <c r="P504" s="5" t="n">
        <v>1</v>
      </c>
      <c r="Q504" s="5" t="n">
        <v>0</v>
      </c>
      <c r="R504" s="5" t="n">
        <v>0</v>
      </c>
      <c r="S504" s="5" t="n">
        <v>0</v>
      </c>
      <c r="T504" s="5" t="n">
        <v>1</v>
      </c>
      <c r="U504" s="5" t="inlineStr">
        <is>
          <t>training</t>
        </is>
      </c>
    </row>
    <row r="505">
      <c r="A505" s="5" t="n">
        <v>477</v>
      </c>
      <c r="B505" s="5" t="n">
        <v>0</v>
      </c>
      <c r="C505" s="5" t="n">
        <v>39</v>
      </c>
      <c r="D505" s="5" t="n">
        <v>2569</v>
      </c>
      <c r="E505" s="5" t="n">
        <v>24</v>
      </c>
      <c r="F505" s="5" t="n">
        <v>4</v>
      </c>
      <c r="G505" s="5" t="n">
        <v>0</v>
      </c>
      <c r="H505" s="5" t="n">
        <v>0</v>
      </c>
      <c r="I505" s="5" t="n">
        <v>0</v>
      </c>
      <c r="J505" s="5" t="n">
        <v>0</v>
      </c>
      <c r="K505" s="5" t="n">
        <v>0</v>
      </c>
      <c r="L505" s="5" t="n">
        <v>0</v>
      </c>
      <c r="M505" s="5" t="n">
        <v>1</v>
      </c>
      <c r="N505" s="5" t="n">
        <v>0</v>
      </c>
      <c r="O505" s="5" t="n">
        <v>0</v>
      </c>
      <c r="P505" s="5" t="n">
        <v>0</v>
      </c>
      <c r="Q505" s="5" t="n">
        <v>0</v>
      </c>
      <c r="R505" s="5" t="n">
        <v>1</v>
      </c>
      <c r="S505" s="5" t="n">
        <v>0</v>
      </c>
      <c r="T505" s="5" t="n">
        <v>0</v>
      </c>
      <c r="U505" s="5" t="inlineStr">
        <is>
          <t>testing</t>
        </is>
      </c>
    </row>
    <row r="506">
      <c r="A506" s="5" t="n">
        <v>478</v>
      </c>
      <c r="B506" s="5" t="n">
        <v>0</v>
      </c>
      <c r="C506" s="5" t="n">
        <v>24</v>
      </c>
      <c r="D506" s="5" t="n">
        <v>5152</v>
      </c>
      <c r="E506" s="5" t="n">
        <v>25</v>
      </c>
      <c r="F506" s="5" t="n">
        <v>4</v>
      </c>
      <c r="G506" s="5" t="n">
        <v>0</v>
      </c>
      <c r="H506" s="5" t="n">
        <v>0</v>
      </c>
      <c r="I506" s="5" t="n">
        <v>1</v>
      </c>
      <c r="J506" s="5" t="n">
        <v>0</v>
      </c>
      <c r="K506" s="5" t="n">
        <v>0</v>
      </c>
      <c r="L506" s="5" t="n">
        <v>0</v>
      </c>
      <c r="M506" s="5" t="n">
        <v>0</v>
      </c>
      <c r="N506" s="5" t="n">
        <v>0</v>
      </c>
      <c r="O506" s="5" t="n">
        <v>0</v>
      </c>
      <c r="P506" s="5" t="n">
        <v>0</v>
      </c>
      <c r="Q506" s="5" t="n">
        <v>0</v>
      </c>
      <c r="R506" s="5" t="n">
        <v>0</v>
      </c>
      <c r="S506" s="5" t="n">
        <v>1</v>
      </c>
      <c r="T506" s="5" t="n">
        <v>0</v>
      </c>
      <c r="U506" s="5" t="inlineStr">
        <is>
          <t>training</t>
        </is>
      </c>
    </row>
    <row r="507">
      <c r="A507" s="5" t="n">
        <v>479</v>
      </c>
      <c r="B507" s="5" t="n">
        <v>0</v>
      </c>
      <c r="C507" s="5" t="n">
        <v>12</v>
      </c>
      <c r="D507" s="5" t="n">
        <v>1037</v>
      </c>
      <c r="E507" s="5" t="n">
        <v>39</v>
      </c>
      <c r="F507" s="5" t="n">
        <v>3</v>
      </c>
      <c r="G507" s="5" t="n">
        <v>0</v>
      </c>
      <c r="H507" s="5" t="n">
        <v>1</v>
      </c>
      <c r="I507" s="5" t="n">
        <v>0</v>
      </c>
      <c r="J507" s="5" t="n">
        <v>0</v>
      </c>
      <c r="K507" s="5" t="n">
        <v>0</v>
      </c>
      <c r="L507" s="5" t="n">
        <v>0</v>
      </c>
      <c r="M507" s="5" t="n">
        <v>1</v>
      </c>
      <c r="N507" s="5" t="n">
        <v>0</v>
      </c>
      <c r="O507" s="5" t="n">
        <v>0</v>
      </c>
      <c r="P507" s="5" t="n">
        <v>0</v>
      </c>
      <c r="Q507" s="5" t="n">
        <v>0</v>
      </c>
      <c r="R507" s="5" t="n">
        <v>0</v>
      </c>
      <c r="S507" s="5" t="n">
        <v>0</v>
      </c>
      <c r="T507" s="5" t="n">
        <v>0</v>
      </c>
      <c r="U507" s="5" t="inlineStr">
        <is>
          <t>training</t>
        </is>
      </c>
    </row>
    <row r="508">
      <c r="A508" s="5" t="n">
        <v>480</v>
      </c>
      <c r="B508" s="5" t="n">
        <v>0</v>
      </c>
      <c r="C508" s="5" t="n">
        <v>15</v>
      </c>
      <c r="D508" s="5" t="n">
        <v>1478</v>
      </c>
      <c r="E508" s="5" t="n">
        <v>44</v>
      </c>
      <c r="F508" s="5" t="n">
        <v>4</v>
      </c>
      <c r="G508" s="5" t="n">
        <v>1</v>
      </c>
      <c r="H508" s="5" t="n">
        <v>0</v>
      </c>
      <c r="I508" s="5" t="n">
        <v>0</v>
      </c>
      <c r="J508" s="5" t="n">
        <v>1</v>
      </c>
      <c r="K508" s="5" t="n">
        <v>0</v>
      </c>
      <c r="L508" s="5" t="n">
        <v>0</v>
      </c>
      <c r="M508" s="5" t="n">
        <v>0</v>
      </c>
      <c r="N508" s="5" t="n">
        <v>0</v>
      </c>
      <c r="O508" s="5" t="n">
        <v>0</v>
      </c>
      <c r="P508" s="5" t="n">
        <v>0</v>
      </c>
      <c r="Q508" s="5" t="n">
        <v>0</v>
      </c>
      <c r="R508" s="5" t="n">
        <v>0</v>
      </c>
      <c r="S508" s="5" t="n">
        <v>0</v>
      </c>
      <c r="T508" s="5" t="n">
        <v>1</v>
      </c>
      <c r="U508" s="5" t="inlineStr">
        <is>
          <t>training</t>
        </is>
      </c>
    </row>
    <row r="509">
      <c r="A509" s="5" t="n">
        <v>481</v>
      </c>
      <c r="B509" s="5" t="n">
        <v>0</v>
      </c>
      <c r="C509" s="5" t="n">
        <v>12</v>
      </c>
      <c r="D509" s="5" t="n">
        <v>3573</v>
      </c>
      <c r="E509" s="5" t="n">
        <v>23</v>
      </c>
      <c r="F509" s="5" t="n">
        <v>1</v>
      </c>
      <c r="G509" s="5" t="n">
        <v>0</v>
      </c>
      <c r="H509" s="5" t="n">
        <v>1</v>
      </c>
      <c r="I509" s="5" t="n">
        <v>0</v>
      </c>
      <c r="J509" s="5" t="n">
        <v>1</v>
      </c>
      <c r="K509" s="5" t="n">
        <v>0</v>
      </c>
      <c r="L509" s="5" t="n">
        <v>0</v>
      </c>
      <c r="M509" s="5" t="n">
        <v>0</v>
      </c>
      <c r="N509" s="5" t="n">
        <v>0</v>
      </c>
      <c r="O509" s="5" t="n">
        <v>0</v>
      </c>
      <c r="P509" s="5" t="n">
        <v>0</v>
      </c>
      <c r="Q509" s="5" t="n">
        <v>0</v>
      </c>
      <c r="R509" s="5" t="n">
        <v>0</v>
      </c>
      <c r="S509" s="5" t="n">
        <v>1</v>
      </c>
      <c r="T509" s="5" t="n">
        <v>0</v>
      </c>
      <c r="U509" s="5" t="inlineStr">
        <is>
          <t>testing</t>
        </is>
      </c>
    </row>
    <row r="510">
      <c r="A510" s="5" t="n">
        <v>482</v>
      </c>
      <c r="B510" s="5" t="n">
        <v>0</v>
      </c>
      <c r="C510" s="5" t="n">
        <v>24</v>
      </c>
      <c r="D510" s="5" t="n">
        <v>1201</v>
      </c>
      <c r="E510" s="5" t="n">
        <v>26</v>
      </c>
      <c r="F510" s="5" t="n">
        <v>4</v>
      </c>
      <c r="G510" s="5" t="n">
        <v>0</v>
      </c>
      <c r="H510" s="5" t="n">
        <v>1</v>
      </c>
      <c r="I510" s="5" t="n">
        <v>0</v>
      </c>
      <c r="J510" s="5" t="n">
        <v>0</v>
      </c>
      <c r="K510" s="5" t="n">
        <v>0</v>
      </c>
      <c r="L510" s="5" t="n">
        <v>0</v>
      </c>
      <c r="M510" s="5" t="n">
        <v>0</v>
      </c>
      <c r="N510" s="5" t="n">
        <v>0</v>
      </c>
      <c r="O510" s="5" t="n">
        <v>0</v>
      </c>
      <c r="P510" s="5" t="n">
        <v>0</v>
      </c>
      <c r="Q510" s="5" t="n">
        <v>0</v>
      </c>
      <c r="R510" s="5" t="n">
        <v>1</v>
      </c>
      <c r="S510" s="5" t="n">
        <v>0</v>
      </c>
      <c r="T510" s="5" t="n">
        <v>0</v>
      </c>
      <c r="U510" s="5" t="inlineStr">
        <is>
          <t>training</t>
        </is>
      </c>
    </row>
    <row r="511">
      <c r="A511" s="5" t="n">
        <v>483</v>
      </c>
      <c r="B511" s="5" t="n">
        <v>0</v>
      </c>
      <c r="C511" s="5" t="n">
        <v>30</v>
      </c>
      <c r="D511" s="5" t="n">
        <v>3622</v>
      </c>
      <c r="E511" s="5" t="n">
        <v>57</v>
      </c>
      <c r="F511" s="5" t="n">
        <v>4</v>
      </c>
      <c r="G511" s="5" t="n">
        <v>1</v>
      </c>
      <c r="H511" s="5" t="n">
        <v>0</v>
      </c>
      <c r="I511" s="5" t="n">
        <v>0</v>
      </c>
      <c r="J511" s="5" t="n">
        <v>0</v>
      </c>
      <c r="K511" s="5" t="n">
        <v>0</v>
      </c>
      <c r="L511" s="5" t="n">
        <v>0</v>
      </c>
      <c r="M511" s="5" t="n">
        <v>0</v>
      </c>
      <c r="N511" s="5" t="n">
        <v>1</v>
      </c>
      <c r="O511" s="5" t="n">
        <v>0</v>
      </c>
      <c r="P511" s="5" t="n">
        <v>1</v>
      </c>
      <c r="Q511" s="5" t="n">
        <v>0</v>
      </c>
      <c r="R511" s="5" t="n">
        <v>0</v>
      </c>
      <c r="S511" s="5" t="n">
        <v>0</v>
      </c>
      <c r="T511" s="5" t="n">
        <v>1</v>
      </c>
      <c r="U511" s="5" t="inlineStr">
        <is>
          <t>training</t>
        </is>
      </c>
    </row>
    <row r="512">
      <c r="A512" s="5" t="n">
        <v>484</v>
      </c>
      <c r="B512" s="5" t="n">
        <v>0</v>
      </c>
      <c r="C512" s="5" t="n">
        <v>15</v>
      </c>
      <c r="D512" s="5" t="n">
        <v>960</v>
      </c>
      <c r="E512" s="5" t="n">
        <v>30</v>
      </c>
      <c r="F512" s="5" t="n">
        <v>3</v>
      </c>
      <c r="G512" s="5" t="n">
        <v>0</v>
      </c>
      <c r="H512" s="5" t="n">
        <v>0</v>
      </c>
      <c r="I512" s="5" t="n">
        <v>0</v>
      </c>
      <c r="J512" s="5" t="n">
        <v>0</v>
      </c>
      <c r="K512" s="5" t="n">
        <v>1</v>
      </c>
      <c r="L512" s="5" t="n">
        <v>0</v>
      </c>
      <c r="M512" s="5" t="n">
        <v>0</v>
      </c>
      <c r="N512" s="5" t="n">
        <v>1</v>
      </c>
      <c r="O512" s="5" t="n">
        <v>0</v>
      </c>
      <c r="P512" s="5" t="n">
        <v>0</v>
      </c>
      <c r="Q512" s="5" t="n">
        <v>0</v>
      </c>
      <c r="R512" s="5" t="n">
        <v>0</v>
      </c>
      <c r="S512" s="5" t="n">
        <v>0</v>
      </c>
      <c r="T512" s="5" t="n">
        <v>1</v>
      </c>
      <c r="U512" s="5" t="inlineStr">
        <is>
          <t>training</t>
        </is>
      </c>
    </row>
    <row r="513">
      <c r="A513" s="5" t="n">
        <v>485</v>
      </c>
      <c r="B513" s="5" t="n">
        <v>0</v>
      </c>
      <c r="C513" s="5" t="n">
        <v>12</v>
      </c>
      <c r="D513" s="5" t="n">
        <v>1163</v>
      </c>
      <c r="E513" s="5" t="n">
        <v>44</v>
      </c>
      <c r="F513" s="5" t="n">
        <v>4</v>
      </c>
      <c r="G513" s="5" t="n">
        <v>0</v>
      </c>
      <c r="H513" s="5" t="n">
        <v>0</v>
      </c>
      <c r="I513" s="5" t="n">
        <v>0</v>
      </c>
      <c r="J513" s="5" t="n">
        <v>1</v>
      </c>
      <c r="K513" s="5" t="n">
        <v>0</v>
      </c>
      <c r="L513" s="5" t="n">
        <v>0</v>
      </c>
      <c r="M513" s="5" t="n">
        <v>1</v>
      </c>
      <c r="N513" s="5" t="n">
        <v>0</v>
      </c>
      <c r="O513" s="5" t="n">
        <v>0</v>
      </c>
      <c r="P513" s="5" t="n">
        <v>0</v>
      </c>
      <c r="Q513" s="5" t="n">
        <v>0</v>
      </c>
      <c r="R513" s="5" t="n">
        <v>1</v>
      </c>
      <c r="S513" s="5" t="n">
        <v>0</v>
      </c>
      <c r="T513" s="5" t="n">
        <v>0</v>
      </c>
      <c r="U513" s="5" t="inlineStr">
        <is>
          <t>testing</t>
        </is>
      </c>
    </row>
    <row r="514">
      <c r="A514" s="5" t="n">
        <v>486</v>
      </c>
      <c r="B514" s="5" t="n">
        <v>1</v>
      </c>
      <c r="C514" s="5" t="n">
        <v>6</v>
      </c>
      <c r="D514" s="5" t="n">
        <v>1209</v>
      </c>
      <c r="E514" s="5" t="n">
        <v>47</v>
      </c>
      <c r="F514" s="5" t="n">
        <v>4</v>
      </c>
      <c r="G514" s="5" t="n">
        <v>0</v>
      </c>
      <c r="H514" s="5" t="n">
        <v>1</v>
      </c>
      <c r="I514" s="5" t="n">
        <v>0</v>
      </c>
      <c r="J514" s="5" t="n">
        <v>0</v>
      </c>
      <c r="K514" s="5" t="n">
        <v>1</v>
      </c>
      <c r="L514" s="5" t="n">
        <v>0</v>
      </c>
      <c r="M514" s="5" t="n">
        <v>0</v>
      </c>
      <c r="N514" s="5" t="n">
        <v>0</v>
      </c>
      <c r="O514" s="5" t="n">
        <v>0</v>
      </c>
      <c r="P514" s="5" t="n">
        <v>0</v>
      </c>
      <c r="Q514" s="5" t="n">
        <v>0</v>
      </c>
      <c r="R514" s="5" t="n">
        <v>1</v>
      </c>
      <c r="S514" s="5" t="n">
        <v>0</v>
      </c>
      <c r="T514" s="5" t="n">
        <v>0</v>
      </c>
      <c r="U514" s="5" t="inlineStr">
        <is>
          <t>training</t>
        </is>
      </c>
    </row>
    <row r="515">
      <c r="A515" s="5" t="n">
        <v>487</v>
      </c>
      <c r="B515" s="5" t="n">
        <v>0</v>
      </c>
      <c r="C515" s="5" t="n">
        <v>12</v>
      </c>
      <c r="D515" s="5" t="n">
        <v>3077</v>
      </c>
      <c r="E515" s="5" t="n">
        <v>52</v>
      </c>
      <c r="F515" s="5" t="n">
        <v>2</v>
      </c>
      <c r="G515" s="5" t="n">
        <v>0</v>
      </c>
      <c r="H515" s="5" t="n">
        <v>0</v>
      </c>
      <c r="I515" s="5" t="n">
        <v>0</v>
      </c>
      <c r="J515" s="5" t="n">
        <v>0</v>
      </c>
      <c r="K515" s="5" t="n">
        <v>0</v>
      </c>
      <c r="L515" s="5" t="n">
        <v>0</v>
      </c>
      <c r="M515" s="5" t="n">
        <v>0</v>
      </c>
      <c r="N515" s="5" t="n">
        <v>0</v>
      </c>
      <c r="O515" s="5" t="n">
        <v>0</v>
      </c>
      <c r="P515" s="5" t="n">
        <v>0</v>
      </c>
      <c r="Q515" s="5" t="n">
        <v>0</v>
      </c>
      <c r="R515" s="5" t="n">
        <v>0</v>
      </c>
      <c r="S515" s="5" t="n">
        <v>1</v>
      </c>
      <c r="T515" s="5" t="n">
        <v>0</v>
      </c>
      <c r="U515" s="5" t="inlineStr">
        <is>
          <t>training</t>
        </is>
      </c>
    </row>
    <row r="516">
      <c r="A516" s="5" t="n">
        <v>488</v>
      </c>
      <c r="B516" s="5" t="n">
        <v>0</v>
      </c>
      <c r="C516" s="5" t="n">
        <v>24</v>
      </c>
      <c r="D516" s="5" t="n">
        <v>3757</v>
      </c>
      <c r="E516" s="5" t="n">
        <v>62</v>
      </c>
      <c r="F516" s="5" t="n">
        <v>4</v>
      </c>
      <c r="G516" s="5" t="n">
        <v>0</v>
      </c>
      <c r="H516" s="5" t="n">
        <v>0</v>
      </c>
      <c r="I516" s="5" t="n">
        <v>0</v>
      </c>
      <c r="J516" s="5" t="n">
        <v>0</v>
      </c>
      <c r="K516" s="5" t="n">
        <v>0</v>
      </c>
      <c r="L516" s="5" t="n">
        <v>0</v>
      </c>
      <c r="M516" s="5" t="n">
        <v>0</v>
      </c>
      <c r="N516" s="5" t="n">
        <v>0</v>
      </c>
      <c r="O516" s="5" t="n">
        <v>0</v>
      </c>
      <c r="P516" s="5" t="n">
        <v>0</v>
      </c>
      <c r="Q516" s="5" t="n">
        <v>1</v>
      </c>
      <c r="R516" s="5" t="n">
        <v>1</v>
      </c>
      <c r="S516" s="5" t="n">
        <v>0</v>
      </c>
      <c r="T516" s="5" t="n">
        <v>0</v>
      </c>
      <c r="U516" s="5" t="inlineStr">
        <is>
          <t>training</t>
        </is>
      </c>
    </row>
    <row r="517">
      <c r="A517" s="5" t="n">
        <v>489</v>
      </c>
      <c r="B517" s="5" t="n">
        <v>0</v>
      </c>
      <c r="C517" s="5" t="n">
        <v>10</v>
      </c>
      <c r="D517" s="5" t="n">
        <v>1418</v>
      </c>
      <c r="E517" s="5" t="n">
        <v>35</v>
      </c>
      <c r="F517" s="5" t="n">
        <v>3</v>
      </c>
      <c r="G517" s="5" t="n">
        <v>0</v>
      </c>
      <c r="H517" s="5" t="n">
        <v>0</v>
      </c>
      <c r="I517" s="5" t="n">
        <v>0</v>
      </c>
      <c r="J517" s="5" t="n">
        <v>0</v>
      </c>
      <c r="K517" s="5" t="n">
        <v>0</v>
      </c>
      <c r="L517" s="5" t="n">
        <v>0</v>
      </c>
      <c r="M517" s="5" t="n">
        <v>1</v>
      </c>
      <c r="N517" s="5" t="n">
        <v>0</v>
      </c>
      <c r="O517" s="5" t="n">
        <v>0</v>
      </c>
      <c r="P517" s="5" t="n">
        <v>1</v>
      </c>
      <c r="Q517" s="5" t="n">
        <v>0</v>
      </c>
      <c r="R517" s="5" t="n">
        <v>1</v>
      </c>
      <c r="S517" s="5" t="n">
        <v>0</v>
      </c>
      <c r="T517" s="5" t="n">
        <v>0</v>
      </c>
      <c r="U517" s="5" t="inlineStr">
        <is>
          <t>training</t>
        </is>
      </c>
    </row>
    <row r="518">
      <c r="A518" s="5" t="n">
        <v>490</v>
      </c>
      <c r="B518" s="5" t="n">
        <v>0</v>
      </c>
      <c r="C518" s="5" t="n">
        <v>6</v>
      </c>
      <c r="D518" s="5" t="n">
        <v>3518</v>
      </c>
      <c r="E518" s="5" t="n">
        <v>26</v>
      </c>
      <c r="F518" s="5" t="n">
        <v>2</v>
      </c>
      <c r="G518" s="5" t="n">
        <v>0</v>
      </c>
      <c r="H518" s="5" t="n">
        <v>0</v>
      </c>
      <c r="I518" s="5" t="n">
        <v>0</v>
      </c>
      <c r="J518" s="5" t="n">
        <v>0</v>
      </c>
      <c r="K518" s="5" t="n">
        <v>0</v>
      </c>
      <c r="L518" s="5" t="n">
        <v>0</v>
      </c>
      <c r="M518" s="5" t="n">
        <v>0</v>
      </c>
      <c r="N518" s="5" t="n">
        <v>0</v>
      </c>
      <c r="O518" s="5" t="n">
        <v>0</v>
      </c>
      <c r="P518" s="5" t="n">
        <v>1</v>
      </c>
      <c r="Q518" s="5" t="n">
        <v>0</v>
      </c>
      <c r="R518" s="5" t="n">
        <v>1</v>
      </c>
      <c r="S518" s="5" t="n">
        <v>0</v>
      </c>
      <c r="T518" s="5" t="n">
        <v>0</v>
      </c>
      <c r="U518" s="5" t="inlineStr">
        <is>
          <t>training</t>
        </is>
      </c>
    </row>
    <row r="519">
      <c r="A519" s="5" t="n">
        <v>491</v>
      </c>
      <c r="B519" s="5" t="n">
        <v>0</v>
      </c>
      <c r="C519" s="5" t="n">
        <v>12</v>
      </c>
      <c r="D519" s="5" t="n">
        <v>1934</v>
      </c>
      <c r="E519" s="5" t="n">
        <v>26</v>
      </c>
      <c r="F519" s="5" t="n">
        <v>2</v>
      </c>
      <c r="G519" s="5" t="n">
        <v>0</v>
      </c>
      <c r="H519" s="5" t="n">
        <v>0</v>
      </c>
      <c r="I519" s="5" t="n">
        <v>0</v>
      </c>
      <c r="J519" s="5" t="n">
        <v>1</v>
      </c>
      <c r="K519" s="5" t="n">
        <v>0</v>
      </c>
      <c r="L519" s="5" t="n">
        <v>0</v>
      </c>
      <c r="M519" s="5" t="n">
        <v>0</v>
      </c>
      <c r="N519" s="5" t="n">
        <v>0</v>
      </c>
      <c r="O519" s="5" t="n">
        <v>0</v>
      </c>
      <c r="P519" s="5" t="n">
        <v>0</v>
      </c>
      <c r="Q519" s="5" t="n">
        <v>0</v>
      </c>
      <c r="R519" s="5" t="n">
        <v>0</v>
      </c>
      <c r="S519" s="5" t="n">
        <v>1</v>
      </c>
      <c r="T519" s="5" t="n">
        <v>0</v>
      </c>
      <c r="U519" s="5" t="inlineStr">
        <is>
          <t>testing</t>
        </is>
      </c>
    </row>
    <row r="520">
      <c r="A520" s="5" t="n">
        <v>492</v>
      </c>
      <c r="B520" s="5" t="n">
        <v>1</v>
      </c>
      <c r="C520" s="5" t="n">
        <v>27</v>
      </c>
      <c r="D520" s="5" t="n">
        <v>8318</v>
      </c>
      <c r="E520" s="5" t="n">
        <v>42</v>
      </c>
      <c r="F520" s="5" t="n">
        <v>2</v>
      </c>
      <c r="G520" s="5" t="n">
        <v>0</v>
      </c>
      <c r="H520" s="5" t="n">
        <v>1</v>
      </c>
      <c r="I520" s="5" t="n">
        <v>0</v>
      </c>
      <c r="J520" s="5" t="n">
        <v>0</v>
      </c>
      <c r="K520" s="5" t="n">
        <v>0</v>
      </c>
      <c r="L520" s="5" t="n">
        <v>1</v>
      </c>
      <c r="M520" s="5" t="n">
        <v>0</v>
      </c>
      <c r="N520" s="5" t="n">
        <v>0</v>
      </c>
      <c r="O520" s="5" t="n">
        <v>0</v>
      </c>
      <c r="P520" s="5" t="n">
        <v>0</v>
      </c>
      <c r="Q520" s="5" t="n">
        <v>1</v>
      </c>
      <c r="R520" s="5" t="n">
        <v>0</v>
      </c>
      <c r="S520" s="5" t="n">
        <v>0</v>
      </c>
      <c r="T520" s="5" t="n">
        <v>0</v>
      </c>
      <c r="U520" s="5" t="inlineStr">
        <is>
          <t>testing</t>
        </is>
      </c>
    </row>
    <row r="521">
      <c r="A521" s="5" t="n">
        <v>493</v>
      </c>
      <c r="B521" s="5" t="n">
        <v>0</v>
      </c>
      <c r="C521" s="5" t="n">
        <v>6</v>
      </c>
      <c r="D521" s="5" t="n">
        <v>1237</v>
      </c>
      <c r="E521" s="5" t="n">
        <v>27</v>
      </c>
      <c r="F521" s="5" t="n">
        <v>1</v>
      </c>
      <c r="G521" s="5" t="n">
        <v>0</v>
      </c>
      <c r="H521" s="5" t="n">
        <v>0</v>
      </c>
      <c r="I521" s="5" t="n">
        <v>0</v>
      </c>
      <c r="J521" s="5" t="n">
        <v>1</v>
      </c>
      <c r="K521" s="5" t="n">
        <v>0</v>
      </c>
      <c r="L521" s="5" t="n">
        <v>0</v>
      </c>
      <c r="M521" s="5" t="n">
        <v>1</v>
      </c>
      <c r="N521" s="5" t="n">
        <v>0</v>
      </c>
      <c r="O521" s="5" t="n">
        <v>0</v>
      </c>
      <c r="P521" s="5" t="n">
        <v>0</v>
      </c>
      <c r="Q521" s="5" t="n">
        <v>0</v>
      </c>
      <c r="R521" s="5" t="n">
        <v>0</v>
      </c>
      <c r="S521" s="5" t="n">
        <v>1</v>
      </c>
      <c r="T521" s="5" t="n">
        <v>0</v>
      </c>
      <c r="U521" s="5" t="inlineStr">
        <is>
          <t>training</t>
        </is>
      </c>
    </row>
    <row r="522">
      <c r="A522" s="5" t="n">
        <v>494</v>
      </c>
      <c r="B522" s="5" t="n">
        <v>0</v>
      </c>
      <c r="C522" s="5" t="n">
        <v>6</v>
      </c>
      <c r="D522" s="5" t="n">
        <v>368</v>
      </c>
      <c r="E522" s="5" t="n">
        <v>38</v>
      </c>
      <c r="F522" s="5" t="n">
        <v>4</v>
      </c>
      <c r="G522" s="5" t="n">
        <v>0</v>
      </c>
      <c r="H522" s="5" t="n">
        <v>1</v>
      </c>
      <c r="I522" s="5" t="n">
        <v>0</v>
      </c>
      <c r="J522" s="5" t="n">
        <v>0</v>
      </c>
      <c r="K522" s="5" t="n">
        <v>0</v>
      </c>
      <c r="L522" s="5" t="n">
        <v>0</v>
      </c>
      <c r="M522" s="5" t="n">
        <v>0</v>
      </c>
      <c r="N522" s="5" t="n">
        <v>0</v>
      </c>
      <c r="O522" s="5" t="n">
        <v>1</v>
      </c>
      <c r="P522" s="5" t="n">
        <v>0</v>
      </c>
      <c r="Q522" s="5" t="n">
        <v>0</v>
      </c>
      <c r="R522" s="5" t="n">
        <v>0</v>
      </c>
      <c r="S522" s="5" t="n">
        <v>1</v>
      </c>
      <c r="T522" s="5" t="n">
        <v>0</v>
      </c>
      <c r="U522" s="5" t="inlineStr">
        <is>
          <t>training</t>
        </is>
      </c>
    </row>
    <row r="523">
      <c r="A523" s="5" t="n">
        <v>495</v>
      </c>
      <c r="B523" s="5" t="n">
        <v>0</v>
      </c>
      <c r="C523" s="5" t="n">
        <v>12</v>
      </c>
      <c r="D523" s="5" t="n">
        <v>2122</v>
      </c>
      <c r="E523" s="5" t="n">
        <v>39</v>
      </c>
      <c r="F523" s="5" t="n">
        <v>3</v>
      </c>
      <c r="G523" s="5" t="n">
        <v>1</v>
      </c>
      <c r="H523" s="5" t="n">
        <v>0</v>
      </c>
      <c r="I523" s="5" t="n">
        <v>0</v>
      </c>
      <c r="J523" s="5" t="n">
        <v>1</v>
      </c>
      <c r="K523" s="5" t="n">
        <v>0</v>
      </c>
      <c r="L523" s="5" t="n">
        <v>0</v>
      </c>
      <c r="M523" s="5" t="n">
        <v>0</v>
      </c>
      <c r="N523" s="5" t="n">
        <v>0</v>
      </c>
      <c r="O523" s="5" t="n">
        <v>0</v>
      </c>
      <c r="P523" s="5" t="n">
        <v>1</v>
      </c>
      <c r="Q523" s="5" t="n">
        <v>0</v>
      </c>
      <c r="R523" s="5" t="n">
        <v>1</v>
      </c>
      <c r="S523" s="5" t="n">
        <v>0</v>
      </c>
      <c r="T523" s="5" t="n">
        <v>0</v>
      </c>
      <c r="U523" s="5" t="inlineStr">
        <is>
          <t>testing</t>
        </is>
      </c>
    </row>
    <row r="524">
      <c r="A524" s="5" t="n">
        <v>496</v>
      </c>
      <c r="B524" s="5" t="n">
        <v>1</v>
      </c>
      <c r="C524" s="5" t="n">
        <v>24</v>
      </c>
      <c r="D524" s="5" t="n">
        <v>2996</v>
      </c>
      <c r="E524" s="5" t="n">
        <v>20</v>
      </c>
      <c r="F524" s="5" t="n">
        <v>2</v>
      </c>
      <c r="G524" s="5" t="n">
        <v>1</v>
      </c>
      <c r="H524" s="5" t="n">
        <v>0</v>
      </c>
      <c r="I524" s="5" t="n">
        <v>0</v>
      </c>
      <c r="J524" s="5" t="n">
        <v>0</v>
      </c>
      <c r="K524" s="5" t="n">
        <v>0</v>
      </c>
      <c r="L524" s="5" t="n">
        <v>0</v>
      </c>
      <c r="M524" s="5" t="n">
        <v>0</v>
      </c>
      <c r="N524" s="5" t="n">
        <v>0</v>
      </c>
      <c r="O524" s="5" t="n">
        <v>1</v>
      </c>
      <c r="P524" s="5" t="n">
        <v>0</v>
      </c>
      <c r="Q524" s="5" t="n">
        <v>0</v>
      </c>
      <c r="R524" s="5" t="n">
        <v>0</v>
      </c>
      <c r="S524" s="5" t="n">
        <v>0</v>
      </c>
      <c r="T524" s="5" t="n">
        <v>1</v>
      </c>
      <c r="U524" s="5" t="inlineStr">
        <is>
          <t>testing</t>
        </is>
      </c>
    </row>
    <row r="525">
      <c r="A525" s="5" t="n">
        <v>497</v>
      </c>
      <c r="B525" s="5" t="n">
        <v>1</v>
      </c>
      <c r="C525" s="5" t="n">
        <v>36</v>
      </c>
      <c r="D525" s="5" t="n">
        <v>9034</v>
      </c>
      <c r="E525" s="5" t="n">
        <v>29</v>
      </c>
      <c r="F525" s="5" t="n">
        <v>4</v>
      </c>
      <c r="G525" s="5" t="n">
        <v>0</v>
      </c>
      <c r="H525" s="5" t="n">
        <v>1</v>
      </c>
      <c r="I525" s="5" t="n">
        <v>0</v>
      </c>
      <c r="J525" s="5" t="n">
        <v>0</v>
      </c>
      <c r="K525" s="5" t="n">
        <v>0</v>
      </c>
      <c r="L525" s="5" t="n">
        <v>0</v>
      </c>
      <c r="M525" s="5" t="n">
        <v>1</v>
      </c>
      <c r="N525" s="5" t="n">
        <v>0</v>
      </c>
      <c r="O525" s="5" t="n">
        <v>0</v>
      </c>
      <c r="P525" s="5" t="n">
        <v>1</v>
      </c>
      <c r="Q525" s="5" t="n">
        <v>0</v>
      </c>
      <c r="R525" s="5" t="n">
        <v>0</v>
      </c>
      <c r="S525" s="5" t="n">
        <v>0</v>
      </c>
      <c r="T525" s="5" t="n">
        <v>1</v>
      </c>
      <c r="U525" s="5" t="inlineStr">
        <is>
          <t>testing</t>
        </is>
      </c>
    </row>
    <row r="526">
      <c r="A526" s="5" t="n">
        <v>498</v>
      </c>
      <c r="B526" s="5" t="n">
        <v>0</v>
      </c>
      <c r="C526" s="5" t="n">
        <v>24</v>
      </c>
      <c r="D526" s="5" t="n">
        <v>1585</v>
      </c>
      <c r="E526" s="5" t="n">
        <v>40</v>
      </c>
      <c r="F526" s="5" t="n">
        <v>4</v>
      </c>
      <c r="G526" s="5" t="n">
        <v>0</v>
      </c>
      <c r="H526" s="5" t="n">
        <v>0</v>
      </c>
      <c r="I526" s="5" t="n">
        <v>0</v>
      </c>
      <c r="J526" s="5" t="n">
        <v>1</v>
      </c>
      <c r="K526" s="5" t="n">
        <v>0</v>
      </c>
      <c r="L526" s="5" t="n">
        <v>0</v>
      </c>
      <c r="M526" s="5" t="n">
        <v>0</v>
      </c>
      <c r="N526" s="5" t="n">
        <v>0</v>
      </c>
      <c r="O526" s="5" t="n">
        <v>0</v>
      </c>
      <c r="P526" s="5" t="n">
        <v>0</v>
      </c>
      <c r="Q526" s="5" t="n">
        <v>0</v>
      </c>
      <c r="R526" s="5" t="n">
        <v>0</v>
      </c>
      <c r="S526" s="5" t="n">
        <v>0</v>
      </c>
      <c r="T526" s="5" t="n">
        <v>1</v>
      </c>
      <c r="U526" s="5" t="inlineStr">
        <is>
          <t>testing</t>
        </is>
      </c>
    </row>
    <row r="527">
      <c r="A527" s="5" t="n">
        <v>499</v>
      </c>
      <c r="B527" s="5" t="n">
        <v>0</v>
      </c>
      <c r="C527" s="5" t="n">
        <v>18</v>
      </c>
      <c r="D527" s="5" t="n">
        <v>1301</v>
      </c>
      <c r="E527" s="5" t="n">
        <v>32</v>
      </c>
      <c r="F527" s="5" t="n">
        <v>4</v>
      </c>
      <c r="G527" s="5" t="n">
        <v>0</v>
      </c>
      <c r="H527" s="5" t="n">
        <v>1</v>
      </c>
      <c r="I527" s="5" t="n">
        <v>0</v>
      </c>
      <c r="J527" s="5" t="n">
        <v>0</v>
      </c>
      <c r="K527" s="5" t="n">
        <v>0</v>
      </c>
      <c r="L527" s="5" t="n">
        <v>0</v>
      </c>
      <c r="M527" s="5" t="n">
        <v>0</v>
      </c>
      <c r="N527" s="5" t="n">
        <v>0</v>
      </c>
      <c r="O527" s="5" t="n">
        <v>0</v>
      </c>
      <c r="P527" s="5" t="n">
        <v>0</v>
      </c>
      <c r="Q527" s="5" t="n">
        <v>0</v>
      </c>
      <c r="R527" s="5" t="n">
        <v>0</v>
      </c>
      <c r="S527" s="5" t="n">
        <v>1</v>
      </c>
      <c r="T527" s="5" t="n">
        <v>0</v>
      </c>
      <c r="U527" s="5" t="inlineStr">
        <is>
          <t>training</t>
        </is>
      </c>
    </row>
    <row r="528">
      <c r="A528" s="5" t="n">
        <v>500</v>
      </c>
      <c r="B528" s="5" t="n">
        <v>0</v>
      </c>
      <c r="C528" s="5" t="n">
        <v>6</v>
      </c>
      <c r="D528" s="5" t="n">
        <v>1323</v>
      </c>
      <c r="E528" s="5" t="n">
        <v>28</v>
      </c>
      <c r="F528" s="5" t="n">
        <v>2</v>
      </c>
      <c r="G528" s="5" t="n">
        <v>0</v>
      </c>
      <c r="H528" s="5" t="n">
        <v>0</v>
      </c>
      <c r="I528" s="5" t="n">
        <v>1</v>
      </c>
      <c r="J528" s="5" t="n">
        <v>1</v>
      </c>
      <c r="K528" s="5" t="n">
        <v>0</v>
      </c>
      <c r="L528" s="5" t="n">
        <v>0</v>
      </c>
      <c r="M528" s="5" t="n">
        <v>1</v>
      </c>
      <c r="N528" s="5" t="n">
        <v>0</v>
      </c>
      <c r="O528" s="5" t="n">
        <v>0</v>
      </c>
      <c r="P528" s="5" t="n">
        <v>0</v>
      </c>
      <c r="Q528" s="5" t="n">
        <v>0</v>
      </c>
      <c r="R528" s="5" t="n">
        <v>1</v>
      </c>
      <c r="S528" s="5" t="n">
        <v>0</v>
      </c>
      <c r="T528" s="5" t="n">
        <v>0</v>
      </c>
      <c r="U528" s="5" t="inlineStr">
        <is>
          <t>training</t>
        </is>
      </c>
    </row>
    <row r="529">
      <c r="A529" s="5" t="n">
        <v>501</v>
      </c>
      <c r="B529" s="5" t="n">
        <v>1</v>
      </c>
      <c r="C529" s="5" t="n">
        <v>24</v>
      </c>
      <c r="D529" s="5" t="n">
        <v>3123</v>
      </c>
      <c r="E529" s="5" t="n">
        <v>27</v>
      </c>
      <c r="F529" s="5" t="n">
        <v>4</v>
      </c>
      <c r="G529" s="5" t="n">
        <v>1</v>
      </c>
      <c r="H529" s="5" t="n">
        <v>0</v>
      </c>
      <c r="I529" s="5" t="n">
        <v>0</v>
      </c>
      <c r="J529" s="5" t="n">
        <v>0</v>
      </c>
      <c r="K529" s="5" t="n">
        <v>0</v>
      </c>
      <c r="L529" s="5" t="n">
        <v>0</v>
      </c>
      <c r="M529" s="5" t="n">
        <v>0</v>
      </c>
      <c r="N529" s="5" t="n">
        <v>0</v>
      </c>
      <c r="O529" s="5" t="n">
        <v>0</v>
      </c>
      <c r="P529" s="5" t="n">
        <v>0</v>
      </c>
      <c r="Q529" s="5" t="n">
        <v>0</v>
      </c>
      <c r="R529" s="5" t="n">
        <v>1</v>
      </c>
      <c r="S529" s="5" t="n">
        <v>0</v>
      </c>
      <c r="T529" s="5" t="n">
        <v>0</v>
      </c>
      <c r="U529" s="5" t="inlineStr">
        <is>
          <t>training</t>
        </is>
      </c>
    </row>
    <row r="530">
      <c r="A530" s="5" t="n">
        <v>502</v>
      </c>
      <c r="B530" s="5" t="n">
        <v>0</v>
      </c>
      <c r="C530" s="5" t="n">
        <v>36</v>
      </c>
      <c r="D530" s="5" t="n">
        <v>5493</v>
      </c>
      <c r="E530" s="5" t="n">
        <v>42</v>
      </c>
      <c r="F530" s="5" t="n">
        <v>2</v>
      </c>
      <c r="G530" s="5" t="n">
        <v>1</v>
      </c>
      <c r="H530" s="5" t="n">
        <v>0</v>
      </c>
      <c r="I530" s="5" t="n">
        <v>0</v>
      </c>
      <c r="J530" s="5" t="n">
        <v>0</v>
      </c>
      <c r="K530" s="5" t="n">
        <v>0</v>
      </c>
      <c r="L530" s="5" t="n">
        <v>0</v>
      </c>
      <c r="M530" s="5" t="n">
        <v>0</v>
      </c>
      <c r="N530" s="5" t="n">
        <v>0</v>
      </c>
      <c r="O530" s="5" t="n">
        <v>0</v>
      </c>
      <c r="P530" s="5" t="n">
        <v>0</v>
      </c>
      <c r="Q530" s="5" t="n">
        <v>1</v>
      </c>
      <c r="R530" s="5" t="n">
        <v>1</v>
      </c>
      <c r="S530" s="5" t="n">
        <v>0</v>
      </c>
      <c r="T530" s="5" t="n">
        <v>0</v>
      </c>
      <c r="U530" s="5" t="inlineStr">
        <is>
          <t>training</t>
        </is>
      </c>
    </row>
    <row r="531">
      <c r="A531" s="5" t="n">
        <v>503</v>
      </c>
      <c r="B531" s="5" t="n">
        <v>0</v>
      </c>
      <c r="C531" s="5" t="n">
        <v>9</v>
      </c>
      <c r="D531" s="5" t="n">
        <v>1126</v>
      </c>
      <c r="E531" s="5" t="n">
        <v>49</v>
      </c>
      <c r="F531" s="5" t="n">
        <v>2</v>
      </c>
      <c r="G531" s="5" t="n">
        <v>0</v>
      </c>
      <c r="H531" s="5" t="n">
        <v>0</v>
      </c>
      <c r="I531" s="5" t="n">
        <v>1</v>
      </c>
      <c r="J531" s="5" t="n">
        <v>0</v>
      </c>
      <c r="K531" s="5" t="n">
        <v>0</v>
      </c>
      <c r="L531" s="5" t="n">
        <v>0</v>
      </c>
      <c r="M531" s="5" t="n">
        <v>1</v>
      </c>
      <c r="N531" s="5" t="n">
        <v>0</v>
      </c>
      <c r="O531" s="5" t="n">
        <v>0</v>
      </c>
      <c r="P531" s="5" t="n">
        <v>0</v>
      </c>
      <c r="Q531" s="5" t="n">
        <v>0</v>
      </c>
      <c r="R531" s="5" t="n">
        <v>0</v>
      </c>
      <c r="S531" s="5" t="n">
        <v>1</v>
      </c>
      <c r="T531" s="5" t="n">
        <v>0</v>
      </c>
      <c r="U531" s="5" t="inlineStr">
        <is>
          <t>training</t>
        </is>
      </c>
    </row>
    <row r="532">
      <c r="A532" s="5" t="n">
        <v>504</v>
      </c>
      <c r="B532" s="5" t="n">
        <v>1</v>
      </c>
      <c r="C532" s="5" t="n">
        <v>24</v>
      </c>
      <c r="D532" s="5" t="n">
        <v>1216</v>
      </c>
      <c r="E532" s="5" t="n">
        <v>38</v>
      </c>
      <c r="F532" s="5" t="n">
        <v>4</v>
      </c>
      <c r="G532" s="5" t="n">
        <v>0</v>
      </c>
      <c r="H532" s="5" t="n">
        <v>1</v>
      </c>
      <c r="I532" s="5" t="n">
        <v>0</v>
      </c>
      <c r="J532" s="5" t="n">
        <v>1</v>
      </c>
      <c r="K532" s="5" t="n">
        <v>0</v>
      </c>
      <c r="L532" s="5" t="n">
        <v>0</v>
      </c>
      <c r="M532" s="5" t="n">
        <v>1</v>
      </c>
      <c r="N532" s="5" t="n">
        <v>0</v>
      </c>
      <c r="O532" s="5" t="n">
        <v>0</v>
      </c>
      <c r="P532" s="5" t="n">
        <v>0</v>
      </c>
      <c r="Q532" s="5" t="n">
        <v>0</v>
      </c>
      <c r="R532" s="5" t="n">
        <v>0</v>
      </c>
      <c r="S532" s="5" t="n">
        <v>1</v>
      </c>
      <c r="T532" s="5" t="n">
        <v>0</v>
      </c>
      <c r="U532" s="5" t="inlineStr">
        <is>
          <t>training</t>
        </is>
      </c>
    </row>
    <row r="533">
      <c r="A533" s="5" t="n">
        <v>505</v>
      </c>
      <c r="B533" s="5" t="n">
        <v>1</v>
      </c>
      <c r="C533" s="5" t="n">
        <v>24</v>
      </c>
      <c r="D533" s="5" t="n">
        <v>1207</v>
      </c>
      <c r="E533" s="5" t="n">
        <v>24</v>
      </c>
      <c r="F533" s="5" t="n">
        <v>4</v>
      </c>
      <c r="G533" s="5" t="n">
        <v>1</v>
      </c>
      <c r="H533" s="5" t="n">
        <v>0</v>
      </c>
      <c r="I533" s="5" t="n">
        <v>0</v>
      </c>
      <c r="J533" s="5" t="n">
        <v>0</v>
      </c>
      <c r="K533" s="5" t="n">
        <v>0</v>
      </c>
      <c r="L533" s="5" t="n">
        <v>0</v>
      </c>
      <c r="M533" s="5" t="n">
        <v>0</v>
      </c>
      <c r="N533" s="5" t="n">
        <v>0</v>
      </c>
      <c r="O533" s="5" t="n">
        <v>0</v>
      </c>
      <c r="P533" s="5" t="n">
        <v>1</v>
      </c>
      <c r="Q533" s="5" t="n">
        <v>0</v>
      </c>
      <c r="R533" s="5" t="n">
        <v>1</v>
      </c>
      <c r="S533" s="5" t="n">
        <v>0</v>
      </c>
      <c r="T533" s="5" t="n">
        <v>0</v>
      </c>
      <c r="U533" s="5" t="inlineStr">
        <is>
          <t>testing</t>
        </is>
      </c>
    </row>
    <row r="534">
      <c r="A534" s="5" t="n">
        <v>506</v>
      </c>
      <c r="B534" s="5" t="n">
        <v>1</v>
      </c>
      <c r="C534" s="5" t="n">
        <v>10</v>
      </c>
      <c r="D534" s="5" t="n">
        <v>1309</v>
      </c>
      <c r="E534" s="5" t="n">
        <v>27</v>
      </c>
      <c r="F534" s="5" t="n">
        <v>4</v>
      </c>
      <c r="G534" s="5" t="n">
        <v>0</v>
      </c>
      <c r="H534" s="5" t="n">
        <v>0</v>
      </c>
      <c r="I534" s="5" t="n">
        <v>0</v>
      </c>
      <c r="J534" s="5" t="n">
        <v>0</v>
      </c>
      <c r="K534" s="5" t="n">
        <v>0</v>
      </c>
      <c r="L534" s="5" t="n">
        <v>0</v>
      </c>
      <c r="M534" s="5" t="n">
        <v>0</v>
      </c>
      <c r="N534" s="5" t="n">
        <v>0</v>
      </c>
      <c r="O534" s="5" t="n">
        <v>1</v>
      </c>
      <c r="P534" s="5" t="n">
        <v>0</v>
      </c>
      <c r="Q534" s="5" t="n">
        <v>0</v>
      </c>
      <c r="R534" s="5" t="n">
        <v>1</v>
      </c>
      <c r="S534" s="5" t="n">
        <v>0</v>
      </c>
      <c r="T534" s="5" t="n">
        <v>0</v>
      </c>
      <c r="U534" s="5" t="inlineStr">
        <is>
          <t>training</t>
        </is>
      </c>
    </row>
    <row r="535">
      <c r="A535" s="5" t="n">
        <v>507</v>
      </c>
      <c r="B535" s="5" t="n">
        <v>0</v>
      </c>
      <c r="C535" s="5" t="n">
        <v>15</v>
      </c>
      <c r="D535" s="5" t="n">
        <v>2360</v>
      </c>
      <c r="E535" s="5" t="n">
        <v>36</v>
      </c>
      <c r="F535" s="5" t="n">
        <v>2</v>
      </c>
      <c r="G535" s="5" t="n">
        <v>0</v>
      </c>
      <c r="H535" s="5" t="n">
        <v>0</v>
      </c>
      <c r="I535" s="5" t="n">
        <v>1</v>
      </c>
      <c r="J535" s="5" t="n">
        <v>1</v>
      </c>
      <c r="K535" s="5" t="n">
        <v>0</v>
      </c>
      <c r="L535" s="5" t="n">
        <v>0</v>
      </c>
      <c r="M535" s="5" t="n">
        <v>1</v>
      </c>
      <c r="N535" s="5" t="n">
        <v>0</v>
      </c>
      <c r="O535" s="5" t="n">
        <v>0</v>
      </c>
      <c r="P535" s="5" t="n">
        <v>0</v>
      </c>
      <c r="Q535" s="5" t="n">
        <v>0</v>
      </c>
      <c r="R535" s="5" t="n">
        <v>1</v>
      </c>
      <c r="S535" s="5" t="n">
        <v>0</v>
      </c>
      <c r="T535" s="5" t="n">
        <v>0</v>
      </c>
      <c r="U535" s="5" t="inlineStr">
        <is>
          <t>training</t>
        </is>
      </c>
    </row>
    <row r="536">
      <c r="A536" s="5" t="n">
        <v>508</v>
      </c>
      <c r="B536" s="5" t="n">
        <v>1</v>
      </c>
      <c r="C536" s="5" t="n">
        <v>15</v>
      </c>
      <c r="D536" s="5" t="n">
        <v>6850</v>
      </c>
      <c r="E536" s="5" t="n">
        <v>34</v>
      </c>
      <c r="F536" s="5" t="n">
        <v>1</v>
      </c>
      <c r="G536" s="5" t="n">
        <v>0</v>
      </c>
      <c r="H536" s="5" t="n">
        <v>1</v>
      </c>
      <c r="I536" s="5" t="n">
        <v>0</v>
      </c>
      <c r="J536" s="5" t="n">
        <v>0</v>
      </c>
      <c r="K536" s="5" t="n">
        <v>0</v>
      </c>
      <c r="L536" s="5" t="n">
        <v>1</v>
      </c>
      <c r="M536" s="5" t="n">
        <v>1</v>
      </c>
      <c r="N536" s="5" t="n">
        <v>0</v>
      </c>
      <c r="O536" s="5" t="n">
        <v>0</v>
      </c>
      <c r="P536" s="5" t="n">
        <v>0</v>
      </c>
      <c r="Q536" s="5" t="n">
        <v>0</v>
      </c>
      <c r="R536" s="5" t="n">
        <v>1</v>
      </c>
      <c r="S536" s="5" t="n">
        <v>0</v>
      </c>
      <c r="T536" s="5" t="n">
        <v>0</v>
      </c>
      <c r="U536" s="5" t="inlineStr">
        <is>
          <t>testing</t>
        </is>
      </c>
    </row>
    <row r="537">
      <c r="A537" s="5" t="n">
        <v>509</v>
      </c>
      <c r="B537" s="5" t="n">
        <v>0</v>
      </c>
      <c r="C537" s="5" t="n">
        <v>24</v>
      </c>
      <c r="D537" s="5" t="n">
        <v>1413</v>
      </c>
      <c r="E537" s="5" t="n">
        <v>28</v>
      </c>
      <c r="F537" s="5" t="n">
        <v>4</v>
      </c>
      <c r="G537" s="5" t="n">
        <v>0</v>
      </c>
      <c r="H537" s="5" t="n">
        <v>0</v>
      </c>
      <c r="I537" s="5" t="n">
        <v>0</v>
      </c>
      <c r="J537" s="5" t="n">
        <v>0</v>
      </c>
      <c r="K537" s="5" t="n">
        <v>0</v>
      </c>
      <c r="L537" s="5" t="n">
        <v>0</v>
      </c>
      <c r="M537" s="5" t="n">
        <v>0</v>
      </c>
      <c r="N537" s="5" t="n">
        <v>0</v>
      </c>
      <c r="O537" s="5" t="n">
        <v>0</v>
      </c>
      <c r="P537" s="5" t="n">
        <v>0</v>
      </c>
      <c r="Q537" s="5" t="n">
        <v>0</v>
      </c>
      <c r="R537" s="5" t="n">
        <v>0</v>
      </c>
      <c r="S537" s="5" t="n">
        <v>1</v>
      </c>
      <c r="T537" s="5" t="n">
        <v>0</v>
      </c>
      <c r="U537" s="5" t="inlineStr">
        <is>
          <t>training</t>
        </is>
      </c>
    </row>
    <row r="538">
      <c r="A538" s="5" t="n">
        <v>510</v>
      </c>
      <c r="B538" s="5" t="n">
        <v>0</v>
      </c>
      <c r="C538" s="5" t="n">
        <v>39</v>
      </c>
      <c r="D538" s="5" t="n">
        <v>8588</v>
      </c>
      <c r="E538" s="5" t="n">
        <v>45</v>
      </c>
      <c r="F538" s="5" t="n">
        <v>4</v>
      </c>
      <c r="G538" s="5" t="n">
        <v>0</v>
      </c>
      <c r="H538" s="5" t="n">
        <v>0</v>
      </c>
      <c r="I538" s="5" t="n">
        <v>0</v>
      </c>
      <c r="J538" s="5" t="n">
        <v>0</v>
      </c>
      <c r="K538" s="5" t="n">
        <v>0</v>
      </c>
      <c r="L538" s="5" t="n">
        <v>0</v>
      </c>
      <c r="M538" s="5" t="n">
        <v>1</v>
      </c>
      <c r="N538" s="5" t="n">
        <v>0</v>
      </c>
      <c r="O538" s="5" t="n">
        <v>0</v>
      </c>
      <c r="P538" s="5" t="n">
        <v>0</v>
      </c>
      <c r="Q538" s="5" t="n">
        <v>0</v>
      </c>
      <c r="R538" s="5" t="n">
        <v>1</v>
      </c>
      <c r="S538" s="5" t="n">
        <v>0</v>
      </c>
      <c r="T538" s="5" t="n">
        <v>0</v>
      </c>
      <c r="U538" s="5" t="inlineStr">
        <is>
          <t>training</t>
        </is>
      </c>
    </row>
    <row r="539">
      <c r="A539" s="5" t="n">
        <v>511</v>
      </c>
      <c r="B539" s="5" t="n">
        <v>1</v>
      </c>
      <c r="C539" s="5" t="n">
        <v>12</v>
      </c>
      <c r="D539" s="5" t="n">
        <v>759</v>
      </c>
      <c r="E539" s="5" t="n">
        <v>26</v>
      </c>
      <c r="F539" s="5" t="n">
        <v>4</v>
      </c>
      <c r="G539" s="5" t="n">
        <v>1</v>
      </c>
      <c r="H539" s="5" t="n">
        <v>0</v>
      </c>
      <c r="I539" s="5" t="n">
        <v>0</v>
      </c>
      <c r="J539" s="5" t="n">
        <v>0</v>
      </c>
      <c r="K539" s="5" t="n">
        <v>0</v>
      </c>
      <c r="L539" s="5" t="n">
        <v>0</v>
      </c>
      <c r="M539" s="5" t="n">
        <v>0</v>
      </c>
      <c r="N539" s="5" t="n">
        <v>0</v>
      </c>
      <c r="O539" s="5" t="n">
        <v>0</v>
      </c>
      <c r="P539" s="5" t="n">
        <v>0</v>
      </c>
      <c r="Q539" s="5" t="n">
        <v>0</v>
      </c>
      <c r="R539" s="5" t="n">
        <v>1</v>
      </c>
      <c r="S539" s="5" t="n">
        <v>0</v>
      </c>
      <c r="T539" s="5" t="n">
        <v>0</v>
      </c>
      <c r="U539" s="5" t="inlineStr">
        <is>
          <t>training</t>
        </is>
      </c>
    </row>
    <row r="540">
      <c r="A540" s="5" t="n">
        <v>512</v>
      </c>
      <c r="B540" s="5" t="n">
        <v>0</v>
      </c>
      <c r="C540" s="5" t="n">
        <v>36</v>
      </c>
      <c r="D540" s="5" t="n">
        <v>4686</v>
      </c>
      <c r="E540" s="5" t="n">
        <v>32</v>
      </c>
      <c r="F540" s="5" t="n">
        <v>2</v>
      </c>
      <c r="G540" s="5" t="n">
        <v>0</v>
      </c>
      <c r="H540" s="5" t="n">
        <v>0</v>
      </c>
      <c r="I540" s="5" t="n">
        <v>0</v>
      </c>
      <c r="J540" s="5" t="n">
        <v>0</v>
      </c>
      <c r="K540" s="5" t="n">
        <v>0</v>
      </c>
      <c r="L540" s="5" t="n">
        <v>0</v>
      </c>
      <c r="M540" s="5" t="n">
        <v>0</v>
      </c>
      <c r="N540" s="5" t="n">
        <v>0</v>
      </c>
      <c r="O540" s="5" t="n">
        <v>0</v>
      </c>
      <c r="P540" s="5" t="n">
        <v>0</v>
      </c>
      <c r="Q540" s="5" t="n">
        <v>1</v>
      </c>
      <c r="R540" s="5" t="n">
        <v>1</v>
      </c>
      <c r="S540" s="5" t="n">
        <v>0</v>
      </c>
      <c r="T540" s="5" t="n">
        <v>0</v>
      </c>
      <c r="U540" s="5" t="inlineStr">
        <is>
          <t>training</t>
        </is>
      </c>
    </row>
    <row r="541">
      <c r="A541" s="5" t="n">
        <v>513</v>
      </c>
      <c r="B541" s="5" t="n">
        <v>0</v>
      </c>
      <c r="C541" s="5" t="n">
        <v>15</v>
      </c>
      <c r="D541" s="5" t="n">
        <v>2687</v>
      </c>
      <c r="E541" s="5" t="n">
        <v>26</v>
      </c>
      <c r="F541" s="5" t="n">
        <v>2</v>
      </c>
      <c r="G541" s="5" t="n">
        <v>0</v>
      </c>
      <c r="H541" s="5" t="n">
        <v>0</v>
      </c>
      <c r="I541" s="5" t="n">
        <v>1</v>
      </c>
      <c r="J541" s="5" t="n">
        <v>0</v>
      </c>
      <c r="K541" s="5" t="n">
        <v>0</v>
      </c>
      <c r="L541" s="5" t="n">
        <v>0</v>
      </c>
      <c r="M541" s="5" t="n">
        <v>0</v>
      </c>
      <c r="N541" s="5" t="n">
        <v>0</v>
      </c>
      <c r="O541" s="5" t="n">
        <v>0</v>
      </c>
      <c r="P541" s="5" t="n">
        <v>1</v>
      </c>
      <c r="Q541" s="5" t="n">
        <v>0</v>
      </c>
      <c r="R541" s="5" t="n">
        <v>0</v>
      </c>
      <c r="S541" s="5" t="n">
        <v>0</v>
      </c>
      <c r="T541" s="5" t="n">
        <v>0</v>
      </c>
      <c r="U541" s="5" t="inlineStr">
        <is>
          <t>training</t>
        </is>
      </c>
    </row>
    <row r="542">
      <c r="A542" s="5" t="n">
        <v>514</v>
      </c>
      <c r="B542" s="5" t="n">
        <v>0</v>
      </c>
      <c r="C542" s="5" t="n">
        <v>12</v>
      </c>
      <c r="D542" s="5" t="n">
        <v>585</v>
      </c>
      <c r="E542" s="5" t="n">
        <v>20</v>
      </c>
      <c r="F542" s="5" t="n">
        <v>4</v>
      </c>
      <c r="G542" s="5" t="n">
        <v>0</v>
      </c>
      <c r="H542" s="5" t="n">
        <v>1</v>
      </c>
      <c r="I542" s="5" t="n">
        <v>0</v>
      </c>
      <c r="J542" s="5" t="n">
        <v>0</v>
      </c>
      <c r="K542" s="5" t="n">
        <v>1</v>
      </c>
      <c r="L542" s="5" t="n">
        <v>0</v>
      </c>
      <c r="M542" s="5" t="n">
        <v>0</v>
      </c>
      <c r="N542" s="5" t="n">
        <v>0</v>
      </c>
      <c r="O542" s="5" t="n">
        <v>0</v>
      </c>
      <c r="P542" s="5" t="n">
        <v>1</v>
      </c>
      <c r="Q542" s="5" t="n">
        <v>0</v>
      </c>
      <c r="R542" s="5" t="n">
        <v>0</v>
      </c>
      <c r="S542" s="5" t="n">
        <v>1</v>
      </c>
      <c r="T542" s="5" t="n">
        <v>0</v>
      </c>
      <c r="U542" s="5" t="inlineStr">
        <is>
          <t>training</t>
        </is>
      </c>
    </row>
    <row r="543">
      <c r="A543" s="5" t="n">
        <v>515</v>
      </c>
      <c r="B543" s="5" t="n">
        <v>0</v>
      </c>
      <c r="C543" s="5" t="n">
        <v>24</v>
      </c>
      <c r="D543" s="5" t="n">
        <v>2255</v>
      </c>
      <c r="E543" s="5" t="n">
        <v>54</v>
      </c>
      <c r="F543" s="5" t="n">
        <v>4</v>
      </c>
      <c r="G543" s="5" t="n">
        <v>0</v>
      </c>
      <c r="H543" s="5" t="n">
        <v>0</v>
      </c>
      <c r="I543" s="5" t="n">
        <v>0</v>
      </c>
      <c r="J543" s="5" t="n">
        <v>0</v>
      </c>
      <c r="K543" s="5" t="n">
        <v>0</v>
      </c>
      <c r="L543" s="5" t="n">
        <v>0</v>
      </c>
      <c r="M543" s="5" t="n">
        <v>0</v>
      </c>
      <c r="N543" s="5" t="n">
        <v>0</v>
      </c>
      <c r="O543" s="5" t="n">
        <v>1</v>
      </c>
      <c r="P543" s="5" t="n">
        <v>0</v>
      </c>
      <c r="Q543" s="5" t="n">
        <v>0</v>
      </c>
      <c r="R543" s="5" t="n">
        <v>1</v>
      </c>
      <c r="S543" s="5" t="n">
        <v>0</v>
      </c>
      <c r="T543" s="5" t="n">
        <v>0</v>
      </c>
      <c r="U543" s="5" t="inlineStr">
        <is>
          <t>training</t>
        </is>
      </c>
    </row>
    <row r="544">
      <c r="A544" s="5" t="n">
        <v>516</v>
      </c>
      <c r="B544" s="5" t="n">
        <v>0</v>
      </c>
      <c r="C544" s="5" t="n">
        <v>6</v>
      </c>
      <c r="D544" s="5" t="n">
        <v>609</v>
      </c>
      <c r="E544" s="5" t="n">
        <v>37</v>
      </c>
      <c r="F544" s="5" t="n">
        <v>4</v>
      </c>
      <c r="G544" s="5" t="n">
        <v>1</v>
      </c>
      <c r="H544" s="5" t="n">
        <v>0</v>
      </c>
      <c r="I544" s="5" t="n">
        <v>0</v>
      </c>
      <c r="J544" s="5" t="n">
        <v>1</v>
      </c>
      <c r="K544" s="5" t="n">
        <v>0</v>
      </c>
      <c r="L544" s="5" t="n">
        <v>0</v>
      </c>
      <c r="M544" s="5" t="n">
        <v>0</v>
      </c>
      <c r="N544" s="5" t="n">
        <v>0</v>
      </c>
      <c r="O544" s="5" t="n">
        <v>0</v>
      </c>
      <c r="P544" s="5" t="n">
        <v>0</v>
      </c>
      <c r="Q544" s="5" t="n">
        <v>0</v>
      </c>
      <c r="R544" s="5" t="n">
        <v>1</v>
      </c>
      <c r="S544" s="5" t="n">
        <v>0</v>
      </c>
      <c r="T544" s="5" t="n">
        <v>0</v>
      </c>
      <c r="U544" s="5" t="inlineStr">
        <is>
          <t>testing</t>
        </is>
      </c>
    </row>
    <row r="545">
      <c r="A545" s="5" t="n">
        <v>517</v>
      </c>
      <c r="B545" s="5" t="n">
        <v>0</v>
      </c>
      <c r="C545" s="5" t="n">
        <v>6</v>
      </c>
      <c r="D545" s="5" t="n">
        <v>1361</v>
      </c>
      <c r="E545" s="5" t="n">
        <v>40</v>
      </c>
      <c r="F545" s="5" t="n">
        <v>2</v>
      </c>
      <c r="G545" s="5" t="n">
        <v>1</v>
      </c>
      <c r="H545" s="5" t="n">
        <v>0</v>
      </c>
      <c r="I545" s="5" t="n">
        <v>0</v>
      </c>
      <c r="J545" s="5" t="n">
        <v>1</v>
      </c>
      <c r="K545" s="5" t="n">
        <v>0</v>
      </c>
      <c r="L545" s="5" t="n">
        <v>0</v>
      </c>
      <c r="M545" s="5" t="n">
        <v>0</v>
      </c>
      <c r="N545" s="5" t="n">
        <v>0</v>
      </c>
      <c r="O545" s="5" t="n">
        <v>0</v>
      </c>
      <c r="P545" s="5" t="n">
        <v>0</v>
      </c>
      <c r="Q545" s="5" t="n">
        <v>0</v>
      </c>
      <c r="R545" s="5" t="n">
        <v>1</v>
      </c>
      <c r="S545" s="5" t="n">
        <v>0</v>
      </c>
      <c r="T545" s="5" t="n">
        <v>0</v>
      </c>
      <c r="U545" s="5" t="inlineStr">
        <is>
          <t>training</t>
        </is>
      </c>
    </row>
    <row r="546">
      <c r="A546" s="5" t="n">
        <v>518</v>
      </c>
      <c r="B546" s="5" t="n">
        <v>1</v>
      </c>
      <c r="C546" s="5" t="n">
        <v>36</v>
      </c>
      <c r="D546" s="5" t="n">
        <v>7127</v>
      </c>
      <c r="E546" s="5" t="n">
        <v>23</v>
      </c>
      <c r="F546" s="5" t="n">
        <v>2</v>
      </c>
      <c r="G546" s="5" t="n">
        <v>0</v>
      </c>
      <c r="H546" s="5" t="n">
        <v>0</v>
      </c>
      <c r="I546" s="5" t="n">
        <v>0</v>
      </c>
      <c r="J546" s="5" t="n">
        <v>1</v>
      </c>
      <c r="K546" s="5" t="n">
        <v>0</v>
      </c>
      <c r="L546" s="5" t="n">
        <v>0</v>
      </c>
      <c r="M546" s="5" t="n">
        <v>0</v>
      </c>
      <c r="N546" s="5" t="n">
        <v>0</v>
      </c>
      <c r="O546" s="5" t="n">
        <v>0</v>
      </c>
      <c r="P546" s="5" t="n">
        <v>1</v>
      </c>
      <c r="Q546" s="5" t="n">
        <v>0</v>
      </c>
      <c r="R546" s="5" t="n">
        <v>0</v>
      </c>
      <c r="S546" s="5" t="n">
        <v>0</v>
      </c>
      <c r="T546" s="5" t="n">
        <v>1</v>
      </c>
      <c r="U546" s="5" t="inlineStr">
        <is>
          <t>training</t>
        </is>
      </c>
    </row>
    <row r="547">
      <c r="A547" s="5" t="n">
        <v>519</v>
      </c>
      <c r="B547" s="5" t="n">
        <v>0</v>
      </c>
      <c r="C547" s="5" t="n">
        <v>6</v>
      </c>
      <c r="D547" s="5" t="n">
        <v>1203</v>
      </c>
      <c r="E547" s="5" t="n">
        <v>43</v>
      </c>
      <c r="F547" s="5" t="n">
        <v>3</v>
      </c>
      <c r="G547" s="5" t="n">
        <v>1</v>
      </c>
      <c r="H547" s="5" t="n">
        <v>0</v>
      </c>
      <c r="I547" s="5" t="n">
        <v>0</v>
      </c>
      <c r="J547" s="5" t="n">
        <v>0</v>
      </c>
      <c r="K547" s="5" t="n">
        <v>0</v>
      </c>
      <c r="L547" s="5" t="n">
        <v>0</v>
      </c>
      <c r="M547" s="5" t="n">
        <v>1</v>
      </c>
      <c r="N547" s="5" t="n">
        <v>0</v>
      </c>
      <c r="O547" s="5" t="n">
        <v>0</v>
      </c>
      <c r="P547" s="5" t="n">
        <v>0</v>
      </c>
      <c r="Q547" s="5" t="n">
        <v>0</v>
      </c>
      <c r="R547" s="5" t="n">
        <v>1</v>
      </c>
      <c r="S547" s="5" t="n">
        <v>0</v>
      </c>
      <c r="T547" s="5" t="n">
        <v>0</v>
      </c>
      <c r="U547" s="5" t="inlineStr">
        <is>
          <t>training</t>
        </is>
      </c>
    </row>
    <row r="548">
      <c r="A548" s="5" t="n">
        <v>520</v>
      </c>
      <c r="B548" s="5" t="n">
        <v>0</v>
      </c>
      <c r="C548" s="5" t="n">
        <v>6</v>
      </c>
      <c r="D548" s="5" t="n">
        <v>700</v>
      </c>
      <c r="E548" s="5" t="n">
        <v>36</v>
      </c>
      <c r="F548" s="5" t="n">
        <v>4</v>
      </c>
      <c r="G548" s="5" t="n">
        <v>0</v>
      </c>
      <c r="H548" s="5" t="n">
        <v>0</v>
      </c>
      <c r="I548" s="5" t="n">
        <v>0</v>
      </c>
      <c r="J548" s="5" t="n">
        <v>1</v>
      </c>
      <c r="K548" s="5" t="n">
        <v>0</v>
      </c>
      <c r="L548" s="5" t="n">
        <v>0</v>
      </c>
      <c r="M548" s="5" t="n">
        <v>0</v>
      </c>
      <c r="N548" s="5" t="n">
        <v>0</v>
      </c>
      <c r="O548" s="5" t="n">
        <v>1</v>
      </c>
      <c r="P548" s="5" t="n">
        <v>0</v>
      </c>
      <c r="Q548" s="5" t="n">
        <v>1</v>
      </c>
      <c r="R548" s="5" t="n">
        <v>0</v>
      </c>
      <c r="S548" s="5" t="n">
        <v>1</v>
      </c>
      <c r="T548" s="5" t="n">
        <v>0</v>
      </c>
      <c r="U548" s="5" t="inlineStr">
        <is>
          <t>testing</t>
        </is>
      </c>
    </row>
    <row r="549">
      <c r="A549" s="5" t="n">
        <v>521</v>
      </c>
      <c r="B549" s="5" t="n">
        <v>0</v>
      </c>
      <c r="C549" s="5" t="n">
        <v>24</v>
      </c>
      <c r="D549" s="5" t="n">
        <v>5507</v>
      </c>
      <c r="E549" s="5" t="n">
        <v>44</v>
      </c>
      <c r="F549" s="5" t="n">
        <v>3</v>
      </c>
      <c r="G549" s="5" t="n">
        <v>0</v>
      </c>
      <c r="H549" s="5" t="n">
        <v>0</v>
      </c>
      <c r="I549" s="5" t="n">
        <v>0</v>
      </c>
      <c r="J549" s="5" t="n">
        <v>1</v>
      </c>
      <c r="K549" s="5" t="n">
        <v>0</v>
      </c>
      <c r="L549" s="5" t="n">
        <v>0</v>
      </c>
      <c r="M549" s="5" t="n">
        <v>0</v>
      </c>
      <c r="N549" s="5" t="n">
        <v>0</v>
      </c>
      <c r="O549" s="5" t="n">
        <v>0</v>
      </c>
      <c r="P549" s="5" t="n">
        <v>0</v>
      </c>
      <c r="Q549" s="5" t="n">
        <v>1</v>
      </c>
      <c r="R549" s="5" t="n">
        <v>0</v>
      </c>
      <c r="S549" s="5" t="n">
        <v>0</v>
      </c>
      <c r="T549" s="5" t="n">
        <v>0</v>
      </c>
      <c r="U549" s="5" t="inlineStr">
        <is>
          <t>training</t>
        </is>
      </c>
    </row>
    <row r="550">
      <c r="A550" s="5" t="n">
        <v>522</v>
      </c>
      <c r="B550" s="5" t="n">
        <v>1</v>
      </c>
      <c r="C550" s="5" t="n">
        <v>18</v>
      </c>
      <c r="D550" s="5" t="n">
        <v>3190</v>
      </c>
      <c r="E550" s="5" t="n">
        <v>24</v>
      </c>
      <c r="F550" s="5" t="n">
        <v>2</v>
      </c>
      <c r="G550" s="5" t="n">
        <v>1</v>
      </c>
      <c r="H550" s="5" t="n">
        <v>0</v>
      </c>
      <c r="I550" s="5" t="n">
        <v>0</v>
      </c>
      <c r="J550" s="5" t="n">
        <v>0</v>
      </c>
      <c r="K550" s="5" t="n">
        <v>0</v>
      </c>
      <c r="L550" s="5" t="n">
        <v>0</v>
      </c>
      <c r="M550" s="5" t="n">
        <v>0</v>
      </c>
      <c r="N550" s="5" t="n">
        <v>0</v>
      </c>
      <c r="O550" s="5" t="n">
        <v>0</v>
      </c>
      <c r="P550" s="5" t="n">
        <v>0</v>
      </c>
      <c r="Q550" s="5" t="n">
        <v>0</v>
      </c>
      <c r="R550" s="5" t="n">
        <v>0</v>
      </c>
      <c r="S550" s="5" t="n">
        <v>1</v>
      </c>
      <c r="T550" s="5" t="n">
        <v>0</v>
      </c>
      <c r="U550" s="5" t="inlineStr">
        <is>
          <t>training</t>
        </is>
      </c>
    </row>
    <row r="551">
      <c r="A551" s="5" t="n">
        <v>523</v>
      </c>
      <c r="B551" s="5" t="n">
        <v>1</v>
      </c>
      <c r="C551" s="5" t="n">
        <v>48</v>
      </c>
      <c r="D551" s="5" t="n">
        <v>7119</v>
      </c>
      <c r="E551" s="5" t="n">
        <v>53</v>
      </c>
      <c r="F551" s="5" t="n">
        <v>3</v>
      </c>
      <c r="G551" s="5" t="n">
        <v>1</v>
      </c>
      <c r="H551" s="5" t="n">
        <v>0</v>
      </c>
      <c r="I551" s="5" t="n">
        <v>0</v>
      </c>
      <c r="J551" s="5" t="n">
        <v>0</v>
      </c>
      <c r="K551" s="5" t="n">
        <v>0</v>
      </c>
      <c r="L551" s="5" t="n">
        <v>1</v>
      </c>
      <c r="M551" s="5" t="n">
        <v>0</v>
      </c>
      <c r="N551" s="5" t="n">
        <v>0</v>
      </c>
      <c r="O551" s="5" t="n">
        <v>0</v>
      </c>
      <c r="P551" s="5" t="n">
        <v>0</v>
      </c>
      <c r="Q551" s="5" t="n">
        <v>1</v>
      </c>
      <c r="R551" s="5" t="n">
        <v>0</v>
      </c>
      <c r="S551" s="5" t="n">
        <v>0</v>
      </c>
      <c r="T551" s="5" t="n">
        <v>1</v>
      </c>
      <c r="U551" s="5" t="inlineStr">
        <is>
          <t>training</t>
        </is>
      </c>
    </row>
    <row r="552">
      <c r="A552" s="5" t="n">
        <v>524</v>
      </c>
      <c r="B552" s="5" t="n">
        <v>0</v>
      </c>
      <c r="C552" s="5" t="n">
        <v>24</v>
      </c>
      <c r="D552" s="5" t="n">
        <v>3488</v>
      </c>
      <c r="E552" s="5" t="n">
        <v>23</v>
      </c>
      <c r="F552" s="5" t="n">
        <v>3</v>
      </c>
      <c r="G552" s="5" t="n">
        <v>0</v>
      </c>
      <c r="H552" s="5" t="n">
        <v>0</v>
      </c>
      <c r="I552" s="5" t="n">
        <v>0</v>
      </c>
      <c r="J552" s="5" t="n">
        <v>0</v>
      </c>
      <c r="K552" s="5" t="n">
        <v>0</v>
      </c>
      <c r="L552" s="5" t="n">
        <v>0</v>
      </c>
      <c r="M552" s="5" t="n">
        <v>1</v>
      </c>
      <c r="N552" s="5" t="n">
        <v>0</v>
      </c>
      <c r="O552" s="5" t="n">
        <v>0</v>
      </c>
      <c r="P552" s="5" t="n">
        <v>0</v>
      </c>
      <c r="Q552" s="5" t="n">
        <v>0</v>
      </c>
      <c r="R552" s="5" t="n">
        <v>1</v>
      </c>
      <c r="S552" s="5" t="n">
        <v>0</v>
      </c>
      <c r="T552" s="5" t="n">
        <v>0</v>
      </c>
      <c r="U552" s="5" t="inlineStr">
        <is>
          <t>training</t>
        </is>
      </c>
    </row>
    <row r="553">
      <c r="A553" s="5" t="n">
        <v>525</v>
      </c>
      <c r="B553" s="5" t="n">
        <v>0</v>
      </c>
      <c r="C553" s="5" t="n">
        <v>18</v>
      </c>
      <c r="D553" s="5" t="n">
        <v>1113</v>
      </c>
      <c r="E553" s="5" t="n">
        <v>26</v>
      </c>
      <c r="F553" s="5" t="n">
        <v>4</v>
      </c>
      <c r="G553" s="5" t="n">
        <v>0</v>
      </c>
      <c r="H553" s="5" t="n">
        <v>1</v>
      </c>
      <c r="I553" s="5" t="n">
        <v>0</v>
      </c>
      <c r="J553" s="5" t="n">
        <v>0</v>
      </c>
      <c r="K553" s="5" t="n">
        <v>0</v>
      </c>
      <c r="L553" s="5" t="n">
        <v>0</v>
      </c>
      <c r="M553" s="5" t="n">
        <v>0</v>
      </c>
      <c r="N553" s="5" t="n">
        <v>0</v>
      </c>
      <c r="O553" s="5" t="n">
        <v>0</v>
      </c>
      <c r="P553" s="5" t="n">
        <v>0</v>
      </c>
      <c r="Q553" s="5" t="n">
        <v>0</v>
      </c>
      <c r="R553" s="5" t="n">
        <v>0</v>
      </c>
      <c r="S553" s="5" t="n">
        <v>1</v>
      </c>
      <c r="T553" s="5" t="n">
        <v>0</v>
      </c>
      <c r="U553" s="5" t="inlineStr">
        <is>
          <t>training</t>
        </is>
      </c>
    </row>
    <row r="554">
      <c r="A554" s="5" t="n">
        <v>526</v>
      </c>
      <c r="B554" s="5" t="n">
        <v>0</v>
      </c>
      <c r="C554" s="5" t="n">
        <v>26</v>
      </c>
      <c r="D554" s="5" t="n">
        <v>7966</v>
      </c>
      <c r="E554" s="5" t="n">
        <v>30</v>
      </c>
      <c r="F554" s="5" t="n">
        <v>2</v>
      </c>
      <c r="G554" s="5" t="n">
        <v>0</v>
      </c>
      <c r="H554" s="5" t="n">
        <v>1</v>
      </c>
      <c r="I554" s="5" t="n">
        <v>0</v>
      </c>
      <c r="J554" s="5" t="n">
        <v>0</v>
      </c>
      <c r="K554" s="5" t="n">
        <v>0</v>
      </c>
      <c r="L554" s="5" t="n">
        <v>0</v>
      </c>
      <c r="M554" s="5" t="n">
        <v>0</v>
      </c>
      <c r="N554" s="5" t="n">
        <v>0</v>
      </c>
      <c r="O554" s="5" t="n">
        <v>0</v>
      </c>
      <c r="P554" s="5" t="n">
        <v>0</v>
      </c>
      <c r="Q554" s="5" t="n">
        <v>0</v>
      </c>
      <c r="R554" s="5" t="n">
        <v>1</v>
      </c>
      <c r="S554" s="5" t="n">
        <v>0</v>
      </c>
      <c r="T554" s="5" t="n">
        <v>0</v>
      </c>
      <c r="U554" s="5" t="inlineStr">
        <is>
          <t>training</t>
        </is>
      </c>
    </row>
    <row r="555">
      <c r="A555" s="5" t="n">
        <v>527</v>
      </c>
      <c r="B555" s="5" t="n">
        <v>0</v>
      </c>
      <c r="C555" s="5" t="n">
        <v>15</v>
      </c>
      <c r="D555" s="5" t="n">
        <v>1532</v>
      </c>
      <c r="E555" s="5" t="n">
        <v>31</v>
      </c>
      <c r="F555" s="5" t="n">
        <v>4</v>
      </c>
      <c r="G555" s="5" t="n">
        <v>0</v>
      </c>
      <c r="H555" s="5" t="n">
        <v>0</v>
      </c>
      <c r="I555" s="5" t="n">
        <v>0</v>
      </c>
      <c r="J555" s="5" t="n">
        <v>1</v>
      </c>
      <c r="K555" s="5" t="n">
        <v>0</v>
      </c>
      <c r="L555" s="5" t="n">
        <v>0</v>
      </c>
      <c r="M555" s="5" t="n">
        <v>1</v>
      </c>
      <c r="N555" s="5" t="n">
        <v>0</v>
      </c>
      <c r="O555" s="5" t="n">
        <v>0</v>
      </c>
      <c r="P555" s="5" t="n">
        <v>0</v>
      </c>
      <c r="Q555" s="5" t="n">
        <v>0</v>
      </c>
      <c r="R555" s="5" t="n">
        <v>0</v>
      </c>
      <c r="S555" s="5" t="n">
        <v>0</v>
      </c>
      <c r="T555" s="5" t="n">
        <v>0</v>
      </c>
      <c r="U555" s="5" t="inlineStr">
        <is>
          <t>training</t>
        </is>
      </c>
    </row>
    <row r="556">
      <c r="A556" s="5" t="n">
        <v>528</v>
      </c>
      <c r="B556" s="5" t="n">
        <v>0</v>
      </c>
      <c r="C556" s="5" t="n">
        <v>4</v>
      </c>
      <c r="D556" s="5" t="n">
        <v>1503</v>
      </c>
      <c r="E556" s="5" t="n">
        <v>42</v>
      </c>
      <c r="F556" s="5" t="n">
        <v>2</v>
      </c>
      <c r="G556" s="5" t="n">
        <v>0</v>
      </c>
      <c r="H556" s="5" t="n">
        <v>0</v>
      </c>
      <c r="I556" s="5" t="n">
        <v>0</v>
      </c>
      <c r="J556" s="5" t="n">
        <v>1</v>
      </c>
      <c r="K556" s="5" t="n">
        <v>0</v>
      </c>
      <c r="L556" s="5" t="n">
        <v>0</v>
      </c>
      <c r="M556" s="5" t="n">
        <v>0</v>
      </c>
      <c r="N556" s="5" t="n">
        <v>0</v>
      </c>
      <c r="O556" s="5" t="n">
        <v>0</v>
      </c>
      <c r="P556" s="5" t="n">
        <v>0</v>
      </c>
      <c r="Q556" s="5" t="n">
        <v>0</v>
      </c>
      <c r="R556" s="5" t="n">
        <v>0</v>
      </c>
      <c r="S556" s="5" t="n">
        <v>1</v>
      </c>
      <c r="T556" s="5" t="n">
        <v>0</v>
      </c>
      <c r="U556" s="5" t="inlineStr">
        <is>
          <t>testing</t>
        </is>
      </c>
    </row>
    <row r="557">
      <c r="A557" s="5" t="n">
        <v>529</v>
      </c>
      <c r="B557" s="5" t="n">
        <v>1</v>
      </c>
      <c r="C557" s="5" t="n">
        <v>36</v>
      </c>
      <c r="D557" s="5" t="n">
        <v>2302</v>
      </c>
      <c r="E557" s="5" t="n">
        <v>31</v>
      </c>
      <c r="F557" s="5" t="n">
        <v>4</v>
      </c>
      <c r="G557" s="5" t="n">
        <v>1</v>
      </c>
      <c r="H557" s="5" t="n">
        <v>0</v>
      </c>
      <c r="I557" s="5" t="n">
        <v>0</v>
      </c>
      <c r="J557" s="5" t="n">
        <v>0</v>
      </c>
      <c r="K557" s="5" t="n">
        <v>0</v>
      </c>
      <c r="L557" s="5" t="n">
        <v>0</v>
      </c>
      <c r="M557" s="5" t="n">
        <v>0</v>
      </c>
      <c r="N557" s="5" t="n">
        <v>0</v>
      </c>
      <c r="O557" s="5" t="n">
        <v>0</v>
      </c>
      <c r="P557" s="5" t="n">
        <v>1</v>
      </c>
      <c r="Q557" s="5" t="n">
        <v>0</v>
      </c>
      <c r="R557" s="5" t="n">
        <v>0</v>
      </c>
      <c r="S557" s="5" t="n">
        <v>1</v>
      </c>
      <c r="T557" s="5" t="n">
        <v>0</v>
      </c>
      <c r="U557" s="5" t="inlineStr">
        <is>
          <t>testing</t>
        </is>
      </c>
    </row>
    <row r="558">
      <c r="A558" s="5" t="n">
        <v>530</v>
      </c>
      <c r="B558" s="5" t="n">
        <v>0</v>
      </c>
      <c r="C558" s="5" t="n">
        <v>6</v>
      </c>
      <c r="D558" s="5" t="n">
        <v>662</v>
      </c>
      <c r="E558" s="5" t="n">
        <v>41</v>
      </c>
      <c r="F558" s="5" t="n">
        <v>3</v>
      </c>
      <c r="G558" s="5" t="n">
        <v>1</v>
      </c>
      <c r="H558" s="5" t="n">
        <v>0</v>
      </c>
      <c r="I558" s="5" t="n">
        <v>0</v>
      </c>
      <c r="J558" s="5" t="n">
        <v>0</v>
      </c>
      <c r="K558" s="5" t="n">
        <v>0</v>
      </c>
      <c r="L558" s="5" t="n">
        <v>0</v>
      </c>
      <c r="M558" s="5" t="n">
        <v>0</v>
      </c>
      <c r="N558" s="5" t="n">
        <v>0</v>
      </c>
      <c r="O558" s="5" t="n">
        <v>0</v>
      </c>
      <c r="P558" s="5" t="n">
        <v>0</v>
      </c>
      <c r="Q558" s="5" t="n">
        <v>0</v>
      </c>
      <c r="R558" s="5" t="n">
        <v>1</v>
      </c>
      <c r="S558" s="5" t="n">
        <v>0</v>
      </c>
      <c r="T558" s="5" t="n">
        <v>0</v>
      </c>
      <c r="U558" s="5" t="inlineStr">
        <is>
          <t>testing</t>
        </is>
      </c>
    </row>
    <row r="559">
      <c r="A559" s="5" t="n">
        <v>531</v>
      </c>
      <c r="B559" s="5" t="n">
        <v>0</v>
      </c>
      <c r="C559" s="5" t="n">
        <v>36</v>
      </c>
      <c r="D559" s="5" t="n">
        <v>2273</v>
      </c>
      <c r="E559" s="5" t="n">
        <v>32</v>
      </c>
      <c r="F559" s="5" t="n">
        <v>3</v>
      </c>
      <c r="G559" s="5" t="n">
        <v>0</v>
      </c>
      <c r="H559" s="5" t="n">
        <v>1</v>
      </c>
      <c r="I559" s="5" t="n">
        <v>0</v>
      </c>
      <c r="J559" s="5" t="n">
        <v>0</v>
      </c>
      <c r="K559" s="5" t="n">
        <v>0</v>
      </c>
      <c r="L559" s="5" t="n">
        <v>0</v>
      </c>
      <c r="M559" s="5" t="n">
        <v>0</v>
      </c>
      <c r="N559" s="5" t="n">
        <v>0</v>
      </c>
      <c r="O559" s="5" t="n">
        <v>0</v>
      </c>
      <c r="P559" s="5" t="n">
        <v>0</v>
      </c>
      <c r="Q559" s="5" t="n">
        <v>0</v>
      </c>
      <c r="R559" s="5" t="n">
        <v>0</v>
      </c>
      <c r="S559" s="5" t="n">
        <v>0</v>
      </c>
      <c r="T559" s="5" t="n">
        <v>0</v>
      </c>
      <c r="U559" s="5" t="inlineStr">
        <is>
          <t>testing</t>
        </is>
      </c>
    </row>
    <row r="560">
      <c r="A560" s="5" t="n">
        <v>532</v>
      </c>
      <c r="B560" s="5" t="n">
        <v>1</v>
      </c>
      <c r="C560" s="5" t="n">
        <v>15</v>
      </c>
      <c r="D560" s="5" t="n">
        <v>2631</v>
      </c>
      <c r="E560" s="5" t="n">
        <v>28</v>
      </c>
      <c r="F560" s="5" t="n">
        <v>2</v>
      </c>
      <c r="G560" s="5" t="n">
        <v>0</v>
      </c>
      <c r="H560" s="5" t="n">
        <v>1</v>
      </c>
      <c r="I560" s="5" t="n">
        <v>0</v>
      </c>
      <c r="J560" s="5" t="n">
        <v>0</v>
      </c>
      <c r="K560" s="5" t="n">
        <v>0</v>
      </c>
      <c r="L560" s="5" t="n">
        <v>0</v>
      </c>
      <c r="M560" s="5" t="n">
        <v>1</v>
      </c>
      <c r="N560" s="5" t="n">
        <v>0</v>
      </c>
      <c r="O560" s="5" t="n">
        <v>0</v>
      </c>
      <c r="P560" s="5" t="n">
        <v>1</v>
      </c>
      <c r="Q560" s="5" t="n">
        <v>0</v>
      </c>
      <c r="R560" s="5" t="n">
        <v>1</v>
      </c>
      <c r="S560" s="5" t="n">
        <v>0</v>
      </c>
      <c r="T560" s="5" t="n">
        <v>0</v>
      </c>
      <c r="U560" s="5" t="inlineStr">
        <is>
          <t>training</t>
        </is>
      </c>
    </row>
    <row r="561">
      <c r="A561" s="5" t="n">
        <v>533</v>
      </c>
      <c r="B561" s="5" t="n">
        <v>0</v>
      </c>
      <c r="C561" s="5" t="n">
        <v>12</v>
      </c>
      <c r="D561" s="5" t="n">
        <v>1503</v>
      </c>
      <c r="E561" s="5" t="n">
        <v>41</v>
      </c>
      <c r="F561" s="5" t="n">
        <v>4</v>
      </c>
      <c r="G561" s="5" t="n">
        <v>0</v>
      </c>
      <c r="H561" s="5" t="n">
        <v>0</v>
      </c>
      <c r="I561" s="5" t="n">
        <v>0</v>
      </c>
      <c r="J561" s="5" t="n">
        <v>0</v>
      </c>
      <c r="K561" s="5" t="n">
        <v>1</v>
      </c>
      <c r="L561" s="5" t="n">
        <v>0</v>
      </c>
      <c r="M561" s="5" t="n">
        <v>0</v>
      </c>
      <c r="N561" s="5" t="n">
        <v>0</v>
      </c>
      <c r="O561" s="5" t="n">
        <v>0</v>
      </c>
      <c r="P561" s="5" t="n">
        <v>1</v>
      </c>
      <c r="Q561" s="5" t="n">
        <v>0</v>
      </c>
      <c r="R561" s="5" t="n">
        <v>1</v>
      </c>
      <c r="S561" s="5" t="n">
        <v>0</v>
      </c>
      <c r="T561" s="5" t="n">
        <v>0</v>
      </c>
      <c r="U561" s="5" t="inlineStr">
        <is>
          <t>training</t>
        </is>
      </c>
    </row>
    <row r="562">
      <c r="A562" s="5" t="n">
        <v>534</v>
      </c>
      <c r="B562" s="5" t="n">
        <v>0</v>
      </c>
      <c r="C562" s="5" t="n">
        <v>24</v>
      </c>
      <c r="D562" s="5" t="n">
        <v>1311</v>
      </c>
      <c r="E562" s="5" t="n">
        <v>26</v>
      </c>
      <c r="F562" s="5" t="n">
        <v>4</v>
      </c>
      <c r="G562" s="5" t="n">
        <v>0</v>
      </c>
      <c r="H562" s="5" t="n">
        <v>0</v>
      </c>
      <c r="I562" s="5" t="n">
        <v>0</v>
      </c>
      <c r="J562" s="5" t="n">
        <v>0</v>
      </c>
      <c r="K562" s="5" t="n">
        <v>0</v>
      </c>
      <c r="L562" s="5" t="n">
        <v>0</v>
      </c>
      <c r="M562" s="5" t="n">
        <v>1</v>
      </c>
      <c r="N562" s="5" t="n">
        <v>0</v>
      </c>
      <c r="O562" s="5" t="n">
        <v>0</v>
      </c>
      <c r="P562" s="5" t="n">
        <v>0</v>
      </c>
      <c r="Q562" s="5" t="n">
        <v>0</v>
      </c>
      <c r="R562" s="5" t="n">
        <v>0</v>
      </c>
      <c r="S562" s="5" t="n">
        <v>1</v>
      </c>
      <c r="T562" s="5" t="n">
        <v>0</v>
      </c>
      <c r="U562" s="5" t="inlineStr">
        <is>
          <t>training</t>
        </is>
      </c>
    </row>
    <row r="563">
      <c r="A563" s="5" t="n">
        <v>535</v>
      </c>
      <c r="B563" s="5" t="n">
        <v>0</v>
      </c>
      <c r="C563" s="5" t="n">
        <v>24</v>
      </c>
      <c r="D563" s="5" t="n">
        <v>3105</v>
      </c>
      <c r="E563" s="5" t="n">
        <v>25</v>
      </c>
      <c r="F563" s="5" t="n">
        <v>4</v>
      </c>
      <c r="G563" s="5" t="n">
        <v>0</v>
      </c>
      <c r="H563" s="5" t="n">
        <v>0</v>
      </c>
      <c r="I563" s="5" t="n">
        <v>0</v>
      </c>
      <c r="J563" s="5" t="n">
        <v>0</v>
      </c>
      <c r="K563" s="5" t="n">
        <v>0</v>
      </c>
      <c r="L563" s="5" t="n">
        <v>0</v>
      </c>
      <c r="M563" s="5" t="n">
        <v>0</v>
      </c>
      <c r="N563" s="5" t="n">
        <v>0</v>
      </c>
      <c r="O563" s="5" t="n">
        <v>1</v>
      </c>
      <c r="P563" s="5" t="n">
        <v>0</v>
      </c>
      <c r="Q563" s="5" t="n">
        <v>0</v>
      </c>
      <c r="R563" s="5" t="n">
        <v>0</v>
      </c>
      <c r="S563" s="5" t="n">
        <v>1</v>
      </c>
      <c r="T563" s="5" t="n">
        <v>0</v>
      </c>
      <c r="U563" s="5" t="inlineStr">
        <is>
          <t>training</t>
        </is>
      </c>
    </row>
    <row r="564">
      <c r="A564" s="5" t="n">
        <v>536</v>
      </c>
      <c r="B564" s="5" t="n">
        <v>1</v>
      </c>
      <c r="C564" s="5" t="n">
        <v>21</v>
      </c>
      <c r="D564" s="5" t="n">
        <v>2319</v>
      </c>
      <c r="E564" s="5" t="n">
        <v>33</v>
      </c>
      <c r="F564" s="5" t="n">
        <v>2</v>
      </c>
      <c r="G564" s="5" t="n">
        <v>0</v>
      </c>
      <c r="H564" s="5" t="n">
        <v>0</v>
      </c>
      <c r="I564" s="5" t="n">
        <v>1</v>
      </c>
      <c r="J564" s="5" t="n">
        <v>1</v>
      </c>
      <c r="K564" s="5" t="n">
        <v>0</v>
      </c>
      <c r="L564" s="5" t="n">
        <v>0</v>
      </c>
      <c r="M564" s="5" t="n">
        <v>0</v>
      </c>
      <c r="N564" s="5" t="n">
        <v>0</v>
      </c>
      <c r="O564" s="5" t="n">
        <v>0</v>
      </c>
      <c r="P564" s="5" t="n">
        <v>1</v>
      </c>
      <c r="Q564" s="5" t="n">
        <v>0</v>
      </c>
      <c r="R564" s="5" t="n">
        <v>0</v>
      </c>
      <c r="S564" s="5" t="n">
        <v>0</v>
      </c>
      <c r="T564" s="5" t="n">
        <v>0</v>
      </c>
      <c r="U564" s="5" t="inlineStr">
        <is>
          <t>testing</t>
        </is>
      </c>
    </row>
    <row r="565">
      <c r="A565" s="5" t="n">
        <v>537</v>
      </c>
      <c r="B565" s="5" t="n">
        <v>0</v>
      </c>
      <c r="C565" s="5" t="n">
        <v>6</v>
      </c>
      <c r="D565" s="5" t="n">
        <v>1374</v>
      </c>
      <c r="E565" s="5" t="n">
        <v>75</v>
      </c>
      <c r="F565" s="5" t="n">
        <v>4</v>
      </c>
      <c r="G565" s="5" t="n">
        <v>1</v>
      </c>
      <c r="H565" s="5" t="n">
        <v>0</v>
      </c>
      <c r="I565" s="5" t="n">
        <v>0</v>
      </c>
      <c r="J565" s="5" t="n">
        <v>0</v>
      </c>
      <c r="K565" s="5" t="n">
        <v>0</v>
      </c>
      <c r="L565" s="5" t="n">
        <v>0</v>
      </c>
      <c r="M565" s="5" t="n">
        <v>0</v>
      </c>
      <c r="N565" s="5" t="n">
        <v>0</v>
      </c>
      <c r="O565" s="5" t="n">
        <v>1</v>
      </c>
      <c r="P565" s="5" t="n">
        <v>0</v>
      </c>
      <c r="Q565" s="5" t="n">
        <v>0</v>
      </c>
      <c r="R565" s="5" t="n">
        <v>1</v>
      </c>
      <c r="S565" s="5" t="n">
        <v>0</v>
      </c>
      <c r="T565" s="5" t="n">
        <v>0</v>
      </c>
      <c r="U565" s="5" t="inlineStr">
        <is>
          <t>training</t>
        </is>
      </c>
    </row>
    <row r="566">
      <c r="A566" s="5" t="n">
        <v>538</v>
      </c>
      <c r="B566" s="5" t="n">
        <v>0</v>
      </c>
      <c r="C566" s="5" t="n">
        <v>18</v>
      </c>
      <c r="D566" s="5" t="n">
        <v>3612</v>
      </c>
      <c r="E566" s="5" t="n">
        <v>37</v>
      </c>
      <c r="F566" s="5" t="n">
        <v>3</v>
      </c>
      <c r="G566" s="5" t="n">
        <v>0</v>
      </c>
      <c r="H566" s="5" t="n">
        <v>1</v>
      </c>
      <c r="I566" s="5" t="n">
        <v>0</v>
      </c>
      <c r="J566" s="5" t="n">
        <v>1</v>
      </c>
      <c r="K566" s="5" t="n">
        <v>0</v>
      </c>
      <c r="L566" s="5" t="n">
        <v>0</v>
      </c>
      <c r="M566" s="5" t="n">
        <v>0</v>
      </c>
      <c r="N566" s="5" t="n">
        <v>0</v>
      </c>
      <c r="O566" s="5" t="n">
        <v>0</v>
      </c>
      <c r="P566" s="5" t="n">
        <v>0</v>
      </c>
      <c r="Q566" s="5" t="n">
        <v>0</v>
      </c>
      <c r="R566" s="5" t="n">
        <v>0</v>
      </c>
      <c r="S566" s="5" t="n">
        <v>0</v>
      </c>
      <c r="T566" s="5" t="n">
        <v>1</v>
      </c>
      <c r="U566" s="5" t="inlineStr">
        <is>
          <t>training</t>
        </is>
      </c>
    </row>
    <row r="567">
      <c r="A567" s="5" t="n">
        <v>539</v>
      </c>
      <c r="B567" s="5" t="n">
        <v>1</v>
      </c>
      <c r="C567" s="5" t="n">
        <v>48</v>
      </c>
      <c r="D567" s="5" t="n">
        <v>7763</v>
      </c>
      <c r="E567" s="5" t="n">
        <v>42</v>
      </c>
      <c r="F567" s="5" t="n">
        <v>4</v>
      </c>
      <c r="G567" s="5" t="n">
        <v>1</v>
      </c>
      <c r="H567" s="5" t="n">
        <v>0</v>
      </c>
      <c r="I567" s="5" t="n">
        <v>0</v>
      </c>
      <c r="J567" s="5" t="n">
        <v>0</v>
      </c>
      <c r="K567" s="5" t="n">
        <v>0</v>
      </c>
      <c r="L567" s="5" t="n">
        <v>0</v>
      </c>
      <c r="M567" s="5" t="n">
        <v>0</v>
      </c>
      <c r="N567" s="5" t="n">
        <v>0</v>
      </c>
      <c r="O567" s="5" t="n">
        <v>0</v>
      </c>
      <c r="P567" s="5" t="n">
        <v>0</v>
      </c>
      <c r="Q567" s="5" t="n">
        <v>1</v>
      </c>
      <c r="R567" s="5" t="n">
        <v>1</v>
      </c>
      <c r="S567" s="5" t="n">
        <v>0</v>
      </c>
      <c r="T567" s="5" t="n">
        <v>0</v>
      </c>
      <c r="U567" s="5" t="inlineStr">
        <is>
          <t>training</t>
        </is>
      </c>
    </row>
    <row r="568">
      <c r="A568" s="5" t="n">
        <v>540</v>
      </c>
      <c r="B568" s="5" t="n">
        <v>0</v>
      </c>
      <c r="C568" s="5" t="n">
        <v>18</v>
      </c>
      <c r="D568" s="5" t="n">
        <v>3049</v>
      </c>
      <c r="E568" s="5" t="n">
        <v>45</v>
      </c>
      <c r="F568" s="5" t="n">
        <v>1</v>
      </c>
      <c r="G568" s="5" t="n">
        <v>0</v>
      </c>
      <c r="H568" s="5" t="n">
        <v>0</v>
      </c>
      <c r="I568" s="5" t="n">
        <v>1</v>
      </c>
      <c r="J568" s="5" t="n">
        <v>0</v>
      </c>
      <c r="K568" s="5" t="n">
        <v>0</v>
      </c>
      <c r="L568" s="5" t="n">
        <v>0</v>
      </c>
      <c r="M568" s="5" t="n">
        <v>0</v>
      </c>
      <c r="N568" s="5" t="n">
        <v>0</v>
      </c>
      <c r="O568" s="5" t="n">
        <v>0</v>
      </c>
      <c r="P568" s="5" t="n">
        <v>0</v>
      </c>
      <c r="Q568" s="5" t="n">
        <v>0</v>
      </c>
      <c r="R568" s="5" t="n">
        <v>0</v>
      </c>
      <c r="S568" s="5" t="n">
        <v>0</v>
      </c>
      <c r="T568" s="5" t="n">
        <v>1</v>
      </c>
      <c r="U568" s="5" t="inlineStr">
        <is>
          <t>training</t>
        </is>
      </c>
    </row>
    <row r="569">
      <c r="A569" s="5" t="n">
        <v>541</v>
      </c>
      <c r="B569" s="5" t="n">
        <v>1</v>
      </c>
      <c r="C569" s="5" t="n">
        <v>12</v>
      </c>
      <c r="D569" s="5" t="n">
        <v>1534</v>
      </c>
      <c r="E569" s="5" t="n">
        <v>23</v>
      </c>
      <c r="F569" s="5" t="n">
        <v>1</v>
      </c>
      <c r="G569" s="5" t="n">
        <v>0</v>
      </c>
      <c r="H569" s="5" t="n">
        <v>1</v>
      </c>
      <c r="I569" s="5" t="n">
        <v>0</v>
      </c>
      <c r="J569" s="5" t="n">
        <v>0</v>
      </c>
      <c r="K569" s="5" t="n">
        <v>0</v>
      </c>
      <c r="L569" s="5" t="n">
        <v>0</v>
      </c>
      <c r="M569" s="5" t="n">
        <v>0</v>
      </c>
      <c r="N569" s="5" t="n">
        <v>0</v>
      </c>
      <c r="O569" s="5" t="n">
        <v>0</v>
      </c>
      <c r="P569" s="5" t="n">
        <v>1</v>
      </c>
      <c r="Q569" s="5" t="n">
        <v>0</v>
      </c>
      <c r="R569" s="5" t="n">
        <v>0</v>
      </c>
      <c r="S569" s="5" t="n">
        <v>1</v>
      </c>
      <c r="T569" s="5" t="n">
        <v>0</v>
      </c>
      <c r="U569" s="5" t="inlineStr">
        <is>
          <t>training</t>
        </is>
      </c>
    </row>
    <row r="570">
      <c r="A570" s="5" t="n">
        <v>542</v>
      </c>
      <c r="B570" s="5" t="n">
        <v>0</v>
      </c>
      <c r="C570" s="5" t="n">
        <v>24</v>
      </c>
      <c r="D570" s="5" t="n">
        <v>2032</v>
      </c>
      <c r="E570" s="5" t="n">
        <v>60</v>
      </c>
      <c r="F570" s="5" t="n">
        <v>4</v>
      </c>
      <c r="G570" s="5" t="n">
        <v>0</v>
      </c>
      <c r="H570" s="5" t="n">
        <v>0</v>
      </c>
      <c r="I570" s="5" t="n">
        <v>0</v>
      </c>
      <c r="J570" s="5" t="n">
        <v>0</v>
      </c>
      <c r="K570" s="5" t="n">
        <v>1</v>
      </c>
      <c r="L570" s="5" t="n">
        <v>0</v>
      </c>
      <c r="M570" s="5" t="n">
        <v>0</v>
      </c>
      <c r="N570" s="5" t="n">
        <v>0</v>
      </c>
      <c r="O570" s="5" t="n">
        <v>0</v>
      </c>
      <c r="P570" s="5" t="n">
        <v>0</v>
      </c>
      <c r="Q570" s="5" t="n">
        <v>1</v>
      </c>
      <c r="R570" s="5" t="n">
        <v>1</v>
      </c>
      <c r="S570" s="5" t="n">
        <v>0</v>
      </c>
      <c r="T570" s="5" t="n">
        <v>0</v>
      </c>
      <c r="U570" s="5" t="inlineStr">
        <is>
          <t>training</t>
        </is>
      </c>
    </row>
    <row r="571">
      <c r="A571" s="5" t="n">
        <v>543</v>
      </c>
      <c r="B571" s="5" t="n">
        <v>1</v>
      </c>
      <c r="C571" s="5" t="n">
        <v>30</v>
      </c>
      <c r="D571" s="5" t="n">
        <v>6350</v>
      </c>
      <c r="E571" s="5" t="n">
        <v>31</v>
      </c>
      <c r="F571" s="5" t="n">
        <v>4</v>
      </c>
      <c r="G571" s="5" t="n">
        <v>1</v>
      </c>
      <c r="H571" s="5" t="n">
        <v>0</v>
      </c>
      <c r="I571" s="5" t="n">
        <v>0</v>
      </c>
      <c r="J571" s="5" t="n">
        <v>0</v>
      </c>
      <c r="K571" s="5" t="n">
        <v>0</v>
      </c>
      <c r="L571" s="5" t="n">
        <v>0</v>
      </c>
      <c r="M571" s="5" t="n">
        <v>0</v>
      </c>
      <c r="N571" s="5" t="n">
        <v>0</v>
      </c>
      <c r="O571" s="5" t="n">
        <v>1</v>
      </c>
      <c r="P571" s="5" t="n">
        <v>0</v>
      </c>
      <c r="Q571" s="5" t="n">
        <v>0</v>
      </c>
      <c r="R571" s="5" t="n">
        <v>0</v>
      </c>
      <c r="S571" s="5" t="n">
        <v>0</v>
      </c>
      <c r="T571" s="5" t="n">
        <v>1</v>
      </c>
      <c r="U571" s="5" t="inlineStr">
        <is>
          <t>testing</t>
        </is>
      </c>
    </row>
    <row r="572">
      <c r="A572" s="5" t="n">
        <v>544</v>
      </c>
      <c r="B572" s="5" t="n">
        <v>1</v>
      </c>
      <c r="C572" s="5" t="n">
        <v>18</v>
      </c>
      <c r="D572" s="5" t="n">
        <v>2864</v>
      </c>
      <c r="E572" s="5" t="n">
        <v>34</v>
      </c>
      <c r="F572" s="5" t="n">
        <v>2</v>
      </c>
      <c r="G572" s="5" t="n">
        <v>0</v>
      </c>
      <c r="H572" s="5" t="n">
        <v>0</v>
      </c>
      <c r="I572" s="5" t="n">
        <v>1</v>
      </c>
      <c r="J572" s="5" t="n">
        <v>0</v>
      </c>
      <c r="K572" s="5" t="n">
        <v>0</v>
      </c>
      <c r="L572" s="5" t="n">
        <v>0</v>
      </c>
      <c r="M572" s="5" t="n">
        <v>0</v>
      </c>
      <c r="N572" s="5" t="n">
        <v>0</v>
      </c>
      <c r="O572" s="5" t="n">
        <v>0</v>
      </c>
      <c r="P572" s="5" t="n">
        <v>0</v>
      </c>
      <c r="Q572" s="5" t="n">
        <v>0</v>
      </c>
      <c r="R572" s="5" t="n">
        <v>0</v>
      </c>
      <c r="S572" s="5" t="n">
        <v>0</v>
      </c>
      <c r="T572" s="5" t="n">
        <v>1</v>
      </c>
      <c r="U572" s="5" t="inlineStr">
        <is>
          <t>training</t>
        </is>
      </c>
    </row>
    <row r="573">
      <c r="A573" s="5" t="n">
        <v>545</v>
      </c>
      <c r="B573" s="5" t="n">
        <v>0</v>
      </c>
      <c r="C573" s="5" t="n">
        <v>12</v>
      </c>
      <c r="D573" s="5" t="n">
        <v>1255</v>
      </c>
      <c r="E573" s="5" t="n">
        <v>61</v>
      </c>
      <c r="F573" s="5" t="n">
        <v>4</v>
      </c>
      <c r="G573" s="5" t="n">
        <v>0</v>
      </c>
      <c r="H573" s="5" t="n">
        <v>0</v>
      </c>
      <c r="I573" s="5" t="n">
        <v>0</v>
      </c>
      <c r="J573" s="5" t="n">
        <v>1</v>
      </c>
      <c r="K573" s="5" t="n">
        <v>0</v>
      </c>
      <c r="L573" s="5" t="n">
        <v>0</v>
      </c>
      <c r="M573" s="5" t="n">
        <v>0</v>
      </c>
      <c r="N573" s="5" t="n">
        <v>0</v>
      </c>
      <c r="O573" s="5" t="n">
        <v>0</v>
      </c>
      <c r="P573" s="5" t="n">
        <v>0</v>
      </c>
      <c r="Q573" s="5" t="n">
        <v>0</v>
      </c>
      <c r="R573" s="5" t="n">
        <v>1</v>
      </c>
      <c r="S573" s="5" t="n">
        <v>0</v>
      </c>
      <c r="T573" s="5" t="n">
        <v>0</v>
      </c>
      <c r="U573" s="5" t="inlineStr">
        <is>
          <t>testing</t>
        </is>
      </c>
    </row>
    <row r="574">
      <c r="A574" s="5" t="n">
        <v>546</v>
      </c>
      <c r="B574" s="5" t="n">
        <v>1</v>
      </c>
      <c r="C574" s="5" t="n">
        <v>24</v>
      </c>
      <c r="D574" s="5" t="n">
        <v>1333</v>
      </c>
      <c r="E574" s="5" t="n">
        <v>43</v>
      </c>
      <c r="F574" s="5" t="n">
        <v>4</v>
      </c>
      <c r="G574" s="5" t="n">
        <v>1</v>
      </c>
      <c r="H574" s="5" t="n">
        <v>0</v>
      </c>
      <c r="I574" s="5" t="n">
        <v>0</v>
      </c>
      <c r="J574" s="5" t="n">
        <v>0</v>
      </c>
      <c r="K574" s="5" t="n">
        <v>1</v>
      </c>
      <c r="L574" s="5" t="n">
        <v>0</v>
      </c>
      <c r="M574" s="5" t="n">
        <v>0</v>
      </c>
      <c r="N574" s="5" t="n">
        <v>0</v>
      </c>
      <c r="O574" s="5" t="n">
        <v>0</v>
      </c>
      <c r="P574" s="5" t="n">
        <v>0</v>
      </c>
      <c r="Q574" s="5" t="n">
        <v>1</v>
      </c>
      <c r="R574" s="5" t="n">
        <v>1</v>
      </c>
      <c r="S574" s="5" t="n">
        <v>0</v>
      </c>
      <c r="T574" s="5" t="n">
        <v>0</v>
      </c>
      <c r="U574" s="5" t="inlineStr">
        <is>
          <t>testing</t>
        </is>
      </c>
    </row>
    <row r="575">
      <c r="A575" s="5" t="n">
        <v>547</v>
      </c>
      <c r="B575" s="5" t="n">
        <v>0</v>
      </c>
      <c r="C575" s="5" t="n">
        <v>24</v>
      </c>
      <c r="D575" s="5" t="n">
        <v>2022</v>
      </c>
      <c r="E575" s="5" t="n">
        <v>37</v>
      </c>
      <c r="F575" s="5" t="n">
        <v>4</v>
      </c>
      <c r="G575" s="5" t="n">
        <v>0</v>
      </c>
      <c r="H575" s="5" t="n">
        <v>0</v>
      </c>
      <c r="I575" s="5" t="n">
        <v>0</v>
      </c>
      <c r="J575" s="5" t="n">
        <v>1</v>
      </c>
      <c r="K575" s="5" t="n">
        <v>0</v>
      </c>
      <c r="L575" s="5" t="n">
        <v>0</v>
      </c>
      <c r="M575" s="5" t="n">
        <v>0</v>
      </c>
      <c r="N575" s="5" t="n">
        <v>0</v>
      </c>
      <c r="O575" s="5" t="n">
        <v>0</v>
      </c>
      <c r="P575" s="5" t="n">
        <v>0</v>
      </c>
      <c r="Q575" s="5" t="n">
        <v>0</v>
      </c>
      <c r="R575" s="5" t="n">
        <v>1</v>
      </c>
      <c r="S575" s="5" t="n">
        <v>0</v>
      </c>
      <c r="T575" s="5" t="n">
        <v>0</v>
      </c>
      <c r="U575" s="5" t="inlineStr">
        <is>
          <t>training</t>
        </is>
      </c>
    </row>
    <row r="576">
      <c r="A576" s="5" t="n">
        <v>548</v>
      </c>
      <c r="B576" s="5" t="n">
        <v>0</v>
      </c>
      <c r="C576" s="5" t="n">
        <v>24</v>
      </c>
      <c r="D576" s="5" t="n">
        <v>1552</v>
      </c>
      <c r="E576" s="5" t="n">
        <v>32</v>
      </c>
      <c r="F576" s="5" t="n">
        <v>3</v>
      </c>
      <c r="G576" s="5" t="n">
        <v>0</v>
      </c>
      <c r="H576" s="5" t="n">
        <v>0</v>
      </c>
      <c r="I576" s="5" t="n">
        <v>0</v>
      </c>
      <c r="J576" s="5" t="n">
        <v>0</v>
      </c>
      <c r="K576" s="5" t="n">
        <v>0</v>
      </c>
      <c r="L576" s="5" t="n">
        <v>0</v>
      </c>
      <c r="M576" s="5" t="n">
        <v>0</v>
      </c>
      <c r="N576" s="5" t="n">
        <v>0</v>
      </c>
      <c r="O576" s="5" t="n">
        <v>0</v>
      </c>
      <c r="P576" s="5" t="n">
        <v>0</v>
      </c>
      <c r="Q576" s="5" t="n">
        <v>0</v>
      </c>
      <c r="R576" s="5" t="n">
        <v>0</v>
      </c>
      <c r="S576" s="5" t="n">
        <v>1</v>
      </c>
      <c r="T576" s="5" t="n">
        <v>0</v>
      </c>
      <c r="U576" s="5" t="inlineStr">
        <is>
          <t>training</t>
        </is>
      </c>
    </row>
    <row r="577">
      <c r="A577" s="5" t="n">
        <v>549</v>
      </c>
      <c r="B577" s="5" t="n">
        <v>1</v>
      </c>
      <c r="C577" s="5" t="n">
        <v>12</v>
      </c>
      <c r="D577" s="5" t="n">
        <v>626</v>
      </c>
      <c r="E577" s="5" t="n">
        <v>24</v>
      </c>
      <c r="F577" s="5" t="n">
        <v>4</v>
      </c>
      <c r="G577" s="5" t="n">
        <v>1</v>
      </c>
      <c r="H577" s="5" t="n">
        <v>0</v>
      </c>
      <c r="I577" s="5" t="n">
        <v>0</v>
      </c>
      <c r="J577" s="5" t="n">
        <v>0</v>
      </c>
      <c r="K577" s="5" t="n">
        <v>0</v>
      </c>
      <c r="L577" s="5" t="n">
        <v>1</v>
      </c>
      <c r="M577" s="5" t="n">
        <v>0</v>
      </c>
      <c r="N577" s="5" t="n">
        <v>0</v>
      </c>
      <c r="O577" s="5" t="n">
        <v>0</v>
      </c>
      <c r="P577" s="5" t="n">
        <v>0</v>
      </c>
      <c r="Q577" s="5" t="n">
        <v>0</v>
      </c>
      <c r="R577" s="5" t="n">
        <v>0</v>
      </c>
      <c r="S577" s="5" t="n">
        <v>1</v>
      </c>
      <c r="T577" s="5" t="n">
        <v>0</v>
      </c>
      <c r="U577" s="5" t="inlineStr">
        <is>
          <t>testing</t>
        </is>
      </c>
    </row>
    <row r="578">
      <c r="A578" s="5" t="n">
        <v>550</v>
      </c>
      <c r="B578" s="5" t="n">
        <v>0</v>
      </c>
      <c r="C578" s="5" t="n">
        <v>48</v>
      </c>
      <c r="D578" s="5" t="n">
        <v>8858</v>
      </c>
      <c r="E578" s="5" t="n">
        <v>35</v>
      </c>
      <c r="F578" s="5" t="n">
        <v>2</v>
      </c>
      <c r="G578" s="5" t="n">
        <v>0</v>
      </c>
      <c r="H578" s="5" t="n">
        <v>0</v>
      </c>
      <c r="I578" s="5" t="n">
        <v>0</v>
      </c>
      <c r="J578" s="5" t="n">
        <v>1</v>
      </c>
      <c r="K578" s="5" t="n">
        <v>0</v>
      </c>
      <c r="L578" s="5" t="n">
        <v>0</v>
      </c>
      <c r="M578" s="5" t="n">
        <v>0</v>
      </c>
      <c r="N578" s="5" t="n">
        <v>0</v>
      </c>
      <c r="O578" s="5" t="n">
        <v>1</v>
      </c>
      <c r="P578" s="5" t="n">
        <v>0</v>
      </c>
      <c r="Q578" s="5" t="n">
        <v>1</v>
      </c>
      <c r="R578" s="5" t="n">
        <v>1</v>
      </c>
      <c r="S578" s="5" t="n">
        <v>0</v>
      </c>
      <c r="T578" s="5" t="n">
        <v>0</v>
      </c>
      <c r="U578" s="5" t="inlineStr">
        <is>
          <t>training</t>
        </is>
      </c>
    </row>
    <row r="579">
      <c r="A579" s="5" t="n">
        <v>551</v>
      </c>
      <c r="B579" s="5" t="n">
        <v>0</v>
      </c>
      <c r="C579" s="5" t="n">
        <v>12</v>
      </c>
      <c r="D579" s="5" t="n">
        <v>996</v>
      </c>
      <c r="E579" s="5" t="n">
        <v>23</v>
      </c>
      <c r="F579" s="5" t="n">
        <v>4</v>
      </c>
      <c r="G579" s="5" t="n">
        <v>0</v>
      </c>
      <c r="H579" s="5" t="n">
        <v>0</v>
      </c>
      <c r="I579" s="5" t="n">
        <v>0</v>
      </c>
      <c r="J579" s="5" t="n">
        <v>1</v>
      </c>
      <c r="K579" s="5" t="n">
        <v>0</v>
      </c>
      <c r="L579" s="5" t="n">
        <v>0</v>
      </c>
      <c r="M579" s="5" t="n">
        <v>0</v>
      </c>
      <c r="N579" s="5" t="n">
        <v>0</v>
      </c>
      <c r="O579" s="5" t="n">
        <v>1</v>
      </c>
      <c r="P579" s="5" t="n">
        <v>0</v>
      </c>
      <c r="Q579" s="5" t="n">
        <v>0</v>
      </c>
      <c r="R579" s="5" t="n">
        <v>0</v>
      </c>
      <c r="S579" s="5" t="n">
        <v>0</v>
      </c>
      <c r="T579" s="5" t="n">
        <v>0</v>
      </c>
      <c r="U579" s="5" t="inlineStr">
        <is>
          <t>training</t>
        </is>
      </c>
    </row>
    <row r="580">
      <c r="A580" s="5" t="n">
        <v>552</v>
      </c>
      <c r="B580" s="5" t="n">
        <v>0</v>
      </c>
      <c r="C580" s="5" t="n">
        <v>6</v>
      </c>
      <c r="D580" s="5" t="n">
        <v>1750</v>
      </c>
      <c r="E580" s="5" t="n">
        <v>45</v>
      </c>
      <c r="F580" s="5" t="n">
        <v>2</v>
      </c>
      <c r="G580" s="5" t="n">
        <v>0</v>
      </c>
      <c r="H580" s="5" t="n">
        <v>0</v>
      </c>
      <c r="I580" s="5" t="n">
        <v>0</v>
      </c>
      <c r="J580" s="5" t="n">
        <v>0</v>
      </c>
      <c r="K580" s="5" t="n">
        <v>0</v>
      </c>
      <c r="L580" s="5" t="n">
        <v>1</v>
      </c>
      <c r="M580" s="5" t="n">
        <v>1</v>
      </c>
      <c r="N580" s="5" t="n">
        <v>0</v>
      </c>
      <c r="O580" s="5" t="n">
        <v>0</v>
      </c>
      <c r="P580" s="5" t="n">
        <v>0</v>
      </c>
      <c r="Q580" s="5" t="n">
        <v>0</v>
      </c>
      <c r="R580" s="5" t="n">
        <v>0</v>
      </c>
      <c r="S580" s="5" t="n">
        <v>1</v>
      </c>
      <c r="T580" s="5" t="n">
        <v>0</v>
      </c>
      <c r="U580" s="5" t="inlineStr">
        <is>
          <t>training</t>
        </is>
      </c>
    </row>
    <row r="581">
      <c r="A581" s="5" t="n">
        <v>553</v>
      </c>
      <c r="B581" s="5" t="n">
        <v>1</v>
      </c>
      <c r="C581" s="5" t="n">
        <v>48</v>
      </c>
      <c r="D581" s="5" t="n">
        <v>6999</v>
      </c>
      <c r="E581" s="5" t="n">
        <v>34</v>
      </c>
      <c r="F581" s="5" t="n">
        <v>1</v>
      </c>
      <c r="G581" s="5" t="n">
        <v>1</v>
      </c>
      <c r="H581" s="5" t="n">
        <v>0</v>
      </c>
      <c r="I581" s="5" t="n">
        <v>0</v>
      </c>
      <c r="J581" s="5" t="n">
        <v>0</v>
      </c>
      <c r="K581" s="5" t="n">
        <v>0</v>
      </c>
      <c r="L581" s="5" t="n">
        <v>0</v>
      </c>
      <c r="M581" s="5" t="n">
        <v>0</v>
      </c>
      <c r="N581" s="5" t="n">
        <v>0</v>
      </c>
      <c r="O581" s="5" t="n">
        <v>0</v>
      </c>
      <c r="P581" s="5" t="n">
        <v>0</v>
      </c>
      <c r="Q581" s="5" t="n">
        <v>0</v>
      </c>
      <c r="R581" s="5" t="n">
        <v>0</v>
      </c>
      <c r="S581" s="5" t="n">
        <v>1</v>
      </c>
      <c r="T581" s="5" t="n">
        <v>0</v>
      </c>
      <c r="U581" s="5" t="inlineStr">
        <is>
          <t>training</t>
        </is>
      </c>
    </row>
    <row r="582">
      <c r="A582" s="5" t="n">
        <v>554</v>
      </c>
      <c r="B582" s="5" t="n">
        <v>0</v>
      </c>
      <c r="C582" s="5" t="n">
        <v>12</v>
      </c>
      <c r="D582" s="5" t="n">
        <v>1995</v>
      </c>
      <c r="E582" s="5" t="n">
        <v>27</v>
      </c>
      <c r="F582" s="5" t="n">
        <v>4</v>
      </c>
      <c r="G582" s="5" t="n">
        <v>0</v>
      </c>
      <c r="H582" s="5" t="n">
        <v>1</v>
      </c>
      <c r="I582" s="5" t="n">
        <v>0</v>
      </c>
      <c r="J582" s="5" t="n">
        <v>1</v>
      </c>
      <c r="K582" s="5" t="n">
        <v>0</v>
      </c>
      <c r="L582" s="5" t="n">
        <v>0</v>
      </c>
      <c r="M582" s="5" t="n">
        <v>1</v>
      </c>
      <c r="N582" s="5" t="n">
        <v>0</v>
      </c>
      <c r="O582" s="5" t="n">
        <v>0</v>
      </c>
      <c r="P582" s="5" t="n">
        <v>0</v>
      </c>
      <c r="Q582" s="5" t="n">
        <v>0</v>
      </c>
      <c r="R582" s="5" t="n">
        <v>1</v>
      </c>
      <c r="S582" s="5" t="n">
        <v>0</v>
      </c>
      <c r="T582" s="5" t="n">
        <v>0</v>
      </c>
      <c r="U582" s="5" t="inlineStr">
        <is>
          <t>training</t>
        </is>
      </c>
    </row>
    <row r="583">
      <c r="A583" s="5" t="n">
        <v>555</v>
      </c>
      <c r="B583" s="5" t="n">
        <v>0</v>
      </c>
      <c r="C583" s="5" t="n">
        <v>9</v>
      </c>
      <c r="D583" s="5" t="n">
        <v>1199</v>
      </c>
      <c r="E583" s="5" t="n">
        <v>67</v>
      </c>
      <c r="F583" s="5" t="n">
        <v>4</v>
      </c>
      <c r="G583" s="5" t="n">
        <v>0</v>
      </c>
      <c r="H583" s="5" t="n">
        <v>1</v>
      </c>
      <c r="I583" s="5" t="n">
        <v>0</v>
      </c>
      <c r="J583" s="5" t="n">
        <v>0</v>
      </c>
      <c r="K583" s="5" t="n">
        <v>0</v>
      </c>
      <c r="L583" s="5" t="n">
        <v>0</v>
      </c>
      <c r="M583" s="5" t="n">
        <v>0</v>
      </c>
      <c r="N583" s="5" t="n">
        <v>0</v>
      </c>
      <c r="O583" s="5" t="n">
        <v>0</v>
      </c>
      <c r="P583" s="5" t="n">
        <v>0</v>
      </c>
      <c r="Q583" s="5" t="n">
        <v>0</v>
      </c>
      <c r="R583" s="5" t="n">
        <v>0</v>
      </c>
      <c r="S583" s="5" t="n">
        <v>0</v>
      </c>
      <c r="T583" s="5" t="n">
        <v>0</v>
      </c>
      <c r="U583" s="5" t="inlineStr">
        <is>
          <t>testing</t>
        </is>
      </c>
    </row>
    <row r="584">
      <c r="A584" s="5" t="n">
        <v>556</v>
      </c>
      <c r="B584" s="5" t="n">
        <v>1</v>
      </c>
      <c r="C584" s="5" t="n">
        <v>12</v>
      </c>
      <c r="D584" s="5" t="n">
        <v>1331</v>
      </c>
      <c r="E584" s="5" t="n">
        <v>22</v>
      </c>
      <c r="F584" s="5" t="n">
        <v>2</v>
      </c>
      <c r="G584" s="5" t="n">
        <v>0</v>
      </c>
      <c r="H584" s="5" t="n">
        <v>1</v>
      </c>
      <c r="I584" s="5" t="n">
        <v>0</v>
      </c>
      <c r="J584" s="5" t="n">
        <v>0</v>
      </c>
      <c r="K584" s="5" t="n">
        <v>0</v>
      </c>
      <c r="L584" s="5" t="n">
        <v>0</v>
      </c>
      <c r="M584" s="5" t="n">
        <v>0</v>
      </c>
      <c r="N584" s="5" t="n">
        <v>0</v>
      </c>
      <c r="O584" s="5" t="n">
        <v>0</v>
      </c>
      <c r="P584" s="5" t="n">
        <v>0</v>
      </c>
      <c r="Q584" s="5" t="n">
        <v>0</v>
      </c>
      <c r="R584" s="5" t="n">
        <v>0</v>
      </c>
      <c r="S584" s="5" t="n">
        <v>1</v>
      </c>
      <c r="T584" s="5" t="n">
        <v>0</v>
      </c>
      <c r="U584" s="5" t="inlineStr">
        <is>
          <t>testing</t>
        </is>
      </c>
    </row>
    <row r="585">
      <c r="A585" s="5" t="n">
        <v>557</v>
      </c>
      <c r="B585" s="5" t="n">
        <v>1</v>
      </c>
      <c r="C585" s="5" t="n">
        <v>18</v>
      </c>
      <c r="D585" s="5" t="n">
        <v>2278</v>
      </c>
      <c r="E585" s="5" t="n">
        <v>28</v>
      </c>
      <c r="F585" s="5" t="n">
        <v>3</v>
      </c>
      <c r="G585" s="5" t="n">
        <v>0</v>
      </c>
      <c r="H585" s="5" t="n">
        <v>1</v>
      </c>
      <c r="I585" s="5" t="n">
        <v>0</v>
      </c>
      <c r="J585" s="5" t="n">
        <v>0</v>
      </c>
      <c r="K585" s="5" t="n">
        <v>0</v>
      </c>
      <c r="L585" s="5" t="n">
        <v>1</v>
      </c>
      <c r="M585" s="5" t="n">
        <v>1</v>
      </c>
      <c r="N585" s="5" t="n">
        <v>0</v>
      </c>
      <c r="O585" s="5" t="n">
        <v>0</v>
      </c>
      <c r="P585" s="5" t="n">
        <v>0</v>
      </c>
      <c r="Q585" s="5" t="n">
        <v>0</v>
      </c>
      <c r="R585" s="5" t="n">
        <v>1</v>
      </c>
      <c r="S585" s="5" t="n">
        <v>0</v>
      </c>
      <c r="T585" s="5" t="n">
        <v>0</v>
      </c>
      <c r="U585" s="5" t="inlineStr">
        <is>
          <t>training</t>
        </is>
      </c>
    </row>
    <row r="586">
      <c r="A586" s="5" t="n">
        <v>558</v>
      </c>
      <c r="B586" s="5" t="n">
        <v>1</v>
      </c>
      <c r="C586" s="5" t="n">
        <v>21</v>
      </c>
      <c r="D586" s="5" t="n">
        <v>5003</v>
      </c>
      <c r="E586" s="5" t="n">
        <v>29</v>
      </c>
      <c r="F586" s="5" t="n">
        <v>1</v>
      </c>
      <c r="G586" s="5" t="n">
        <v>0</v>
      </c>
      <c r="H586" s="5" t="n">
        <v>0</v>
      </c>
      <c r="I586" s="5" t="n">
        <v>0</v>
      </c>
      <c r="J586" s="5" t="n">
        <v>0</v>
      </c>
      <c r="K586" s="5" t="n">
        <v>0</v>
      </c>
      <c r="L586" s="5" t="n">
        <v>1</v>
      </c>
      <c r="M586" s="5" t="n">
        <v>0</v>
      </c>
      <c r="N586" s="5" t="n">
        <v>0</v>
      </c>
      <c r="O586" s="5" t="n">
        <v>1</v>
      </c>
      <c r="P586" s="5" t="n">
        <v>0</v>
      </c>
      <c r="Q586" s="5" t="n">
        <v>0</v>
      </c>
      <c r="R586" s="5" t="n">
        <v>1</v>
      </c>
      <c r="S586" s="5" t="n">
        <v>0</v>
      </c>
      <c r="T586" s="5" t="n">
        <v>0</v>
      </c>
      <c r="U586" s="5" t="inlineStr">
        <is>
          <t>testing</t>
        </is>
      </c>
    </row>
    <row r="587">
      <c r="A587" s="5" t="n">
        <v>559</v>
      </c>
      <c r="B587" s="5" t="n">
        <v>1</v>
      </c>
      <c r="C587" s="5" t="n">
        <v>24</v>
      </c>
      <c r="D587" s="5" t="n">
        <v>3552</v>
      </c>
      <c r="E587" s="5" t="n">
        <v>27</v>
      </c>
      <c r="F587" s="5" t="n">
        <v>3</v>
      </c>
      <c r="G587" s="5" t="n">
        <v>1</v>
      </c>
      <c r="H587" s="5" t="n">
        <v>0</v>
      </c>
      <c r="I587" s="5" t="n">
        <v>0</v>
      </c>
      <c r="J587" s="5" t="n">
        <v>0</v>
      </c>
      <c r="K587" s="5" t="n">
        <v>0</v>
      </c>
      <c r="L587" s="5" t="n">
        <v>1</v>
      </c>
      <c r="M587" s="5" t="n">
        <v>0</v>
      </c>
      <c r="N587" s="5" t="n">
        <v>0</v>
      </c>
      <c r="O587" s="5" t="n">
        <v>0</v>
      </c>
      <c r="P587" s="5" t="n">
        <v>0</v>
      </c>
      <c r="Q587" s="5" t="n">
        <v>0</v>
      </c>
      <c r="R587" s="5" t="n">
        <v>0</v>
      </c>
      <c r="S587" s="5" t="n">
        <v>0</v>
      </c>
      <c r="T587" s="5" t="n">
        <v>1</v>
      </c>
      <c r="U587" s="5" t="inlineStr">
        <is>
          <t>training</t>
        </is>
      </c>
    </row>
    <row r="588">
      <c r="A588" s="5" t="n">
        <v>560</v>
      </c>
      <c r="B588" s="5" t="n">
        <v>1</v>
      </c>
      <c r="C588" s="5" t="n">
        <v>18</v>
      </c>
      <c r="D588" s="5" t="n">
        <v>1928</v>
      </c>
      <c r="E588" s="5" t="n">
        <v>31</v>
      </c>
      <c r="F588" s="5" t="n">
        <v>2</v>
      </c>
      <c r="G588" s="5" t="n">
        <v>0</v>
      </c>
      <c r="H588" s="5" t="n">
        <v>1</v>
      </c>
      <c r="I588" s="5" t="n">
        <v>0</v>
      </c>
      <c r="J588" s="5" t="n">
        <v>1</v>
      </c>
      <c r="K588" s="5" t="n">
        <v>0</v>
      </c>
      <c r="L588" s="5" t="n">
        <v>0</v>
      </c>
      <c r="M588" s="5" t="n">
        <v>0</v>
      </c>
      <c r="N588" s="5" t="n">
        <v>0</v>
      </c>
      <c r="O588" s="5" t="n">
        <v>0</v>
      </c>
      <c r="P588" s="5" t="n">
        <v>0</v>
      </c>
      <c r="Q588" s="5" t="n">
        <v>0</v>
      </c>
      <c r="R588" s="5" t="n">
        <v>0</v>
      </c>
      <c r="S588" s="5" t="n">
        <v>0</v>
      </c>
      <c r="T588" s="5" t="n">
        <v>1</v>
      </c>
      <c r="U588" s="5" t="inlineStr">
        <is>
          <t>training</t>
        </is>
      </c>
    </row>
    <row r="589">
      <c r="A589" s="5" t="n">
        <v>561</v>
      </c>
      <c r="B589" s="5" t="n">
        <v>0</v>
      </c>
      <c r="C589" s="5" t="n">
        <v>24</v>
      </c>
      <c r="D589" s="5" t="n">
        <v>2964</v>
      </c>
      <c r="E589" s="5" t="n">
        <v>49</v>
      </c>
      <c r="F589" s="5" t="n">
        <v>4</v>
      </c>
      <c r="G589" s="5" t="n">
        <v>1</v>
      </c>
      <c r="H589" s="5" t="n">
        <v>0</v>
      </c>
      <c r="I589" s="5" t="n">
        <v>0</v>
      </c>
      <c r="J589" s="5" t="n">
        <v>0</v>
      </c>
      <c r="K589" s="5" t="n">
        <v>0</v>
      </c>
      <c r="L589" s="5" t="n">
        <v>0</v>
      </c>
      <c r="M589" s="5" t="n">
        <v>0</v>
      </c>
      <c r="N589" s="5" t="n">
        <v>0</v>
      </c>
      <c r="O589" s="5" t="n">
        <v>1</v>
      </c>
      <c r="P589" s="5" t="n">
        <v>0</v>
      </c>
      <c r="Q589" s="5" t="n">
        <v>1</v>
      </c>
      <c r="R589" s="5" t="n">
        <v>1</v>
      </c>
      <c r="S589" s="5" t="n">
        <v>0</v>
      </c>
      <c r="T589" s="5" t="n">
        <v>0</v>
      </c>
      <c r="U589" s="5" t="inlineStr">
        <is>
          <t>training</t>
        </is>
      </c>
    </row>
    <row r="590">
      <c r="A590" s="5" t="n">
        <v>562</v>
      </c>
      <c r="B590" s="5" t="n">
        <v>1</v>
      </c>
      <c r="C590" s="5" t="n">
        <v>24</v>
      </c>
      <c r="D590" s="5" t="n">
        <v>1546</v>
      </c>
      <c r="E590" s="5" t="n">
        <v>24</v>
      </c>
      <c r="F590" s="5" t="n">
        <v>4</v>
      </c>
      <c r="G590" s="5" t="n">
        <v>1</v>
      </c>
      <c r="H590" s="5" t="n">
        <v>0</v>
      </c>
      <c r="I590" s="5" t="n">
        <v>0</v>
      </c>
      <c r="J590" s="5" t="n">
        <v>0</v>
      </c>
      <c r="K590" s="5" t="n">
        <v>0</v>
      </c>
      <c r="L590" s="5" t="n">
        <v>1</v>
      </c>
      <c r="M590" s="5" t="n">
        <v>0</v>
      </c>
      <c r="N590" s="5" t="n">
        <v>0</v>
      </c>
      <c r="O590" s="5" t="n">
        <v>0</v>
      </c>
      <c r="P590" s="5" t="n">
        <v>1</v>
      </c>
      <c r="Q590" s="5" t="n">
        <v>0</v>
      </c>
      <c r="R590" s="5" t="n">
        <v>0</v>
      </c>
      <c r="S590" s="5" t="n">
        <v>1</v>
      </c>
      <c r="T590" s="5" t="n">
        <v>0</v>
      </c>
      <c r="U590" s="5" t="inlineStr">
        <is>
          <t>testing</t>
        </is>
      </c>
    </row>
    <row r="591">
      <c r="A591" s="5" t="n">
        <v>563</v>
      </c>
      <c r="B591" s="5" t="n">
        <v>0</v>
      </c>
      <c r="C591" s="5" t="n">
        <v>6</v>
      </c>
      <c r="D591" s="5" t="n">
        <v>683</v>
      </c>
      <c r="E591" s="5" t="n">
        <v>29</v>
      </c>
      <c r="F591" s="5" t="n">
        <v>2</v>
      </c>
      <c r="G591" s="5" t="n">
        <v>0</v>
      </c>
      <c r="H591" s="5" t="n">
        <v>0</v>
      </c>
      <c r="I591" s="5" t="n">
        <v>1</v>
      </c>
      <c r="J591" s="5" t="n">
        <v>0</v>
      </c>
      <c r="K591" s="5" t="n">
        <v>1</v>
      </c>
      <c r="L591" s="5" t="n">
        <v>0</v>
      </c>
      <c r="M591" s="5" t="n">
        <v>0</v>
      </c>
      <c r="N591" s="5" t="n">
        <v>0</v>
      </c>
      <c r="O591" s="5" t="n">
        <v>0</v>
      </c>
      <c r="P591" s="5" t="n">
        <v>0</v>
      </c>
      <c r="Q591" s="5" t="n">
        <v>0</v>
      </c>
      <c r="R591" s="5" t="n">
        <v>0</v>
      </c>
      <c r="S591" s="5" t="n">
        <v>1</v>
      </c>
      <c r="T591" s="5" t="n">
        <v>0</v>
      </c>
      <c r="U591" s="5" t="inlineStr">
        <is>
          <t>testing</t>
        </is>
      </c>
    </row>
    <row r="592">
      <c r="A592" s="5" t="n">
        <v>564</v>
      </c>
      <c r="B592" s="5" t="n">
        <v>1</v>
      </c>
      <c r="C592" s="5" t="n">
        <v>36</v>
      </c>
      <c r="D592" s="5" t="n">
        <v>12389</v>
      </c>
      <c r="E592" s="5" t="n">
        <v>37</v>
      </c>
      <c r="F592" s="5" t="n">
        <v>1</v>
      </c>
      <c r="G592" s="5" t="n">
        <v>0</v>
      </c>
      <c r="H592" s="5" t="n">
        <v>1</v>
      </c>
      <c r="I592" s="5" t="n">
        <v>0</v>
      </c>
      <c r="J592" s="5" t="n">
        <v>0</v>
      </c>
      <c r="K592" s="5" t="n">
        <v>0</v>
      </c>
      <c r="L592" s="5" t="n">
        <v>0</v>
      </c>
      <c r="M592" s="5" t="n">
        <v>0</v>
      </c>
      <c r="N592" s="5" t="n">
        <v>0</v>
      </c>
      <c r="O592" s="5" t="n">
        <v>1</v>
      </c>
      <c r="P592" s="5" t="n">
        <v>0</v>
      </c>
      <c r="Q592" s="5" t="n">
        <v>1</v>
      </c>
      <c r="R592" s="5" t="n">
        <v>1</v>
      </c>
      <c r="S592" s="5" t="n">
        <v>0</v>
      </c>
      <c r="T592" s="5" t="n">
        <v>0</v>
      </c>
      <c r="U592" s="5" t="inlineStr">
        <is>
          <t>testing</t>
        </is>
      </c>
    </row>
    <row r="593">
      <c r="A593" s="5" t="n">
        <v>565</v>
      </c>
      <c r="B593" s="5" t="n">
        <v>0</v>
      </c>
      <c r="C593" s="5" t="n">
        <v>24</v>
      </c>
      <c r="D593" s="5" t="n">
        <v>4712</v>
      </c>
      <c r="E593" s="5" t="n">
        <v>37</v>
      </c>
      <c r="F593" s="5" t="n">
        <v>4</v>
      </c>
      <c r="G593" s="5" t="n">
        <v>0</v>
      </c>
      <c r="H593" s="5" t="n">
        <v>1</v>
      </c>
      <c r="I593" s="5" t="n">
        <v>0</v>
      </c>
      <c r="J593" s="5" t="n">
        <v>0</v>
      </c>
      <c r="K593" s="5" t="n">
        <v>1</v>
      </c>
      <c r="L593" s="5" t="n">
        <v>0</v>
      </c>
      <c r="M593" s="5" t="n">
        <v>0</v>
      </c>
      <c r="N593" s="5" t="n">
        <v>0</v>
      </c>
      <c r="O593" s="5" t="n">
        <v>1</v>
      </c>
      <c r="P593" s="5" t="n">
        <v>0</v>
      </c>
      <c r="Q593" s="5" t="n">
        <v>0</v>
      </c>
      <c r="R593" s="5" t="n">
        <v>0</v>
      </c>
      <c r="S593" s="5" t="n">
        <v>0</v>
      </c>
      <c r="T593" s="5" t="n">
        <v>0</v>
      </c>
      <c r="U593" s="5" t="inlineStr">
        <is>
          <t>training</t>
        </is>
      </c>
    </row>
    <row r="594">
      <c r="A594" s="5" t="n">
        <v>566</v>
      </c>
      <c r="B594" s="5" t="n">
        <v>0</v>
      </c>
      <c r="C594" s="5" t="n">
        <v>24</v>
      </c>
      <c r="D594" s="5" t="n">
        <v>1553</v>
      </c>
      <c r="E594" s="5" t="n">
        <v>23</v>
      </c>
      <c r="F594" s="5" t="n">
        <v>3</v>
      </c>
      <c r="G594" s="5" t="n">
        <v>0</v>
      </c>
      <c r="H594" s="5" t="n">
        <v>1</v>
      </c>
      <c r="I594" s="5" t="n">
        <v>0</v>
      </c>
      <c r="J594" s="5" t="n">
        <v>0</v>
      </c>
      <c r="K594" s="5" t="n">
        <v>1</v>
      </c>
      <c r="L594" s="5" t="n">
        <v>0</v>
      </c>
      <c r="M594" s="5" t="n">
        <v>1</v>
      </c>
      <c r="N594" s="5" t="n">
        <v>0</v>
      </c>
      <c r="O594" s="5" t="n">
        <v>0</v>
      </c>
      <c r="P594" s="5" t="n">
        <v>1</v>
      </c>
      <c r="Q594" s="5" t="n">
        <v>0</v>
      </c>
      <c r="R594" s="5" t="n">
        <v>0</v>
      </c>
      <c r="S594" s="5" t="n">
        <v>1</v>
      </c>
      <c r="T594" s="5" t="n">
        <v>0</v>
      </c>
      <c r="U594" s="5" t="inlineStr">
        <is>
          <t>training</t>
        </is>
      </c>
    </row>
    <row r="595">
      <c r="A595" s="5" t="n">
        <v>567</v>
      </c>
      <c r="B595" s="5" t="n">
        <v>1</v>
      </c>
      <c r="C595" s="5" t="n">
        <v>12</v>
      </c>
      <c r="D595" s="5" t="n">
        <v>1372</v>
      </c>
      <c r="E595" s="5" t="n">
        <v>36</v>
      </c>
      <c r="F595" s="5" t="n">
        <v>2</v>
      </c>
      <c r="G595" s="5" t="n">
        <v>1</v>
      </c>
      <c r="H595" s="5" t="n">
        <v>0</v>
      </c>
      <c r="I595" s="5" t="n">
        <v>0</v>
      </c>
      <c r="J595" s="5" t="n">
        <v>0</v>
      </c>
      <c r="K595" s="5" t="n">
        <v>0</v>
      </c>
      <c r="L595" s="5" t="n">
        <v>0</v>
      </c>
      <c r="M595" s="5" t="n">
        <v>0</v>
      </c>
      <c r="N595" s="5" t="n">
        <v>0</v>
      </c>
      <c r="O595" s="5" t="n">
        <v>0</v>
      </c>
      <c r="P595" s="5" t="n">
        <v>0</v>
      </c>
      <c r="Q595" s="5" t="n">
        <v>0</v>
      </c>
      <c r="R595" s="5" t="n">
        <v>1</v>
      </c>
      <c r="S595" s="5" t="n">
        <v>0</v>
      </c>
      <c r="T595" s="5" t="n">
        <v>0</v>
      </c>
      <c r="U595" s="5" t="inlineStr">
        <is>
          <t>testing</t>
        </is>
      </c>
    </row>
    <row r="596">
      <c r="A596" s="5" t="n">
        <v>568</v>
      </c>
      <c r="B596" s="5" t="n">
        <v>0</v>
      </c>
      <c r="C596" s="5" t="n">
        <v>24</v>
      </c>
      <c r="D596" s="5" t="n">
        <v>2578</v>
      </c>
      <c r="E596" s="5" t="n">
        <v>34</v>
      </c>
      <c r="F596" s="5" t="n">
        <v>2</v>
      </c>
      <c r="G596" s="5" t="n">
        <v>0</v>
      </c>
      <c r="H596" s="5" t="n">
        <v>0</v>
      </c>
      <c r="I596" s="5" t="n">
        <v>0</v>
      </c>
      <c r="J596" s="5" t="n">
        <v>1</v>
      </c>
      <c r="K596" s="5" t="n">
        <v>0</v>
      </c>
      <c r="L596" s="5" t="n">
        <v>0</v>
      </c>
      <c r="M596" s="5" t="n">
        <v>0</v>
      </c>
      <c r="N596" s="5" t="n">
        <v>1</v>
      </c>
      <c r="O596" s="5" t="n">
        <v>0</v>
      </c>
      <c r="P596" s="5" t="n">
        <v>0</v>
      </c>
      <c r="Q596" s="5" t="n">
        <v>0</v>
      </c>
      <c r="R596" s="5" t="n">
        <v>0</v>
      </c>
      <c r="S596" s="5" t="n">
        <v>1</v>
      </c>
      <c r="T596" s="5" t="n">
        <v>0</v>
      </c>
      <c r="U596" s="5" t="inlineStr">
        <is>
          <t>testing</t>
        </is>
      </c>
    </row>
    <row r="597">
      <c r="A597" s="5" t="n">
        <v>569</v>
      </c>
      <c r="B597" s="5" t="n">
        <v>0</v>
      </c>
      <c r="C597" s="5" t="n">
        <v>48</v>
      </c>
      <c r="D597" s="5" t="n">
        <v>3979</v>
      </c>
      <c r="E597" s="5" t="n">
        <v>41</v>
      </c>
      <c r="F597" s="5" t="n">
        <v>4</v>
      </c>
      <c r="G597" s="5" t="n">
        <v>0</v>
      </c>
      <c r="H597" s="5" t="n">
        <v>1</v>
      </c>
      <c r="I597" s="5" t="n">
        <v>0</v>
      </c>
      <c r="J597" s="5" t="n">
        <v>0</v>
      </c>
      <c r="K597" s="5" t="n">
        <v>0</v>
      </c>
      <c r="L597" s="5" t="n">
        <v>0</v>
      </c>
      <c r="M597" s="5" t="n">
        <v>0</v>
      </c>
      <c r="N597" s="5" t="n">
        <v>0</v>
      </c>
      <c r="O597" s="5" t="n">
        <v>1</v>
      </c>
      <c r="P597" s="5" t="n">
        <v>0</v>
      </c>
      <c r="Q597" s="5" t="n">
        <v>0</v>
      </c>
      <c r="R597" s="5" t="n">
        <v>0</v>
      </c>
      <c r="S597" s="5" t="n">
        <v>1</v>
      </c>
      <c r="T597" s="5" t="n">
        <v>0</v>
      </c>
      <c r="U597" s="5" t="inlineStr">
        <is>
          <t>training</t>
        </is>
      </c>
    </row>
    <row r="598">
      <c r="A598" s="5" t="n">
        <v>570</v>
      </c>
      <c r="B598" s="5" t="n">
        <v>1</v>
      </c>
      <c r="C598" s="5" t="n">
        <v>48</v>
      </c>
      <c r="D598" s="5" t="n">
        <v>6758</v>
      </c>
      <c r="E598" s="5" t="n">
        <v>31</v>
      </c>
      <c r="F598" s="5" t="n">
        <v>3</v>
      </c>
      <c r="G598" s="5" t="n">
        <v>1</v>
      </c>
      <c r="H598" s="5" t="n">
        <v>0</v>
      </c>
      <c r="I598" s="5" t="n">
        <v>0</v>
      </c>
      <c r="J598" s="5" t="n">
        <v>0</v>
      </c>
      <c r="K598" s="5" t="n">
        <v>0</v>
      </c>
      <c r="L598" s="5" t="n">
        <v>0</v>
      </c>
      <c r="M598" s="5" t="n">
        <v>0</v>
      </c>
      <c r="N598" s="5" t="n">
        <v>0</v>
      </c>
      <c r="O598" s="5" t="n">
        <v>0</v>
      </c>
      <c r="P598" s="5" t="n">
        <v>0</v>
      </c>
      <c r="Q598" s="5" t="n">
        <v>0</v>
      </c>
      <c r="R598" s="5" t="n">
        <v>0</v>
      </c>
      <c r="S598" s="5" t="n">
        <v>1</v>
      </c>
      <c r="T598" s="5" t="n">
        <v>0</v>
      </c>
      <c r="U598" s="5" t="inlineStr">
        <is>
          <t>training</t>
        </is>
      </c>
    </row>
    <row r="599">
      <c r="A599" s="5" t="n">
        <v>571</v>
      </c>
      <c r="B599" s="5" t="n">
        <v>1</v>
      </c>
      <c r="C599" s="5" t="n">
        <v>24</v>
      </c>
      <c r="D599" s="5" t="n">
        <v>3234</v>
      </c>
      <c r="E599" s="5" t="n">
        <v>23</v>
      </c>
      <c r="F599" s="5" t="n">
        <v>4</v>
      </c>
      <c r="G599" s="5" t="n">
        <v>1</v>
      </c>
      <c r="H599" s="5" t="n">
        <v>0</v>
      </c>
      <c r="I599" s="5" t="n">
        <v>0</v>
      </c>
      <c r="J599" s="5" t="n">
        <v>0</v>
      </c>
      <c r="K599" s="5" t="n">
        <v>0</v>
      </c>
      <c r="L599" s="5" t="n">
        <v>0</v>
      </c>
      <c r="M599" s="5" t="n">
        <v>0</v>
      </c>
      <c r="N599" s="5" t="n">
        <v>0</v>
      </c>
      <c r="O599" s="5" t="n">
        <v>0</v>
      </c>
      <c r="P599" s="5" t="n">
        <v>1</v>
      </c>
      <c r="Q599" s="5" t="n">
        <v>0</v>
      </c>
      <c r="R599" s="5" t="n">
        <v>0</v>
      </c>
      <c r="S599" s="5" t="n">
        <v>0</v>
      </c>
      <c r="T599" s="5" t="n">
        <v>1</v>
      </c>
      <c r="U599" s="5" t="inlineStr">
        <is>
          <t>testing</t>
        </is>
      </c>
    </row>
    <row r="600">
      <c r="A600" s="5" t="n">
        <v>572</v>
      </c>
      <c r="B600" s="5" t="n">
        <v>0</v>
      </c>
      <c r="C600" s="5" t="n">
        <v>30</v>
      </c>
      <c r="D600" s="5" t="n">
        <v>5954</v>
      </c>
      <c r="E600" s="5" t="n">
        <v>38</v>
      </c>
      <c r="F600" s="5" t="n">
        <v>3</v>
      </c>
      <c r="G600" s="5" t="n">
        <v>0</v>
      </c>
      <c r="H600" s="5" t="n">
        <v>0</v>
      </c>
      <c r="I600" s="5" t="n">
        <v>0</v>
      </c>
      <c r="J600" s="5" t="n">
        <v>1</v>
      </c>
      <c r="K600" s="5" t="n">
        <v>0</v>
      </c>
      <c r="L600" s="5" t="n">
        <v>0</v>
      </c>
      <c r="M600" s="5" t="n">
        <v>0</v>
      </c>
      <c r="N600" s="5" t="n">
        <v>0</v>
      </c>
      <c r="O600" s="5" t="n">
        <v>0</v>
      </c>
      <c r="P600" s="5" t="n">
        <v>0</v>
      </c>
      <c r="Q600" s="5" t="n">
        <v>0</v>
      </c>
      <c r="R600" s="5" t="n">
        <v>0</v>
      </c>
      <c r="S600" s="5" t="n">
        <v>1</v>
      </c>
      <c r="T600" s="5" t="n">
        <v>0</v>
      </c>
      <c r="U600" s="5" t="inlineStr">
        <is>
          <t>training</t>
        </is>
      </c>
    </row>
    <row r="601">
      <c r="A601" s="5" t="n">
        <v>573</v>
      </c>
      <c r="B601" s="5" t="n">
        <v>0</v>
      </c>
      <c r="C601" s="5" t="n">
        <v>24</v>
      </c>
      <c r="D601" s="5" t="n">
        <v>5433</v>
      </c>
      <c r="E601" s="5" t="n">
        <v>26</v>
      </c>
      <c r="F601" s="5" t="n">
        <v>2</v>
      </c>
      <c r="G601" s="5" t="n">
        <v>0</v>
      </c>
      <c r="H601" s="5" t="n">
        <v>0</v>
      </c>
      <c r="I601" s="5" t="n">
        <v>0</v>
      </c>
      <c r="J601" s="5" t="n">
        <v>0</v>
      </c>
      <c r="K601" s="5" t="n">
        <v>0</v>
      </c>
      <c r="L601" s="5" t="n">
        <v>0</v>
      </c>
      <c r="M601" s="5" t="n">
        <v>0</v>
      </c>
      <c r="N601" s="5" t="n">
        <v>0</v>
      </c>
      <c r="O601" s="5" t="n">
        <v>1</v>
      </c>
      <c r="P601" s="5" t="n">
        <v>1</v>
      </c>
      <c r="Q601" s="5" t="n">
        <v>0</v>
      </c>
      <c r="R601" s="5" t="n">
        <v>1</v>
      </c>
      <c r="S601" s="5" t="n">
        <v>0</v>
      </c>
      <c r="T601" s="5" t="n">
        <v>0</v>
      </c>
      <c r="U601" s="5" t="inlineStr">
        <is>
          <t>testing</t>
        </is>
      </c>
    </row>
    <row r="602">
      <c r="A602" s="5" t="n">
        <v>574</v>
      </c>
      <c r="B602" s="5" t="n">
        <v>0</v>
      </c>
      <c r="C602" s="5" t="n">
        <v>15</v>
      </c>
      <c r="D602" s="5" t="n">
        <v>806</v>
      </c>
      <c r="E602" s="5" t="n">
        <v>22</v>
      </c>
      <c r="F602" s="5" t="n">
        <v>4</v>
      </c>
      <c r="G602" s="5" t="n">
        <v>1</v>
      </c>
      <c r="H602" s="5" t="n">
        <v>0</v>
      </c>
      <c r="I602" s="5" t="n">
        <v>0</v>
      </c>
      <c r="J602" s="5" t="n">
        <v>0</v>
      </c>
      <c r="K602" s="5" t="n">
        <v>0</v>
      </c>
      <c r="L602" s="5" t="n">
        <v>0</v>
      </c>
      <c r="M602" s="5" t="n">
        <v>0</v>
      </c>
      <c r="N602" s="5" t="n">
        <v>0</v>
      </c>
      <c r="O602" s="5" t="n">
        <v>0</v>
      </c>
      <c r="P602" s="5" t="n">
        <v>0</v>
      </c>
      <c r="Q602" s="5" t="n">
        <v>0</v>
      </c>
      <c r="R602" s="5" t="n">
        <v>0</v>
      </c>
      <c r="S602" s="5" t="n">
        <v>0</v>
      </c>
      <c r="T602" s="5" t="n">
        <v>0</v>
      </c>
      <c r="U602" s="5" t="inlineStr">
        <is>
          <t>training</t>
        </is>
      </c>
    </row>
    <row r="603">
      <c r="A603" s="5" t="n">
        <v>575</v>
      </c>
      <c r="B603" s="5" t="n">
        <v>0</v>
      </c>
      <c r="C603" s="5" t="n">
        <v>9</v>
      </c>
      <c r="D603" s="5" t="n">
        <v>1082</v>
      </c>
      <c r="E603" s="5" t="n">
        <v>27</v>
      </c>
      <c r="F603" s="5" t="n">
        <v>4</v>
      </c>
      <c r="G603" s="5" t="n">
        <v>0</v>
      </c>
      <c r="H603" s="5" t="n">
        <v>1</v>
      </c>
      <c r="I603" s="5" t="n">
        <v>0</v>
      </c>
      <c r="J603" s="5" t="n">
        <v>0</v>
      </c>
      <c r="K603" s="5" t="n">
        <v>0</v>
      </c>
      <c r="L603" s="5" t="n">
        <v>0</v>
      </c>
      <c r="M603" s="5" t="n">
        <v>0</v>
      </c>
      <c r="N603" s="5" t="n">
        <v>0</v>
      </c>
      <c r="O603" s="5" t="n">
        <v>0</v>
      </c>
      <c r="P603" s="5" t="n">
        <v>0</v>
      </c>
      <c r="Q603" s="5" t="n">
        <v>0</v>
      </c>
      <c r="R603" s="5" t="n">
        <v>0</v>
      </c>
      <c r="S603" s="5" t="n">
        <v>1</v>
      </c>
      <c r="T603" s="5" t="n">
        <v>0</v>
      </c>
      <c r="U603" s="5" t="inlineStr">
        <is>
          <t>training</t>
        </is>
      </c>
    </row>
    <row r="604">
      <c r="A604" s="5" t="n">
        <v>576</v>
      </c>
      <c r="B604" s="5" t="n">
        <v>0</v>
      </c>
      <c r="C604" s="5" t="n">
        <v>15</v>
      </c>
      <c r="D604" s="5" t="n">
        <v>2788</v>
      </c>
      <c r="E604" s="5" t="n">
        <v>24</v>
      </c>
      <c r="F604" s="5" t="n">
        <v>2</v>
      </c>
      <c r="G604" s="5" t="n">
        <v>0</v>
      </c>
      <c r="H604" s="5" t="n">
        <v>0</v>
      </c>
      <c r="I604" s="5" t="n">
        <v>0</v>
      </c>
      <c r="J604" s="5" t="n">
        <v>1</v>
      </c>
      <c r="K604" s="5" t="n">
        <v>0</v>
      </c>
      <c r="L604" s="5" t="n">
        <v>0</v>
      </c>
      <c r="M604" s="5" t="n">
        <v>0</v>
      </c>
      <c r="N604" s="5" t="n">
        <v>0</v>
      </c>
      <c r="O604" s="5" t="n">
        <v>0</v>
      </c>
      <c r="P604" s="5" t="n">
        <v>0</v>
      </c>
      <c r="Q604" s="5" t="n">
        <v>0</v>
      </c>
      <c r="R604" s="5" t="n">
        <v>0</v>
      </c>
      <c r="S604" s="5" t="n">
        <v>0</v>
      </c>
      <c r="T604" s="5" t="n">
        <v>1</v>
      </c>
      <c r="U604" s="5" t="inlineStr">
        <is>
          <t>training</t>
        </is>
      </c>
    </row>
    <row r="605">
      <c r="A605" s="5" t="n">
        <v>577</v>
      </c>
      <c r="B605" s="5" t="n">
        <v>0</v>
      </c>
      <c r="C605" s="5" t="n">
        <v>12</v>
      </c>
      <c r="D605" s="5" t="n">
        <v>2930</v>
      </c>
      <c r="E605" s="5" t="n">
        <v>27</v>
      </c>
      <c r="F605" s="5" t="n">
        <v>2</v>
      </c>
      <c r="G605" s="5" t="n">
        <v>0</v>
      </c>
      <c r="H605" s="5" t="n">
        <v>1</v>
      </c>
      <c r="I605" s="5" t="n">
        <v>0</v>
      </c>
      <c r="J605" s="5" t="n">
        <v>0</v>
      </c>
      <c r="K605" s="5" t="n">
        <v>0</v>
      </c>
      <c r="L605" s="5" t="n">
        <v>0</v>
      </c>
      <c r="M605" s="5" t="n">
        <v>0</v>
      </c>
      <c r="N605" s="5" t="n">
        <v>0</v>
      </c>
      <c r="O605" s="5" t="n">
        <v>0</v>
      </c>
      <c r="P605" s="5" t="n">
        <v>0</v>
      </c>
      <c r="Q605" s="5" t="n">
        <v>0</v>
      </c>
      <c r="R605" s="5" t="n">
        <v>0</v>
      </c>
      <c r="S605" s="5" t="n">
        <v>1</v>
      </c>
      <c r="T605" s="5" t="n">
        <v>0</v>
      </c>
      <c r="U605" s="5" t="inlineStr">
        <is>
          <t>training</t>
        </is>
      </c>
    </row>
    <row r="606">
      <c r="A606" s="5" t="n">
        <v>578</v>
      </c>
      <c r="B606" s="5" t="n">
        <v>0</v>
      </c>
      <c r="C606" s="5" t="n">
        <v>24</v>
      </c>
      <c r="D606" s="5" t="n">
        <v>1927</v>
      </c>
      <c r="E606" s="5" t="n">
        <v>33</v>
      </c>
      <c r="F606" s="5" t="n">
        <v>3</v>
      </c>
      <c r="G606" s="5" t="n">
        <v>0</v>
      </c>
      <c r="H606" s="5" t="n">
        <v>0</v>
      </c>
      <c r="I606" s="5" t="n">
        <v>0</v>
      </c>
      <c r="J606" s="5" t="n">
        <v>1</v>
      </c>
      <c r="K606" s="5" t="n">
        <v>0</v>
      </c>
      <c r="L606" s="5" t="n">
        <v>0</v>
      </c>
      <c r="M606" s="5" t="n">
        <v>0</v>
      </c>
      <c r="N606" s="5" t="n">
        <v>0</v>
      </c>
      <c r="O606" s="5" t="n">
        <v>1</v>
      </c>
      <c r="P606" s="5" t="n">
        <v>0</v>
      </c>
      <c r="Q606" s="5" t="n">
        <v>0</v>
      </c>
      <c r="R606" s="5" t="n">
        <v>0</v>
      </c>
      <c r="S606" s="5" t="n">
        <v>0</v>
      </c>
      <c r="T606" s="5" t="n">
        <v>0</v>
      </c>
      <c r="U606" s="5" t="inlineStr">
        <is>
          <t>training</t>
        </is>
      </c>
    </row>
    <row r="607">
      <c r="A607" s="5" t="n">
        <v>579</v>
      </c>
      <c r="B607" s="5" t="n">
        <v>1</v>
      </c>
      <c r="C607" s="5" t="n">
        <v>36</v>
      </c>
      <c r="D607" s="5" t="n">
        <v>2820</v>
      </c>
      <c r="E607" s="5" t="n">
        <v>27</v>
      </c>
      <c r="F607" s="5" t="n">
        <v>4</v>
      </c>
      <c r="G607" s="5" t="n">
        <v>0</v>
      </c>
      <c r="H607" s="5" t="n">
        <v>1</v>
      </c>
      <c r="I607" s="5" t="n">
        <v>0</v>
      </c>
      <c r="J607" s="5" t="n">
        <v>1</v>
      </c>
      <c r="K607" s="5" t="n">
        <v>0</v>
      </c>
      <c r="L607" s="5" t="n">
        <v>0</v>
      </c>
      <c r="M607" s="5" t="n">
        <v>0</v>
      </c>
      <c r="N607" s="5" t="n">
        <v>0</v>
      </c>
      <c r="O607" s="5" t="n">
        <v>0</v>
      </c>
      <c r="P607" s="5" t="n">
        <v>0</v>
      </c>
      <c r="Q607" s="5" t="n">
        <v>0</v>
      </c>
      <c r="R607" s="5" t="n">
        <v>1</v>
      </c>
      <c r="S607" s="5" t="n">
        <v>0</v>
      </c>
      <c r="T607" s="5" t="n">
        <v>0</v>
      </c>
      <c r="U607" s="5" t="inlineStr">
        <is>
          <t>training</t>
        </is>
      </c>
    </row>
    <row r="608">
      <c r="A608" s="5" t="n">
        <v>580</v>
      </c>
      <c r="B608" s="5" t="n">
        <v>0</v>
      </c>
      <c r="C608" s="5" t="n">
        <v>24</v>
      </c>
      <c r="D608" s="5" t="n">
        <v>937</v>
      </c>
      <c r="E608" s="5" t="n">
        <v>27</v>
      </c>
      <c r="F608" s="5" t="n">
        <v>4</v>
      </c>
      <c r="G608" s="5" t="n">
        <v>0</v>
      </c>
      <c r="H608" s="5" t="n">
        <v>0</v>
      </c>
      <c r="I608" s="5" t="n">
        <v>0</v>
      </c>
      <c r="J608" s="5" t="n">
        <v>0</v>
      </c>
      <c r="K608" s="5" t="n">
        <v>0</v>
      </c>
      <c r="L608" s="5" t="n">
        <v>0</v>
      </c>
      <c r="M608" s="5" t="n">
        <v>0</v>
      </c>
      <c r="N608" s="5" t="n">
        <v>0</v>
      </c>
      <c r="O608" s="5" t="n">
        <v>0</v>
      </c>
      <c r="P608" s="5" t="n">
        <v>0</v>
      </c>
      <c r="Q608" s="5" t="n">
        <v>0</v>
      </c>
      <c r="R608" s="5" t="n">
        <v>0</v>
      </c>
      <c r="S608" s="5" t="n">
        <v>0</v>
      </c>
      <c r="T608" s="5" t="n">
        <v>0</v>
      </c>
      <c r="U608" s="5" t="inlineStr">
        <is>
          <t>training</t>
        </is>
      </c>
    </row>
    <row r="609">
      <c r="A609" s="5" t="n">
        <v>581</v>
      </c>
      <c r="B609" s="5" t="n">
        <v>1</v>
      </c>
      <c r="C609" s="5" t="n">
        <v>18</v>
      </c>
      <c r="D609" s="5" t="n">
        <v>1056</v>
      </c>
      <c r="E609" s="5" t="n">
        <v>30</v>
      </c>
      <c r="F609" s="5" t="n">
        <v>3</v>
      </c>
      <c r="G609" s="5" t="n">
        <v>0</v>
      </c>
      <c r="H609" s="5" t="n">
        <v>1</v>
      </c>
      <c r="I609" s="5" t="n">
        <v>0</v>
      </c>
      <c r="J609" s="5" t="n">
        <v>1</v>
      </c>
      <c r="K609" s="5" t="n">
        <v>0</v>
      </c>
      <c r="L609" s="5" t="n">
        <v>0</v>
      </c>
      <c r="M609" s="5" t="n">
        <v>0</v>
      </c>
      <c r="N609" s="5" t="n">
        <v>0</v>
      </c>
      <c r="O609" s="5" t="n">
        <v>0</v>
      </c>
      <c r="P609" s="5" t="n">
        <v>0</v>
      </c>
      <c r="Q609" s="5" t="n">
        <v>0</v>
      </c>
      <c r="R609" s="5" t="n">
        <v>1</v>
      </c>
      <c r="S609" s="5" t="n">
        <v>0</v>
      </c>
      <c r="T609" s="5" t="n">
        <v>0</v>
      </c>
      <c r="U609" s="5" t="inlineStr">
        <is>
          <t>training</t>
        </is>
      </c>
    </row>
    <row r="610">
      <c r="A610" s="5" t="n">
        <v>582</v>
      </c>
      <c r="B610" s="5" t="n">
        <v>0</v>
      </c>
      <c r="C610" s="5" t="n">
        <v>12</v>
      </c>
      <c r="D610" s="5" t="n">
        <v>3124</v>
      </c>
      <c r="E610" s="5" t="n">
        <v>49</v>
      </c>
      <c r="F610" s="5" t="n">
        <v>1</v>
      </c>
      <c r="G610" s="5" t="n">
        <v>0</v>
      </c>
      <c r="H610" s="5" t="n">
        <v>1</v>
      </c>
      <c r="I610" s="5" t="n">
        <v>0</v>
      </c>
      <c r="J610" s="5" t="n">
        <v>1</v>
      </c>
      <c r="K610" s="5" t="n">
        <v>0</v>
      </c>
      <c r="L610" s="5" t="n">
        <v>0</v>
      </c>
      <c r="M610" s="5" t="n">
        <v>0</v>
      </c>
      <c r="N610" s="5" t="n">
        <v>0</v>
      </c>
      <c r="O610" s="5" t="n">
        <v>0</v>
      </c>
      <c r="P610" s="5" t="n">
        <v>0</v>
      </c>
      <c r="Q610" s="5" t="n">
        <v>0</v>
      </c>
      <c r="R610" s="5" t="n">
        <v>1</v>
      </c>
      <c r="S610" s="5" t="n">
        <v>0</v>
      </c>
      <c r="T610" s="5" t="n">
        <v>0</v>
      </c>
      <c r="U610" s="5" t="inlineStr">
        <is>
          <t>testing</t>
        </is>
      </c>
    </row>
    <row r="611">
      <c r="A611" s="5" t="n">
        <v>583</v>
      </c>
      <c r="B611" s="5" t="n">
        <v>0</v>
      </c>
      <c r="C611" s="5" t="n">
        <v>9</v>
      </c>
      <c r="D611" s="5" t="n">
        <v>1388</v>
      </c>
      <c r="E611" s="5" t="n">
        <v>26</v>
      </c>
      <c r="F611" s="5" t="n">
        <v>4</v>
      </c>
      <c r="G611" s="5" t="n">
        <v>0</v>
      </c>
      <c r="H611" s="5" t="n">
        <v>0</v>
      </c>
      <c r="I611" s="5" t="n">
        <v>0</v>
      </c>
      <c r="J611" s="5" t="n">
        <v>0</v>
      </c>
      <c r="K611" s="5" t="n">
        <v>0</v>
      </c>
      <c r="L611" s="5" t="n">
        <v>0</v>
      </c>
      <c r="M611" s="5" t="n">
        <v>0</v>
      </c>
      <c r="N611" s="5" t="n">
        <v>0</v>
      </c>
      <c r="O611" s="5" t="n">
        <v>0</v>
      </c>
      <c r="P611" s="5" t="n">
        <v>1</v>
      </c>
      <c r="Q611" s="5" t="n">
        <v>0</v>
      </c>
      <c r="R611" s="5" t="n">
        <v>0</v>
      </c>
      <c r="S611" s="5" t="n">
        <v>0</v>
      </c>
      <c r="T611" s="5" t="n">
        <v>1</v>
      </c>
      <c r="U611" s="5" t="inlineStr">
        <is>
          <t>training</t>
        </is>
      </c>
    </row>
    <row r="612">
      <c r="A612" s="5" t="n">
        <v>584</v>
      </c>
      <c r="B612" s="5" t="n">
        <v>1</v>
      </c>
      <c r="C612" s="5" t="n">
        <v>36</v>
      </c>
      <c r="D612" s="5" t="n">
        <v>2384</v>
      </c>
      <c r="E612" s="5" t="n">
        <v>33</v>
      </c>
      <c r="F612" s="5" t="n">
        <v>4</v>
      </c>
      <c r="G612" s="5" t="n">
        <v>0</v>
      </c>
      <c r="H612" s="5" t="n">
        <v>1</v>
      </c>
      <c r="I612" s="5" t="n">
        <v>0</v>
      </c>
      <c r="J612" s="5" t="n">
        <v>0</v>
      </c>
      <c r="K612" s="5" t="n">
        <v>0</v>
      </c>
      <c r="L612" s="5" t="n">
        <v>0</v>
      </c>
      <c r="M612" s="5" t="n">
        <v>0</v>
      </c>
      <c r="N612" s="5" t="n">
        <v>0</v>
      </c>
      <c r="O612" s="5" t="n">
        <v>0</v>
      </c>
      <c r="P612" s="5" t="n">
        <v>1</v>
      </c>
      <c r="Q612" s="5" t="n">
        <v>0</v>
      </c>
      <c r="R612" s="5" t="n">
        <v>0</v>
      </c>
      <c r="S612" s="5" t="n">
        <v>0</v>
      </c>
      <c r="T612" s="5" t="n">
        <v>0</v>
      </c>
      <c r="U612" s="5" t="inlineStr">
        <is>
          <t>testing</t>
        </is>
      </c>
    </row>
    <row r="613">
      <c r="A613" s="5" t="n">
        <v>585</v>
      </c>
      <c r="B613" s="5" t="n">
        <v>0</v>
      </c>
      <c r="C613" s="5" t="n">
        <v>12</v>
      </c>
      <c r="D613" s="5" t="n">
        <v>2133</v>
      </c>
      <c r="E613" s="5" t="n">
        <v>52</v>
      </c>
      <c r="F613" s="5" t="n">
        <v>4</v>
      </c>
      <c r="G613" s="5" t="n">
        <v>0</v>
      </c>
      <c r="H613" s="5" t="n">
        <v>0</v>
      </c>
      <c r="I613" s="5" t="n">
        <v>0</v>
      </c>
      <c r="J613" s="5" t="n">
        <v>0</v>
      </c>
      <c r="K613" s="5" t="n">
        <v>0</v>
      </c>
      <c r="L613" s="5" t="n">
        <v>0</v>
      </c>
      <c r="M613" s="5" t="n">
        <v>0</v>
      </c>
      <c r="N613" s="5" t="n">
        <v>0</v>
      </c>
      <c r="O613" s="5" t="n">
        <v>1</v>
      </c>
      <c r="P613" s="5" t="n">
        <v>0</v>
      </c>
      <c r="Q613" s="5" t="n">
        <v>1</v>
      </c>
      <c r="R613" s="5" t="n">
        <v>1</v>
      </c>
      <c r="S613" s="5" t="n">
        <v>0</v>
      </c>
      <c r="T613" s="5" t="n">
        <v>0</v>
      </c>
      <c r="U613" s="5" t="inlineStr">
        <is>
          <t>training</t>
        </is>
      </c>
    </row>
    <row r="614">
      <c r="A614" s="5" t="n">
        <v>586</v>
      </c>
      <c r="B614" s="5" t="n">
        <v>1</v>
      </c>
      <c r="C614" s="5" t="n">
        <v>18</v>
      </c>
      <c r="D614" s="5" t="n">
        <v>2039</v>
      </c>
      <c r="E614" s="5" t="n">
        <v>20</v>
      </c>
      <c r="F614" s="5" t="n">
        <v>1</v>
      </c>
      <c r="G614" s="5" t="n">
        <v>1</v>
      </c>
      <c r="H614" s="5" t="n">
        <v>0</v>
      </c>
      <c r="I614" s="5" t="n">
        <v>0</v>
      </c>
      <c r="J614" s="5" t="n">
        <v>0</v>
      </c>
      <c r="K614" s="5" t="n">
        <v>0</v>
      </c>
      <c r="L614" s="5" t="n">
        <v>0</v>
      </c>
      <c r="M614" s="5" t="n">
        <v>0</v>
      </c>
      <c r="N614" s="5" t="n">
        <v>0</v>
      </c>
      <c r="O614" s="5" t="n">
        <v>0</v>
      </c>
      <c r="P614" s="5" t="n">
        <v>1</v>
      </c>
      <c r="Q614" s="5" t="n">
        <v>0</v>
      </c>
      <c r="R614" s="5" t="n">
        <v>0</v>
      </c>
      <c r="S614" s="5" t="n">
        <v>0</v>
      </c>
      <c r="T614" s="5" t="n">
        <v>1</v>
      </c>
      <c r="U614" s="5" t="inlineStr">
        <is>
          <t>testing</t>
        </is>
      </c>
    </row>
    <row r="615">
      <c r="A615" s="5" t="n">
        <v>587</v>
      </c>
      <c r="B615" s="5" t="n">
        <v>0</v>
      </c>
      <c r="C615" s="5" t="n">
        <v>9</v>
      </c>
      <c r="D615" s="5" t="n">
        <v>2799</v>
      </c>
      <c r="E615" s="5" t="n">
        <v>36</v>
      </c>
      <c r="F615" s="5" t="n">
        <v>2</v>
      </c>
      <c r="G615" s="5" t="n">
        <v>1</v>
      </c>
      <c r="H615" s="5" t="n">
        <v>0</v>
      </c>
      <c r="I615" s="5" t="n">
        <v>0</v>
      </c>
      <c r="J615" s="5" t="n">
        <v>1</v>
      </c>
      <c r="K615" s="5" t="n">
        <v>0</v>
      </c>
      <c r="L615" s="5" t="n">
        <v>0</v>
      </c>
      <c r="M615" s="5" t="n">
        <v>0</v>
      </c>
      <c r="N615" s="5" t="n">
        <v>0</v>
      </c>
      <c r="O615" s="5" t="n">
        <v>0</v>
      </c>
      <c r="P615" s="5" t="n">
        <v>1</v>
      </c>
      <c r="Q615" s="5" t="n">
        <v>0</v>
      </c>
      <c r="R615" s="5" t="n">
        <v>1</v>
      </c>
      <c r="S615" s="5" t="n">
        <v>0</v>
      </c>
      <c r="T615" s="5" t="n">
        <v>0</v>
      </c>
      <c r="U615" s="5" t="inlineStr">
        <is>
          <t>training</t>
        </is>
      </c>
    </row>
    <row r="616">
      <c r="A616" s="5" t="n">
        <v>588</v>
      </c>
      <c r="B616" s="5" t="n">
        <v>0</v>
      </c>
      <c r="C616" s="5" t="n">
        <v>12</v>
      </c>
      <c r="D616" s="5" t="n">
        <v>1289</v>
      </c>
      <c r="E616" s="5" t="n">
        <v>21</v>
      </c>
      <c r="F616" s="5" t="n">
        <v>4</v>
      </c>
      <c r="G616" s="5" t="n">
        <v>1</v>
      </c>
      <c r="H616" s="5" t="n">
        <v>0</v>
      </c>
      <c r="I616" s="5" t="n">
        <v>0</v>
      </c>
      <c r="J616" s="5" t="n">
        <v>0</v>
      </c>
      <c r="K616" s="5" t="n">
        <v>0</v>
      </c>
      <c r="L616" s="5" t="n">
        <v>0</v>
      </c>
      <c r="M616" s="5" t="n">
        <v>0</v>
      </c>
      <c r="N616" s="5" t="n">
        <v>0</v>
      </c>
      <c r="O616" s="5" t="n">
        <v>0</v>
      </c>
      <c r="P616" s="5" t="n">
        <v>0</v>
      </c>
      <c r="Q616" s="5" t="n">
        <v>0</v>
      </c>
      <c r="R616" s="5" t="n">
        <v>0</v>
      </c>
      <c r="S616" s="5" t="n">
        <v>0</v>
      </c>
      <c r="T616" s="5" t="n">
        <v>1</v>
      </c>
      <c r="U616" s="5" t="inlineStr">
        <is>
          <t>training</t>
        </is>
      </c>
    </row>
    <row r="617">
      <c r="A617" s="5" t="n">
        <v>589</v>
      </c>
      <c r="B617" s="5" t="n">
        <v>1</v>
      </c>
      <c r="C617" s="5" t="n">
        <v>18</v>
      </c>
      <c r="D617" s="5" t="n">
        <v>1217</v>
      </c>
      <c r="E617" s="5" t="n">
        <v>47</v>
      </c>
      <c r="F617" s="5" t="n">
        <v>4</v>
      </c>
      <c r="G617" s="5" t="n">
        <v>1</v>
      </c>
      <c r="H617" s="5" t="n">
        <v>0</v>
      </c>
      <c r="I617" s="5" t="n">
        <v>0</v>
      </c>
      <c r="J617" s="5" t="n">
        <v>0</v>
      </c>
      <c r="K617" s="5" t="n">
        <v>0</v>
      </c>
      <c r="L617" s="5" t="n">
        <v>0</v>
      </c>
      <c r="M617" s="5" t="n">
        <v>0</v>
      </c>
      <c r="N617" s="5" t="n">
        <v>0</v>
      </c>
      <c r="O617" s="5" t="n">
        <v>0</v>
      </c>
      <c r="P617" s="5" t="n">
        <v>0</v>
      </c>
      <c r="Q617" s="5" t="n">
        <v>0</v>
      </c>
      <c r="R617" s="5" t="n">
        <v>0</v>
      </c>
      <c r="S617" s="5" t="n">
        <v>0</v>
      </c>
      <c r="T617" s="5" t="n">
        <v>0</v>
      </c>
      <c r="U617" s="5" t="inlineStr">
        <is>
          <t>training</t>
        </is>
      </c>
    </row>
    <row r="618">
      <c r="A618" s="5" t="n">
        <v>590</v>
      </c>
      <c r="B618" s="5" t="n">
        <v>1</v>
      </c>
      <c r="C618" s="5" t="n">
        <v>12</v>
      </c>
      <c r="D618" s="5" t="n">
        <v>2246</v>
      </c>
      <c r="E618" s="5" t="n">
        <v>60</v>
      </c>
      <c r="F618" s="5" t="n">
        <v>3</v>
      </c>
      <c r="G618" s="5" t="n">
        <v>1</v>
      </c>
      <c r="H618" s="5" t="n">
        <v>0</v>
      </c>
      <c r="I618" s="5" t="n">
        <v>0</v>
      </c>
      <c r="J618" s="5" t="n">
        <v>1</v>
      </c>
      <c r="K618" s="5" t="n">
        <v>0</v>
      </c>
      <c r="L618" s="5" t="n">
        <v>0</v>
      </c>
      <c r="M618" s="5" t="n">
        <v>0</v>
      </c>
      <c r="N618" s="5" t="n">
        <v>0</v>
      </c>
      <c r="O618" s="5" t="n">
        <v>0</v>
      </c>
      <c r="P618" s="5" t="n">
        <v>0</v>
      </c>
      <c r="Q618" s="5" t="n">
        <v>0</v>
      </c>
      <c r="R618" s="5" t="n">
        <v>0</v>
      </c>
      <c r="S618" s="5" t="n">
        <v>0</v>
      </c>
      <c r="T618" s="5" t="n">
        <v>1</v>
      </c>
      <c r="U618" s="5" t="inlineStr">
        <is>
          <t>training</t>
        </is>
      </c>
    </row>
    <row r="619">
      <c r="A619" s="5" t="n">
        <v>591</v>
      </c>
      <c r="B619" s="5" t="n">
        <v>0</v>
      </c>
      <c r="C619" s="5" t="n">
        <v>12</v>
      </c>
      <c r="D619" s="5" t="n">
        <v>385</v>
      </c>
      <c r="E619" s="5" t="n">
        <v>58</v>
      </c>
      <c r="F619" s="5" t="n">
        <v>4</v>
      </c>
      <c r="G619" s="5" t="n">
        <v>1</v>
      </c>
      <c r="H619" s="5" t="n">
        <v>0</v>
      </c>
      <c r="I619" s="5" t="n">
        <v>0</v>
      </c>
      <c r="J619" s="5" t="n">
        <v>1</v>
      </c>
      <c r="K619" s="5" t="n">
        <v>0</v>
      </c>
      <c r="L619" s="5" t="n">
        <v>0</v>
      </c>
      <c r="M619" s="5" t="n">
        <v>0</v>
      </c>
      <c r="N619" s="5" t="n">
        <v>0</v>
      </c>
      <c r="O619" s="5" t="n">
        <v>0</v>
      </c>
      <c r="P619" s="5" t="n">
        <v>0</v>
      </c>
      <c r="Q619" s="5" t="n">
        <v>0</v>
      </c>
      <c r="R619" s="5" t="n">
        <v>0</v>
      </c>
      <c r="S619" s="5" t="n">
        <v>1</v>
      </c>
      <c r="T619" s="5" t="n">
        <v>0</v>
      </c>
      <c r="U619" s="5" t="inlineStr">
        <is>
          <t>testing</t>
        </is>
      </c>
    </row>
    <row r="620">
      <c r="A620" s="5" t="n">
        <v>592</v>
      </c>
      <c r="B620" s="5" t="n">
        <v>0</v>
      </c>
      <c r="C620" s="5" t="n">
        <v>24</v>
      </c>
      <c r="D620" s="5" t="n">
        <v>1965</v>
      </c>
      <c r="E620" s="5" t="n">
        <v>42</v>
      </c>
      <c r="F620" s="5" t="n">
        <v>4</v>
      </c>
      <c r="G620" s="5" t="n">
        <v>0</v>
      </c>
      <c r="H620" s="5" t="n">
        <v>1</v>
      </c>
      <c r="I620" s="5" t="n">
        <v>0</v>
      </c>
      <c r="J620" s="5" t="n">
        <v>0</v>
      </c>
      <c r="K620" s="5" t="n">
        <v>1</v>
      </c>
      <c r="L620" s="5" t="n">
        <v>0</v>
      </c>
      <c r="M620" s="5" t="n">
        <v>0</v>
      </c>
      <c r="N620" s="5" t="n">
        <v>0</v>
      </c>
      <c r="O620" s="5" t="n">
        <v>1</v>
      </c>
      <c r="P620" s="5" t="n">
        <v>1</v>
      </c>
      <c r="Q620" s="5" t="n">
        <v>0</v>
      </c>
      <c r="R620" s="5" t="n">
        <v>1</v>
      </c>
      <c r="S620" s="5" t="n">
        <v>0</v>
      </c>
      <c r="T620" s="5" t="n">
        <v>0</v>
      </c>
      <c r="U620" s="5" t="inlineStr">
        <is>
          <t>testing</t>
        </is>
      </c>
    </row>
    <row r="621">
      <c r="A621" s="5" t="n">
        <v>593</v>
      </c>
      <c r="B621" s="5" t="n">
        <v>0</v>
      </c>
      <c r="C621" s="5" t="n">
        <v>21</v>
      </c>
      <c r="D621" s="5" t="n">
        <v>1572</v>
      </c>
      <c r="E621" s="5" t="n">
        <v>36</v>
      </c>
      <c r="F621" s="5" t="n">
        <v>4</v>
      </c>
      <c r="G621" s="5" t="n">
        <v>0</v>
      </c>
      <c r="H621" s="5" t="n">
        <v>0</v>
      </c>
      <c r="I621" s="5" t="n">
        <v>0</v>
      </c>
      <c r="J621" s="5" t="n">
        <v>0</v>
      </c>
      <c r="K621" s="5" t="n">
        <v>0</v>
      </c>
      <c r="L621" s="5" t="n">
        <v>0</v>
      </c>
      <c r="M621" s="5" t="n">
        <v>0</v>
      </c>
      <c r="N621" s="5" t="n">
        <v>1</v>
      </c>
      <c r="O621" s="5" t="n">
        <v>0</v>
      </c>
      <c r="P621" s="5" t="n">
        <v>0</v>
      </c>
      <c r="Q621" s="5" t="n">
        <v>0</v>
      </c>
      <c r="R621" s="5" t="n">
        <v>0</v>
      </c>
      <c r="S621" s="5" t="n">
        <v>0</v>
      </c>
      <c r="T621" s="5" t="n">
        <v>0</v>
      </c>
      <c r="U621" s="5" t="inlineStr">
        <is>
          <t>training</t>
        </is>
      </c>
    </row>
    <row r="622">
      <c r="A622" s="5" t="n">
        <v>594</v>
      </c>
      <c r="B622" s="5" t="n">
        <v>1</v>
      </c>
      <c r="C622" s="5" t="n">
        <v>24</v>
      </c>
      <c r="D622" s="5" t="n">
        <v>2718</v>
      </c>
      <c r="E622" s="5" t="n">
        <v>20</v>
      </c>
      <c r="F622" s="5" t="n">
        <v>3</v>
      </c>
      <c r="G622" s="5" t="n">
        <v>0</v>
      </c>
      <c r="H622" s="5" t="n">
        <v>1</v>
      </c>
      <c r="I622" s="5" t="n">
        <v>0</v>
      </c>
      <c r="J622" s="5" t="n">
        <v>0</v>
      </c>
      <c r="K622" s="5" t="n">
        <v>0</v>
      </c>
      <c r="L622" s="5" t="n">
        <v>0</v>
      </c>
      <c r="M622" s="5" t="n">
        <v>0</v>
      </c>
      <c r="N622" s="5" t="n">
        <v>0</v>
      </c>
      <c r="O622" s="5" t="n">
        <v>0</v>
      </c>
      <c r="P622" s="5" t="n">
        <v>1</v>
      </c>
      <c r="Q622" s="5" t="n">
        <v>0</v>
      </c>
      <c r="R622" s="5" t="n">
        <v>1</v>
      </c>
      <c r="S622" s="5" t="n">
        <v>0</v>
      </c>
      <c r="T622" s="5" t="n">
        <v>0</v>
      </c>
      <c r="U622" s="5" t="inlineStr">
        <is>
          <t>training</t>
        </is>
      </c>
    </row>
    <row r="623">
      <c r="A623" s="5" t="n">
        <v>595</v>
      </c>
      <c r="B623" s="5" t="n">
        <v>1</v>
      </c>
      <c r="C623" s="5" t="n">
        <v>24</v>
      </c>
      <c r="D623" s="5" t="n">
        <v>1358</v>
      </c>
      <c r="E623" s="5" t="n">
        <v>40</v>
      </c>
      <c r="F623" s="5" t="n">
        <v>4</v>
      </c>
      <c r="G623" s="5" t="n">
        <v>1</v>
      </c>
      <c r="H623" s="5" t="n">
        <v>0</v>
      </c>
      <c r="I623" s="5" t="n">
        <v>0</v>
      </c>
      <c r="J623" s="5" t="n">
        <v>0</v>
      </c>
      <c r="K623" s="5" t="n">
        <v>0</v>
      </c>
      <c r="L623" s="5" t="n">
        <v>1</v>
      </c>
      <c r="M623" s="5" t="n">
        <v>0</v>
      </c>
      <c r="N623" s="5" t="n">
        <v>0</v>
      </c>
      <c r="O623" s="5" t="n">
        <v>1</v>
      </c>
      <c r="P623" s="5" t="n">
        <v>0</v>
      </c>
      <c r="Q623" s="5" t="n">
        <v>0</v>
      </c>
      <c r="R623" s="5" t="n">
        <v>0</v>
      </c>
      <c r="S623" s="5" t="n">
        <v>0</v>
      </c>
      <c r="T623" s="5" t="n">
        <v>0</v>
      </c>
      <c r="U623" s="5" t="inlineStr">
        <is>
          <t>training</t>
        </is>
      </c>
    </row>
    <row r="624">
      <c r="A624" s="5" t="n">
        <v>596</v>
      </c>
      <c r="B624" s="5" t="n">
        <v>1</v>
      </c>
      <c r="C624" s="5" t="n">
        <v>6</v>
      </c>
      <c r="D624" s="5" t="n">
        <v>931</v>
      </c>
      <c r="E624" s="5" t="n">
        <v>32</v>
      </c>
      <c r="F624" s="5" t="n">
        <v>1</v>
      </c>
      <c r="G624" s="5" t="n">
        <v>0</v>
      </c>
      <c r="H624" s="5" t="n">
        <v>1</v>
      </c>
      <c r="I624" s="5" t="n">
        <v>0</v>
      </c>
      <c r="J624" s="5" t="n">
        <v>0</v>
      </c>
      <c r="K624" s="5" t="n">
        <v>0</v>
      </c>
      <c r="L624" s="5" t="n">
        <v>1</v>
      </c>
      <c r="M624" s="5" t="n">
        <v>1</v>
      </c>
      <c r="N624" s="5" t="n">
        <v>0</v>
      </c>
      <c r="O624" s="5" t="n">
        <v>0</v>
      </c>
      <c r="P624" s="5" t="n">
        <v>0</v>
      </c>
      <c r="Q624" s="5" t="n">
        <v>0</v>
      </c>
      <c r="R624" s="5" t="n">
        <v>1</v>
      </c>
      <c r="S624" s="5" t="n">
        <v>0</v>
      </c>
      <c r="T624" s="5" t="n">
        <v>0</v>
      </c>
      <c r="U624" s="5" t="inlineStr">
        <is>
          <t>testing</t>
        </is>
      </c>
    </row>
    <row r="625">
      <c r="A625" s="5" t="n">
        <v>597</v>
      </c>
      <c r="B625" s="5" t="n">
        <v>1</v>
      </c>
      <c r="C625" s="5" t="n">
        <v>24</v>
      </c>
      <c r="D625" s="5" t="n">
        <v>1442</v>
      </c>
      <c r="E625" s="5" t="n">
        <v>23</v>
      </c>
      <c r="F625" s="5" t="n">
        <v>4</v>
      </c>
      <c r="G625" s="5" t="n">
        <v>1</v>
      </c>
      <c r="H625" s="5" t="n">
        <v>0</v>
      </c>
      <c r="I625" s="5" t="n">
        <v>0</v>
      </c>
      <c r="J625" s="5" t="n">
        <v>0</v>
      </c>
      <c r="K625" s="5" t="n">
        <v>0</v>
      </c>
      <c r="L625" s="5" t="n">
        <v>0</v>
      </c>
      <c r="M625" s="5" t="n">
        <v>0</v>
      </c>
      <c r="N625" s="5" t="n">
        <v>0</v>
      </c>
      <c r="O625" s="5" t="n">
        <v>0</v>
      </c>
      <c r="P625" s="5" t="n">
        <v>1</v>
      </c>
      <c r="Q625" s="5" t="n">
        <v>0</v>
      </c>
      <c r="R625" s="5" t="n">
        <v>1</v>
      </c>
      <c r="S625" s="5" t="n">
        <v>0</v>
      </c>
      <c r="T625" s="5" t="n">
        <v>0</v>
      </c>
      <c r="U625" s="5" t="inlineStr">
        <is>
          <t>training</t>
        </is>
      </c>
    </row>
    <row r="626">
      <c r="A626" s="5" t="n">
        <v>598</v>
      </c>
      <c r="B626" s="5" t="n">
        <v>1</v>
      </c>
      <c r="C626" s="5" t="n">
        <v>24</v>
      </c>
      <c r="D626" s="5" t="n">
        <v>4241</v>
      </c>
      <c r="E626" s="5" t="n">
        <v>36</v>
      </c>
      <c r="F626" s="5" t="n">
        <v>1</v>
      </c>
      <c r="G626" s="5" t="n">
        <v>0</v>
      </c>
      <c r="H626" s="5" t="n">
        <v>1</v>
      </c>
      <c r="I626" s="5" t="n">
        <v>0</v>
      </c>
      <c r="J626" s="5" t="n">
        <v>0</v>
      </c>
      <c r="K626" s="5" t="n">
        <v>0</v>
      </c>
      <c r="L626" s="5" t="n">
        <v>1</v>
      </c>
      <c r="M626" s="5" t="n">
        <v>0</v>
      </c>
      <c r="N626" s="5" t="n">
        <v>0</v>
      </c>
      <c r="O626" s="5" t="n">
        <v>0</v>
      </c>
      <c r="P626" s="5" t="n">
        <v>0</v>
      </c>
      <c r="Q626" s="5" t="n">
        <v>0</v>
      </c>
      <c r="R626" s="5" t="n">
        <v>0</v>
      </c>
      <c r="S626" s="5" t="n">
        <v>0</v>
      </c>
      <c r="T626" s="5" t="n">
        <v>0</v>
      </c>
      <c r="U626" s="5" t="inlineStr">
        <is>
          <t>training</t>
        </is>
      </c>
    </row>
    <row r="627">
      <c r="A627" s="5" t="n">
        <v>599</v>
      </c>
      <c r="B627" s="5" t="n">
        <v>1</v>
      </c>
      <c r="C627" s="5" t="n">
        <v>18</v>
      </c>
      <c r="D627" s="5" t="n">
        <v>2775</v>
      </c>
      <c r="E627" s="5" t="n">
        <v>31</v>
      </c>
      <c r="F627" s="5" t="n">
        <v>2</v>
      </c>
      <c r="G627" s="5" t="n">
        <v>0</v>
      </c>
      <c r="H627" s="5" t="n">
        <v>0</v>
      </c>
      <c r="I627" s="5" t="n">
        <v>0</v>
      </c>
      <c r="J627" s="5" t="n">
        <v>1</v>
      </c>
      <c r="K627" s="5" t="n">
        <v>0</v>
      </c>
      <c r="L627" s="5" t="n">
        <v>0</v>
      </c>
      <c r="M627" s="5" t="n">
        <v>0</v>
      </c>
      <c r="N627" s="5" t="n">
        <v>0</v>
      </c>
      <c r="O627" s="5" t="n">
        <v>0</v>
      </c>
      <c r="P627" s="5" t="n">
        <v>0</v>
      </c>
      <c r="Q627" s="5" t="n">
        <v>0</v>
      </c>
      <c r="R627" s="5" t="n">
        <v>1</v>
      </c>
      <c r="S627" s="5" t="n">
        <v>0</v>
      </c>
      <c r="T627" s="5" t="n">
        <v>0</v>
      </c>
      <c r="U627" s="5" t="inlineStr">
        <is>
          <t>training</t>
        </is>
      </c>
    </row>
    <row r="628">
      <c r="A628" s="5" t="n">
        <v>600</v>
      </c>
      <c r="B628" s="5" t="n">
        <v>0</v>
      </c>
      <c r="C628" s="5" t="n">
        <v>24</v>
      </c>
      <c r="D628" s="5" t="n">
        <v>3863</v>
      </c>
      <c r="E628" s="5" t="n">
        <v>32</v>
      </c>
      <c r="F628" s="5" t="n">
        <v>1</v>
      </c>
      <c r="G628" s="5" t="n">
        <v>0</v>
      </c>
      <c r="H628" s="5" t="n">
        <v>0</v>
      </c>
      <c r="I628" s="5" t="n">
        <v>0</v>
      </c>
      <c r="J628" s="5" t="n">
        <v>0</v>
      </c>
      <c r="K628" s="5" t="n">
        <v>1</v>
      </c>
      <c r="L628" s="5" t="n">
        <v>0</v>
      </c>
      <c r="M628" s="5" t="n">
        <v>0</v>
      </c>
      <c r="N628" s="5" t="n">
        <v>0</v>
      </c>
      <c r="O628" s="5" t="n">
        <v>0</v>
      </c>
      <c r="P628" s="5" t="n">
        <v>0</v>
      </c>
      <c r="Q628" s="5" t="n">
        <v>1</v>
      </c>
      <c r="R628" s="5" t="n">
        <v>0</v>
      </c>
      <c r="S628" s="5" t="n">
        <v>0</v>
      </c>
      <c r="T628" s="5" t="n">
        <v>0</v>
      </c>
      <c r="U628" s="5" t="inlineStr">
        <is>
          <t>testing</t>
        </is>
      </c>
    </row>
    <row r="629">
      <c r="A629" s="5" t="n">
        <v>601</v>
      </c>
      <c r="B629" s="5" t="n">
        <v>0</v>
      </c>
      <c r="C629" s="5" t="n">
        <v>7</v>
      </c>
      <c r="D629" s="5" t="n">
        <v>2329</v>
      </c>
      <c r="E629" s="5" t="n">
        <v>45</v>
      </c>
      <c r="F629" s="5" t="n">
        <v>1</v>
      </c>
      <c r="G629" s="5" t="n">
        <v>0</v>
      </c>
      <c r="H629" s="5" t="n">
        <v>1</v>
      </c>
      <c r="I629" s="5" t="n">
        <v>0</v>
      </c>
      <c r="J629" s="5" t="n">
        <v>0</v>
      </c>
      <c r="K629" s="5" t="n">
        <v>0</v>
      </c>
      <c r="L629" s="5" t="n">
        <v>0</v>
      </c>
      <c r="M629" s="5" t="n">
        <v>0</v>
      </c>
      <c r="N629" s="5" t="n">
        <v>0</v>
      </c>
      <c r="O629" s="5" t="n">
        <v>0</v>
      </c>
      <c r="P629" s="5" t="n">
        <v>0</v>
      </c>
      <c r="Q629" s="5" t="n">
        <v>0</v>
      </c>
      <c r="R629" s="5" t="n">
        <v>0</v>
      </c>
      <c r="S629" s="5" t="n">
        <v>1</v>
      </c>
      <c r="T629" s="5" t="n">
        <v>0</v>
      </c>
      <c r="U629" s="5" t="inlineStr">
        <is>
          <t>training</t>
        </is>
      </c>
    </row>
    <row r="630">
      <c r="A630" s="5" t="n">
        <v>602</v>
      </c>
      <c r="B630" s="5" t="n">
        <v>1</v>
      </c>
      <c r="C630" s="5" t="n">
        <v>9</v>
      </c>
      <c r="D630" s="5" t="n">
        <v>918</v>
      </c>
      <c r="E630" s="5" t="n">
        <v>30</v>
      </c>
      <c r="F630" s="5" t="n">
        <v>4</v>
      </c>
      <c r="G630" s="5" t="n">
        <v>0</v>
      </c>
      <c r="H630" s="5" t="n">
        <v>1</v>
      </c>
      <c r="I630" s="5" t="n">
        <v>0</v>
      </c>
      <c r="J630" s="5" t="n">
        <v>0</v>
      </c>
      <c r="K630" s="5" t="n">
        <v>0</v>
      </c>
      <c r="L630" s="5" t="n">
        <v>0</v>
      </c>
      <c r="M630" s="5" t="n">
        <v>0</v>
      </c>
      <c r="N630" s="5" t="n">
        <v>0</v>
      </c>
      <c r="O630" s="5" t="n">
        <v>0</v>
      </c>
      <c r="P630" s="5" t="n">
        <v>0</v>
      </c>
      <c r="Q630" s="5" t="n">
        <v>0</v>
      </c>
      <c r="R630" s="5" t="n">
        <v>0</v>
      </c>
      <c r="S630" s="5" t="n">
        <v>0</v>
      </c>
      <c r="T630" s="5" t="n">
        <v>1</v>
      </c>
      <c r="U630" s="5" t="inlineStr">
        <is>
          <t>training</t>
        </is>
      </c>
    </row>
    <row r="631">
      <c r="A631" s="5" t="n">
        <v>603</v>
      </c>
      <c r="B631" s="5" t="n">
        <v>1</v>
      </c>
      <c r="C631" s="5" t="n">
        <v>24</v>
      </c>
      <c r="D631" s="5" t="n">
        <v>1837</v>
      </c>
      <c r="E631" s="5" t="n">
        <v>34</v>
      </c>
      <c r="F631" s="5" t="n">
        <v>4</v>
      </c>
      <c r="G631" s="5" t="n">
        <v>0</v>
      </c>
      <c r="H631" s="5" t="n">
        <v>1</v>
      </c>
      <c r="I631" s="5" t="n">
        <v>0</v>
      </c>
      <c r="J631" s="5" t="n">
        <v>0</v>
      </c>
      <c r="K631" s="5" t="n">
        <v>0</v>
      </c>
      <c r="L631" s="5" t="n">
        <v>1</v>
      </c>
      <c r="M631" s="5" t="n">
        <v>0</v>
      </c>
      <c r="N631" s="5" t="n">
        <v>0</v>
      </c>
      <c r="O631" s="5" t="n">
        <v>0</v>
      </c>
      <c r="P631" s="5" t="n">
        <v>0</v>
      </c>
      <c r="Q631" s="5" t="n">
        <v>1</v>
      </c>
      <c r="R631" s="5" t="n">
        <v>0</v>
      </c>
      <c r="S631" s="5" t="n">
        <v>0</v>
      </c>
      <c r="T631" s="5" t="n">
        <v>0</v>
      </c>
      <c r="U631" s="5" t="inlineStr">
        <is>
          <t>training</t>
        </is>
      </c>
    </row>
    <row r="632">
      <c r="A632" s="5" t="n">
        <v>604</v>
      </c>
      <c r="B632" s="5" t="n">
        <v>1</v>
      </c>
      <c r="C632" s="5" t="n">
        <v>36</v>
      </c>
      <c r="D632" s="5" t="n">
        <v>3349</v>
      </c>
      <c r="E632" s="5" t="n">
        <v>28</v>
      </c>
      <c r="F632" s="5" t="n">
        <v>4</v>
      </c>
      <c r="G632" s="5" t="n">
        <v>0</v>
      </c>
      <c r="H632" s="5" t="n">
        <v>0</v>
      </c>
      <c r="I632" s="5" t="n">
        <v>0</v>
      </c>
      <c r="J632" s="5" t="n">
        <v>0</v>
      </c>
      <c r="K632" s="5" t="n">
        <v>0</v>
      </c>
      <c r="L632" s="5" t="n">
        <v>0</v>
      </c>
      <c r="M632" s="5" t="n">
        <v>0</v>
      </c>
      <c r="N632" s="5" t="n">
        <v>0</v>
      </c>
      <c r="O632" s="5" t="n">
        <v>0</v>
      </c>
      <c r="P632" s="5" t="n">
        <v>0</v>
      </c>
      <c r="Q632" s="5" t="n">
        <v>0</v>
      </c>
      <c r="R632" s="5" t="n">
        <v>0</v>
      </c>
      <c r="S632" s="5" t="n">
        <v>0</v>
      </c>
      <c r="T632" s="5" t="n">
        <v>1</v>
      </c>
      <c r="U632" s="5" t="inlineStr">
        <is>
          <t>training</t>
        </is>
      </c>
    </row>
    <row r="633">
      <c r="A633" s="5" t="n">
        <v>605</v>
      </c>
      <c r="B633" s="5" t="n">
        <v>0</v>
      </c>
      <c r="C633" s="5" t="n">
        <v>10</v>
      </c>
      <c r="D633" s="5" t="n">
        <v>1275</v>
      </c>
      <c r="E633" s="5" t="n">
        <v>23</v>
      </c>
      <c r="F633" s="5" t="n">
        <v>4</v>
      </c>
      <c r="G633" s="5" t="n">
        <v>0</v>
      </c>
      <c r="H633" s="5" t="n">
        <v>0</v>
      </c>
      <c r="I633" s="5" t="n">
        <v>1</v>
      </c>
      <c r="J633" s="5" t="n">
        <v>0</v>
      </c>
      <c r="K633" s="5" t="n">
        <v>0</v>
      </c>
      <c r="L633" s="5" t="n">
        <v>0</v>
      </c>
      <c r="M633" s="5" t="n">
        <v>0</v>
      </c>
      <c r="N633" s="5" t="n">
        <v>0</v>
      </c>
      <c r="O633" s="5" t="n">
        <v>0</v>
      </c>
      <c r="P633" s="5" t="n">
        <v>0</v>
      </c>
      <c r="Q633" s="5" t="n">
        <v>0</v>
      </c>
      <c r="R633" s="5" t="n">
        <v>0</v>
      </c>
      <c r="S633" s="5" t="n">
        <v>0</v>
      </c>
      <c r="T633" s="5" t="n">
        <v>1</v>
      </c>
      <c r="U633" s="5" t="inlineStr">
        <is>
          <t>training</t>
        </is>
      </c>
    </row>
    <row r="634">
      <c r="A634" s="5" t="n">
        <v>606</v>
      </c>
      <c r="B634" s="5" t="n">
        <v>0</v>
      </c>
      <c r="C634" s="5" t="n">
        <v>24</v>
      </c>
      <c r="D634" s="5" t="n">
        <v>2828</v>
      </c>
      <c r="E634" s="5" t="n">
        <v>22</v>
      </c>
      <c r="F634" s="5" t="n">
        <v>4</v>
      </c>
      <c r="G634" s="5" t="n">
        <v>1</v>
      </c>
      <c r="H634" s="5" t="n">
        <v>0</v>
      </c>
      <c r="I634" s="5" t="n">
        <v>0</v>
      </c>
      <c r="J634" s="5" t="n">
        <v>0</v>
      </c>
      <c r="K634" s="5" t="n">
        <v>0</v>
      </c>
      <c r="L634" s="5" t="n">
        <v>1</v>
      </c>
      <c r="M634" s="5" t="n">
        <v>1</v>
      </c>
      <c r="N634" s="5" t="n">
        <v>0</v>
      </c>
      <c r="O634" s="5" t="n">
        <v>0</v>
      </c>
      <c r="P634" s="5" t="n">
        <v>0</v>
      </c>
      <c r="Q634" s="5" t="n">
        <v>0</v>
      </c>
      <c r="R634" s="5" t="n">
        <v>0</v>
      </c>
      <c r="S634" s="5" t="n">
        <v>0</v>
      </c>
      <c r="T634" s="5" t="n">
        <v>1</v>
      </c>
      <c r="U634" s="5" t="inlineStr">
        <is>
          <t>training</t>
        </is>
      </c>
    </row>
    <row r="635">
      <c r="A635" s="5" t="n">
        <v>607</v>
      </c>
      <c r="B635" s="5" t="n">
        <v>0</v>
      </c>
      <c r="C635" s="5" t="n">
        <v>24</v>
      </c>
      <c r="D635" s="5" t="n">
        <v>4526</v>
      </c>
      <c r="E635" s="5" t="n">
        <v>74</v>
      </c>
      <c r="F635" s="5" t="n">
        <v>3</v>
      </c>
      <c r="G635" s="5" t="n">
        <v>0</v>
      </c>
      <c r="H635" s="5" t="n">
        <v>0</v>
      </c>
      <c r="I635" s="5" t="n">
        <v>0</v>
      </c>
      <c r="J635" s="5" t="n">
        <v>1</v>
      </c>
      <c r="K635" s="5" t="n">
        <v>0</v>
      </c>
      <c r="L635" s="5" t="n">
        <v>0</v>
      </c>
      <c r="M635" s="5" t="n">
        <v>0</v>
      </c>
      <c r="N635" s="5" t="n">
        <v>0</v>
      </c>
      <c r="O635" s="5" t="n">
        <v>0</v>
      </c>
      <c r="P635" s="5" t="n">
        <v>0</v>
      </c>
      <c r="Q635" s="5" t="n">
        <v>0</v>
      </c>
      <c r="R635" s="5" t="n">
        <v>0</v>
      </c>
      <c r="S635" s="5" t="n">
        <v>0</v>
      </c>
      <c r="T635" s="5" t="n">
        <v>0</v>
      </c>
      <c r="U635" s="5" t="inlineStr">
        <is>
          <t>training</t>
        </is>
      </c>
    </row>
    <row r="636">
      <c r="A636" s="5" t="n">
        <v>608</v>
      </c>
      <c r="B636" s="5" t="n">
        <v>1</v>
      </c>
      <c r="C636" s="5" t="n">
        <v>36</v>
      </c>
      <c r="D636" s="5" t="n">
        <v>2671</v>
      </c>
      <c r="E636" s="5" t="n">
        <v>50</v>
      </c>
      <c r="F636" s="5" t="n">
        <v>4</v>
      </c>
      <c r="G636" s="5" t="n">
        <v>0</v>
      </c>
      <c r="H636" s="5" t="n">
        <v>1</v>
      </c>
      <c r="I636" s="5" t="n">
        <v>0</v>
      </c>
      <c r="J636" s="5" t="n">
        <v>0</v>
      </c>
      <c r="K636" s="5" t="n">
        <v>0</v>
      </c>
      <c r="L636" s="5" t="n">
        <v>0</v>
      </c>
      <c r="M636" s="5" t="n">
        <v>1</v>
      </c>
      <c r="N636" s="5" t="n">
        <v>0</v>
      </c>
      <c r="O636" s="5" t="n">
        <v>0</v>
      </c>
      <c r="P636" s="5" t="n">
        <v>0</v>
      </c>
      <c r="Q636" s="5" t="n">
        <v>1</v>
      </c>
      <c r="R636" s="5" t="n">
        <v>0</v>
      </c>
      <c r="S636" s="5" t="n">
        <v>1</v>
      </c>
      <c r="T636" s="5" t="n">
        <v>0</v>
      </c>
      <c r="U636" s="5" t="inlineStr">
        <is>
          <t>testing</t>
        </is>
      </c>
    </row>
    <row r="637">
      <c r="A637" s="5" t="n">
        <v>609</v>
      </c>
      <c r="B637" s="5" t="n">
        <v>0</v>
      </c>
      <c r="C637" s="5" t="n">
        <v>18</v>
      </c>
      <c r="D637" s="5" t="n">
        <v>2051</v>
      </c>
      <c r="E637" s="5" t="n">
        <v>33</v>
      </c>
      <c r="F637" s="5" t="n">
        <v>4</v>
      </c>
      <c r="G637" s="5" t="n">
        <v>0</v>
      </c>
      <c r="H637" s="5" t="n">
        <v>0</v>
      </c>
      <c r="I637" s="5" t="n">
        <v>0</v>
      </c>
      <c r="J637" s="5" t="n">
        <v>0</v>
      </c>
      <c r="K637" s="5" t="n">
        <v>0</v>
      </c>
      <c r="L637" s="5" t="n">
        <v>0</v>
      </c>
      <c r="M637" s="5" t="n">
        <v>0</v>
      </c>
      <c r="N637" s="5" t="n">
        <v>0</v>
      </c>
      <c r="O637" s="5" t="n">
        <v>0</v>
      </c>
      <c r="P637" s="5" t="n">
        <v>0</v>
      </c>
      <c r="Q637" s="5" t="n">
        <v>0</v>
      </c>
      <c r="R637" s="5" t="n">
        <v>0</v>
      </c>
      <c r="S637" s="5" t="n">
        <v>1</v>
      </c>
      <c r="T637" s="5" t="n">
        <v>0</v>
      </c>
      <c r="U637" s="5" t="inlineStr">
        <is>
          <t>training</t>
        </is>
      </c>
    </row>
    <row r="638">
      <c r="A638" s="5" t="n">
        <v>610</v>
      </c>
      <c r="B638" s="5" t="n">
        <v>0</v>
      </c>
      <c r="C638" s="5" t="n">
        <v>15</v>
      </c>
      <c r="D638" s="5" t="n">
        <v>1300</v>
      </c>
      <c r="E638" s="5" t="n">
        <v>45</v>
      </c>
      <c r="F638" s="5" t="n">
        <v>4</v>
      </c>
      <c r="G638" s="5" t="n">
        <v>0</v>
      </c>
      <c r="H638" s="5" t="n">
        <v>0</v>
      </c>
      <c r="I638" s="5" t="n">
        <v>0</v>
      </c>
      <c r="J638" s="5" t="n">
        <v>0</v>
      </c>
      <c r="K638" s="5" t="n">
        <v>0</v>
      </c>
      <c r="L638" s="5" t="n">
        <v>0</v>
      </c>
      <c r="M638" s="5" t="n">
        <v>0</v>
      </c>
      <c r="N638" s="5" t="n">
        <v>0</v>
      </c>
      <c r="O638" s="5" t="n">
        <v>1</v>
      </c>
      <c r="P638" s="5" t="n">
        <v>0</v>
      </c>
      <c r="Q638" s="5" t="n">
        <v>1</v>
      </c>
      <c r="R638" s="5" t="n">
        <v>1</v>
      </c>
      <c r="S638" s="5" t="n">
        <v>0</v>
      </c>
      <c r="T638" s="5" t="n">
        <v>0</v>
      </c>
      <c r="U638" s="5" t="inlineStr">
        <is>
          <t>testing</t>
        </is>
      </c>
    </row>
    <row r="639">
      <c r="A639" s="5" t="n">
        <v>611</v>
      </c>
      <c r="B639" s="5" t="n">
        <v>1</v>
      </c>
      <c r="C639" s="5" t="n">
        <v>12</v>
      </c>
      <c r="D639" s="5" t="n">
        <v>741</v>
      </c>
      <c r="E639" s="5" t="n">
        <v>22</v>
      </c>
      <c r="F639" s="5" t="n">
        <v>4</v>
      </c>
      <c r="G639" s="5" t="n">
        <v>1</v>
      </c>
      <c r="H639" s="5" t="n">
        <v>0</v>
      </c>
      <c r="I639" s="5" t="n">
        <v>0</v>
      </c>
      <c r="J639" s="5" t="n">
        <v>0</v>
      </c>
      <c r="K639" s="5" t="n">
        <v>0</v>
      </c>
      <c r="L639" s="5" t="n">
        <v>0</v>
      </c>
      <c r="M639" s="5" t="n">
        <v>1</v>
      </c>
      <c r="N639" s="5" t="n">
        <v>0</v>
      </c>
      <c r="O639" s="5" t="n">
        <v>0</v>
      </c>
      <c r="P639" s="5" t="n">
        <v>0</v>
      </c>
      <c r="Q639" s="5" t="n">
        <v>0</v>
      </c>
      <c r="R639" s="5" t="n">
        <v>0</v>
      </c>
      <c r="S639" s="5" t="n">
        <v>0</v>
      </c>
      <c r="T639" s="5" t="n">
        <v>0</v>
      </c>
      <c r="U639" s="5" t="inlineStr">
        <is>
          <t>testing</t>
        </is>
      </c>
    </row>
    <row r="640">
      <c r="A640" s="5" t="n">
        <v>612</v>
      </c>
      <c r="B640" s="5" t="n">
        <v>1</v>
      </c>
      <c r="C640" s="5" t="n">
        <v>10</v>
      </c>
      <c r="D640" s="5" t="n">
        <v>1240</v>
      </c>
      <c r="E640" s="5" t="n">
        <v>48</v>
      </c>
      <c r="F640" s="5" t="n">
        <v>1</v>
      </c>
      <c r="G640" s="5" t="n">
        <v>0</v>
      </c>
      <c r="H640" s="5" t="n">
        <v>0</v>
      </c>
      <c r="I640" s="5" t="n">
        <v>1</v>
      </c>
      <c r="J640" s="5" t="n">
        <v>0</v>
      </c>
      <c r="K640" s="5" t="n">
        <v>0</v>
      </c>
      <c r="L640" s="5" t="n">
        <v>0</v>
      </c>
      <c r="M640" s="5" t="n">
        <v>1</v>
      </c>
      <c r="N640" s="5" t="n">
        <v>0</v>
      </c>
      <c r="O640" s="5" t="n">
        <v>0</v>
      </c>
      <c r="P640" s="5" t="n">
        <v>0</v>
      </c>
      <c r="Q640" s="5" t="n">
        <v>1</v>
      </c>
      <c r="R640" s="5" t="n">
        <v>1</v>
      </c>
      <c r="S640" s="5" t="n">
        <v>0</v>
      </c>
      <c r="T640" s="5" t="n">
        <v>0</v>
      </c>
      <c r="U640" s="5" t="inlineStr">
        <is>
          <t>testing</t>
        </is>
      </c>
    </row>
    <row r="641">
      <c r="A641" s="5" t="n">
        <v>613</v>
      </c>
      <c r="B641" s="5" t="n">
        <v>0</v>
      </c>
      <c r="C641" s="5" t="n">
        <v>21</v>
      </c>
      <c r="D641" s="5" t="n">
        <v>3357</v>
      </c>
      <c r="E641" s="5" t="n">
        <v>29</v>
      </c>
      <c r="F641" s="5" t="n">
        <v>4</v>
      </c>
      <c r="G641" s="5" t="n">
        <v>1</v>
      </c>
      <c r="H641" s="5" t="n">
        <v>0</v>
      </c>
      <c r="I641" s="5" t="n">
        <v>0</v>
      </c>
      <c r="J641" s="5" t="n">
        <v>0</v>
      </c>
      <c r="K641" s="5" t="n">
        <v>0</v>
      </c>
      <c r="L641" s="5" t="n">
        <v>0</v>
      </c>
      <c r="M641" s="5" t="n">
        <v>0</v>
      </c>
      <c r="N641" s="5" t="n">
        <v>1</v>
      </c>
      <c r="O641" s="5" t="n">
        <v>0</v>
      </c>
      <c r="P641" s="5" t="n">
        <v>0</v>
      </c>
      <c r="Q641" s="5" t="n">
        <v>0</v>
      </c>
      <c r="R641" s="5" t="n">
        <v>0</v>
      </c>
      <c r="S641" s="5" t="n">
        <v>1</v>
      </c>
      <c r="T641" s="5" t="n">
        <v>0</v>
      </c>
      <c r="U641" s="5" t="inlineStr">
        <is>
          <t>training</t>
        </is>
      </c>
    </row>
    <row r="642">
      <c r="A642" s="5" t="n">
        <v>614</v>
      </c>
      <c r="B642" s="5" t="n">
        <v>0</v>
      </c>
      <c r="C642" s="5" t="n">
        <v>24</v>
      </c>
      <c r="D642" s="5" t="n">
        <v>3632</v>
      </c>
      <c r="E642" s="5" t="n">
        <v>22</v>
      </c>
      <c r="F642" s="5" t="n">
        <v>1</v>
      </c>
      <c r="G642" s="5" t="n">
        <v>1</v>
      </c>
      <c r="H642" s="5" t="n">
        <v>0</v>
      </c>
      <c r="I642" s="5" t="n">
        <v>0</v>
      </c>
      <c r="J642" s="5" t="n">
        <v>0</v>
      </c>
      <c r="K642" s="5" t="n">
        <v>0</v>
      </c>
      <c r="L642" s="5" t="n">
        <v>1</v>
      </c>
      <c r="M642" s="5" t="n">
        <v>0</v>
      </c>
      <c r="N642" s="5" t="n">
        <v>0</v>
      </c>
      <c r="O642" s="5" t="n">
        <v>0</v>
      </c>
      <c r="P642" s="5" t="n">
        <v>1</v>
      </c>
      <c r="Q642" s="5" t="n">
        <v>0</v>
      </c>
      <c r="R642" s="5" t="n">
        <v>1</v>
      </c>
      <c r="S642" s="5" t="n">
        <v>0</v>
      </c>
      <c r="T642" s="5" t="n">
        <v>0</v>
      </c>
      <c r="U642" s="5" t="inlineStr">
        <is>
          <t>testing</t>
        </is>
      </c>
    </row>
    <row r="643">
      <c r="A643" s="5" t="n">
        <v>615</v>
      </c>
      <c r="B643" s="5" t="n">
        <v>1</v>
      </c>
      <c r="C643" s="5" t="n">
        <v>18</v>
      </c>
      <c r="D643" s="5" t="n">
        <v>1808</v>
      </c>
      <c r="E643" s="5" t="n">
        <v>22</v>
      </c>
      <c r="F643" s="5" t="n">
        <v>4</v>
      </c>
      <c r="G643" s="5" t="n">
        <v>0</v>
      </c>
      <c r="H643" s="5" t="n">
        <v>0</v>
      </c>
      <c r="I643" s="5" t="n">
        <v>0</v>
      </c>
      <c r="J643" s="5" t="n">
        <v>0</v>
      </c>
      <c r="K643" s="5" t="n">
        <v>1</v>
      </c>
      <c r="L643" s="5" t="n">
        <v>0</v>
      </c>
      <c r="M643" s="5" t="n">
        <v>0</v>
      </c>
      <c r="N643" s="5" t="n">
        <v>0</v>
      </c>
      <c r="O643" s="5" t="n">
        <v>0</v>
      </c>
      <c r="P643" s="5" t="n">
        <v>0</v>
      </c>
      <c r="Q643" s="5" t="n">
        <v>0</v>
      </c>
      <c r="R643" s="5" t="n">
        <v>0</v>
      </c>
      <c r="S643" s="5" t="n">
        <v>0</v>
      </c>
      <c r="T643" s="5" t="n">
        <v>1</v>
      </c>
      <c r="U643" s="5" t="inlineStr">
        <is>
          <t>testing</t>
        </is>
      </c>
    </row>
    <row r="644">
      <c r="A644" s="5" t="n">
        <v>616</v>
      </c>
      <c r="B644" s="5" t="n">
        <v>0</v>
      </c>
      <c r="C644" s="5" t="n">
        <v>48</v>
      </c>
      <c r="D644" s="5" t="n">
        <v>12204</v>
      </c>
      <c r="E644" s="5" t="n">
        <v>48</v>
      </c>
      <c r="F644" s="5" t="n">
        <v>2</v>
      </c>
      <c r="G644" s="5" t="n">
        <v>0</v>
      </c>
      <c r="H644" s="5" t="n">
        <v>1</v>
      </c>
      <c r="I644" s="5" t="n">
        <v>0</v>
      </c>
      <c r="J644" s="5" t="n">
        <v>0</v>
      </c>
      <c r="K644" s="5" t="n">
        <v>0</v>
      </c>
      <c r="L644" s="5" t="n">
        <v>1</v>
      </c>
      <c r="M644" s="5" t="n">
        <v>0</v>
      </c>
      <c r="N644" s="5" t="n">
        <v>0</v>
      </c>
      <c r="O644" s="5" t="n">
        <v>1</v>
      </c>
      <c r="P644" s="5" t="n">
        <v>0</v>
      </c>
      <c r="Q644" s="5" t="n">
        <v>0</v>
      </c>
      <c r="R644" s="5" t="n">
        <v>0</v>
      </c>
      <c r="S644" s="5" t="n">
        <v>0</v>
      </c>
      <c r="T644" s="5" t="n">
        <v>0</v>
      </c>
      <c r="U644" s="5" t="inlineStr">
        <is>
          <t>training</t>
        </is>
      </c>
    </row>
    <row r="645">
      <c r="A645" s="5" t="n">
        <v>617</v>
      </c>
      <c r="B645" s="5" t="n">
        <v>0</v>
      </c>
      <c r="C645" s="5" t="n">
        <v>60</v>
      </c>
      <c r="D645" s="5" t="n">
        <v>9157</v>
      </c>
      <c r="E645" s="5" t="n">
        <v>27</v>
      </c>
      <c r="F645" s="5" t="n">
        <v>2</v>
      </c>
      <c r="G645" s="5" t="n">
        <v>0</v>
      </c>
      <c r="H645" s="5" t="n">
        <v>1</v>
      </c>
      <c r="I645" s="5" t="n">
        <v>0</v>
      </c>
      <c r="J645" s="5" t="n">
        <v>0</v>
      </c>
      <c r="K645" s="5" t="n">
        <v>1</v>
      </c>
      <c r="L645" s="5" t="n">
        <v>0</v>
      </c>
      <c r="M645" s="5" t="n">
        <v>0</v>
      </c>
      <c r="N645" s="5" t="n">
        <v>0</v>
      </c>
      <c r="O645" s="5" t="n">
        <v>1</v>
      </c>
      <c r="P645" s="5" t="n">
        <v>0</v>
      </c>
      <c r="Q645" s="5" t="n">
        <v>1</v>
      </c>
      <c r="R645" s="5" t="n">
        <v>0</v>
      </c>
      <c r="S645" s="5" t="n">
        <v>1</v>
      </c>
      <c r="T645" s="5" t="n">
        <v>0</v>
      </c>
      <c r="U645" s="5" t="inlineStr">
        <is>
          <t>training</t>
        </is>
      </c>
    </row>
    <row r="646">
      <c r="A646" s="5" t="n">
        <v>618</v>
      </c>
      <c r="B646" s="5" t="n">
        <v>0</v>
      </c>
      <c r="C646" s="5" t="n">
        <v>6</v>
      </c>
      <c r="D646" s="5" t="n">
        <v>3676</v>
      </c>
      <c r="E646" s="5" t="n">
        <v>37</v>
      </c>
      <c r="F646" s="5" t="n">
        <v>1</v>
      </c>
      <c r="G646" s="5" t="n">
        <v>1</v>
      </c>
      <c r="H646" s="5" t="n">
        <v>0</v>
      </c>
      <c r="I646" s="5" t="n">
        <v>0</v>
      </c>
      <c r="J646" s="5" t="n">
        <v>1</v>
      </c>
      <c r="K646" s="5" t="n">
        <v>0</v>
      </c>
      <c r="L646" s="5" t="n">
        <v>0</v>
      </c>
      <c r="M646" s="5" t="n">
        <v>0</v>
      </c>
      <c r="N646" s="5" t="n">
        <v>0</v>
      </c>
      <c r="O646" s="5" t="n">
        <v>0</v>
      </c>
      <c r="P646" s="5" t="n">
        <v>1</v>
      </c>
      <c r="Q646" s="5" t="n">
        <v>0</v>
      </c>
      <c r="R646" s="5" t="n">
        <v>1</v>
      </c>
      <c r="S646" s="5" t="n">
        <v>0</v>
      </c>
      <c r="T646" s="5" t="n">
        <v>0</v>
      </c>
      <c r="U646" s="5" t="inlineStr">
        <is>
          <t>testing</t>
        </is>
      </c>
    </row>
    <row r="647">
      <c r="A647" s="5" t="n">
        <v>619</v>
      </c>
      <c r="B647" s="5" t="n">
        <v>1</v>
      </c>
      <c r="C647" s="5" t="n">
        <v>30</v>
      </c>
      <c r="D647" s="5" t="n">
        <v>3441</v>
      </c>
      <c r="E647" s="5" t="n">
        <v>21</v>
      </c>
      <c r="F647" s="5" t="n">
        <v>2</v>
      </c>
      <c r="G647" s="5" t="n">
        <v>0</v>
      </c>
      <c r="H647" s="5" t="n">
        <v>1</v>
      </c>
      <c r="I647" s="5" t="n">
        <v>0</v>
      </c>
      <c r="J647" s="5" t="n">
        <v>0</v>
      </c>
      <c r="K647" s="5" t="n">
        <v>0</v>
      </c>
      <c r="L647" s="5" t="n">
        <v>0</v>
      </c>
      <c r="M647" s="5" t="n">
        <v>1</v>
      </c>
      <c r="N647" s="5" t="n">
        <v>0</v>
      </c>
      <c r="O647" s="5" t="n">
        <v>0</v>
      </c>
      <c r="P647" s="5" t="n">
        <v>1</v>
      </c>
      <c r="Q647" s="5" t="n">
        <v>0</v>
      </c>
      <c r="R647" s="5" t="n">
        <v>0</v>
      </c>
      <c r="S647" s="5" t="n">
        <v>0</v>
      </c>
      <c r="T647" s="5" t="n">
        <v>1</v>
      </c>
      <c r="U647" s="5" t="inlineStr">
        <is>
          <t>testing</t>
        </is>
      </c>
    </row>
    <row r="648">
      <c r="A648" s="5" t="n">
        <v>620</v>
      </c>
      <c r="B648" s="5" t="n">
        <v>0</v>
      </c>
      <c r="C648" s="5" t="n">
        <v>12</v>
      </c>
      <c r="D648" s="5" t="n">
        <v>640</v>
      </c>
      <c r="E648" s="5" t="n">
        <v>49</v>
      </c>
      <c r="F648" s="5" t="n">
        <v>4</v>
      </c>
      <c r="G648" s="5" t="n">
        <v>0</v>
      </c>
      <c r="H648" s="5" t="n">
        <v>0</v>
      </c>
      <c r="I648" s="5" t="n">
        <v>0</v>
      </c>
      <c r="J648" s="5" t="n">
        <v>0</v>
      </c>
      <c r="K648" s="5" t="n">
        <v>0</v>
      </c>
      <c r="L648" s="5" t="n">
        <v>0</v>
      </c>
      <c r="M648" s="5" t="n">
        <v>0</v>
      </c>
      <c r="N648" s="5" t="n">
        <v>0</v>
      </c>
      <c r="O648" s="5" t="n">
        <v>0</v>
      </c>
      <c r="P648" s="5" t="n">
        <v>0</v>
      </c>
      <c r="Q648" s="5" t="n">
        <v>0</v>
      </c>
      <c r="R648" s="5" t="n">
        <v>1</v>
      </c>
      <c r="S648" s="5" t="n">
        <v>0</v>
      </c>
      <c r="T648" s="5" t="n">
        <v>0</v>
      </c>
      <c r="U648" s="5" t="inlineStr">
        <is>
          <t>training</t>
        </is>
      </c>
    </row>
    <row r="649">
      <c r="A649" s="5" t="n">
        <v>621</v>
      </c>
      <c r="B649" s="5" t="n">
        <v>0</v>
      </c>
      <c r="C649" s="5" t="n">
        <v>21</v>
      </c>
      <c r="D649" s="5" t="n">
        <v>3652</v>
      </c>
      <c r="E649" s="5" t="n">
        <v>27</v>
      </c>
      <c r="F649" s="5" t="n">
        <v>2</v>
      </c>
      <c r="G649" s="5" t="n">
        <v>0</v>
      </c>
      <c r="H649" s="5" t="n">
        <v>1</v>
      </c>
      <c r="I649" s="5" t="n">
        <v>0</v>
      </c>
      <c r="J649" s="5" t="n">
        <v>1</v>
      </c>
      <c r="K649" s="5" t="n">
        <v>0</v>
      </c>
      <c r="L649" s="5" t="n">
        <v>0</v>
      </c>
      <c r="M649" s="5" t="n">
        <v>0</v>
      </c>
      <c r="N649" s="5" t="n">
        <v>0</v>
      </c>
      <c r="O649" s="5" t="n">
        <v>0</v>
      </c>
      <c r="P649" s="5" t="n">
        <v>0</v>
      </c>
      <c r="Q649" s="5" t="n">
        <v>0</v>
      </c>
      <c r="R649" s="5" t="n">
        <v>0</v>
      </c>
      <c r="S649" s="5" t="n">
        <v>0</v>
      </c>
      <c r="T649" s="5" t="n">
        <v>0</v>
      </c>
      <c r="U649" s="5" t="inlineStr">
        <is>
          <t>training</t>
        </is>
      </c>
    </row>
    <row r="650">
      <c r="A650" s="5" t="n">
        <v>622</v>
      </c>
      <c r="B650" s="5" t="n">
        <v>1</v>
      </c>
      <c r="C650" s="5" t="n">
        <v>18</v>
      </c>
      <c r="D650" s="5" t="n">
        <v>1530</v>
      </c>
      <c r="E650" s="5" t="n">
        <v>32</v>
      </c>
      <c r="F650" s="5" t="n">
        <v>3</v>
      </c>
      <c r="G650" s="5" t="n">
        <v>0</v>
      </c>
      <c r="H650" s="5" t="n">
        <v>0</v>
      </c>
      <c r="I650" s="5" t="n">
        <v>0</v>
      </c>
      <c r="J650" s="5" t="n">
        <v>1</v>
      </c>
      <c r="K650" s="5" t="n">
        <v>0</v>
      </c>
      <c r="L650" s="5" t="n">
        <v>0</v>
      </c>
      <c r="M650" s="5" t="n">
        <v>0</v>
      </c>
      <c r="N650" s="5" t="n">
        <v>0</v>
      </c>
      <c r="O650" s="5" t="n">
        <v>0</v>
      </c>
      <c r="P650" s="5" t="n">
        <v>0</v>
      </c>
      <c r="Q650" s="5" t="n">
        <v>0</v>
      </c>
      <c r="R650" s="5" t="n">
        <v>1</v>
      </c>
      <c r="S650" s="5" t="n">
        <v>0</v>
      </c>
      <c r="T650" s="5" t="n">
        <v>0</v>
      </c>
      <c r="U650" s="5" t="inlineStr">
        <is>
          <t>training</t>
        </is>
      </c>
    </row>
    <row r="651">
      <c r="A651" s="5" t="n">
        <v>623</v>
      </c>
      <c r="B651" s="5" t="n">
        <v>1</v>
      </c>
      <c r="C651" s="5" t="n">
        <v>48</v>
      </c>
      <c r="D651" s="5" t="n">
        <v>3914</v>
      </c>
      <c r="E651" s="5" t="n">
        <v>38</v>
      </c>
      <c r="F651" s="5" t="n">
        <v>4</v>
      </c>
      <c r="G651" s="5" t="n">
        <v>0</v>
      </c>
      <c r="H651" s="5" t="n">
        <v>0</v>
      </c>
      <c r="I651" s="5" t="n">
        <v>0</v>
      </c>
      <c r="J651" s="5" t="n">
        <v>0</v>
      </c>
      <c r="K651" s="5" t="n">
        <v>0</v>
      </c>
      <c r="L651" s="5" t="n">
        <v>0</v>
      </c>
      <c r="M651" s="5" t="n">
        <v>0</v>
      </c>
      <c r="N651" s="5" t="n">
        <v>0</v>
      </c>
      <c r="O651" s="5" t="n">
        <v>1</v>
      </c>
      <c r="P651" s="5" t="n">
        <v>0</v>
      </c>
      <c r="Q651" s="5" t="n">
        <v>0</v>
      </c>
      <c r="R651" s="5" t="n">
        <v>0</v>
      </c>
      <c r="S651" s="5" t="n">
        <v>0</v>
      </c>
      <c r="T651" s="5" t="n">
        <v>0</v>
      </c>
      <c r="U651" s="5" t="inlineStr">
        <is>
          <t>training</t>
        </is>
      </c>
    </row>
    <row r="652">
      <c r="A652" s="5" t="n">
        <v>624</v>
      </c>
      <c r="B652" s="5" t="n">
        <v>0</v>
      </c>
      <c r="C652" s="5" t="n">
        <v>12</v>
      </c>
      <c r="D652" s="5" t="n">
        <v>1858</v>
      </c>
      <c r="E652" s="5" t="n">
        <v>22</v>
      </c>
      <c r="F652" s="5" t="n">
        <v>4</v>
      </c>
      <c r="G652" s="5" t="n">
        <v>1</v>
      </c>
      <c r="H652" s="5" t="n">
        <v>0</v>
      </c>
      <c r="I652" s="5" t="n">
        <v>0</v>
      </c>
      <c r="J652" s="5" t="n">
        <v>0</v>
      </c>
      <c r="K652" s="5" t="n">
        <v>0</v>
      </c>
      <c r="L652" s="5" t="n">
        <v>0</v>
      </c>
      <c r="M652" s="5" t="n">
        <v>0</v>
      </c>
      <c r="N652" s="5" t="n">
        <v>0</v>
      </c>
      <c r="O652" s="5" t="n">
        <v>0</v>
      </c>
      <c r="P652" s="5" t="n">
        <v>1</v>
      </c>
      <c r="Q652" s="5" t="n">
        <v>0</v>
      </c>
      <c r="R652" s="5" t="n">
        <v>0</v>
      </c>
      <c r="S652" s="5" t="n">
        <v>0</v>
      </c>
      <c r="T652" s="5" t="n">
        <v>1</v>
      </c>
      <c r="U652" s="5" t="inlineStr">
        <is>
          <t>testing</t>
        </is>
      </c>
    </row>
    <row r="653">
      <c r="A653" s="5" t="n">
        <v>625</v>
      </c>
      <c r="B653" s="5" t="n">
        <v>1</v>
      </c>
      <c r="C653" s="5" t="n">
        <v>18</v>
      </c>
      <c r="D653" s="5" t="n">
        <v>2600</v>
      </c>
      <c r="E653" s="5" t="n">
        <v>65</v>
      </c>
      <c r="F653" s="5" t="n">
        <v>4</v>
      </c>
      <c r="G653" s="5" t="n">
        <v>1</v>
      </c>
      <c r="H653" s="5" t="n">
        <v>0</v>
      </c>
      <c r="I653" s="5" t="n">
        <v>0</v>
      </c>
      <c r="J653" s="5" t="n">
        <v>0</v>
      </c>
      <c r="K653" s="5" t="n">
        <v>0</v>
      </c>
      <c r="L653" s="5" t="n">
        <v>0</v>
      </c>
      <c r="M653" s="5" t="n">
        <v>0</v>
      </c>
      <c r="N653" s="5" t="n">
        <v>0</v>
      </c>
      <c r="O653" s="5" t="n">
        <v>0</v>
      </c>
      <c r="P653" s="5" t="n">
        <v>0</v>
      </c>
      <c r="Q653" s="5" t="n">
        <v>1</v>
      </c>
      <c r="R653" s="5" t="n">
        <v>0</v>
      </c>
      <c r="S653" s="5" t="n">
        <v>1</v>
      </c>
      <c r="T653" s="5" t="n">
        <v>0</v>
      </c>
      <c r="U653" s="5" t="inlineStr">
        <is>
          <t>training</t>
        </is>
      </c>
    </row>
    <row r="654">
      <c r="A654" s="5" t="n">
        <v>626</v>
      </c>
      <c r="B654" s="5" t="n">
        <v>0</v>
      </c>
      <c r="C654" s="5" t="n">
        <v>15</v>
      </c>
      <c r="D654" s="5" t="n">
        <v>1979</v>
      </c>
      <c r="E654" s="5" t="n">
        <v>35</v>
      </c>
      <c r="F654" s="5" t="n">
        <v>4</v>
      </c>
      <c r="G654" s="5" t="n">
        <v>0</v>
      </c>
      <c r="H654" s="5" t="n">
        <v>0</v>
      </c>
      <c r="I654" s="5" t="n">
        <v>0</v>
      </c>
      <c r="J654" s="5" t="n">
        <v>0</v>
      </c>
      <c r="K654" s="5" t="n">
        <v>0</v>
      </c>
      <c r="L654" s="5" t="n">
        <v>0</v>
      </c>
      <c r="M654" s="5" t="n">
        <v>0</v>
      </c>
      <c r="N654" s="5" t="n">
        <v>0</v>
      </c>
      <c r="O654" s="5" t="n">
        <v>1</v>
      </c>
      <c r="P654" s="5" t="n">
        <v>0</v>
      </c>
      <c r="Q654" s="5" t="n">
        <v>0</v>
      </c>
      <c r="R654" s="5" t="n">
        <v>0</v>
      </c>
      <c r="S654" s="5" t="n">
        <v>1</v>
      </c>
      <c r="T654" s="5" t="n">
        <v>0</v>
      </c>
      <c r="U654" s="5" t="inlineStr">
        <is>
          <t>training</t>
        </is>
      </c>
    </row>
    <row r="655">
      <c r="A655" s="5" t="n">
        <v>627</v>
      </c>
      <c r="B655" s="5" t="n">
        <v>0</v>
      </c>
      <c r="C655" s="5" t="n">
        <v>6</v>
      </c>
      <c r="D655" s="5" t="n">
        <v>2116</v>
      </c>
      <c r="E655" s="5" t="n">
        <v>41</v>
      </c>
      <c r="F655" s="5" t="n">
        <v>2</v>
      </c>
      <c r="G655" s="5" t="n">
        <v>0</v>
      </c>
      <c r="H655" s="5" t="n">
        <v>0</v>
      </c>
      <c r="I655" s="5" t="n">
        <v>1</v>
      </c>
      <c r="J655" s="5" t="n">
        <v>0</v>
      </c>
      <c r="K655" s="5" t="n">
        <v>0</v>
      </c>
      <c r="L655" s="5" t="n">
        <v>0</v>
      </c>
      <c r="M655" s="5" t="n">
        <v>0</v>
      </c>
      <c r="N655" s="5" t="n">
        <v>0</v>
      </c>
      <c r="O655" s="5" t="n">
        <v>0</v>
      </c>
      <c r="P655" s="5" t="n">
        <v>0</v>
      </c>
      <c r="Q655" s="5" t="n">
        <v>0</v>
      </c>
      <c r="R655" s="5" t="n">
        <v>0</v>
      </c>
      <c r="S655" s="5" t="n">
        <v>0</v>
      </c>
      <c r="T655" s="5" t="n">
        <v>1</v>
      </c>
      <c r="U655" s="5" t="inlineStr">
        <is>
          <t>training</t>
        </is>
      </c>
    </row>
    <row r="656">
      <c r="A656" s="5" t="n">
        <v>628</v>
      </c>
      <c r="B656" s="5" t="n">
        <v>1</v>
      </c>
      <c r="C656" s="5" t="n">
        <v>9</v>
      </c>
      <c r="D656" s="5" t="n">
        <v>1437</v>
      </c>
      <c r="E656" s="5" t="n">
        <v>29</v>
      </c>
      <c r="F656" s="5" t="n">
        <v>2</v>
      </c>
      <c r="G656" s="5" t="n">
        <v>0</v>
      </c>
      <c r="H656" s="5" t="n">
        <v>1</v>
      </c>
      <c r="I656" s="5" t="n">
        <v>0</v>
      </c>
      <c r="J656" s="5" t="n">
        <v>0</v>
      </c>
      <c r="K656" s="5" t="n">
        <v>0</v>
      </c>
      <c r="L656" s="5" t="n">
        <v>1</v>
      </c>
      <c r="M656" s="5" t="n">
        <v>1</v>
      </c>
      <c r="N656" s="5" t="n">
        <v>0</v>
      </c>
      <c r="O656" s="5" t="n">
        <v>0</v>
      </c>
      <c r="P656" s="5" t="n">
        <v>0</v>
      </c>
      <c r="Q656" s="5" t="n">
        <v>0</v>
      </c>
      <c r="R656" s="5" t="n">
        <v>1</v>
      </c>
      <c r="S656" s="5" t="n">
        <v>0</v>
      </c>
      <c r="T656" s="5" t="n">
        <v>0</v>
      </c>
      <c r="U656" s="5" t="inlineStr">
        <is>
          <t>training</t>
        </is>
      </c>
    </row>
    <row r="657">
      <c r="A657" s="5" t="n">
        <v>629</v>
      </c>
      <c r="B657" s="5" t="n">
        <v>0</v>
      </c>
      <c r="C657" s="5" t="n">
        <v>42</v>
      </c>
      <c r="D657" s="5" t="n">
        <v>4042</v>
      </c>
      <c r="E657" s="5" t="n">
        <v>36</v>
      </c>
      <c r="F657" s="5" t="n">
        <v>4</v>
      </c>
      <c r="G657" s="5" t="n">
        <v>0</v>
      </c>
      <c r="H657" s="5" t="n">
        <v>0</v>
      </c>
      <c r="I657" s="5" t="n">
        <v>0</v>
      </c>
      <c r="J657" s="5" t="n">
        <v>1</v>
      </c>
      <c r="K657" s="5" t="n">
        <v>0</v>
      </c>
      <c r="L657" s="5" t="n">
        <v>0</v>
      </c>
      <c r="M657" s="5" t="n">
        <v>1</v>
      </c>
      <c r="N657" s="5" t="n">
        <v>0</v>
      </c>
      <c r="O657" s="5" t="n">
        <v>0</v>
      </c>
      <c r="P657" s="5" t="n">
        <v>0</v>
      </c>
      <c r="Q657" s="5" t="n">
        <v>0</v>
      </c>
      <c r="R657" s="5" t="n">
        <v>0</v>
      </c>
      <c r="S657" s="5" t="n">
        <v>0</v>
      </c>
      <c r="T657" s="5" t="n">
        <v>1</v>
      </c>
      <c r="U657" s="5" t="inlineStr">
        <is>
          <t>training</t>
        </is>
      </c>
    </row>
    <row r="658">
      <c r="A658" s="5" t="n">
        <v>630</v>
      </c>
      <c r="B658" s="5" t="n">
        <v>0</v>
      </c>
      <c r="C658" s="5" t="n">
        <v>9</v>
      </c>
      <c r="D658" s="5" t="n">
        <v>3832</v>
      </c>
      <c r="E658" s="5" t="n">
        <v>64</v>
      </c>
      <c r="F658" s="5" t="n">
        <v>1</v>
      </c>
      <c r="G658" s="5" t="n">
        <v>0</v>
      </c>
      <c r="H658" s="5" t="n">
        <v>0</v>
      </c>
      <c r="I658" s="5" t="n">
        <v>0</v>
      </c>
      <c r="J658" s="5" t="n">
        <v>0</v>
      </c>
      <c r="K658" s="5" t="n">
        <v>0</v>
      </c>
      <c r="L658" s="5" t="n">
        <v>0</v>
      </c>
      <c r="M658" s="5" t="n">
        <v>0</v>
      </c>
      <c r="N658" s="5" t="n">
        <v>0</v>
      </c>
      <c r="O658" s="5" t="n">
        <v>1</v>
      </c>
      <c r="P658" s="5" t="n">
        <v>0</v>
      </c>
      <c r="Q658" s="5" t="n">
        <v>0</v>
      </c>
      <c r="R658" s="5" t="n">
        <v>0</v>
      </c>
      <c r="S658" s="5" t="n">
        <v>0</v>
      </c>
      <c r="T658" s="5" t="n">
        <v>0</v>
      </c>
      <c r="U658" s="5" t="inlineStr">
        <is>
          <t>testing</t>
        </is>
      </c>
    </row>
    <row r="659">
      <c r="A659" s="5" t="n">
        <v>631</v>
      </c>
      <c r="B659" s="5" t="n">
        <v>0</v>
      </c>
      <c r="C659" s="5" t="n">
        <v>24</v>
      </c>
      <c r="D659" s="5" t="n">
        <v>3660</v>
      </c>
      <c r="E659" s="5" t="n">
        <v>28</v>
      </c>
      <c r="F659" s="5" t="n">
        <v>2</v>
      </c>
      <c r="G659" s="5" t="n">
        <v>1</v>
      </c>
      <c r="H659" s="5" t="n">
        <v>0</v>
      </c>
      <c r="I659" s="5" t="n">
        <v>0</v>
      </c>
      <c r="J659" s="5" t="n">
        <v>0</v>
      </c>
      <c r="K659" s="5" t="n">
        <v>0</v>
      </c>
      <c r="L659" s="5" t="n">
        <v>0</v>
      </c>
      <c r="M659" s="5" t="n">
        <v>0</v>
      </c>
      <c r="N659" s="5" t="n">
        <v>0</v>
      </c>
      <c r="O659" s="5" t="n">
        <v>0</v>
      </c>
      <c r="P659" s="5" t="n">
        <v>0</v>
      </c>
      <c r="Q659" s="5" t="n">
        <v>0</v>
      </c>
      <c r="R659" s="5" t="n">
        <v>0</v>
      </c>
      <c r="S659" s="5" t="n">
        <v>1</v>
      </c>
      <c r="T659" s="5" t="n">
        <v>0</v>
      </c>
      <c r="U659" s="5" t="inlineStr">
        <is>
          <t>testing</t>
        </is>
      </c>
    </row>
    <row r="660">
      <c r="A660" s="5" t="n">
        <v>632</v>
      </c>
      <c r="B660" s="5" t="n">
        <v>1</v>
      </c>
      <c r="C660" s="5" t="n">
        <v>18</v>
      </c>
      <c r="D660" s="5" t="n">
        <v>1553</v>
      </c>
      <c r="E660" s="5" t="n">
        <v>44</v>
      </c>
      <c r="F660" s="5" t="n">
        <v>4</v>
      </c>
      <c r="G660" s="5" t="n">
        <v>1</v>
      </c>
      <c r="H660" s="5" t="n">
        <v>0</v>
      </c>
      <c r="I660" s="5" t="n">
        <v>0</v>
      </c>
      <c r="J660" s="5" t="n">
        <v>0</v>
      </c>
      <c r="K660" s="5" t="n">
        <v>0</v>
      </c>
      <c r="L660" s="5" t="n">
        <v>1</v>
      </c>
      <c r="M660" s="5" t="n">
        <v>0</v>
      </c>
      <c r="N660" s="5" t="n">
        <v>0</v>
      </c>
      <c r="O660" s="5" t="n">
        <v>0</v>
      </c>
      <c r="P660" s="5" t="n">
        <v>0</v>
      </c>
      <c r="Q660" s="5" t="n">
        <v>0</v>
      </c>
      <c r="R660" s="5" t="n">
        <v>0</v>
      </c>
      <c r="S660" s="5" t="n">
        <v>0</v>
      </c>
      <c r="T660" s="5" t="n">
        <v>1</v>
      </c>
      <c r="U660" s="5" t="inlineStr">
        <is>
          <t>training</t>
        </is>
      </c>
    </row>
    <row r="661">
      <c r="A661" s="5" t="n">
        <v>633</v>
      </c>
      <c r="B661" s="5" t="n">
        <v>0</v>
      </c>
      <c r="C661" s="5" t="n">
        <v>15</v>
      </c>
      <c r="D661" s="5" t="n">
        <v>1444</v>
      </c>
      <c r="E661" s="5" t="n">
        <v>23</v>
      </c>
      <c r="F661" s="5" t="n">
        <v>4</v>
      </c>
      <c r="G661" s="5" t="n">
        <v>0</v>
      </c>
      <c r="H661" s="5" t="n">
        <v>1</v>
      </c>
      <c r="I661" s="5" t="n">
        <v>0</v>
      </c>
      <c r="J661" s="5" t="n">
        <v>0</v>
      </c>
      <c r="K661" s="5" t="n">
        <v>0</v>
      </c>
      <c r="L661" s="5" t="n">
        <v>0</v>
      </c>
      <c r="M661" s="5" t="n">
        <v>0</v>
      </c>
      <c r="N661" s="5" t="n">
        <v>0</v>
      </c>
      <c r="O661" s="5" t="n">
        <v>1</v>
      </c>
      <c r="P661" s="5" t="n">
        <v>0</v>
      </c>
      <c r="Q661" s="5" t="n">
        <v>0</v>
      </c>
      <c r="R661" s="5" t="n">
        <v>0</v>
      </c>
      <c r="S661" s="5" t="n">
        <v>1</v>
      </c>
      <c r="T661" s="5" t="n">
        <v>0</v>
      </c>
      <c r="U661" s="5" t="inlineStr">
        <is>
          <t>training</t>
        </is>
      </c>
    </row>
    <row r="662">
      <c r="A662" s="5" t="n">
        <v>634</v>
      </c>
      <c r="B662" s="5" t="n">
        <v>1</v>
      </c>
      <c r="C662" s="5" t="n">
        <v>9</v>
      </c>
      <c r="D662" s="5" t="n">
        <v>1980</v>
      </c>
      <c r="E662" s="5" t="n">
        <v>19</v>
      </c>
      <c r="F662" s="5" t="n">
        <v>2</v>
      </c>
      <c r="G662" s="5" t="n">
        <v>0</v>
      </c>
      <c r="H662" s="5" t="n">
        <v>0</v>
      </c>
      <c r="I662" s="5" t="n">
        <v>0</v>
      </c>
      <c r="J662" s="5" t="n">
        <v>0</v>
      </c>
      <c r="K662" s="5" t="n">
        <v>0</v>
      </c>
      <c r="L662" s="5" t="n">
        <v>0</v>
      </c>
      <c r="M662" s="5" t="n">
        <v>0</v>
      </c>
      <c r="N662" s="5" t="n">
        <v>0</v>
      </c>
      <c r="O662" s="5" t="n">
        <v>0</v>
      </c>
      <c r="P662" s="5" t="n">
        <v>1</v>
      </c>
      <c r="Q662" s="5" t="n">
        <v>0</v>
      </c>
      <c r="R662" s="5" t="n">
        <v>0</v>
      </c>
      <c r="S662" s="5" t="n">
        <v>0</v>
      </c>
      <c r="T662" s="5" t="n">
        <v>1</v>
      </c>
      <c r="U662" s="5" t="inlineStr">
        <is>
          <t>training</t>
        </is>
      </c>
    </row>
    <row r="663">
      <c r="A663" s="5" t="n">
        <v>635</v>
      </c>
      <c r="B663" s="5" t="n">
        <v>1</v>
      </c>
      <c r="C663" s="5" t="n">
        <v>24</v>
      </c>
      <c r="D663" s="5" t="n">
        <v>1355</v>
      </c>
      <c r="E663" s="5" t="n">
        <v>25</v>
      </c>
      <c r="F663" s="5" t="n">
        <v>3</v>
      </c>
      <c r="G663" s="5" t="n">
        <v>0</v>
      </c>
      <c r="H663" s="5" t="n">
        <v>1</v>
      </c>
      <c r="I663" s="5" t="n">
        <v>0</v>
      </c>
      <c r="J663" s="5" t="n">
        <v>0</v>
      </c>
      <c r="K663" s="5" t="n">
        <v>0</v>
      </c>
      <c r="L663" s="5" t="n">
        <v>0</v>
      </c>
      <c r="M663" s="5" t="n">
        <v>0</v>
      </c>
      <c r="N663" s="5" t="n">
        <v>0</v>
      </c>
      <c r="O663" s="5" t="n">
        <v>0</v>
      </c>
      <c r="P663" s="5" t="n">
        <v>0</v>
      </c>
      <c r="Q663" s="5" t="n">
        <v>0</v>
      </c>
      <c r="R663" s="5" t="n">
        <v>1</v>
      </c>
      <c r="S663" s="5" t="n">
        <v>0</v>
      </c>
      <c r="T663" s="5" t="n">
        <v>0</v>
      </c>
      <c r="U663" s="5" t="inlineStr">
        <is>
          <t>training</t>
        </is>
      </c>
    </row>
    <row r="664">
      <c r="A664" s="5" t="n">
        <v>636</v>
      </c>
      <c r="B664" s="5" t="n">
        <v>0</v>
      </c>
      <c r="C664" s="5" t="n">
        <v>12</v>
      </c>
      <c r="D664" s="5" t="n">
        <v>1393</v>
      </c>
      <c r="E664" s="5" t="n">
        <v>47</v>
      </c>
      <c r="F664" s="5" t="n">
        <v>4</v>
      </c>
      <c r="G664" s="5" t="n">
        <v>0</v>
      </c>
      <c r="H664" s="5" t="n">
        <v>0</v>
      </c>
      <c r="I664" s="5" t="n">
        <v>0</v>
      </c>
      <c r="J664" s="5" t="n">
        <v>0</v>
      </c>
      <c r="K664" s="5" t="n">
        <v>0</v>
      </c>
      <c r="L664" s="5" t="n">
        <v>0</v>
      </c>
      <c r="M664" s="5" t="n">
        <v>0</v>
      </c>
      <c r="N664" s="5" t="n">
        <v>0</v>
      </c>
      <c r="O664" s="5" t="n">
        <v>0</v>
      </c>
      <c r="P664" s="5" t="n">
        <v>0</v>
      </c>
      <c r="Q664" s="5" t="n">
        <v>0</v>
      </c>
      <c r="R664" s="5" t="n">
        <v>0</v>
      </c>
      <c r="S664" s="5" t="n">
        <v>0</v>
      </c>
      <c r="T664" s="5" t="n">
        <v>0</v>
      </c>
      <c r="U664" s="5" t="inlineStr">
        <is>
          <t>training</t>
        </is>
      </c>
    </row>
    <row r="665">
      <c r="A665" s="5" t="n">
        <v>637</v>
      </c>
      <c r="B665" s="5" t="n">
        <v>0</v>
      </c>
      <c r="C665" s="5" t="n">
        <v>24</v>
      </c>
      <c r="D665" s="5" t="n">
        <v>1376</v>
      </c>
      <c r="E665" s="5" t="n">
        <v>28</v>
      </c>
      <c r="F665" s="5" t="n">
        <v>4</v>
      </c>
      <c r="G665" s="5" t="n">
        <v>0</v>
      </c>
      <c r="H665" s="5" t="n">
        <v>0</v>
      </c>
      <c r="I665" s="5" t="n">
        <v>0</v>
      </c>
      <c r="J665" s="5" t="n">
        <v>0</v>
      </c>
      <c r="K665" s="5" t="n">
        <v>0</v>
      </c>
      <c r="L665" s="5" t="n">
        <v>0</v>
      </c>
      <c r="M665" s="5" t="n">
        <v>1</v>
      </c>
      <c r="N665" s="5" t="n">
        <v>0</v>
      </c>
      <c r="O665" s="5" t="n">
        <v>0</v>
      </c>
      <c r="P665" s="5" t="n">
        <v>0</v>
      </c>
      <c r="Q665" s="5" t="n">
        <v>0</v>
      </c>
      <c r="R665" s="5" t="n">
        <v>0</v>
      </c>
      <c r="S665" s="5" t="n">
        <v>1</v>
      </c>
      <c r="T665" s="5" t="n">
        <v>0</v>
      </c>
      <c r="U665" s="5" t="inlineStr">
        <is>
          <t>training</t>
        </is>
      </c>
    </row>
    <row r="666">
      <c r="A666" s="5" t="n">
        <v>638</v>
      </c>
      <c r="B666" s="5" t="n">
        <v>0</v>
      </c>
      <c r="C666" s="5" t="n">
        <v>60</v>
      </c>
      <c r="D666" s="5" t="n">
        <v>15653</v>
      </c>
      <c r="E666" s="5" t="n">
        <v>21</v>
      </c>
      <c r="F666" s="5" t="n">
        <v>2</v>
      </c>
      <c r="G666" s="5" t="n">
        <v>0</v>
      </c>
      <c r="H666" s="5" t="n">
        <v>0</v>
      </c>
      <c r="I666" s="5" t="n">
        <v>0</v>
      </c>
      <c r="J666" s="5" t="n">
        <v>0</v>
      </c>
      <c r="K666" s="5" t="n">
        <v>1</v>
      </c>
      <c r="L666" s="5" t="n">
        <v>0</v>
      </c>
      <c r="M666" s="5" t="n">
        <v>0</v>
      </c>
      <c r="N666" s="5" t="n">
        <v>0</v>
      </c>
      <c r="O666" s="5" t="n">
        <v>0</v>
      </c>
      <c r="P666" s="5" t="n">
        <v>0</v>
      </c>
      <c r="Q666" s="5" t="n">
        <v>0</v>
      </c>
      <c r="R666" s="5" t="n">
        <v>0</v>
      </c>
      <c r="S666" s="5" t="n">
        <v>1</v>
      </c>
      <c r="T666" s="5" t="n">
        <v>0</v>
      </c>
      <c r="U666" s="5" t="inlineStr">
        <is>
          <t>training</t>
        </is>
      </c>
    </row>
    <row r="667">
      <c r="A667" s="5" t="n">
        <v>639</v>
      </c>
      <c r="B667" s="5" t="n">
        <v>0</v>
      </c>
      <c r="C667" s="5" t="n">
        <v>12</v>
      </c>
      <c r="D667" s="5" t="n">
        <v>1493</v>
      </c>
      <c r="E667" s="5" t="n">
        <v>34</v>
      </c>
      <c r="F667" s="5" t="n">
        <v>4</v>
      </c>
      <c r="G667" s="5" t="n">
        <v>0</v>
      </c>
      <c r="H667" s="5" t="n">
        <v>0</v>
      </c>
      <c r="I667" s="5" t="n">
        <v>0</v>
      </c>
      <c r="J667" s="5" t="n">
        <v>0</v>
      </c>
      <c r="K667" s="5" t="n">
        <v>0</v>
      </c>
      <c r="L667" s="5" t="n">
        <v>0</v>
      </c>
      <c r="M667" s="5" t="n">
        <v>0</v>
      </c>
      <c r="N667" s="5" t="n">
        <v>0</v>
      </c>
      <c r="O667" s="5" t="n">
        <v>0</v>
      </c>
      <c r="P667" s="5" t="n">
        <v>0</v>
      </c>
      <c r="Q667" s="5" t="n">
        <v>0</v>
      </c>
      <c r="R667" s="5" t="n">
        <v>0</v>
      </c>
      <c r="S667" s="5" t="n">
        <v>1</v>
      </c>
      <c r="T667" s="5" t="n">
        <v>0</v>
      </c>
      <c r="U667" s="5" t="inlineStr">
        <is>
          <t>training</t>
        </is>
      </c>
    </row>
    <row r="668">
      <c r="A668" s="5" t="n">
        <v>640</v>
      </c>
      <c r="B668" s="5" t="n">
        <v>1</v>
      </c>
      <c r="C668" s="5" t="n">
        <v>42</v>
      </c>
      <c r="D668" s="5" t="n">
        <v>4370</v>
      </c>
      <c r="E668" s="5" t="n">
        <v>26</v>
      </c>
      <c r="F668" s="5" t="n">
        <v>3</v>
      </c>
      <c r="G668" s="5" t="n">
        <v>1</v>
      </c>
      <c r="H668" s="5" t="n">
        <v>0</v>
      </c>
      <c r="I668" s="5" t="n">
        <v>0</v>
      </c>
      <c r="J668" s="5" t="n">
        <v>0</v>
      </c>
      <c r="K668" s="5" t="n">
        <v>1</v>
      </c>
      <c r="L668" s="5" t="n">
        <v>0</v>
      </c>
      <c r="M668" s="5" t="n">
        <v>0</v>
      </c>
      <c r="N668" s="5" t="n">
        <v>0</v>
      </c>
      <c r="O668" s="5" t="n">
        <v>0</v>
      </c>
      <c r="P668" s="5" t="n">
        <v>0</v>
      </c>
      <c r="Q668" s="5" t="n">
        <v>0</v>
      </c>
      <c r="R668" s="5" t="n">
        <v>0</v>
      </c>
      <c r="S668" s="5" t="n">
        <v>1</v>
      </c>
      <c r="T668" s="5" t="n">
        <v>0</v>
      </c>
      <c r="U668" s="5" t="inlineStr">
        <is>
          <t>testing</t>
        </is>
      </c>
    </row>
    <row r="669">
      <c r="A669" s="5" t="n">
        <v>641</v>
      </c>
      <c r="B669" s="5" t="n">
        <v>1</v>
      </c>
      <c r="C669" s="5" t="n">
        <v>18</v>
      </c>
      <c r="D669" s="5" t="n">
        <v>750</v>
      </c>
      <c r="E669" s="5" t="n">
        <v>27</v>
      </c>
      <c r="F669" s="5" t="n">
        <v>4</v>
      </c>
      <c r="G669" s="5" t="n">
        <v>1</v>
      </c>
      <c r="H669" s="5" t="n">
        <v>0</v>
      </c>
      <c r="I669" s="5" t="n">
        <v>0</v>
      </c>
      <c r="J669" s="5" t="n">
        <v>0</v>
      </c>
      <c r="K669" s="5" t="n">
        <v>0</v>
      </c>
      <c r="L669" s="5" t="n">
        <v>0</v>
      </c>
      <c r="M669" s="5" t="n">
        <v>0</v>
      </c>
      <c r="N669" s="5" t="n">
        <v>0</v>
      </c>
      <c r="O669" s="5" t="n">
        <v>0</v>
      </c>
      <c r="P669" s="5" t="n">
        <v>0</v>
      </c>
      <c r="Q669" s="5" t="n">
        <v>0</v>
      </c>
      <c r="R669" s="5" t="n">
        <v>0</v>
      </c>
      <c r="S669" s="5" t="n">
        <v>0</v>
      </c>
      <c r="T669" s="5" t="n">
        <v>0</v>
      </c>
      <c r="U669" s="5" t="inlineStr">
        <is>
          <t>testing</t>
        </is>
      </c>
    </row>
    <row r="670">
      <c r="A670" s="5" t="n">
        <v>642</v>
      </c>
      <c r="B670" s="5" t="n">
        <v>0</v>
      </c>
      <c r="C670" s="5" t="n">
        <v>15</v>
      </c>
      <c r="D670" s="5" t="n">
        <v>1308</v>
      </c>
      <c r="E670" s="5" t="n">
        <v>38</v>
      </c>
      <c r="F670" s="5" t="n">
        <v>4</v>
      </c>
      <c r="G670" s="5" t="n">
        <v>0</v>
      </c>
      <c r="H670" s="5" t="n">
        <v>1</v>
      </c>
      <c r="I670" s="5" t="n">
        <v>0</v>
      </c>
      <c r="J670" s="5" t="n">
        <v>0</v>
      </c>
      <c r="K670" s="5" t="n">
        <v>0</v>
      </c>
      <c r="L670" s="5" t="n">
        <v>0</v>
      </c>
      <c r="M670" s="5" t="n">
        <v>0</v>
      </c>
      <c r="N670" s="5" t="n">
        <v>0</v>
      </c>
      <c r="O670" s="5" t="n">
        <v>0</v>
      </c>
      <c r="P670" s="5" t="n">
        <v>0</v>
      </c>
      <c r="Q670" s="5" t="n">
        <v>0</v>
      </c>
      <c r="R670" s="5" t="n">
        <v>0</v>
      </c>
      <c r="S670" s="5" t="n">
        <v>0</v>
      </c>
      <c r="T670" s="5" t="n">
        <v>0</v>
      </c>
      <c r="U670" s="5" t="inlineStr">
        <is>
          <t>training</t>
        </is>
      </c>
    </row>
    <row r="671">
      <c r="A671" s="5" t="n">
        <v>643</v>
      </c>
      <c r="B671" s="5" t="n">
        <v>1</v>
      </c>
      <c r="C671" s="5" t="n">
        <v>15</v>
      </c>
      <c r="D671" s="5" t="n">
        <v>4623</v>
      </c>
      <c r="E671" s="5" t="n">
        <v>40</v>
      </c>
      <c r="F671" s="5" t="n">
        <v>3</v>
      </c>
      <c r="G671" s="5" t="n">
        <v>0</v>
      </c>
      <c r="H671" s="5" t="n">
        <v>0</v>
      </c>
      <c r="I671" s="5" t="n">
        <v>0</v>
      </c>
      <c r="J671" s="5" t="n">
        <v>0</v>
      </c>
      <c r="K671" s="5" t="n">
        <v>0</v>
      </c>
      <c r="L671" s="5" t="n">
        <v>0</v>
      </c>
      <c r="M671" s="5" t="n">
        <v>1</v>
      </c>
      <c r="N671" s="5" t="n">
        <v>0</v>
      </c>
      <c r="O671" s="5" t="n">
        <v>0</v>
      </c>
      <c r="P671" s="5" t="n">
        <v>0</v>
      </c>
      <c r="Q671" s="5" t="n">
        <v>0</v>
      </c>
      <c r="R671" s="5" t="n">
        <v>0</v>
      </c>
      <c r="S671" s="5" t="n">
        <v>0</v>
      </c>
      <c r="T671" s="5" t="n">
        <v>0</v>
      </c>
      <c r="U671" s="5" t="inlineStr">
        <is>
          <t>training</t>
        </is>
      </c>
    </row>
    <row r="672">
      <c r="A672" s="5" t="n">
        <v>644</v>
      </c>
      <c r="B672" s="5" t="n">
        <v>0</v>
      </c>
      <c r="C672" s="5" t="n">
        <v>24</v>
      </c>
      <c r="D672" s="5" t="n">
        <v>1851</v>
      </c>
      <c r="E672" s="5" t="n">
        <v>33</v>
      </c>
      <c r="F672" s="5" t="n">
        <v>4</v>
      </c>
      <c r="G672" s="5" t="n">
        <v>0</v>
      </c>
      <c r="H672" s="5" t="n">
        <v>0</v>
      </c>
      <c r="I672" s="5" t="n">
        <v>0</v>
      </c>
      <c r="J672" s="5" t="n">
        <v>1</v>
      </c>
      <c r="K672" s="5" t="n">
        <v>0</v>
      </c>
      <c r="L672" s="5" t="n">
        <v>0</v>
      </c>
      <c r="M672" s="5" t="n">
        <v>0</v>
      </c>
      <c r="N672" s="5" t="n">
        <v>0</v>
      </c>
      <c r="O672" s="5" t="n">
        <v>0</v>
      </c>
      <c r="P672" s="5" t="n">
        <v>0</v>
      </c>
      <c r="Q672" s="5" t="n">
        <v>0</v>
      </c>
      <c r="R672" s="5" t="n">
        <v>0</v>
      </c>
      <c r="S672" s="5" t="n">
        <v>1</v>
      </c>
      <c r="T672" s="5" t="n">
        <v>0</v>
      </c>
      <c r="U672" s="5" t="inlineStr">
        <is>
          <t>training</t>
        </is>
      </c>
    </row>
    <row r="673">
      <c r="A673" s="5" t="n">
        <v>645</v>
      </c>
      <c r="B673" s="5" t="n">
        <v>0</v>
      </c>
      <c r="C673" s="5" t="n">
        <v>18</v>
      </c>
      <c r="D673" s="5" t="n">
        <v>1880</v>
      </c>
      <c r="E673" s="5" t="n">
        <v>32</v>
      </c>
      <c r="F673" s="5" t="n">
        <v>4</v>
      </c>
      <c r="G673" s="5" t="n">
        <v>1</v>
      </c>
      <c r="H673" s="5" t="n">
        <v>0</v>
      </c>
      <c r="I673" s="5" t="n">
        <v>0</v>
      </c>
      <c r="J673" s="5" t="n">
        <v>1</v>
      </c>
      <c r="K673" s="5" t="n">
        <v>0</v>
      </c>
      <c r="L673" s="5" t="n">
        <v>0</v>
      </c>
      <c r="M673" s="5" t="n">
        <v>0</v>
      </c>
      <c r="N673" s="5" t="n">
        <v>0</v>
      </c>
      <c r="O673" s="5" t="n">
        <v>0</v>
      </c>
      <c r="P673" s="5" t="n">
        <v>0</v>
      </c>
      <c r="Q673" s="5" t="n">
        <v>0</v>
      </c>
      <c r="R673" s="5" t="n">
        <v>0</v>
      </c>
      <c r="S673" s="5" t="n">
        <v>1</v>
      </c>
      <c r="T673" s="5" t="n">
        <v>0</v>
      </c>
      <c r="U673" s="5" t="inlineStr">
        <is>
          <t>testing</t>
        </is>
      </c>
    </row>
    <row r="674">
      <c r="A674" s="5" t="n">
        <v>646</v>
      </c>
      <c r="B674" s="5" t="n">
        <v>1</v>
      </c>
      <c r="C674" s="5" t="n">
        <v>36</v>
      </c>
      <c r="D674" s="5" t="n">
        <v>7980</v>
      </c>
      <c r="E674" s="5" t="n">
        <v>27</v>
      </c>
      <c r="F674" s="5" t="n">
        <v>4</v>
      </c>
      <c r="G674" s="5" t="n">
        <v>0</v>
      </c>
      <c r="H674" s="5" t="n">
        <v>0</v>
      </c>
      <c r="I674" s="5" t="n">
        <v>0</v>
      </c>
      <c r="J674" s="5" t="n">
        <v>0</v>
      </c>
      <c r="K674" s="5" t="n">
        <v>1</v>
      </c>
      <c r="L674" s="5" t="n">
        <v>0</v>
      </c>
      <c r="M674" s="5" t="n">
        <v>0</v>
      </c>
      <c r="N674" s="5" t="n">
        <v>0</v>
      </c>
      <c r="O674" s="5" t="n">
        <v>1</v>
      </c>
      <c r="P674" s="5" t="n">
        <v>1</v>
      </c>
      <c r="Q674" s="5" t="n">
        <v>0</v>
      </c>
      <c r="R674" s="5" t="n">
        <v>0</v>
      </c>
      <c r="S674" s="5" t="n">
        <v>0</v>
      </c>
      <c r="T674" s="5" t="n">
        <v>0</v>
      </c>
      <c r="U674" s="5" t="inlineStr">
        <is>
          <t>training</t>
        </is>
      </c>
    </row>
    <row r="675">
      <c r="A675" s="5" t="n">
        <v>647</v>
      </c>
      <c r="B675" s="5" t="n">
        <v>0</v>
      </c>
      <c r="C675" s="5" t="n">
        <v>30</v>
      </c>
      <c r="D675" s="5" t="n">
        <v>4583</v>
      </c>
      <c r="E675" s="5" t="n">
        <v>32</v>
      </c>
      <c r="F675" s="5" t="n">
        <v>2</v>
      </c>
      <c r="G675" s="5" t="n">
        <v>1</v>
      </c>
      <c r="H675" s="5" t="n">
        <v>0</v>
      </c>
      <c r="I675" s="5" t="n">
        <v>0</v>
      </c>
      <c r="J675" s="5" t="n">
        <v>0</v>
      </c>
      <c r="K675" s="5" t="n">
        <v>0</v>
      </c>
      <c r="L675" s="5" t="n">
        <v>1</v>
      </c>
      <c r="M675" s="5" t="n">
        <v>0</v>
      </c>
      <c r="N675" s="5" t="n">
        <v>0</v>
      </c>
      <c r="O675" s="5" t="n">
        <v>0</v>
      </c>
      <c r="P675" s="5" t="n">
        <v>0</v>
      </c>
      <c r="Q675" s="5" t="n">
        <v>0</v>
      </c>
      <c r="R675" s="5" t="n">
        <v>0</v>
      </c>
      <c r="S675" s="5" t="n">
        <v>0</v>
      </c>
      <c r="T675" s="5" t="n">
        <v>1</v>
      </c>
      <c r="U675" s="5" t="inlineStr">
        <is>
          <t>training</t>
        </is>
      </c>
    </row>
    <row r="676">
      <c r="A676" s="5" t="n">
        <v>648</v>
      </c>
      <c r="B676" s="5" t="n">
        <v>1</v>
      </c>
      <c r="C676" s="5" t="n">
        <v>12</v>
      </c>
      <c r="D676" s="5" t="n">
        <v>1386</v>
      </c>
      <c r="E676" s="5" t="n">
        <v>26</v>
      </c>
      <c r="F676" s="5" t="n">
        <v>2</v>
      </c>
      <c r="G676" s="5" t="n">
        <v>0</v>
      </c>
      <c r="H676" s="5" t="n">
        <v>0</v>
      </c>
      <c r="I676" s="5" t="n">
        <v>0</v>
      </c>
      <c r="J676" s="5" t="n">
        <v>0</v>
      </c>
      <c r="K676" s="5" t="n">
        <v>0</v>
      </c>
      <c r="L676" s="5" t="n">
        <v>0</v>
      </c>
      <c r="M676" s="5" t="n">
        <v>1</v>
      </c>
      <c r="N676" s="5" t="n">
        <v>0</v>
      </c>
      <c r="O676" s="5" t="n">
        <v>0</v>
      </c>
      <c r="P676" s="5" t="n">
        <v>0</v>
      </c>
      <c r="Q676" s="5" t="n">
        <v>0</v>
      </c>
      <c r="R676" s="5" t="n">
        <v>1</v>
      </c>
      <c r="S676" s="5" t="n">
        <v>0</v>
      </c>
      <c r="T676" s="5" t="n">
        <v>0</v>
      </c>
      <c r="U676" s="5" t="inlineStr">
        <is>
          <t>training</t>
        </is>
      </c>
    </row>
    <row r="677">
      <c r="A677" s="5" t="n">
        <v>649</v>
      </c>
      <c r="B677" s="5" t="n">
        <v>1</v>
      </c>
      <c r="C677" s="5" t="n">
        <v>24</v>
      </c>
      <c r="D677" s="5" t="n">
        <v>947</v>
      </c>
      <c r="E677" s="5" t="n">
        <v>38</v>
      </c>
      <c r="F677" s="5" t="n">
        <v>4</v>
      </c>
      <c r="G677" s="5" t="n">
        <v>0</v>
      </c>
      <c r="H677" s="5" t="n">
        <v>0</v>
      </c>
      <c r="I677" s="5" t="n">
        <v>1</v>
      </c>
      <c r="J677" s="5" t="n">
        <v>0</v>
      </c>
      <c r="K677" s="5" t="n">
        <v>0</v>
      </c>
      <c r="L677" s="5" t="n">
        <v>0</v>
      </c>
      <c r="M677" s="5" t="n">
        <v>0</v>
      </c>
      <c r="N677" s="5" t="n">
        <v>0</v>
      </c>
      <c r="O677" s="5" t="n">
        <v>0</v>
      </c>
      <c r="P677" s="5" t="n">
        <v>0</v>
      </c>
      <c r="Q677" s="5" t="n">
        <v>1</v>
      </c>
      <c r="R677" s="5" t="n">
        <v>1</v>
      </c>
      <c r="S677" s="5" t="n">
        <v>0</v>
      </c>
      <c r="T677" s="5" t="n">
        <v>0</v>
      </c>
      <c r="U677" s="5" t="inlineStr">
        <is>
          <t>training</t>
        </is>
      </c>
    </row>
    <row r="678">
      <c r="A678" s="5" t="n">
        <v>650</v>
      </c>
      <c r="B678" s="5" t="n">
        <v>1</v>
      </c>
      <c r="C678" s="5" t="n">
        <v>12</v>
      </c>
      <c r="D678" s="5" t="n">
        <v>684</v>
      </c>
      <c r="E678" s="5" t="n">
        <v>40</v>
      </c>
      <c r="F678" s="5" t="n">
        <v>4</v>
      </c>
      <c r="G678" s="5" t="n">
        <v>1</v>
      </c>
      <c r="H678" s="5" t="n">
        <v>0</v>
      </c>
      <c r="I678" s="5" t="n">
        <v>0</v>
      </c>
      <c r="J678" s="5" t="n">
        <v>0</v>
      </c>
      <c r="K678" s="5" t="n">
        <v>0</v>
      </c>
      <c r="L678" s="5" t="n">
        <v>0</v>
      </c>
      <c r="M678" s="5" t="n">
        <v>0</v>
      </c>
      <c r="N678" s="5" t="n">
        <v>0</v>
      </c>
      <c r="O678" s="5" t="n">
        <v>0</v>
      </c>
      <c r="P678" s="5" t="n">
        <v>1</v>
      </c>
      <c r="Q678" s="5" t="n">
        <v>0</v>
      </c>
      <c r="R678" s="5" t="n">
        <v>0</v>
      </c>
      <c r="S678" s="5" t="n">
        <v>0</v>
      </c>
      <c r="T678" s="5" t="n">
        <v>0</v>
      </c>
      <c r="U678" s="5" t="inlineStr">
        <is>
          <t>training</t>
        </is>
      </c>
    </row>
    <row r="679">
      <c r="A679" s="5" t="n">
        <v>651</v>
      </c>
      <c r="B679" s="5" t="n">
        <v>0</v>
      </c>
      <c r="C679" s="5" t="n">
        <v>48</v>
      </c>
      <c r="D679" s="5" t="n">
        <v>7476</v>
      </c>
      <c r="E679" s="5" t="n">
        <v>50</v>
      </c>
      <c r="F679" s="5" t="n">
        <v>4</v>
      </c>
      <c r="G679" s="5" t="n">
        <v>1</v>
      </c>
      <c r="H679" s="5" t="n">
        <v>0</v>
      </c>
      <c r="I679" s="5" t="n">
        <v>0</v>
      </c>
      <c r="J679" s="5" t="n">
        <v>0</v>
      </c>
      <c r="K679" s="5" t="n">
        <v>0</v>
      </c>
      <c r="L679" s="5" t="n">
        <v>0</v>
      </c>
      <c r="M679" s="5" t="n">
        <v>0</v>
      </c>
      <c r="N679" s="5" t="n">
        <v>0</v>
      </c>
      <c r="O679" s="5" t="n">
        <v>0</v>
      </c>
      <c r="P679" s="5" t="n">
        <v>0</v>
      </c>
      <c r="Q679" s="5" t="n">
        <v>1</v>
      </c>
      <c r="R679" s="5" t="n">
        <v>0</v>
      </c>
      <c r="S679" s="5" t="n">
        <v>0</v>
      </c>
      <c r="T679" s="5" t="n">
        <v>0</v>
      </c>
      <c r="U679" s="5" t="inlineStr">
        <is>
          <t>training</t>
        </is>
      </c>
    </row>
    <row r="680">
      <c r="A680" s="5" t="n">
        <v>652</v>
      </c>
      <c r="B680" s="5" t="n">
        <v>1</v>
      </c>
      <c r="C680" s="5" t="n">
        <v>12</v>
      </c>
      <c r="D680" s="5" t="n">
        <v>1922</v>
      </c>
      <c r="E680" s="5" t="n">
        <v>37</v>
      </c>
      <c r="F680" s="5" t="n">
        <v>4</v>
      </c>
      <c r="G680" s="5" t="n">
        <v>0</v>
      </c>
      <c r="H680" s="5" t="n">
        <v>1</v>
      </c>
      <c r="I680" s="5" t="n">
        <v>0</v>
      </c>
      <c r="J680" s="5" t="n">
        <v>0</v>
      </c>
      <c r="K680" s="5" t="n">
        <v>0</v>
      </c>
      <c r="L680" s="5" t="n">
        <v>0</v>
      </c>
      <c r="M680" s="5" t="n">
        <v>0</v>
      </c>
      <c r="N680" s="5" t="n">
        <v>0</v>
      </c>
      <c r="O680" s="5" t="n">
        <v>0</v>
      </c>
      <c r="P680" s="5" t="n">
        <v>0</v>
      </c>
      <c r="Q680" s="5" t="n">
        <v>0</v>
      </c>
      <c r="R680" s="5" t="n">
        <v>0</v>
      </c>
      <c r="S680" s="5" t="n">
        <v>0</v>
      </c>
      <c r="T680" s="5" t="n">
        <v>1</v>
      </c>
      <c r="U680" s="5" t="inlineStr">
        <is>
          <t>testing</t>
        </is>
      </c>
    </row>
    <row r="681">
      <c r="A681" s="5" t="n">
        <v>653</v>
      </c>
      <c r="B681" s="5" t="n">
        <v>1</v>
      </c>
      <c r="C681" s="5" t="n">
        <v>24</v>
      </c>
      <c r="D681" s="5" t="n">
        <v>2303</v>
      </c>
      <c r="E681" s="5" t="n">
        <v>45</v>
      </c>
      <c r="F681" s="5" t="n">
        <v>4</v>
      </c>
      <c r="G681" s="5" t="n">
        <v>1</v>
      </c>
      <c r="H681" s="5" t="n">
        <v>0</v>
      </c>
      <c r="I681" s="5" t="n">
        <v>0</v>
      </c>
      <c r="J681" s="5" t="n">
        <v>0</v>
      </c>
      <c r="K681" s="5" t="n">
        <v>0</v>
      </c>
      <c r="L681" s="5" t="n">
        <v>0</v>
      </c>
      <c r="M681" s="5" t="n">
        <v>0</v>
      </c>
      <c r="N681" s="5" t="n">
        <v>0</v>
      </c>
      <c r="O681" s="5" t="n">
        <v>0</v>
      </c>
      <c r="P681" s="5" t="n">
        <v>0</v>
      </c>
      <c r="Q681" s="5" t="n">
        <v>0</v>
      </c>
      <c r="R681" s="5" t="n">
        <v>1</v>
      </c>
      <c r="S681" s="5" t="n">
        <v>0</v>
      </c>
      <c r="T681" s="5" t="n">
        <v>0</v>
      </c>
      <c r="U681" s="5" t="inlineStr">
        <is>
          <t>testing</t>
        </is>
      </c>
    </row>
    <row r="682">
      <c r="A682" s="5" t="n">
        <v>654</v>
      </c>
      <c r="B682" s="5" t="n">
        <v>1</v>
      </c>
      <c r="C682" s="5" t="n">
        <v>36</v>
      </c>
      <c r="D682" s="5" t="n">
        <v>8086</v>
      </c>
      <c r="E682" s="5" t="n">
        <v>42</v>
      </c>
      <c r="F682" s="5" t="n">
        <v>2</v>
      </c>
      <c r="G682" s="5" t="n">
        <v>0</v>
      </c>
      <c r="H682" s="5" t="n">
        <v>1</v>
      </c>
      <c r="I682" s="5" t="n">
        <v>0</v>
      </c>
      <c r="J682" s="5" t="n">
        <v>0</v>
      </c>
      <c r="K682" s="5" t="n">
        <v>1</v>
      </c>
      <c r="L682" s="5" t="n">
        <v>0</v>
      </c>
      <c r="M682" s="5" t="n">
        <v>1</v>
      </c>
      <c r="N682" s="5" t="n">
        <v>0</v>
      </c>
      <c r="O682" s="5" t="n">
        <v>0</v>
      </c>
      <c r="P682" s="5" t="n">
        <v>0</v>
      </c>
      <c r="Q682" s="5" t="n">
        <v>0</v>
      </c>
      <c r="R682" s="5" t="n">
        <v>1</v>
      </c>
      <c r="S682" s="5" t="n">
        <v>0</v>
      </c>
      <c r="T682" s="5" t="n">
        <v>0</v>
      </c>
      <c r="U682" s="5" t="inlineStr">
        <is>
          <t>training</t>
        </is>
      </c>
    </row>
    <row r="683">
      <c r="A683" s="5" t="n">
        <v>655</v>
      </c>
      <c r="B683" s="5" t="n">
        <v>0</v>
      </c>
      <c r="C683" s="5" t="n">
        <v>24</v>
      </c>
      <c r="D683" s="5" t="n">
        <v>2346</v>
      </c>
      <c r="E683" s="5" t="n">
        <v>35</v>
      </c>
      <c r="F683" s="5" t="n">
        <v>4</v>
      </c>
      <c r="G683" s="5" t="n">
        <v>0</v>
      </c>
      <c r="H683" s="5" t="n">
        <v>0</v>
      </c>
      <c r="I683" s="5" t="n">
        <v>0</v>
      </c>
      <c r="J683" s="5" t="n">
        <v>1</v>
      </c>
      <c r="K683" s="5" t="n">
        <v>0</v>
      </c>
      <c r="L683" s="5" t="n">
        <v>0</v>
      </c>
      <c r="M683" s="5" t="n">
        <v>0</v>
      </c>
      <c r="N683" s="5" t="n">
        <v>0</v>
      </c>
      <c r="O683" s="5" t="n">
        <v>0</v>
      </c>
      <c r="P683" s="5" t="n">
        <v>0</v>
      </c>
      <c r="Q683" s="5" t="n">
        <v>0</v>
      </c>
      <c r="R683" s="5" t="n">
        <v>1</v>
      </c>
      <c r="S683" s="5" t="n">
        <v>0</v>
      </c>
      <c r="T683" s="5" t="n">
        <v>0</v>
      </c>
      <c r="U683" s="5" t="inlineStr">
        <is>
          <t>testing</t>
        </is>
      </c>
    </row>
    <row r="684">
      <c r="A684" s="5" t="n">
        <v>656</v>
      </c>
      <c r="B684" s="5" t="n">
        <v>0</v>
      </c>
      <c r="C684" s="5" t="n">
        <v>14</v>
      </c>
      <c r="D684" s="5" t="n">
        <v>3973</v>
      </c>
      <c r="E684" s="5" t="n">
        <v>22</v>
      </c>
      <c r="F684" s="5" t="n">
        <v>1</v>
      </c>
      <c r="G684" s="5" t="n">
        <v>1</v>
      </c>
      <c r="H684" s="5" t="n">
        <v>0</v>
      </c>
      <c r="I684" s="5" t="n">
        <v>0</v>
      </c>
      <c r="J684" s="5" t="n">
        <v>0</v>
      </c>
      <c r="K684" s="5" t="n">
        <v>0</v>
      </c>
      <c r="L684" s="5" t="n">
        <v>0</v>
      </c>
      <c r="M684" s="5" t="n">
        <v>0</v>
      </c>
      <c r="N684" s="5" t="n">
        <v>0</v>
      </c>
      <c r="O684" s="5" t="n">
        <v>0</v>
      </c>
      <c r="P684" s="5" t="n">
        <v>0</v>
      </c>
      <c r="Q684" s="5" t="n">
        <v>1</v>
      </c>
      <c r="R684" s="5" t="n">
        <v>1</v>
      </c>
      <c r="S684" s="5" t="n">
        <v>0</v>
      </c>
      <c r="T684" s="5" t="n">
        <v>0</v>
      </c>
      <c r="U684" s="5" t="inlineStr">
        <is>
          <t>training</t>
        </is>
      </c>
    </row>
    <row r="685">
      <c r="A685" s="5" t="n">
        <v>657</v>
      </c>
      <c r="B685" s="5" t="n">
        <v>1</v>
      </c>
      <c r="C685" s="5" t="n">
        <v>12</v>
      </c>
      <c r="D685" s="5" t="n">
        <v>888</v>
      </c>
      <c r="E685" s="5" t="n">
        <v>41</v>
      </c>
      <c r="F685" s="5" t="n">
        <v>4</v>
      </c>
      <c r="G685" s="5" t="n">
        <v>0</v>
      </c>
      <c r="H685" s="5" t="n">
        <v>1</v>
      </c>
      <c r="I685" s="5" t="n">
        <v>0</v>
      </c>
      <c r="J685" s="5" t="n">
        <v>0</v>
      </c>
      <c r="K685" s="5" t="n">
        <v>0</v>
      </c>
      <c r="L685" s="5" t="n">
        <v>0</v>
      </c>
      <c r="M685" s="5" t="n">
        <v>0</v>
      </c>
      <c r="N685" s="5" t="n">
        <v>0</v>
      </c>
      <c r="O685" s="5" t="n">
        <v>0</v>
      </c>
      <c r="P685" s="5" t="n">
        <v>0</v>
      </c>
      <c r="Q685" s="5" t="n">
        <v>0</v>
      </c>
      <c r="R685" s="5" t="n">
        <v>1</v>
      </c>
      <c r="S685" s="5" t="n">
        <v>0</v>
      </c>
      <c r="T685" s="5" t="n">
        <v>0</v>
      </c>
      <c r="U685" s="5" t="inlineStr">
        <is>
          <t>testing</t>
        </is>
      </c>
    </row>
    <row r="686">
      <c r="A686" s="5" t="n">
        <v>658</v>
      </c>
      <c r="B686" s="5" t="n">
        <v>0</v>
      </c>
      <c r="C686" s="5" t="n">
        <v>48</v>
      </c>
      <c r="D686" s="5" t="n">
        <v>10222</v>
      </c>
      <c r="E686" s="5" t="n">
        <v>37</v>
      </c>
      <c r="F686" s="5" t="n">
        <v>4</v>
      </c>
      <c r="G686" s="5" t="n">
        <v>0</v>
      </c>
      <c r="H686" s="5" t="n">
        <v>0</v>
      </c>
      <c r="I686" s="5" t="n">
        <v>0</v>
      </c>
      <c r="J686" s="5" t="n">
        <v>0</v>
      </c>
      <c r="K686" s="5" t="n">
        <v>0</v>
      </c>
      <c r="L686" s="5" t="n">
        <v>0</v>
      </c>
      <c r="M686" s="5" t="n">
        <v>0</v>
      </c>
      <c r="N686" s="5" t="n">
        <v>0</v>
      </c>
      <c r="O686" s="5" t="n">
        <v>1</v>
      </c>
      <c r="P686" s="5" t="n">
        <v>0</v>
      </c>
      <c r="Q686" s="5" t="n">
        <v>0</v>
      </c>
      <c r="R686" s="5" t="n">
        <v>0</v>
      </c>
      <c r="S686" s="5" t="n">
        <v>1</v>
      </c>
      <c r="T686" s="5" t="n">
        <v>0</v>
      </c>
      <c r="U686" s="5" t="inlineStr">
        <is>
          <t>training</t>
        </is>
      </c>
    </row>
    <row r="687">
      <c r="A687" s="5" t="n">
        <v>659</v>
      </c>
      <c r="B687" s="5" t="n">
        <v>0</v>
      </c>
      <c r="C687" s="5" t="n">
        <v>30</v>
      </c>
      <c r="D687" s="5" t="n">
        <v>4221</v>
      </c>
      <c r="E687" s="5" t="n">
        <v>28</v>
      </c>
      <c r="F687" s="5" t="n">
        <v>2</v>
      </c>
      <c r="G687" s="5" t="n">
        <v>0</v>
      </c>
      <c r="H687" s="5" t="n">
        <v>1</v>
      </c>
      <c r="I687" s="5" t="n">
        <v>0</v>
      </c>
      <c r="J687" s="5" t="n">
        <v>0</v>
      </c>
      <c r="K687" s="5" t="n">
        <v>0</v>
      </c>
      <c r="L687" s="5" t="n">
        <v>1</v>
      </c>
      <c r="M687" s="5" t="n">
        <v>0</v>
      </c>
      <c r="N687" s="5" t="n">
        <v>0</v>
      </c>
      <c r="O687" s="5" t="n">
        <v>0</v>
      </c>
      <c r="P687" s="5" t="n">
        <v>0</v>
      </c>
      <c r="Q687" s="5" t="n">
        <v>0</v>
      </c>
      <c r="R687" s="5" t="n">
        <v>0</v>
      </c>
      <c r="S687" s="5" t="n">
        <v>0</v>
      </c>
      <c r="T687" s="5" t="n">
        <v>0</v>
      </c>
      <c r="U687" s="5" t="inlineStr">
        <is>
          <t>training</t>
        </is>
      </c>
    </row>
    <row r="688">
      <c r="A688" s="5" t="n">
        <v>660</v>
      </c>
      <c r="B688" s="5" t="n">
        <v>0</v>
      </c>
      <c r="C688" s="5" t="n">
        <v>18</v>
      </c>
      <c r="D688" s="5" t="n">
        <v>6361</v>
      </c>
      <c r="E688" s="5" t="n">
        <v>41</v>
      </c>
      <c r="F688" s="5" t="n">
        <v>2</v>
      </c>
      <c r="G688" s="5" t="n">
        <v>0</v>
      </c>
      <c r="H688" s="5" t="n">
        <v>1</v>
      </c>
      <c r="I688" s="5" t="n">
        <v>0</v>
      </c>
      <c r="J688" s="5" t="n">
        <v>1</v>
      </c>
      <c r="K688" s="5" t="n">
        <v>0</v>
      </c>
      <c r="L688" s="5" t="n">
        <v>0</v>
      </c>
      <c r="M688" s="5" t="n">
        <v>0</v>
      </c>
      <c r="N688" s="5" t="n">
        <v>0</v>
      </c>
      <c r="O688" s="5" t="n">
        <v>0</v>
      </c>
      <c r="P688" s="5" t="n">
        <v>0</v>
      </c>
      <c r="Q688" s="5" t="n">
        <v>0</v>
      </c>
      <c r="R688" s="5" t="n">
        <v>0</v>
      </c>
      <c r="S688" s="5" t="n">
        <v>0</v>
      </c>
      <c r="T688" s="5" t="n">
        <v>1</v>
      </c>
      <c r="U688" s="5" t="inlineStr">
        <is>
          <t>training</t>
        </is>
      </c>
    </row>
    <row r="689">
      <c r="A689" s="5" t="n">
        <v>661</v>
      </c>
      <c r="B689" s="5" t="n">
        <v>0</v>
      </c>
      <c r="C689" s="5" t="n">
        <v>12</v>
      </c>
      <c r="D689" s="5" t="n">
        <v>1297</v>
      </c>
      <c r="E689" s="5" t="n">
        <v>23</v>
      </c>
      <c r="F689" s="5" t="n">
        <v>3</v>
      </c>
      <c r="G689" s="5" t="n">
        <v>0</v>
      </c>
      <c r="H689" s="5" t="n">
        <v>0</v>
      </c>
      <c r="I689" s="5" t="n">
        <v>1</v>
      </c>
      <c r="J689" s="5" t="n">
        <v>0</v>
      </c>
      <c r="K689" s="5" t="n">
        <v>0</v>
      </c>
      <c r="L689" s="5" t="n">
        <v>0</v>
      </c>
      <c r="M689" s="5" t="n">
        <v>0</v>
      </c>
      <c r="N689" s="5" t="n">
        <v>0</v>
      </c>
      <c r="O689" s="5" t="n">
        <v>0</v>
      </c>
      <c r="P689" s="5" t="n">
        <v>1</v>
      </c>
      <c r="Q689" s="5" t="n">
        <v>0</v>
      </c>
      <c r="R689" s="5" t="n">
        <v>0</v>
      </c>
      <c r="S689" s="5" t="n">
        <v>1</v>
      </c>
      <c r="T689" s="5" t="n">
        <v>0</v>
      </c>
      <c r="U689" s="5" t="inlineStr">
        <is>
          <t>testing</t>
        </is>
      </c>
    </row>
    <row r="690">
      <c r="A690" s="5" t="n">
        <v>662</v>
      </c>
      <c r="B690" s="5" t="n">
        <v>1</v>
      </c>
      <c r="C690" s="5" t="n">
        <v>12</v>
      </c>
      <c r="D690" s="5" t="n">
        <v>900</v>
      </c>
      <c r="E690" s="5" t="n">
        <v>23</v>
      </c>
      <c r="F690" s="5" t="n">
        <v>4</v>
      </c>
      <c r="G690" s="5" t="n">
        <v>1</v>
      </c>
      <c r="H690" s="5" t="n">
        <v>0</v>
      </c>
      <c r="I690" s="5" t="n">
        <v>0</v>
      </c>
      <c r="J690" s="5" t="n">
        <v>0</v>
      </c>
      <c r="K690" s="5" t="n">
        <v>0</v>
      </c>
      <c r="L690" s="5" t="n">
        <v>0</v>
      </c>
      <c r="M690" s="5" t="n">
        <v>0</v>
      </c>
      <c r="N690" s="5" t="n">
        <v>0</v>
      </c>
      <c r="O690" s="5" t="n">
        <v>1</v>
      </c>
      <c r="P690" s="5" t="n">
        <v>0</v>
      </c>
      <c r="Q690" s="5" t="n">
        <v>0</v>
      </c>
      <c r="R690" s="5" t="n">
        <v>1</v>
      </c>
      <c r="S690" s="5" t="n">
        <v>0</v>
      </c>
      <c r="T690" s="5" t="n">
        <v>0</v>
      </c>
      <c r="U690" s="5" t="inlineStr">
        <is>
          <t>training</t>
        </is>
      </c>
    </row>
    <row r="691">
      <c r="A691" s="5" t="n">
        <v>663</v>
      </c>
      <c r="B691" s="5" t="n">
        <v>0</v>
      </c>
      <c r="C691" s="5" t="n">
        <v>21</v>
      </c>
      <c r="D691" s="5" t="n">
        <v>2241</v>
      </c>
      <c r="E691" s="5" t="n">
        <v>50</v>
      </c>
      <c r="F691" s="5" t="n">
        <v>4</v>
      </c>
      <c r="G691" s="5" t="n">
        <v>0</v>
      </c>
      <c r="H691" s="5" t="n">
        <v>0</v>
      </c>
      <c r="I691" s="5" t="n">
        <v>0</v>
      </c>
      <c r="J691" s="5" t="n">
        <v>0</v>
      </c>
      <c r="K691" s="5" t="n">
        <v>0</v>
      </c>
      <c r="L691" s="5" t="n">
        <v>0</v>
      </c>
      <c r="M691" s="5" t="n">
        <v>0</v>
      </c>
      <c r="N691" s="5" t="n">
        <v>0</v>
      </c>
      <c r="O691" s="5" t="n">
        <v>0</v>
      </c>
      <c r="P691" s="5" t="n">
        <v>0</v>
      </c>
      <c r="Q691" s="5" t="n">
        <v>0</v>
      </c>
      <c r="R691" s="5" t="n">
        <v>0</v>
      </c>
      <c r="S691" s="5" t="n">
        <v>0</v>
      </c>
      <c r="T691" s="5" t="n">
        <v>1</v>
      </c>
      <c r="U691" s="5" t="inlineStr">
        <is>
          <t>testing</t>
        </is>
      </c>
    </row>
    <row r="692">
      <c r="A692" s="5" t="n">
        <v>664</v>
      </c>
      <c r="B692" s="5" t="n">
        <v>0</v>
      </c>
      <c r="C692" s="5" t="n">
        <v>6</v>
      </c>
      <c r="D692" s="5" t="n">
        <v>1050</v>
      </c>
      <c r="E692" s="5" t="n">
        <v>35</v>
      </c>
      <c r="F692" s="5" t="n">
        <v>4</v>
      </c>
      <c r="G692" s="5" t="n">
        <v>0</v>
      </c>
      <c r="H692" s="5" t="n">
        <v>1</v>
      </c>
      <c r="I692" s="5" t="n">
        <v>0</v>
      </c>
      <c r="J692" s="5" t="n">
        <v>0</v>
      </c>
      <c r="K692" s="5" t="n">
        <v>1</v>
      </c>
      <c r="L692" s="5" t="n">
        <v>0</v>
      </c>
      <c r="M692" s="5" t="n">
        <v>0</v>
      </c>
      <c r="N692" s="5" t="n">
        <v>0</v>
      </c>
      <c r="O692" s="5" t="n">
        <v>0</v>
      </c>
      <c r="P692" s="5" t="n">
        <v>0</v>
      </c>
      <c r="Q692" s="5" t="n">
        <v>0</v>
      </c>
      <c r="R692" s="5" t="n">
        <v>0</v>
      </c>
      <c r="S692" s="5" t="n">
        <v>0</v>
      </c>
      <c r="T692" s="5" t="n">
        <v>1</v>
      </c>
      <c r="U692" s="5" t="inlineStr">
        <is>
          <t>training</t>
        </is>
      </c>
    </row>
    <row r="693">
      <c r="A693" s="5" t="n">
        <v>665</v>
      </c>
      <c r="B693" s="5" t="n">
        <v>0</v>
      </c>
      <c r="C693" s="5" t="n">
        <v>6</v>
      </c>
      <c r="D693" s="5" t="n">
        <v>1047</v>
      </c>
      <c r="E693" s="5" t="n">
        <v>50</v>
      </c>
      <c r="F693" s="5" t="n">
        <v>2</v>
      </c>
      <c r="G693" s="5" t="n">
        <v>0</v>
      </c>
      <c r="H693" s="5" t="n">
        <v>0</v>
      </c>
      <c r="I693" s="5" t="n">
        <v>1</v>
      </c>
      <c r="J693" s="5" t="n">
        <v>1</v>
      </c>
      <c r="K693" s="5" t="n">
        <v>0</v>
      </c>
      <c r="L693" s="5" t="n">
        <v>0</v>
      </c>
      <c r="M693" s="5" t="n">
        <v>0</v>
      </c>
      <c r="N693" s="5" t="n">
        <v>0</v>
      </c>
      <c r="O693" s="5" t="n">
        <v>0</v>
      </c>
      <c r="P693" s="5" t="n">
        <v>0</v>
      </c>
      <c r="Q693" s="5" t="n">
        <v>0</v>
      </c>
      <c r="R693" s="5" t="n">
        <v>0</v>
      </c>
      <c r="S693" s="5" t="n">
        <v>0</v>
      </c>
      <c r="T693" s="5" t="n">
        <v>0</v>
      </c>
      <c r="U693" s="5" t="inlineStr">
        <is>
          <t>testing</t>
        </is>
      </c>
    </row>
    <row r="694">
      <c r="A694" s="5" t="n">
        <v>666</v>
      </c>
      <c r="B694" s="5" t="n">
        <v>0</v>
      </c>
      <c r="C694" s="5" t="n">
        <v>24</v>
      </c>
      <c r="D694" s="5" t="n">
        <v>6314</v>
      </c>
      <c r="E694" s="5" t="n">
        <v>27</v>
      </c>
      <c r="F694" s="5" t="n">
        <v>4</v>
      </c>
      <c r="G694" s="5" t="n">
        <v>0</v>
      </c>
      <c r="H694" s="5" t="n">
        <v>0</v>
      </c>
      <c r="I694" s="5" t="n">
        <v>0</v>
      </c>
      <c r="J694" s="5" t="n">
        <v>1</v>
      </c>
      <c r="K694" s="5" t="n">
        <v>0</v>
      </c>
      <c r="L694" s="5" t="n">
        <v>0</v>
      </c>
      <c r="M694" s="5" t="n">
        <v>0</v>
      </c>
      <c r="N694" s="5" t="n">
        <v>0</v>
      </c>
      <c r="O694" s="5" t="n">
        <v>0</v>
      </c>
      <c r="P694" s="5" t="n">
        <v>0</v>
      </c>
      <c r="Q694" s="5" t="n">
        <v>0</v>
      </c>
      <c r="R694" s="5" t="n">
        <v>0</v>
      </c>
      <c r="S694" s="5" t="n">
        <v>0</v>
      </c>
      <c r="T694" s="5" t="n">
        <v>0</v>
      </c>
      <c r="U694" s="5" t="inlineStr">
        <is>
          <t>training</t>
        </is>
      </c>
    </row>
    <row r="695">
      <c r="A695" s="5" t="n">
        <v>667</v>
      </c>
      <c r="B695" s="5" t="n">
        <v>0</v>
      </c>
      <c r="C695" s="5" t="n">
        <v>30</v>
      </c>
      <c r="D695" s="5" t="n">
        <v>3496</v>
      </c>
      <c r="E695" s="5" t="n">
        <v>34</v>
      </c>
      <c r="F695" s="5" t="n">
        <v>4</v>
      </c>
      <c r="G695" s="5" t="n">
        <v>0</v>
      </c>
      <c r="H695" s="5" t="n">
        <v>1</v>
      </c>
      <c r="I695" s="5" t="n">
        <v>0</v>
      </c>
      <c r="J695" s="5" t="n">
        <v>0</v>
      </c>
      <c r="K695" s="5" t="n">
        <v>0</v>
      </c>
      <c r="L695" s="5" t="n">
        <v>1</v>
      </c>
      <c r="M695" s="5" t="n">
        <v>0</v>
      </c>
      <c r="N695" s="5" t="n">
        <v>1</v>
      </c>
      <c r="O695" s="5" t="n">
        <v>0</v>
      </c>
      <c r="P695" s="5" t="n">
        <v>0</v>
      </c>
      <c r="Q695" s="5" t="n">
        <v>0</v>
      </c>
      <c r="R695" s="5" t="n">
        <v>0</v>
      </c>
      <c r="S695" s="5" t="n">
        <v>0</v>
      </c>
      <c r="T695" s="5" t="n">
        <v>1</v>
      </c>
      <c r="U695" s="5" t="inlineStr">
        <is>
          <t>testing</t>
        </is>
      </c>
    </row>
    <row r="696">
      <c r="A696" s="5" t="n">
        <v>668</v>
      </c>
      <c r="B696" s="5" t="n">
        <v>0</v>
      </c>
      <c r="C696" s="5" t="n">
        <v>48</v>
      </c>
      <c r="D696" s="5" t="n">
        <v>3609</v>
      </c>
      <c r="E696" s="5" t="n">
        <v>27</v>
      </c>
      <c r="F696" s="5" t="n">
        <v>1</v>
      </c>
      <c r="G696" s="5" t="n">
        <v>0</v>
      </c>
      <c r="H696" s="5" t="n">
        <v>0</v>
      </c>
      <c r="I696" s="5" t="n">
        <v>0</v>
      </c>
      <c r="J696" s="5" t="n">
        <v>0</v>
      </c>
      <c r="K696" s="5" t="n">
        <v>0</v>
      </c>
      <c r="L696" s="5" t="n">
        <v>1</v>
      </c>
      <c r="M696" s="5" t="n">
        <v>0</v>
      </c>
      <c r="N696" s="5" t="n">
        <v>0</v>
      </c>
      <c r="O696" s="5" t="n">
        <v>0</v>
      </c>
      <c r="P696" s="5" t="n">
        <v>0</v>
      </c>
      <c r="Q696" s="5" t="n">
        <v>0</v>
      </c>
      <c r="R696" s="5" t="n">
        <v>0</v>
      </c>
      <c r="S696" s="5" t="n">
        <v>0</v>
      </c>
      <c r="T696" s="5" t="n">
        <v>0</v>
      </c>
      <c r="U696" s="5" t="inlineStr">
        <is>
          <t>training</t>
        </is>
      </c>
    </row>
    <row r="697">
      <c r="A697" s="5" t="n">
        <v>669</v>
      </c>
      <c r="B697" s="5" t="n">
        <v>1</v>
      </c>
      <c r="C697" s="5" t="n">
        <v>12</v>
      </c>
      <c r="D697" s="5" t="n">
        <v>4843</v>
      </c>
      <c r="E697" s="5" t="n">
        <v>43</v>
      </c>
      <c r="F697" s="5" t="n">
        <v>3</v>
      </c>
      <c r="G697" s="5" t="n">
        <v>1</v>
      </c>
      <c r="H697" s="5" t="n">
        <v>0</v>
      </c>
      <c r="I697" s="5" t="n">
        <v>0</v>
      </c>
      <c r="J697" s="5" t="n">
        <v>1</v>
      </c>
      <c r="K697" s="5" t="n">
        <v>0</v>
      </c>
      <c r="L697" s="5" t="n">
        <v>0</v>
      </c>
      <c r="M697" s="5" t="n">
        <v>0</v>
      </c>
      <c r="N697" s="5" t="n">
        <v>0</v>
      </c>
      <c r="O697" s="5" t="n">
        <v>0</v>
      </c>
      <c r="P697" s="5" t="n">
        <v>1</v>
      </c>
      <c r="Q697" s="5" t="n">
        <v>0</v>
      </c>
      <c r="R697" s="5" t="n">
        <v>1</v>
      </c>
      <c r="S697" s="5" t="n">
        <v>0</v>
      </c>
      <c r="T697" s="5" t="n">
        <v>0</v>
      </c>
      <c r="U697" s="5" t="inlineStr">
        <is>
          <t>testing</t>
        </is>
      </c>
    </row>
    <row r="698">
      <c r="A698" s="5" t="n">
        <v>670</v>
      </c>
      <c r="B698" s="5" t="n">
        <v>0</v>
      </c>
      <c r="C698" s="5" t="n">
        <v>30</v>
      </c>
      <c r="D698" s="5" t="n">
        <v>3017</v>
      </c>
      <c r="E698" s="5" t="n">
        <v>47</v>
      </c>
      <c r="F698" s="5" t="n">
        <v>4</v>
      </c>
      <c r="G698" s="5" t="n">
        <v>0</v>
      </c>
      <c r="H698" s="5" t="n">
        <v>0</v>
      </c>
      <c r="I698" s="5" t="n">
        <v>1</v>
      </c>
      <c r="J698" s="5" t="n">
        <v>1</v>
      </c>
      <c r="K698" s="5" t="n">
        <v>0</v>
      </c>
      <c r="L698" s="5" t="n">
        <v>0</v>
      </c>
      <c r="M698" s="5" t="n">
        <v>0</v>
      </c>
      <c r="N698" s="5" t="n">
        <v>0</v>
      </c>
      <c r="O698" s="5" t="n">
        <v>0</v>
      </c>
      <c r="P698" s="5" t="n">
        <v>0</v>
      </c>
      <c r="Q698" s="5" t="n">
        <v>0</v>
      </c>
      <c r="R698" s="5" t="n">
        <v>0</v>
      </c>
      <c r="S698" s="5" t="n">
        <v>1</v>
      </c>
      <c r="T698" s="5" t="n">
        <v>0</v>
      </c>
      <c r="U698" s="5" t="inlineStr">
        <is>
          <t>testing</t>
        </is>
      </c>
    </row>
    <row r="699">
      <c r="A699" s="5" t="n">
        <v>671</v>
      </c>
      <c r="B699" s="5" t="n">
        <v>0</v>
      </c>
      <c r="C699" s="5" t="n">
        <v>24</v>
      </c>
      <c r="D699" s="5" t="n">
        <v>4139</v>
      </c>
      <c r="E699" s="5" t="n">
        <v>27</v>
      </c>
      <c r="F699" s="5" t="n">
        <v>3</v>
      </c>
      <c r="G699" s="5" t="n">
        <v>0</v>
      </c>
      <c r="H699" s="5" t="n">
        <v>0</v>
      </c>
      <c r="I699" s="5" t="n">
        <v>0</v>
      </c>
      <c r="J699" s="5" t="n">
        <v>1</v>
      </c>
      <c r="K699" s="5" t="n">
        <v>0</v>
      </c>
      <c r="L699" s="5" t="n">
        <v>0</v>
      </c>
      <c r="M699" s="5" t="n">
        <v>1</v>
      </c>
      <c r="N699" s="5" t="n">
        <v>0</v>
      </c>
      <c r="O699" s="5" t="n">
        <v>0</v>
      </c>
      <c r="P699" s="5" t="n">
        <v>0</v>
      </c>
      <c r="Q699" s="5" t="n">
        <v>0</v>
      </c>
      <c r="R699" s="5" t="n">
        <v>0</v>
      </c>
      <c r="S699" s="5" t="n">
        <v>0</v>
      </c>
      <c r="T699" s="5" t="n">
        <v>0</v>
      </c>
      <c r="U699" s="5" t="inlineStr">
        <is>
          <t>training</t>
        </is>
      </c>
    </row>
    <row r="700">
      <c r="A700" s="5" t="n">
        <v>672</v>
      </c>
      <c r="B700" s="5" t="n">
        <v>0</v>
      </c>
      <c r="C700" s="5" t="n">
        <v>36</v>
      </c>
      <c r="D700" s="5" t="n">
        <v>5742</v>
      </c>
      <c r="E700" s="5" t="n">
        <v>31</v>
      </c>
      <c r="F700" s="5" t="n">
        <v>2</v>
      </c>
      <c r="G700" s="5" t="n">
        <v>0</v>
      </c>
      <c r="H700" s="5" t="n">
        <v>0</v>
      </c>
      <c r="I700" s="5" t="n">
        <v>0</v>
      </c>
      <c r="J700" s="5" t="n">
        <v>0</v>
      </c>
      <c r="K700" s="5" t="n">
        <v>0</v>
      </c>
      <c r="L700" s="5" t="n">
        <v>0</v>
      </c>
      <c r="M700" s="5" t="n">
        <v>1</v>
      </c>
      <c r="N700" s="5" t="n">
        <v>0</v>
      </c>
      <c r="O700" s="5" t="n">
        <v>0</v>
      </c>
      <c r="P700" s="5" t="n">
        <v>0</v>
      </c>
      <c r="Q700" s="5" t="n">
        <v>0</v>
      </c>
      <c r="R700" s="5" t="n">
        <v>0</v>
      </c>
      <c r="S700" s="5" t="n">
        <v>0</v>
      </c>
      <c r="T700" s="5" t="n">
        <v>0</v>
      </c>
      <c r="U700" s="5" t="inlineStr">
        <is>
          <t>training</t>
        </is>
      </c>
    </row>
    <row r="701">
      <c r="A701" s="5" t="n">
        <v>673</v>
      </c>
      <c r="B701" s="5" t="n">
        <v>0</v>
      </c>
      <c r="C701" s="5" t="n">
        <v>60</v>
      </c>
      <c r="D701" s="5" t="n">
        <v>10366</v>
      </c>
      <c r="E701" s="5" t="n">
        <v>42</v>
      </c>
      <c r="F701" s="5" t="n">
        <v>2</v>
      </c>
      <c r="G701" s="5" t="n">
        <v>0</v>
      </c>
      <c r="H701" s="5" t="n">
        <v>0</v>
      </c>
      <c r="I701" s="5" t="n">
        <v>0</v>
      </c>
      <c r="J701" s="5" t="n">
        <v>0</v>
      </c>
      <c r="K701" s="5" t="n">
        <v>0</v>
      </c>
      <c r="L701" s="5" t="n">
        <v>0</v>
      </c>
      <c r="M701" s="5" t="n">
        <v>0</v>
      </c>
      <c r="N701" s="5" t="n">
        <v>0</v>
      </c>
      <c r="O701" s="5" t="n">
        <v>0</v>
      </c>
      <c r="P701" s="5" t="n">
        <v>0</v>
      </c>
      <c r="Q701" s="5" t="n">
        <v>0</v>
      </c>
      <c r="R701" s="5" t="n">
        <v>1</v>
      </c>
      <c r="S701" s="5" t="n">
        <v>0</v>
      </c>
      <c r="T701" s="5" t="n">
        <v>0</v>
      </c>
      <c r="U701" s="5" t="inlineStr">
        <is>
          <t>training</t>
        </is>
      </c>
    </row>
    <row r="702">
      <c r="A702" s="5" t="n">
        <v>674</v>
      </c>
      <c r="B702" s="5" t="n">
        <v>0</v>
      </c>
      <c r="C702" s="5" t="n">
        <v>6</v>
      </c>
      <c r="D702" s="5" t="n">
        <v>2080</v>
      </c>
      <c r="E702" s="5" t="n">
        <v>24</v>
      </c>
      <c r="F702" s="5" t="n">
        <v>1</v>
      </c>
      <c r="G702" s="5" t="n">
        <v>0</v>
      </c>
      <c r="H702" s="5" t="n">
        <v>0</v>
      </c>
      <c r="I702" s="5" t="n">
        <v>0</v>
      </c>
      <c r="J702" s="5" t="n">
        <v>1</v>
      </c>
      <c r="K702" s="5" t="n">
        <v>0</v>
      </c>
      <c r="L702" s="5" t="n">
        <v>0</v>
      </c>
      <c r="M702" s="5" t="n">
        <v>1</v>
      </c>
      <c r="N702" s="5" t="n">
        <v>0</v>
      </c>
      <c r="O702" s="5" t="n">
        <v>0</v>
      </c>
      <c r="P702" s="5" t="n">
        <v>0</v>
      </c>
      <c r="Q702" s="5" t="n">
        <v>0</v>
      </c>
      <c r="R702" s="5" t="n">
        <v>1</v>
      </c>
      <c r="S702" s="5" t="n">
        <v>0</v>
      </c>
      <c r="T702" s="5" t="n">
        <v>0</v>
      </c>
      <c r="U702" s="5" t="inlineStr">
        <is>
          <t>training</t>
        </is>
      </c>
    </row>
    <row r="703">
      <c r="A703" s="5" t="n">
        <v>675</v>
      </c>
      <c r="B703" s="5" t="n">
        <v>1</v>
      </c>
      <c r="C703" s="5" t="n">
        <v>21</v>
      </c>
      <c r="D703" s="5" t="n">
        <v>2580</v>
      </c>
      <c r="E703" s="5" t="n">
        <v>41</v>
      </c>
      <c r="F703" s="5" t="n">
        <v>4</v>
      </c>
      <c r="G703" s="5" t="n">
        <v>0</v>
      </c>
      <c r="H703" s="5" t="n">
        <v>0</v>
      </c>
      <c r="I703" s="5" t="n">
        <v>0</v>
      </c>
      <c r="J703" s="5" t="n">
        <v>0</v>
      </c>
      <c r="K703" s="5" t="n">
        <v>1</v>
      </c>
      <c r="L703" s="5" t="n">
        <v>0</v>
      </c>
      <c r="M703" s="5" t="n">
        <v>1</v>
      </c>
      <c r="N703" s="5" t="n">
        <v>0</v>
      </c>
      <c r="O703" s="5" t="n">
        <v>0</v>
      </c>
      <c r="P703" s="5" t="n">
        <v>0</v>
      </c>
      <c r="Q703" s="5" t="n">
        <v>0</v>
      </c>
      <c r="R703" s="5" t="n">
        <v>0</v>
      </c>
      <c r="S703" s="5" t="n">
        <v>0</v>
      </c>
      <c r="T703" s="5" t="n">
        <v>0</v>
      </c>
      <c r="U703" s="5" t="inlineStr">
        <is>
          <t>training</t>
        </is>
      </c>
    </row>
    <row r="704">
      <c r="A704" s="5" t="n">
        <v>676</v>
      </c>
      <c r="B704" s="5" t="n">
        <v>0</v>
      </c>
      <c r="C704" s="5" t="n">
        <v>30</v>
      </c>
      <c r="D704" s="5" t="n">
        <v>4530</v>
      </c>
      <c r="E704" s="5" t="n">
        <v>26</v>
      </c>
      <c r="F704" s="5" t="n">
        <v>4</v>
      </c>
      <c r="G704" s="5" t="n">
        <v>0</v>
      </c>
      <c r="H704" s="5" t="n">
        <v>0</v>
      </c>
      <c r="I704" s="5" t="n">
        <v>0</v>
      </c>
      <c r="J704" s="5" t="n">
        <v>1</v>
      </c>
      <c r="K704" s="5" t="n">
        <v>0</v>
      </c>
      <c r="L704" s="5" t="n">
        <v>0</v>
      </c>
      <c r="M704" s="5" t="n">
        <v>0</v>
      </c>
      <c r="N704" s="5" t="n">
        <v>0</v>
      </c>
      <c r="O704" s="5" t="n">
        <v>0</v>
      </c>
      <c r="P704" s="5" t="n">
        <v>1</v>
      </c>
      <c r="Q704" s="5" t="n">
        <v>0</v>
      </c>
      <c r="R704" s="5" t="n">
        <v>0</v>
      </c>
      <c r="S704" s="5" t="n">
        <v>1</v>
      </c>
      <c r="T704" s="5" t="n">
        <v>0</v>
      </c>
      <c r="U704" s="5" t="inlineStr">
        <is>
          <t>training</t>
        </is>
      </c>
    </row>
    <row r="705">
      <c r="A705" s="5" t="n">
        <v>677</v>
      </c>
      <c r="B705" s="5" t="n">
        <v>0</v>
      </c>
      <c r="C705" s="5" t="n">
        <v>24</v>
      </c>
      <c r="D705" s="5" t="n">
        <v>5150</v>
      </c>
      <c r="E705" s="5" t="n">
        <v>33</v>
      </c>
      <c r="F705" s="5" t="n">
        <v>4</v>
      </c>
      <c r="G705" s="5" t="n">
        <v>0</v>
      </c>
      <c r="H705" s="5" t="n">
        <v>0</v>
      </c>
      <c r="I705" s="5" t="n">
        <v>0</v>
      </c>
      <c r="J705" s="5" t="n">
        <v>1</v>
      </c>
      <c r="K705" s="5" t="n">
        <v>0</v>
      </c>
      <c r="L705" s="5" t="n">
        <v>0</v>
      </c>
      <c r="M705" s="5" t="n">
        <v>0</v>
      </c>
      <c r="N705" s="5" t="n">
        <v>0</v>
      </c>
      <c r="O705" s="5" t="n">
        <v>0</v>
      </c>
      <c r="P705" s="5" t="n">
        <v>0</v>
      </c>
      <c r="Q705" s="5" t="n">
        <v>0</v>
      </c>
      <c r="R705" s="5" t="n">
        <v>0</v>
      </c>
      <c r="S705" s="5" t="n">
        <v>0</v>
      </c>
      <c r="T705" s="5" t="n">
        <v>1</v>
      </c>
      <c r="U705" s="5" t="inlineStr">
        <is>
          <t>training</t>
        </is>
      </c>
    </row>
    <row r="706">
      <c r="A706" s="5" t="n">
        <v>678</v>
      </c>
      <c r="B706" s="5" t="n">
        <v>1</v>
      </c>
      <c r="C706" s="5" t="n">
        <v>72</v>
      </c>
      <c r="D706" s="5" t="n">
        <v>5595</v>
      </c>
      <c r="E706" s="5" t="n">
        <v>24</v>
      </c>
      <c r="F706" s="5" t="n">
        <v>2</v>
      </c>
      <c r="G706" s="5" t="n">
        <v>0</v>
      </c>
      <c r="H706" s="5" t="n">
        <v>1</v>
      </c>
      <c r="I706" s="5" t="n">
        <v>0</v>
      </c>
      <c r="J706" s="5" t="n">
        <v>0</v>
      </c>
      <c r="K706" s="5" t="n">
        <v>0</v>
      </c>
      <c r="L706" s="5" t="n">
        <v>0</v>
      </c>
      <c r="M706" s="5" t="n">
        <v>1</v>
      </c>
      <c r="N706" s="5" t="n">
        <v>0</v>
      </c>
      <c r="O706" s="5" t="n">
        <v>0</v>
      </c>
      <c r="P706" s="5" t="n">
        <v>0</v>
      </c>
      <c r="Q706" s="5" t="n">
        <v>0</v>
      </c>
      <c r="R706" s="5" t="n">
        <v>0</v>
      </c>
      <c r="S706" s="5" t="n">
        <v>1</v>
      </c>
      <c r="T706" s="5" t="n">
        <v>0</v>
      </c>
      <c r="U706" s="5" t="inlineStr">
        <is>
          <t>testing</t>
        </is>
      </c>
    </row>
    <row r="707">
      <c r="A707" s="5" t="n">
        <v>679</v>
      </c>
      <c r="B707" s="5" t="n">
        <v>0</v>
      </c>
      <c r="C707" s="5" t="n">
        <v>24</v>
      </c>
      <c r="D707" s="5" t="n">
        <v>2384</v>
      </c>
      <c r="E707" s="5" t="n">
        <v>64</v>
      </c>
      <c r="F707" s="5" t="n">
        <v>4</v>
      </c>
      <c r="G707" s="5" t="n">
        <v>1</v>
      </c>
      <c r="H707" s="5" t="n">
        <v>0</v>
      </c>
      <c r="I707" s="5" t="n">
        <v>0</v>
      </c>
      <c r="J707" s="5" t="n">
        <v>0</v>
      </c>
      <c r="K707" s="5" t="n">
        <v>0</v>
      </c>
      <c r="L707" s="5" t="n">
        <v>0</v>
      </c>
      <c r="M707" s="5" t="n">
        <v>0</v>
      </c>
      <c r="N707" s="5" t="n">
        <v>0</v>
      </c>
      <c r="O707" s="5" t="n">
        <v>0</v>
      </c>
      <c r="P707" s="5" t="n">
        <v>1</v>
      </c>
      <c r="Q707" s="5" t="n">
        <v>0</v>
      </c>
      <c r="R707" s="5" t="n">
        <v>0</v>
      </c>
      <c r="S707" s="5" t="n">
        <v>1</v>
      </c>
      <c r="T707" s="5" t="n">
        <v>0</v>
      </c>
      <c r="U707" s="5" t="inlineStr">
        <is>
          <t>testing</t>
        </is>
      </c>
    </row>
    <row r="708">
      <c r="A708" s="5" t="n">
        <v>680</v>
      </c>
      <c r="B708" s="5" t="n">
        <v>0</v>
      </c>
      <c r="C708" s="5" t="n">
        <v>18</v>
      </c>
      <c r="D708" s="5" t="n">
        <v>1453</v>
      </c>
      <c r="E708" s="5" t="n">
        <v>26</v>
      </c>
      <c r="F708" s="5" t="n">
        <v>3</v>
      </c>
      <c r="G708" s="5" t="n">
        <v>0</v>
      </c>
      <c r="H708" s="5" t="n">
        <v>0</v>
      </c>
      <c r="I708" s="5" t="n">
        <v>0</v>
      </c>
      <c r="J708" s="5" t="n">
        <v>0</v>
      </c>
      <c r="K708" s="5" t="n">
        <v>0</v>
      </c>
      <c r="L708" s="5" t="n">
        <v>0</v>
      </c>
      <c r="M708" s="5" t="n">
        <v>0</v>
      </c>
      <c r="N708" s="5" t="n">
        <v>0</v>
      </c>
      <c r="O708" s="5" t="n">
        <v>0</v>
      </c>
      <c r="P708" s="5" t="n">
        <v>0</v>
      </c>
      <c r="Q708" s="5" t="n">
        <v>0</v>
      </c>
      <c r="R708" s="5" t="n">
        <v>0</v>
      </c>
      <c r="S708" s="5" t="n">
        <v>1</v>
      </c>
      <c r="T708" s="5" t="n">
        <v>0</v>
      </c>
      <c r="U708" s="5" t="inlineStr">
        <is>
          <t>training</t>
        </is>
      </c>
    </row>
    <row r="709">
      <c r="A709" s="5" t="n">
        <v>681</v>
      </c>
      <c r="B709" s="5" t="n">
        <v>0</v>
      </c>
      <c r="C709" s="5" t="n">
        <v>6</v>
      </c>
      <c r="D709" s="5" t="n">
        <v>1538</v>
      </c>
      <c r="E709" s="5" t="n">
        <v>56</v>
      </c>
      <c r="F709" s="5" t="n">
        <v>1</v>
      </c>
      <c r="G709" s="5" t="n">
        <v>0</v>
      </c>
      <c r="H709" s="5" t="n">
        <v>0</v>
      </c>
      <c r="I709" s="5" t="n">
        <v>0</v>
      </c>
      <c r="J709" s="5" t="n">
        <v>0</v>
      </c>
      <c r="K709" s="5" t="n">
        <v>0</v>
      </c>
      <c r="L709" s="5" t="n">
        <v>0</v>
      </c>
      <c r="M709" s="5" t="n">
        <v>0</v>
      </c>
      <c r="N709" s="5" t="n">
        <v>0</v>
      </c>
      <c r="O709" s="5" t="n">
        <v>0</v>
      </c>
      <c r="P709" s="5" t="n">
        <v>0</v>
      </c>
      <c r="Q709" s="5" t="n">
        <v>0</v>
      </c>
      <c r="R709" s="5" t="n">
        <v>0</v>
      </c>
      <c r="S709" s="5" t="n">
        <v>0</v>
      </c>
      <c r="T709" s="5" t="n">
        <v>0</v>
      </c>
      <c r="U709" s="5" t="inlineStr">
        <is>
          <t>training</t>
        </is>
      </c>
    </row>
    <row r="710">
      <c r="A710" s="5" t="n">
        <v>682</v>
      </c>
      <c r="B710" s="5" t="n">
        <v>0</v>
      </c>
      <c r="C710" s="5" t="n">
        <v>12</v>
      </c>
      <c r="D710" s="5" t="n">
        <v>2279</v>
      </c>
      <c r="E710" s="5" t="n">
        <v>37</v>
      </c>
      <c r="F710" s="5" t="n">
        <v>4</v>
      </c>
      <c r="G710" s="5" t="n">
        <v>0</v>
      </c>
      <c r="H710" s="5" t="n">
        <v>0</v>
      </c>
      <c r="I710" s="5" t="n">
        <v>0</v>
      </c>
      <c r="J710" s="5" t="n">
        <v>0</v>
      </c>
      <c r="K710" s="5" t="n">
        <v>0</v>
      </c>
      <c r="L710" s="5" t="n">
        <v>0</v>
      </c>
      <c r="M710" s="5" t="n">
        <v>0</v>
      </c>
      <c r="N710" s="5" t="n">
        <v>0</v>
      </c>
      <c r="O710" s="5" t="n">
        <v>1</v>
      </c>
      <c r="P710" s="5" t="n">
        <v>0</v>
      </c>
      <c r="Q710" s="5" t="n">
        <v>1</v>
      </c>
      <c r="R710" s="5" t="n">
        <v>0</v>
      </c>
      <c r="S710" s="5" t="n">
        <v>1</v>
      </c>
      <c r="T710" s="5" t="n">
        <v>0</v>
      </c>
      <c r="U710" s="5" t="inlineStr">
        <is>
          <t>training</t>
        </is>
      </c>
    </row>
    <row r="711">
      <c r="A711" s="5" t="n">
        <v>683</v>
      </c>
      <c r="B711" s="5" t="n">
        <v>0</v>
      </c>
      <c r="C711" s="5" t="n">
        <v>15</v>
      </c>
      <c r="D711" s="5" t="n">
        <v>1478</v>
      </c>
      <c r="E711" s="5" t="n">
        <v>33</v>
      </c>
      <c r="F711" s="5" t="n">
        <v>4</v>
      </c>
      <c r="G711" s="5" t="n">
        <v>0</v>
      </c>
      <c r="H711" s="5" t="n">
        <v>0</v>
      </c>
      <c r="I711" s="5" t="n">
        <v>0</v>
      </c>
      <c r="J711" s="5" t="n">
        <v>0</v>
      </c>
      <c r="K711" s="5" t="n">
        <v>1</v>
      </c>
      <c r="L711" s="5" t="n">
        <v>0</v>
      </c>
      <c r="M711" s="5" t="n">
        <v>0</v>
      </c>
      <c r="N711" s="5" t="n">
        <v>0</v>
      </c>
      <c r="O711" s="5" t="n">
        <v>0</v>
      </c>
      <c r="P711" s="5" t="n">
        <v>0</v>
      </c>
      <c r="Q711" s="5" t="n">
        <v>0</v>
      </c>
      <c r="R711" s="5" t="n">
        <v>0</v>
      </c>
      <c r="S711" s="5" t="n">
        <v>1</v>
      </c>
      <c r="T711" s="5" t="n">
        <v>0</v>
      </c>
      <c r="U711" s="5" t="inlineStr">
        <is>
          <t>testing</t>
        </is>
      </c>
    </row>
    <row r="712">
      <c r="A712" s="5" t="n">
        <v>684</v>
      </c>
      <c r="B712" s="5" t="n">
        <v>0</v>
      </c>
      <c r="C712" s="5" t="n">
        <v>24</v>
      </c>
      <c r="D712" s="5" t="n">
        <v>5103</v>
      </c>
      <c r="E712" s="5" t="n">
        <v>47</v>
      </c>
      <c r="F712" s="5" t="n">
        <v>3</v>
      </c>
      <c r="G712" s="5" t="n">
        <v>0</v>
      </c>
      <c r="H712" s="5" t="n">
        <v>0</v>
      </c>
      <c r="I712" s="5" t="n">
        <v>0</v>
      </c>
      <c r="J712" s="5" t="n">
        <v>1</v>
      </c>
      <c r="K712" s="5" t="n">
        <v>0</v>
      </c>
      <c r="L712" s="5" t="n">
        <v>0</v>
      </c>
      <c r="M712" s="5" t="n">
        <v>0</v>
      </c>
      <c r="N712" s="5" t="n">
        <v>0</v>
      </c>
      <c r="O712" s="5" t="n">
        <v>0</v>
      </c>
      <c r="P712" s="5" t="n">
        <v>0</v>
      </c>
      <c r="Q712" s="5" t="n">
        <v>1</v>
      </c>
      <c r="R712" s="5" t="n">
        <v>0</v>
      </c>
      <c r="S712" s="5" t="n">
        <v>1</v>
      </c>
      <c r="T712" s="5" t="n">
        <v>0</v>
      </c>
      <c r="U712" s="5" t="inlineStr">
        <is>
          <t>training</t>
        </is>
      </c>
    </row>
    <row r="713">
      <c r="A713" s="5" t="n">
        <v>685</v>
      </c>
      <c r="B713" s="5" t="n">
        <v>0</v>
      </c>
      <c r="C713" s="5" t="n">
        <v>36</v>
      </c>
      <c r="D713" s="5" t="n">
        <v>9857</v>
      </c>
      <c r="E713" s="5" t="n">
        <v>31</v>
      </c>
      <c r="F713" s="5" t="n">
        <v>1</v>
      </c>
      <c r="G713" s="5" t="n">
        <v>0</v>
      </c>
      <c r="H713" s="5" t="n">
        <v>1</v>
      </c>
      <c r="I713" s="5" t="n">
        <v>0</v>
      </c>
      <c r="J713" s="5" t="n">
        <v>0</v>
      </c>
      <c r="K713" s="5" t="n">
        <v>1</v>
      </c>
      <c r="L713" s="5" t="n">
        <v>0</v>
      </c>
      <c r="M713" s="5" t="n">
        <v>1</v>
      </c>
      <c r="N713" s="5" t="n">
        <v>0</v>
      </c>
      <c r="O713" s="5" t="n">
        <v>0</v>
      </c>
      <c r="P713" s="5" t="n">
        <v>0</v>
      </c>
      <c r="Q713" s="5" t="n">
        <v>0</v>
      </c>
      <c r="R713" s="5" t="n">
        <v>0</v>
      </c>
      <c r="S713" s="5" t="n">
        <v>0</v>
      </c>
      <c r="T713" s="5" t="n">
        <v>0</v>
      </c>
      <c r="U713" s="5" t="inlineStr">
        <is>
          <t>training</t>
        </is>
      </c>
    </row>
    <row r="714">
      <c r="A714" s="5" t="n">
        <v>686</v>
      </c>
      <c r="B714" s="5" t="n">
        <v>0</v>
      </c>
      <c r="C714" s="5" t="n">
        <v>60</v>
      </c>
      <c r="D714" s="5" t="n">
        <v>6527</v>
      </c>
      <c r="E714" s="5" t="n">
        <v>34</v>
      </c>
      <c r="F714" s="5" t="n">
        <v>4</v>
      </c>
      <c r="G714" s="5" t="n">
        <v>0</v>
      </c>
      <c r="H714" s="5" t="n">
        <v>0</v>
      </c>
      <c r="I714" s="5" t="n">
        <v>0</v>
      </c>
      <c r="J714" s="5" t="n">
        <v>0</v>
      </c>
      <c r="K714" s="5" t="n">
        <v>0</v>
      </c>
      <c r="L714" s="5" t="n">
        <v>0</v>
      </c>
      <c r="M714" s="5" t="n">
        <v>0</v>
      </c>
      <c r="N714" s="5" t="n">
        <v>0</v>
      </c>
      <c r="O714" s="5" t="n">
        <v>1</v>
      </c>
      <c r="P714" s="5" t="n">
        <v>0</v>
      </c>
      <c r="Q714" s="5" t="n">
        <v>1</v>
      </c>
      <c r="R714" s="5" t="n">
        <v>1</v>
      </c>
      <c r="S714" s="5" t="n">
        <v>0</v>
      </c>
      <c r="T714" s="5" t="n">
        <v>0</v>
      </c>
      <c r="U714" s="5" t="inlineStr">
        <is>
          <t>testing</t>
        </is>
      </c>
    </row>
    <row r="715">
      <c r="A715" s="5" t="n">
        <v>687</v>
      </c>
      <c r="B715" s="5" t="n">
        <v>0</v>
      </c>
      <c r="C715" s="5" t="n">
        <v>10</v>
      </c>
      <c r="D715" s="5" t="n">
        <v>1347</v>
      </c>
      <c r="E715" s="5" t="n">
        <v>27</v>
      </c>
      <c r="F715" s="5" t="n">
        <v>4</v>
      </c>
      <c r="G715" s="5" t="n">
        <v>0</v>
      </c>
      <c r="H715" s="5" t="n">
        <v>0</v>
      </c>
      <c r="I715" s="5" t="n">
        <v>1</v>
      </c>
      <c r="J715" s="5" t="n">
        <v>1</v>
      </c>
      <c r="K715" s="5" t="n">
        <v>0</v>
      </c>
      <c r="L715" s="5" t="n">
        <v>0</v>
      </c>
      <c r="M715" s="5" t="n">
        <v>0</v>
      </c>
      <c r="N715" s="5" t="n">
        <v>0</v>
      </c>
      <c r="O715" s="5" t="n">
        <v>1</v>
      </c>
      <c r="P715" s="5" t="n">
        <v>0</v>
      </c>
      <c r="Q715" s="5" t="n">
        <v>0</v>
      </c>
      <c r="R715" s="5" t="n">
        <v>0</v>
      </c>
      <c r="S715" s="5" t="n">
        <v>1</v>
      </c>
      <c r="T715" s="5" t="n">
        <v>0</v>
      </c>
      <c r="U715" s="5" t="inlineStr">
        <is>
          <t>training</t>
        </is>
      </c>
    </row>
    <row r="716">
      <c r="A716" s="5" t="n">
        <v>688</v>
      </c>
      <c r="B716" s="5" t="n">
        <v>0</v>
      </c>
      <c r="C716" s="5" t="n">
        <v>36</v>
      </c>
      <c r="D716" s="5" t="n">
        <v>2862</v>
      </c>
      <c r="E716" s="5" t="n">
        <v>30</v>
      </c>
      <c r="F716" s="5" t="n">
        <v>4</v>
      </c>
      <c r="G716" s="5" t="n">
        <v>0</v>
      </c>
      <c r="H716" s="5" t="n">
        <v>1</v>
      </c>
      <c r="I716" s="5" t="n">
        <v>0</v>
      </c>
      <c r="J716" s="5" t="n">
        <v>0</v>
      </c>
      <c r="K716" s="5" t="n">
        <v>1</v>
      </c>
      <c r="L716" s="5" t="n">
        <v>0</v>
      </c>
      <c r="M716" s="5" t="n">
        <v>1</v>
      </c>
      <c r="N716" s="5" t="n">
        <v>0</v>
      </c>
      <c r="O716" s="5" t="n">
        <v>0</v>
      </c>
      <c r="P716" s="5" t="n">
        <v>0</v>
      </c>
      <c r="Q716" s="5" t="n">
        <v>1</v>
      </c>
      <c r="R716" s="5" t="n">
        <v>1</v>
      </c>
      <c r="S716" s="5" t="n">
        <v>0</v>
      </c>
      <c r="T716" s="5" t="n">
        <v>0</v>
      </c>
      <c r="U716" s="5" t="inlineStr">
        <is>
          <t>testing</t>
        </is>
      </c>
    </row>
    <row r="717">
      <c r="A717" s="5" t="n">
        <v>689</v>
      </c>
      <c r="B717" s="5" t="n">
        <v>0</v>
      </c>
      <c r="C717" s="5" t="n">
        <v>9</v>
      </c>
      <c r="D717" s="5" t="n">
        <v>2753</v>
      </c>
      <c r="E717" s="5" t="n">
        <v>35</v>
      </c>
      <c r="F717" s="5" t="n">
        <v>3</v>
      </c>
      <c r="G717" s="5" t="n">
        <v>0</v>
      </c>
      <c r="H717" s="5" t="n">
        <v>0</v>
      </c>
      <c r="I717" s="5" t="n">
        <v>0</v>
      </c>
      <c r="J717" s="5" t="n">
        <v>0</v>
      </c>
      <c r="K717" s="5" t="n">
        <v>0</v>
      </c>
      <c r="L717" s="5" t="n">
        <v>0</v>
      </c>
      <c r="M717" s="5" t="n">
        <v>1</v>
      </c>
      <c r="N717" s="5" t="n">
        <v>0</v>
      </c>
      <c r="O717" s="5" t="n">
        <v>0</v>
      </c>
      <c r="P717" s="5" t="n">
        <v>0</v>
      </c>
      <c r="Q717" s="5" t="n">
        <v>0</v>
      </c>
      <c r="R717" s="5" t="n">
        <v>0</v>
      </c>
      <c r="S717" s="5" t="n">
        <v>1</v>
      </c>
      <c r="T717" s="5" t="n">
        <v>0</v>
      </c>
      <c r="U717" s="5" t="inlineStr">
        <is>
          <t>training</t>
        </is>
      </c>
    </row>
    <row r="718">
      <c r="A718" s="5" t="n">
        <v>690</v>
      </c>
      <c r="B718" s="5" t="n">
        <v>0</v>
      </c>
      <c r="C718" s="5" t="n">
        <v>12</v>
      </c>
      <c r="D718" s="5" t="n">
        <v>3651</v>
      </c>
      <c r="E718" s="5" t="n">
        <v>31</v>
      </c>
      <c r="F718" s="5" t="n">
        <v>1</v>
      </c>
      <c r="G718" s="5" t="n">
        <v>1</v>
      </c>
      <c r="H718" s="5" t="n">
        <v>0</v>
      </c>
      <c r="I718" s="5" t="n">
        <v>0</v>
      </c>
      <c r="J718" s="5" t="n">
        <v>0</v>
      </c>
      <c r="K718" s="5" t="n">
        <v>0</v>
      </c>
      <c r="L718" s="5" t="n">
        <v>0</v>
      </c>
      <c r="M718" s="5" t="n">
        <v>0</v>
      </c>
      <c r="N718" s="5" t="n">
        <v>1</v>
      </c>
      <c r="O718" s="5" t="n">
        <v>0</v>
      </c>
      <c r="P718" s="5" t="n">
        <v>0</v>
      </c>
      <c r="Q718" s="5" t="n">
        <v>0</v>
      </c>
      <c r="R718" s="5" t="n">
        <v>1</v>
      </c>
      <c r="S718" s="5" t="n">
        <v>0</v>
      </c>
      <c r="T718" s="5" t="n">
        <v>0</v>
      </c>
      <c r="U718" s="5" t="inlineStr">
        <is>
          <t>training</t>
        </is>
      </c>
    </row>
    <row r="719">
      <c r="A719" s="5" t="n">
        <v>691</v>
      </c>
      <c r="B719" s="5" t="n">
        <v>0</v>
      </c>
      <c r="C719" s="5" t="n">
        <v>15</v>
      </c>
      <c r="D719" s="5" t="n">
        <v>975</v>
      </c>
      <c r="E719" s="5" t="n">
        <v>25</v>
      </c>
      <c r="F719" s="5" t="n">
        <v>2</v>
      </c>
      <c r="G719" s="5" t="n">
        <v>1</v>
      </c>
      <c r="H719" s="5" t="n">
        <v>0</v>
      </c>
      <c r="I719" s="5" t="n">
        <v>0</v>
      </c>
      <c r="J719" s="5" t="n">
        <v>1</v>
      </c>
      <c r="K719" s="5" t="n">
        <v>0</v>
      </c>
      <c r="L719" s="5" t="n">
        <v>0</v>
      </c>
      <c r="M719" s="5" t="n">
        <v>0</v>
      </c>
      <c r="N719" s="5" t="n">
        <v>0</v>
      </c>
      <c r="O719" s="5" t="n">
        <v>0</v>
      </c>
      <c r="P719" s="5" t="n">
        <v>0</v>
      </c>
      <c r="Q719" s="5" t="n">
        <v>0</v>
      </c>
      <c r="R719" s="5" t="n">
        <v>0</v>
      </c>
      <c r="S719" s="5" t="n">
        <v>0</v>
      </c>
      <c r="T719" s="5" t="n">
        <v>1</v>
      </c>
      <c r="U719" s="5" t="inlineStr">
        <is>
          <t>testing</t>
        </is>
      </c>
    </row>
    <row r="720">
      <c r="A720" s="5" t="n">
        <v>692</v>
      </c>
      <c r="B720" s="5" t="n">
        <v>0</v>
      </c>
      <c r="C720" s="5" t="n">
        <v>15</v>
      </c>
      <c r="D720" s="5" t="n">
        <v>2631</v>
      </c>
      <c r="E720" s="5" t="n">
        <v>25</v>
      </c>
      <c r="F720" s="5" t="n">
        <v>3</v>
      </c>
      <c r="G720" s="5" t="n">
        <v>0</v>
      </c>
      <c r="H720" s="5" t="n">
        <v>1</v>
      </c>
      <c r="I720" s="5" t="n">
        <v>0</v>
      </c>
      <c r="J720" s="5" t="n">
        <v>0</v>
      </c>
      <c r="K720" s="5" t="n">
        <v>0</v>
      </c>
      <c r="L720" s="5" t="n">
        <v>0</v>
      </c>
      <c r="M720" s="5" t="n">
        <v>1</v>
      </c>
      <c r="N720" s="5" t="n">
        <v>0</v>
      </c>
      <c r="O720" s="5" t="n">
        <v>0</v>
      </c>
      <c r="P720" s="5" t="n">
        <v>0</v>
      </c>
      <c r="Q720" s="5" t="n">
        <v>0</v>
      </c>
      <c r="R720" s="5" t="n">
        <v>0</v>
      </c>
      <c r="S720" s="5" t="n">
        <v>0</v>
      </c>
      <c r="T720" s="5" t="n">
        <v>0</v>
      </c>
      <c r="U720" s="5" t="inlineStr">
        <is>
          <t>training</t>
        </is>
      </c>
    </row>
    <row r="721">
      <c r="A721" s="5" t="n">
        <v>693</v>
      </c>
      <c r="B721" s="5" t="n">
        <v>0</v>
      </c>
      <c r="C721" s="5" t="n">
        <v>24</v>
      </c>
      <c r="D721" s="5" t="n">
        <v>2896</v>
      </c>
      <c r="E721" s="5" t="n">
        <v>29</v>
      </c>
      <c r="F721" s="5" t="n">
        <v>2</v>
      </c>
      <c r="G721" s="5" t="n">
        <v>0</v>
      </c>
      <c r="H721" s="5" t="n">
        <v>1</v>
      </c>
      <c r="I721" s="5" t="n">
        <v>0</v>
      </c>
      <c r="J721" s="5" t="n">
        <v>0</v>
      </c>
      <c r="K721" s="5" t="n">
        <v>0</v>
      </c>
      <c r="L721" s="5" t="n">
        <v>0</v>
      </c>
      <c r="M721" s="5" t="n">
        <v>1</v>
      </c>
      <c r="N721" s="5" t="n">
        <v>0</v>
      </c>
      <c r="O721" s="5" t="n">
        <v>0</v>
      </c>
      <c r="P721" s="5" t="n">
        <v>0</v>
      </c>
      <c r="Q721" s="5" t="n">
        <v>0</v>
      </c>
      <c r="R721" s="5" t="n">
        <v>0</v>
      </c>
      <c r="S721" s="5" t="n">
        <v>1</v>
      </c>
      <c r="T721" s="5" t="n">
        <v>0</v>
      </c>
      <c r="U721" s="5" t="inlineStr">
        <is>
          <t>training</t>
        </is>
      </c>
    </row>
    <row r="722">
      <c r="A722" s="5" t="n">
        <v>694</v>
      </c>
      <c r="B722" s="5" t="n">
        <v>0</v>
      </c>
      <c r="C722" s="5" t="n">
        <v>6</v>
      </c>
      <c r="D722" s="5" t="n">
        <v>4716</v>
      </c>
      <c r="E722" s="5" t="n">
        <v>44</v>
      </c>
      <c r="F722" s="5" t="n">
        <v>1</v>
      </c>
      <c r="G722" s="5" t="n">
        <v>1</v>
      </c>
      <c r="H722" s="5" t="n">
        <v>0</v>
      </c>
      <c r="I722" s="5" t="n">
        <v>0</v>
      </c>
      <c r="J722" s="5" t="n">
        <v>1</v>
      </c>
      <c r="K722" s="5" t="n">
        <v>0</v>
      </c>
      <c r="L722" s="5" t="n">
        <v>0</v>
      </c>
      <c r="M722" s="5" t="n">
        <v>0</v>
      </c>
      <c r="N722" s="5" t="n">
        <v>0</v>
      </c>
      <c r="O722" s="5" t="n">
        <v>1</v>
      </c>
      <c r="P722" s="5" t="n">
        <v>0</v>
      </c>
      <c r="Q722" s="5" t="n">
        <v>0</v>
      </c>
      <c r="R722" s="5" t="n">
        <v>1</v>
      </c>
      <c r="S722" s="5" t="n">
        <v>0</v>
      </c>
      <c r="T722" s="5" t="n">
        <v>0</v>
      </c>
      <c r="U722" s="5" t="inlineStr">
        <is>
          <t>training</t>
        </is>
      </c>
    </row>
    <row r="723">
      <c r="A723" s="5" t="n">
        <v>695</v>
      </c>
      <c r="B723" s="5" t="n">
        <v>0</v>
      </c>
      <c r="C723" s="5" t="n">
        <v>24</v>
      </c>
      <c r="D723" s="5" t="n">
        <v>2284</v>
      </c>
      <c r="E723" s="5" t="n">
        <v>28</v>
      </c>
      <c r="F723" s="5" t="n">
        <v>4</v>
      </c>
      <c r="G723" s="5" t="n">
        <v>0</v>
      </c>
      <c r="H723" s="5" t="n">
        <v>0</v>
      </c>
      <c r="I723" s="5" t="n">
        <v>0</v>
      </c>
      <c r="J723" s="5" t="n">
        <v>0</v>
      </c>
      <c r="K723" s="5" t="n">
        <v>0</v>
      </c>
      <c r="L723" s="5" t="n">
        <v>0</v>
      </c>
      <c r="M723" s="5" t="n">
        <v>0</v>
      </c>
      <c r="N723" s="5" t="n">
        <v>0</v>
      </c>
      <c r="O723" s="5" t="n">
        <v>0</v>
      </c>
      <c r="P723" s="5" t="n">
        <v>0</v>
      </c>
      <c r="Q723" s="5" t="n">
        <v>0</v>
      </c>
      <c r="R723" s="5" t="n">
        <v>0</v>
      </c>
      <c r="S723" s="5" t="n">
        <v>1</v>
      </c>
      <c r="T723" s="5" t="n">
        <v>0</v>
      </c>
      <c r="U723" s="5" t="inlineStr">
        <is>
          <t>training</t>
        </is>
      </c>
    </row>
    <row r="724">
      <c r="A724" s="5" t="n">
        <v>696</v>
      </c>
      <c r="B724" s="5" t="n">
        <v>0</v>
      </c>
      <c r="C724" s="5" t="n">
        <v>6</v>
      </c>
      <c r="D724" s="5" t="n">
        <v>1236</v>
      </c>
      <c r="E724" s="5" t="n">
        <v>50</v>
      </c>
      <c r="F724" s="5" t="n">
        <v>2</v>
      </c>
      <c r="G724" s="5" t="n">
        <v>0</v>
      </c>
      <c r="H724" s="5" t="n">
        <v>0</v>
      </c>
      <c r="I724" s="5" t="n">
        <v>0</v>
      </c>
      <c r="J724" s="5" t="n">
        <v>0</v>
      </c>
      <c r="K724" s="5" t="n">
        <v>0</v>
      </c>
      <c r="L724" s="5" t="n">
        <v>0</v>
      </c>
      <c r="M724" s="5" t="n">
        <v>1</v>
      </c>
      <c r="N724" s="5" t="n">
        <v>0</v>
      </c>
      <c r="O724" s="5" t="n">
        <v>0</v>
      </c>
      <c r="P724" s="5" t="n">
        <v>1</v>
      </c>
      <c r="Q724" s="5" t="n">
        <v>0</v>
      </c>
      <c r="R724" s="5" t="n">
        <v>1</v>
      </c>
      <c r="S724" s="5" t="n">
        <v>0</v>
      </c>
      <c r="T724" s="5" t="n">
        <v>0</v>
      </c>
      <c r="U724" s="5" t="inlineStr">
        <is>
          <t>training</t>
        </is>
      </c>
    </row>
    <row r="725">
      <c r="A725" s="5" t="n">
        <v>697</v>
      </c>
      <c r="B725" s="5" t="n">
        <v>0</v>
      </c>
      <c r="C725" s="5" t="n">
        <v>12</v>
      </c>
      <c r="D725" s="5" t="n">
        <v>1103</v>
      </c>
      <c r="E725" s="5" t="n">
        <v>29</v>
      </c>
      <c r="F725" s="5" t="n">
        <v>4</v>
      </c>
      <c r="G725" s="5" t="n">
        <v>0</v>
      </c>
      <c r="H725" s="5" t="n">
        <v>1</v>
      </c>
      <c r="I725" s="5" t="n">
        <v>0</v>
      </c>
      <c r="J725" s="5" t="n">
        <v>0</v>
      </c>
      <c r="K725" s="5" t="n">
        <v>0</v>
      </c>
      <c r="L725" s="5" t="n">
        <v>0</v>
      </c>
      <c r="M725" s="5" t="n">
        <v>0</v>
      </c>
      <c r="N725" s="5" t="n">
        <v>0</v>
      </c>
      <c r="O725" s="5" t="n">
        <v>0</v>
      </c>
      <c r="P725" s="5" t="n">
        <v>0</v>
      </c>
      <c r="Q725" s="5" t="n">
        <v>0</v>
      </c>
      <c r="R725" s="5" t="n">
        <v>0</v>
      </c>
      <c r="S725" s="5" t="n">
        <v>1</v>
      </c>
      <c r="T725" s="5" t="n">
        <v>0</v>
      </c>
      <c r="U725" s="5" t="inlineStr">
        <is>
          <t>training</t>
        </is>
      </c>
    </row>
    <row r="726">
      <c r="A726" s="5" t="n">
        <v>698</v>
      </c>
      <c r="B726" s="5" t="n">
        <v>0</v>
      </c>
      <c r="C726" s="5" t="n">
        <v>12</v>
      </c>
      <c r="D726" s="5" t="n">
        <v>926</v>
      </c>
      <c r="E726" s="5" t="n">
        <v>38</v>
      </c>
      <c r="F726" s="5" t="n">
        <v>1</v>
      </c>
      <c r="G726" s="5" t="n">
        <v>0</v>
      </c>
      <c r="H726" s="5" t="n">
        <v>0</v>
      </c>
      <c r="I726" s="5" t="n">
        <v>0</v>
      </c>
      <c r="J726" s="5" t="n">
        <v>1</v>
      </c>
      <c r="K726" s="5" t="n">
        <v>0</v>
      </c>
      <c r="L726" s="5" t="n">
        <v>0</v>
      </c>
      <c r="M726" s="5" t="n">
        <v>0</v>
      </c>
      <c r="N726" s="5" t="n">
        <v>0</v>
      </c>
      <c r="O726" s="5" t="n">
        <v>0</v>
      </c>
      <c r="P726" s="5" t="n">
        <v>0</v>
      </c>
      <c r="Q726" s="5" t="n">
        <v>0</v>
      </c>
      <c r="R726" s="5" t="n">
        <v>1</v>
      </c>
      <c r="S726" s="5" t="n">
        <v>0</v>
      </c>
      <c r="T726" s="5" t="n">
        <v>0</v>
      </c>
      <c r="U726" s="5" t="inlineStr">
        <is>
          <t>training</t>
        </is>
      </c>
    </row>
    <row r="727">
      <c r="A727" s="5" t="n">
        <v>699</v>
      </c>
      <c r="B727" s="5" t="n">
        <v>0</v>
      </c>
      <c r="C727" s="5" t="n">
        <v>18</v>
      </c>
      <c r="D727" s="5" t="n">
        <v>1800</v>
      </c>
      <c r="E727" s="5" t="n">
        <v>24</v>
      </c>
      <c r="F727" s="5" t="n">
        <v>4</v>
      </c>
      <c r="G727" s="5" t="n">
        <v>0</v>
      </c>
      <c r="H727" s="5" t="n">
        <v>0</v>
      </c>
      <c r="I727" s="5" t="n">
        <v>0</v>
      </c>
      <c r="J727" s="5" t="n">
        <v>1</v>
      </c>
      <c r="K727" s="5" t="n">
        <v>0</v>
      </c>
      <c r="L727" s="5" t="n">
        <v>0</v>
      </c>
      <c r="M727" s="5" t="n">
        <v>0</v>
      </c>
      <c r="N727" s="5" t="n">
        <v>0</v>
      </c>
      <c r="O727" s="5" t="n">
        <v>0</v>
      </c>
      <c r="P727" s="5" t="n">
        <v>0</v>
      </c>
      <c r="Q727" s="5" t="n">
        <v>0</v>
      </c>
      <c r="R727" s="5" t="n">
        <v>0</v>
      </c>
      <c r="S727" s="5" t="n">
        <v>1</v>
      </c>
      <c r="T727" s="5" t="n">
        <v>0</v>
      </c>
      <c r="U727" s="5" t="inlineStr">
        <is>
          <t>training</t>
        </is>
      </c>
    </row>
    <row r="728">
      <c r="A728" s="5" t="n">
        <v>700</v>
      </c>
      <c r="B728" s="5" t="n">
        <v>0</v>
      </c>
      <c r="C728" s="5" t="n">
        <v>15</v>
      </c>
      <c r="D728" s="5" t="n">
        <v>1905</v>
      </c>
      <c r="E728" s="5" t="n">
        <v>40</v>
      </c>
      <c r="F728" s="5" t="n">
        <v>4</v>
      </c>
      <c r="G728" s="5" t="n">
        <v>0</v>
      </c>
      <c r="H728" s="5" t="n">
        <v>0</v>
      </c>
      <c r="I728" s="5" t="n">
        <v>1</v>
      </c>
      <c r="J728" s="5" t="n">
        <v>0</v>
      </c>
      <c r="K728" s="5" t="n">
        <v>0</v>
      </c>
      <c r="L728" s="5" t="n">
        <v>0</v>
      </c>
      <c r="M728" s="5" t="n">
        <v>0</v>
      </c>
      <c r="N728" s="5" t="n">
        <v>0</v>
      </c>
      <c r="O728" s="5" t="n">
        <v>0</v>
      </c>
      <c r="P728" s="5" t="n">
        <v>1</v>
      </c>
      <c r="Q728" s="5" t="n">
        <v>0</v>
      </c>
      <c r="R728" s="5" t="n">
        <v>0</v>
      </c>
      <c r="S728" s="5" t="n">
        <v>0</v>
      </c>
      <c r="T728" s="5" t="n">
        <v>0</v>
      </c>
      <c r="U728" s="5" t="inlineStr">
        <is>
          <t>testing</t>
        </is>
      </c>
    </row>
    <row r="729">
      <c r="A729" s="5" t="n">
        <v>701</v>
      </c>
      <c r="B729" s="5" t="n">
        <v>1</v>
      </c>
      <c r="C729" s="5" t="n">
        <v>12</v>
      </c>
      <c r="D729" s="5" t="n">
        <v>1123</v>
      </c>
      <c r="E729" s="5" t="n">
        <v>29</v>
      </c>
      <c r="F729" s="5" t="n">
        <v>4</v>
      </c>
      <c r="G729" s="5" t="n">
        <v>0</v>
      </c>
      <c r="H729" s="5" t="n">
        <v>0</v>
      </c>
      <c r="I729" s="5" t="n">
        <v>0</v>
      </c>
      <c r="J729" s="5" t="n">
        <v>0</v>
      </c>
      <c r="K729" s="5" t="n">
        <v>0</v>
      </c>
      <c r="L729" s="5" t="n">
        <v>0</v>
      </c>
      <c r="M729" s="5" t="n">
        <v>1</v>
      </c>
      <c r="N729" s="5" t="n">
        <v>0</v>
      </c>
      <c r="O729" s="5" t="n">
        <v>0</v>
      </c>
      <c r="P729" s="5" t="n">
        <v>1</v>
      </c>
      <c r="Q729" s="5" t="n">
        <v>0</v>
      </c>
      <c r="R729" s="5" t="n">
        <v>0</v>
      </c>
      <c r="S729" s="5" t="n">
        <v>0</v>
      </c>
      <c r="T729" s="5" t="n">
        <v>1</v>
      </c>
      <c r="U729" s="5" t="inlineStr">
        <is>
          <t>training</t>
        </is>
      </c>
    </row>
    <row r="730">
      <c r="A730" s="5" t="n">
        <v>702</v>
      </c>
      <c r="B730" s="5" t="n">
        <v>1</v>
      </c>
      <c r="C730" s="5" t="n">
        <v>48</v>
      </c>
      <c r="D730" s="5" t="n">
        <v>6331</v>
      </c>
      <c r="E730" s="5" t="n">
        <v>46</v>
      </c>
      <c r="F730" s="5" t="n">
        <v>4</v>
      </c>
      <c r="G730" s="5" t="n">
        <v>1</v>
      </c>
      <c r="H730" s="5" t="n">
        <v>0</v>
      </c>
      <c r="I730" s="5" t="n">
        <v>0</v>
      </c>
      <c r="J730" s="5" t="n">
        <v>1</v>
      </c>
      <c r="K730" s="5" t="n">
        <v>0</v>
      </c>
      <c r="L730" s="5" t="n">
        <v>0</v>
      </c>
      <c r="M730" s="5" t="n">
        <v>0</v>
      </c>
      <c r="N730" s="5" t="n">
        <v>0</v>
      </c>
      <c r="O730" s="5" t="n">
        <v>0</v>
      </c>
      <c r="P730" s="5" t="n">
        <v>0</v>
      </c>
      <c r="Q730" s="5" t="n">
        <v>1</v>
      </c>
      <c r="R730" s="5" t="n">
        <v>1</v>
      </c>
      <c r="S730" s="5" t="n">
        <v>0</v>
      </c>
      <c r="T730" s="5" t="n">
        <v>0</v>
      </c>
      <c r="U730" s="5" t="inlineStr">
        <is>
          <t>training</t>
        </is>
      </c>
    </row>
    <row r="731">
      <c r="A731" s="5" t="n">
        <v>703</v>
      </c>
      <c r="B731" s="5" t="n">
        <v>0</v>
      </c>
      <c r="C731" s="5" t="n">
        <v>24</v>
      </c>
      <c r="D731" s="5" t="n">
        <v>1377</v>
      </c>
      <c r="E731" s="5" t="n">
        <v>47</v>
      </c>
      <c r="F731" s="5" t="n">
        <v>4</v>
      </c>
      <c r="G731" s="5" t="n">
        <v>0</v>
      </c>
      <c r="H731" s="5" t="n">
        <v>0</v>
      </c>
      <c r="I731" s="5" t="n">
        <v>1</v>
      </c>
      <c r="J731" s="5" t="n">
        <v>0</v>
      </c>
      <c r="K731" s="5" t="n">
        <v>0</v>
      </c>
      <c r="L731" s="5" t="n">
        <v>0</v>
      </c>
      <c r="M731" s="5" t="n">
        <v>1</v>
      </c>
      <c r="N731" s="5" t="n">
        <v>0</v>
      </c>
      <c r="O731" s="5" t="n">
        <v>0</v>
      </c>
      <c r="P731" s="5" t="n">
        <v>0</v>
      </c>
      <c r="Q731" s="5" t="n">
        <v>1</v>
      </c>
      <c r="R731" s="5" t="n">
        <v>0</v>
      </c>
      <c r="S731" s="5" t="n">
        <v>1</v>
      </c>
      <c r="T731" s="5" t="n">
        <v>0</v>
      </c>
      <c r="U731" s="5" t="inlineStr">
        <is>
          <t>training</t>
        </is>
      </c>
    </row>
    <row r="732">
      <c r="A732" s="5" t="n">
        <v>704</v>
      </c>
      <c r="B732" s="5" t="n">
        <v>0</v>
      </c>
      <c r="C732" s="5" t="n">
        <v>30</v>
      </c>
      <c r="D732" s="5" t="n">
        <v>2503</v>
      </c>
      <c r="E732" s="5" t="n">
        <v>41</v>
      </c>
      <c r="F732" s="5" t="n">
        <v>4</v>
      </c>
      <c r="G732" s="5" t="n">
        <v>0</v>
      </c>
      <c r="H732" s="5" t="n">
        <v>1</v>
      </c>
      <c r="I732" s="5" t="n">
        <v>0</v>
      </c>
      <c r="J732" s="5" t="n">
        <v>0</v>
      </c>
      <c r="K732" s="5" t="n">
        <v>1</v>
      </c>
      <c r="L732" s="5" t="n">
        <v>0</v>
      </c>
      <c r="M732" s="5" t="n">
        <v>1</v>
      </c>
      <c r="N732" s="5" t="n">
        <v>0</v>
      </c>
      <c r="O732" s="5" t="n">
        <v>0</v>
      </c>
      <c r="P732" s="5" t="n">
        <v>0</v>
      </c>
      <c r="Q732" s="5" t="n">
        <v>0</v>
      </c>
      <c r="R732" s="5" t="n">
        <v>0</v>
      </c>
      <c r="S732" s="5" t="n">
        <v>0</v>
      </c>
      <c r="T732" s="5" t="n">
        <v>0</v>
      </c>
      <c r="U732" s="5" t="inlineStr">
        <is>
          <t>training</t>
        </is>
      </c>
    </row>
    <row r="733">
      <c r="A733" s="5" t="n">
        <v>705</v>
      </c>
      <c r="B733" s="5" t="n">
        <v>0</v>
      </c>
      <c r="C733" s="5" t="n">
        <v>27</v>
      </c>
      <c r="D733" s="5" t="n">
        <v>2528</v>
      </c>
      <c r="E733" s="5" t="n">
        <v>32</v>
      </c>
      <c r="F733" s="5" t="n">
        <v>4</v>
      </c>
      <c r="G733" s="5" t="n">
        <v>0</v>
      </c>
      <c r="H733" s="5" t="n">
        <v>1</v>
      </c>
      <c r="I733" s="5" t="n">
        <v>0</v>
      </c>
      <c r="J733" s="5" t="n">
        <v>0</v>
      </c>
      <c r="K733" s="5" t="n">
        <v>0</v>
      </c>
      <c r="L733" s="5" t="n">
        <v>0</v>
      </c>
      <c r="M733" s="5" t="n">
        <v>0</v>
      </c>
      <c r="N733" s="5" t="n">
        <v>0</v>
      </c>
      <c r="O733" s="5" t="n">
        <v>0</v>
      </c>
      <c r="P733" s="5" t="n">
        <v>0</v>
      </c>
      <c r="Q733" s="5" t="n">
        <v>0</v>
      </c>
      <c r="R733" s="5" t="n">
        <v>0</v>
      </c>
      <c r="S733" s="5" t="n">
        <v>0</v>
      </c>
      <c r="T733" s="5" t="n">
        <v>0</v>
      </c>
      <c r="U733" s="5" t="inlineStr">
        <is>
          <t>training</t>
        </is>
      </c>
    </row>
    <row r="734">
      <c r="A734" s="5" t="n">
        <v>706</v>
      </c>
      <c r="B734" s="5" t="n">
        <v>0</v>
      </c>
      <c r="C734" s="5" t="n">
        <v>15</v>
      </c>
      <c r="D734" s="5" t="n">
        <v>5324</v>
      </c>
      <c r="E734" s="5" t="n">
        <v>35</v>
      </c>
      <c r="F734" s="5" t="n">
        <v>1</v>
      </c>
      <c r="G734" s="5" t="n">
        <v>0</v>
      </c>
      <c r="H734" s="5" t="n">
        <v>0</v>
      </c>
      <c r="I734" s="5" t="n">
        <v>0</v>
      </c>
      <c r="J734" s="5" t="n">
        <v>0</v>
      </c>
      <c r="K734" s="5" t="n">
        <v>0</v>
      </c>
      <c r="L734" s="5" t="n">
        <v>0</v>
      </c>
      <c r="M734" s="5" t="n">
        <v>1</v>
      </c>
      <c r="N734" s="5" t="n">
        <v>0</v>
      </c>
      <c r="O734" s="5" t="n">
        <v>0</v>
      </c>
      <c r="P734" s="5" t="n">
        <v>0</v>
      </c>
      <c r="Q734" s="5" t="n">
        <v>1</v>
      </c>
      <c r="R734" s="5" t="n">
        <v>1</v>
      </c>
      <c r="S734" s="5" t="n">
        <v>0</v>
      </c>
      <c r="T734" s="5" t="n">
        <v>0</v>
      </c>
      <c r="U734" s="5" t="inlineStr">
        <is>
          <t>training</t>
        </is>
      </c>
    </row>
    <row r="735">
      <c r="A735" s="5" t="n">
        <v>707</v>
      </c>
      <c r="B735" s="5" t="n">
        <v>1</v>
      </c>
      <c r="C735" s="5" t="n">
        <v>48</v>
      </c>
      <c r="D735" s="5" t="n">
        <v>6560</v>
      </c>
      <c r="E735" s="5" t="n">
        <v>24</v>
      </c>
      <c r="F735" s="5" t="n">
        <v>3</v>
      </c>
      <c r="G735" s="5" t="n">
        <v>0</v>
      </c>
      <c r="H735" s="5" t="n">
        <v>1</v>
      </c>
      <c r="I735" s="5" t="n">
        <v>0</v>
      </c>
      <c r="J735" s="5" t="n">
        <v>0</v>
      </c>
      <c r="K735" s="5" t="n">
        <v>0</v>
      </c>
      <c r="L735" s="5" t="n">
        <v>0</v>
      </c>
      <c r="M735" s="5" t="n">
        <v>1</v>
      </c>
      <c r="N735" s="5" t="n">
        <v>0</v>
      </c>
      <c r="O735" s="5" t="n">
        <v>0</v>
      </c>
      <c r="P735" s="5" t="n">
        <v>0</v>
      </c>
      <c r="Q735" s="5" t="n">
        <v>0</v>
      </c>
      <c r="R735" s="5" t="n">
        <v>1</v>
      </c>
      <c r="S735" s="5" t="n">
        <v>0</v>
      </c>
      <c r="T735" s="5" t="n">
        <v>0</v>
      </c>
      <c r="U735" s="5" t="inlineStr">
        <is>
          <t>testing</t>
        </is>
      </c>
    </row>
    <row r="736">
      <c r="A736" s="5" t="n">
        <v>708</v>
      </c>
      <c r="B736" s="5" t="n">
        <v>1</v>
      </c>
      <c r="C736" s="5" t="n">
        <v>12</v>
      </c>
      <c r="D736" s="5" t="n">
        <v>2969</v>
      </c>
      <c r="E736" s="5" t="n">
        <v>25</v>
      </c>
      <c r="F736" s="5" t="n">
        <v>4</v>
      </c>
      <c r="G736" s="5" t="n">
        <v>0</v>
      </c>
      <c r="H736" s="5" t="n">
        <v>1</v>
      </c>
      <c r="I736" s="5" t="n">
        <v>0</v>
      </c>
      <c r="J736" s="5" t="n">
        <v>0</v>
      </c>
      <c r="K736" s="5" t="n">
        <v>0</v>
      </c>
      <c r="L736" s="5" t="n">
        <v>1</v>
      </c>
      <c r="M736" s="5" t="n">
        <v>0</v>
      </c>
      <c r="N736" s="5" t="n">
        <v>0</v>
      </c>
      <c r="O736" s="5" t="n">
        <v>0</v>
      </c>
      <c r="P736" s="5" t="n">
        <v>1</v>
      </c>
      <c r="Q736" s="5" t="n">
        <v>0</v>
      </c>
      <c r="R736" s="5" t="n">
        <v>0</v>
      </c>
      <c r="S736" s="5" t="n">
        <v>0</v>
      </c>
      <c r="T736" s="5" t="n">
        <v>1</v>
      </c>
      <c r="U736" s="5" t="inlineStr">
        <is>
          <t>training</t>
        </is>
      </c>
    </row>
    <row r="737">
      <c r="A737" s="5" t="n">
        <v>709</v>
      </c>
      <c r="B737" s="5" t="n">
        <v>0</v>
      </c>
      <c r="C737" s="5" t="n">
        <v>9</v>
      </c>
      <c r="D737" s="5" t="n">
        <v>1206</v>
      </c>
      <c r="E737" s="5" t="n">
        <v>25</v>
      </c>
      <c r="F737" s="5" t="n">
        <v>4</v>
      </c>
      <c r="G737" s="5" t="n">
        <v>0</v>
      </c>
      <c r="H737" s="5" t="n">
        <v>1</v>
      </c>
      <c r="I737" s="5" t="n">
        <v>0</v>
      </c>
      <c r="J737" s="5" t="n">
        <v>0</v>
      </c>
      <c r="K737" s="5" t="n">
        <v>0</v>
      </c>
      <c r="L737" s="5" t="n">
        <v>0</v>
      </c>
      <c r="M737" s="5" t="n">
        <v>0</v>
      </c>
      <c r="N737" s="5" t="n">
        <v>0</v>
      </c>
      <c r="O737" s="5" t="n">
        <v>0</v>
      </c>
      <c r="P737" s="5" t="n">
        <v>0</v>
      </c>
      <c r="Q737" s="5" t="n">
        <v>0</v>
      </c>
      <c r="R737" s="5" t="n">
        <v>0</v>
      </c>
      <c r="S737" s="5" t="n">
        <v>1</v>
      </c>
      <c r="T737" s="5" t="n">
        <v>0</v>
      </c>
      <c r="U737" s="5" t="inlineStr">
        <is>
          <t>training</t>
        </is>
      </c>
    </row>
    <row r="738">
      <c r="A738" s="5" t="n">
        <v>710</v>
      </c>
      <c r="B738" s="5" t="n">
        <v>0</v>
      </c>
      <c r="C738" s="5" t="n">
        <v>9</v>
      </c>
      <c r="D738" s="5" t="n">
        <v>2118</v>
      </c>
      <c r="E738" s="5" t="n">
        <v>37</v>
      </c>
      <c r="F738" s="5" t="n">
        <v>2</v>
      </c>
      <c r="G738" s="5" t="n">
        <v>0</v>
      </c>
      <c r="H738" s="5" t="n">
        <v>1</v>
      </c>
      <c r="I738" s="5" t="n">
        <v>0</v>
      </c>
      <c r="J738" s="5" t="n">
        <v>0</v>
      </c>
      <c r="K738" s="5" t="n">
        <v>0</v>
      </c>
      <c r="L738" s="5" t="n">
        <v>0</v>
      </c>
      <c r="M738" s="5" t="n">
        <v>0</v>
      </c>
      <c r="N738" s="5" t="n">
        <v>0</v>
      </c>
      <c r="O738" s="5" t="n">
        <v>0</v>
      </c>
      <c r="P738" s="5" t="n">
        <v>0</v>
      </c>
      <c r="Q738" s="5" t="n">
        <v>0</v>
      </c>
      <c r="R738" s="5" t="n">
        <v>0</v>
      </c>
      <c r="S738" s="5" t="n">
        <v>1</v>
      </c>
      <c r="T738" s="5" t="n">
        <v>0</v>
      </c>
      <c r="U738" s="5" t="inlineStr">
        <is>
          <t>testing</t>
        </is>
      </c>
    </row>
    <row r="739">
      <c r="A739" s="5" t="n">
        <v>711</v>
      </c>
      <c r="B739" s="5" t="n">
        <v>0</v>
      </c>
      <c r="C739" s="5" t="n">
        <v>18</v>
      </c>
      <c r="D739" s="5" t="n">
        <v>629</v>
      </c>
      <c r="E739" s="5" t="n">
        <v>32</v>
      </c>
      <c r="F739" s="5" t="n">
        <v>4</v>
      </c>
      <c r="G739" s="5" t="n">
        <v>0</v>
      </c>
      <c r="H739" s="5" t="n">
        <v>0</v>
      </c>
      <c r="I739" s="5" t="n">
        <v>0</v>
      </c>
      <c r="J739" s="5" t="n">
        <v>1</v>
      </c>
      <c r="K739" s="5" t="n">
        <v>0</v>
      </c>
      <c r="L739" s="5" t="n">
        <v>0</v>
      </c>
      <c r="M739" s="5" t="n">
        <v>1</v>
      </c>
      <c r="N739" s="5" t="n">
        <v>0</v>
      </c>
      <c r="O739" s="5" t="n">
        <v>0</v>
      </c>
      <c r="P739" s="5" t="n">
        <v>0</v>
      </c>
      <c r="Q739" s="5" t="n">
        <v>0</v>
      </c>
      <c r="R739" s="5" t="n">
        <v>0</v>
      </c>
      <c r="S739" s="5" t="n">
        <v>1</v>
      </c>
      <c r="T739" s="5" t="n">
        <v>0</v>
      </c>
      <c r="U739" s="5" t="inlineStr">
        <is>
          <t>training</t>
        </is>
      </c>
    </row>
    <row r="740">
      <c r="A740" s="5" t="n">
        <v>712</v>
      </c>
      <c r="B740" s="5" t="n">
        <v>1</v>
      </c>
      <c r="C740" s="5" t="n">
        <v>6</v>
      </c>
      <c r="D740" s="5" t="n">
        <v>1198</v>
      </c>
      <c r="E740" s="5" t="n">
        <v>35</v>
      </c>
      <c r="F740" s="5" t="n">
        <v>4</v>
      </c>
      <c r="G740" s="5" t="n">
        <v>1</v>
      </c>
      <c r="H740" s="5" t="n">
        <v>0</v>
      </c>
      <c r="I740" s="5" t="n">
        <v>0</v>
      </c>
      <c r="J740" s="5" t="n">
        <v>0</v>
      </c>
      <c r="K740" s="5" t="n">
        <v>0</v>
      </c>
      <c r="L740" s="5" t="n">
        <v>1</v>
      </c>
      <c r="M740" s="5" t="n">
        <v>0</v>
      </c>
      <c r="N740" s="5" t="n">
        <v>0</v>
      </c>
      <c r="O740" s="5" t="n">
        <v>0</v>
      </c>
      <c r="P740" s="5" t="n">
        <v>0</v>
      </c>
      <c r="Q740" s="5" t="n">
        <v>1</v>
      </c>
      <c r="R740" s="5" t="n">
        <v>0</v>
      </c>
      <c r="S740" s="5" t="n">
        <v>0</v>
      </c>
      <c r="T740" s="5" t="n">
        <v>0</v>
      </c>
      <c r="U740" s="5" t="inlineStr">
        <is>
          <t>training</t>
        </is>
      </c>
    </row>
    <row r="741">
      <c r="A741" s="5" t="n">
        <v>713</v>
      </c>
      <c r="B741" s="5" t="n">
        <v>0</v>
      </c>
      <c r="C741" s="5" t="n">
        <v>21</v>
      </c>
      <c r="D741" s="5" t="n">
        <v>2476</v>
      </c>
      <c r="E741" s="5" t="n">
        <v>46</v>
      </c>
      <c r="F741" s="5" t="n">
        <v>4</v>
      </c>
      <c r="G741" s="5" t="n">
        <v>0</v>
      </c>
      <c r="H741" s="5" t="n">
        <v>0</v>
      </c>
      <c r="I741" s="5" t="n">
        <v>0</v>
      </c>
      <c r="J741" s="5" t="n">
        <v>0</v>
      </c>
      <c r="K741" s="5" t="n">
        <v>0</v>
      </c>
      <c r="L741" s="5" t="n">
        <v>0</v>
      </c>
      <c r="M741" s="5" t="n">
        <v>0</v>
      </c>
      <c r="N741" s="5" t="n">
        <v>0</v>
      </c>
      <c r="O741" s="5" t="n">
        <v>1</v>
      </c>
      <c r="P741" s="5" t="n">
        <v>0</v>
      </c>
      <c r="Q741" s="5" t="n">
        <v>0</v>
      </c>
      <c r="R741" s="5" t="n">
        <v>1</v>
      </c>
      <c r="S741" s="5" t="n">
        <v>0</v>
      </c>
      <c r="T741" s="5" t="n">
        <v>0</v>
      </c>
      <c r="U741" s="5" t="inlineStr">
        <is>
          <t>training</t>
        </is>
      </c>
    </row>
    <row r="742">
      <c r="A742" s="5" t="n">
        <v>714</v>
      </c>
      <c r="B742" s="5" t="n">
        <v>0</v>
      </c>
      <c r="C742" s="5" t="n">
        <v>9</v>
      </c>
      <c r="D742" s="5" t="n">
        <v>1138</v>
      </c>
      <c r="E742" s="5" t="n">
        <v>25</v>
      </c>
      <c r="F742" s="5" t="n">
        <v>4</v>
      </c>
      <c r="G742" s="5" t="n">
        <v>1</v>
      </c>
      <c r="H742" s="5" t="n">
        <v>0</v>
      </c>
      <c r="I742" s="5" t="n">
        <v>0</v>
      </c>
      <c r="J742" s="5" t="n">
        <v>1</v>
      </c>
      <c r="K742" s="5" t="n">
        <v>0</v>
      </c>
      <c r="L742" s="5" t="n">
        <v>0</v>
      </c>
      <c r="M742" s="5" t="n">
        <v>0</v>
      </c>
      <c r="N742" s="5" t="n">
        <v>0</v>
      </c>
      <c r="O742" s="5" t="n">
        <v>0</v>
      </c>
      <c r="P742" s="5" t="n">
        <v>0</v>
      </c>
      <c r="Q742" s="5" t="n">
        <v>0</v>
      </c>
      <c r="R742" s="5" t="n">
        <v>0</v>
      </c>
      <c r="S742" s="5" t="n">
        <v>1</v>
      </c>
      <c r="T742" s="5" t="n">
        <v>0</v>
      </c>
      <c r="U742" s="5" t="inlineStr">
        <is>
          <t>training</t>
        </is>
      </c>
    </row>
    <row r="743">
      <c r="A743" s="5" t="n">
        <v>715</v>
      </c>
      <c r="B743" s="5" t="n">
        <v>1</v>
      </c>
      <c r="C743" s="5" t="n">
        <v>60</v>
      </c>
      <c r="D743" s="5" t="n">
        <v>14027</v>
      </c>
      <c r="E743" s="5" t="n">
        <v>27</v>
      </c>
      <c r="F743" s="5" t="n">
        <v>4</v>
      </c>
      <c r="G743" s="5" t="n">
        <v>0</v>
      </c>
      <c r="H743" s="5" t="n">
        <v>1</v>
      </c>
      <c r="I743" s="5" t="n">
        <v>0</v>
      </c>
      <c r="J743" s="5" t="n">
        <v>0</v>
      </c>
      <c r="K743" s="5" t="n">
        <v>0</v>
      </c>
      <c r="L743" s="5" t="n">
        <v>0</v>
      </c>
      <c r="M743" s="5" t="n">
        <v>0</v>
      </c>
      <c r="N743" s="5" t="n">
        <v>0</v>
      </c>
      <c r="O743" s="5" t="n">
        <v>0</v>
      </c>
      <c r="P743" s="5" t="n">
        <v>0</v>
      </c>
      <c r="Q743" s="5" t="n">
        <v>0</v>
      </c>
      <c r="R743" s="5" t="n">
        <v>1</v>
      </c>
      <c r="S743" s="5" t="n">
        <v>0</v>
      </c>
      <c r="T743" s="5" t="n">
        <v>0</v>
      </c>
      <c r="U743" s="5" t="inlineStr">
        <is>
          <t>testing</t>
        </is>
      </c>
    </row>
    <row r="744">
      <c r="A744" s="5" t="n">
        <v>716</v>
      </c>
      <c r="B744" s="5" t="n">
        <v>0</v>
      </c>
      <c r="C744" s="5" t="n">
        <v>30</v>
      </c>
      <c r="D744" s="5" t="n">
        <v>7596</v>
      </c>
      <c r="E744" s="5" t="n">
        <v>63</v>
      </c>
      <c r="F744" s="5" t="n">
        <v>1</v>
      </c>
      <c r="G744" s="5" t="n">
        <v>0</v>
      </c>
      <c r="H744" s="5" t="n">
        <v>0</v>
      </c>
      <c r="I744" s="5" t="n">
        <v>0</v>
      </c>
      <c r="J744" s="5" t="n">
        <v>1</v>
      </c>
      <c r="K744" s="5" t="n">
        <v>0</v>
      </c>
      <c r="L744" s="5" t="n">
        <v>0</v>
      </c>
      <c r="M744" s="5" t="n">
        <v>0</v>
      </c>
      <c r="N744" s="5" t="n">
        <v>0</v>
      </c>
      <c r="O744" s="5" t="n">
        <v>1</v>
      </c>
      <c r="P744" s="5" t="n">
        <v>0</v>
      </c>
      <c r="Q744" s="5" t="n">
        <v>0</v>
      </c>
      <c r="R744" s="5" t="n">
        <v>1</v>
      </c>
      <c r="S744" s="5" t="n">
        <v>0</v>
      </c>
      <c r="T744" s="5" t="n">
        <v>0</v>
      </c>
      <c r="U744" s="5" t="inlineStr">
        <is>
          <t>training</t>
        </is>
      </c>
    </row>
    <row r="745">
      <c r="A745" s="5" t="n">
        <v>717</v>
      </c>
      <c r="B745" s="5" t="n">
        <v>0</v>
      </c>
      <c r="C745" s="5" t="n">
        <v>30</v>
      </c>
      <c r="D745" s="5" t="n">
        <v>3077</v>
      </c>
      <c r="E745" s="5" t="n">
        <v>40</v>
      </c>
      <c r="F745" s="5" t="n">
        <v>3</v>
      </c>
      <c r="G745" s="5" t="n">
        <v>0</v>
      </c>
      <c r="H745" s="5" t="n">
        <v>0</v>
      </c>
      <c r="I745" s="5" t="n">
        <v>0</v>
      </c>
      <c r="J745" s="5" t="n">
        <v>1</v>
      </c>
      <c r="K745" s="5" t="n">
        <v>0</v>
      </c>
      <c r="L745" s="5" t="n">
        <v>0</v>
      </c>
      <c r="M745" s="5" t="n">
        <v>0</v>
      </c>
      <c r="N745" s="5" t="n">
        <v>0</v>
      </c>
      <c r="O745" s="5" t="n">
        <v>1</v>
      </c>
      <c r="P745" s="5" t="n">
        <v>0</v>
      </c>
      <c r="Q745" s="5" t="n">
        <v>0</v>
      </c>
      <c r="R745" s="5" t="n">
        <v>0</v>
      </c>
      <c r="S745" s="5" t="n">
        <v>1</v>
      </c>
      <c r="T745" s="5" t="n">
        <v>0</v>
      </c>
      <c r="U745" s="5" t="inlineStr">
        <is>
          <t>testing</t>
        </is>
      </c>
    </row>
    <row r="746">
      <c r="A746" s="5" t="n">
        <v>718</v>
      </c>
      <c r="B746" s="5" t="n">
        <v>0</v>
      </c>
      <c r="C746" s="5" t="n">
        <v>18</v>
      </c>
      <c r="D746" s="5" t="n">
        <v>1505</v>
      </c>
      <c r="E746" s="5" t="n">
        <v>32</v>
      </c>
      <c r="F746" s="5" t="n">
        <v>4</v>
      </c>
      <c r="G746" s="5" t="n">
        <v>0</v>
      </c>
      <c r="H746" s="5" t="n">
        <v>0</v>
      </c>
      <c r="I746" s="5" t="n">
        <v>0</v>
      </c>
      <c r="J746" s="5" t="n">
        <v>0</v>
      </c>
      <c r="K746" s="5" t="n">
        <v>0</v>
      </c>
      <c r="L746" s="5" t="n">
        <v>0</v>
      </c>
      <c r="M746" s="5" t="n">
        <v>0</v>
      </c>
      <c r="N746" s="5" t="n">
        <v>0</v>
      </c>
      <c r="O746" s="5" t="n">
        <v>0</v>
      </c>
      <c r="P746" s="5" t="n">
        <v>0</v>
      </c>
      <c r="Q746" s="5" t="n">
        <v>1</v>
      </c>
      <c r="R746" s="5" t="n">
        <v>0</v>
      </c>
      <c r="S746" s="5" t="n">
        <v>1</v>
      </c>
      <c r="T746" s="5" t="n">
        <v>0</v>
      </c>
      <c r="U746" s="5" t="inlineStr">
        <is>
          <t>training</t>
        </is>
      </c>
    </row>
    <row r="747">
      <c r="A747" s="5" t="n">
        <v>719</v>
      </c>
      <c r="B747" s="5" t="n">
        <v>0</v>
      </c>
      <c r="C747" s="5" t="n">
        <v>24</v>
      </c>
      <c r="D747" s="5" t="n">
        <v>3148</v>
      </c>
      <c r="E747" s="5" t="n">
        <v>31</v>
      </c>
      <c r="F747" s="5" t="n">
        <v>3</v>
      </c>
      <c r="G747" s="5" t="n">
        <v>0</v>
      </c>
      <c r="H747" s="5" t="n">
        <v>0</v>
      </c>
      <c r="I747" s="5" t="n">
        <v>1</v>
      </c>
      <c r="J747" s="5" t="n">
        <v>1</v>
      </c>
      <c r="K747" s="5" t="n">
        <v>0</v>
      </c>
      <c r="L747" s="5" t="n">
        <v>0</v>
      </c>
      <c r="M747" s="5" t="n">
        <v>0</v>
      </c>
      <c r="N747" s="5" t="n">
        <v>0</v>
      </c>
      <c r="O747" s="5" t="n">
        <v>1</v>
      </c>
      <c r="P747" s="5" t="n">
        <v>0</v>
      </c>
      <c r="Q747" s="5" t="n">
        <v>0</v>
      </c>
      <c r="R747" s="5" t="n">
        <v>0</v>
      </c>
      <c r="S747" s="5" t="n">
        <v>1</v>
      </c>
      <c r="T747" s="5" t="n">
        <v>0</v>
      </c>
      <c r="U747" s="5" t="inlineStr">
        <is>
          <t>training</t>
        </is>
      </c>
    </row>
    <row r="748">
      <c r="A748" s="5" t="n">
        <v>720</v>
      </c>
      <c r="B748" s="5" t="n">
        <v>0</v>
      </c>
      <c r="C748" s="5" t="n">
        <v>20</v>
      </c>
      <c r="D748" s="5" t="n">
        <v>6148</v>
      </c>
      <c r="E748" s="5" t="n">
        <v>31</v>
      </c>
      <c r="F748" s="5" t="n">
        <v>3</v>
      </c>
      <c r="G748" s="5" t="n">
        <v>0</v>
      </c>
      <c r="H748" s="5" t="n">
        <v>1</v>
      </c>
      <c r="I748" s="5" t="n">
        <v>0</v>
      </c>
      <c r="J748" s="5" t="n">
        <v>0</v>
      </c>
      <c r="K748" s="5" t="n">
        <v>0</v>
      </c>
      <c r="L748" s="5" t="n">
        <v>1</v>
      </c>
      <c r="M748" s="5" t="n">
        <v>1</v>
      </c>
      <c r="N748" s="5" t="n">
        <v>0</v>
      </c>
      <c r="O748" s="5" t="n">
        <v>0</v>
      </c>
      <c r="P748" s="5" t="n">
        <v>0</v>
      </c>
      <c r="Q748" s="5" t="n">
        <v>0</v>
      </c>
      <c r="R748" s="5" t="n">
        <v>1</v>
      </c>
      <c r="S748" s="5" t="n">
        <v>0</v>
      </c>
      <c r="T748" s="5" t="n">
        <v>0</v>
      </c>
      <c r="U748" s="5" t="inlineStr">
        <is>
          <t>training</t>
        </is>
      </c>
    </row>
    <row r="749">
      <c r="A749" s="5" t="n">
        <v>721</v>
      </c>
      <c r="B749" s="5" t="n">
        <v>1</v>
      </c>
      <c r="C749" s="5" t="n">
        <v>9</v>
      </c>
      <c r="D749" s="5" t="n">
        <v>1337</v>
      </c>
      <c r="E749" s="5" t="n">
        <v>34</v>
      </c>
      <c r="F749" s="5" t="n">
        <v>4</v>
      </c>
      <c r="G749" s="5" t="n">
        <v>0</v>
      </c>
      <c r="H749" s="5" t="n">
        <v>0</v>
      </c>
      <c r="I749" s="5" t="n">
        <v>1</v>
      </c>
      <c r="J749" s="5" t="n">
        <v>0</v>
      </c>
      <c r="K749" s="5" t="n">
        <v>0</v>
      </c>
      <c r="L749" s="5" t="n">
        <v>1</v>
      </c>
      <c r="M749" s="5" t="n">
        <v>0</v>
      </c>
      <c r="N749" s="5" t="n">
        <v>0</v>
      </c>
      <c r="O749" s="5" t="n">
        <v>0</v>
      </c>
      <c r="P749" s="5" t="n">
        <v>0</v>
      </c>
      <c r="Q749" s="5" t="n">
        <v>0</v>
      </c>
      <c r="R749" s="5" t="n">
        <v>0</v>
      </c>
      <c r="S749" s="5" t="n">
        <v>1</v>
      </c>
      <c r="T749" s="5" t="n">
        <v>0</v>
      </c>
      <c r="U749" s="5" t="inlineStr">
        <is>
          <t>training</t>
        </is>
      </c>
    </row>
    <row r="750">
      <c r="A750" s="5" t="n">
        <v>722</v>
      </c>
      <c r="B750" s="5" t="n">
        <v>1</v>
      </c>
      <c r="C750" s="5" t="n">
        <v>6</v>
      </c>
      <c r="D750" s="5" t="n">
        <v>433</v>
      </c>
      <c r="E750" s="5" t="n">
        <v>24</v>
      </c>
      <c r="F750" s="5" t="n">
        <v>4</v>
      </c>
      <c r="G750" s="5" t="n">
        <v>0</v>
      </c>
      <c r="H750" s="5" t="n">
        <v>1</v>
      </c>
      <c r="I750" s="5" t="n">
        <v>0</v>
      </c>
      <c r="J750" s="5" t="n">
        <v>0</v>
      </c>
      <c r="K750" s="5" t="n">
        <v>0</v>
      </c>
      <c r="L750" s="5" t="n">
        <v>1</v>
      </c>
      <c r="M750" s="5" t="n">
        <v>0</v>
      </c>
      <c r="N750" s="5" t="n">
        <v>1</v>
      </c>
      <c r="O750" s="5" t="n">
        <v>0</v>
      </c>
      <c r="P750" s="5" t="n">
        <v>1</v>
      </c>
      <c r="Q750" s="5" t="n">
        <v>0</v>
      </c>
      <c r="R750" s="5" t="n">
        <v>0</v>
      </c>
      <c r="S750" s="5" t="n">
        <v>0</v>
      </c>
      <c r="T750" s="5" t="n">
        <v>0</v>
      </c>
      <c r="U750" s="5" t="inlineStr">
        <is>
          <t>testing</t>
        </is>
      </c>
    </row>
    <row r="751">
      <c r="A751" s="5" t="n">
        <v>723</v>
      </c>
      <c r="B751" s="5" t="n">
        <v>1</v>
      </c>
      <c r="C751" s="5" t="n">
        <v>12</v>
      </c>
      <c r="D751" s="5" t="n">
        <v>1228</v>
      </c>
      <c r="E751" s="5" t="n">
        <v>24</v>
      </c>
      <c r="F751" s="5" t="n">
        <v>4</v>
      </c>
      <c r="G751" s="5" t="n">
        <v>1</v>
      </c>
      <c r="H751" s="5" t="n">
        <v>0</v>
      </c>
      <c r="I751" s="5" t="n">
        <v>0</v>
      </c>
      <c r="J751" s="5" t="n">
        <v>0</v>
      </c>
      <c r="K751" s="5" t="n">
        <v>0</v>
      </c>
      <c r="L751" s="5" t="n">
        <v>0</v>
      </c>
      <c r="M751" s="5" t="n">
        <v>0</v>
      </c>
      <c r="N751" s="5" t="n">
        <v>0</v>
      </c>
      <c r="O751" s="5" t="n">
        <v>0</v>
      </c>
      <c r="P751" s="5" t="n">
        <v>0</v>
      </c>
      <c r="Q751" s="5" t="n">
        <v>0</v>
      </c>
      <c r="R751" s="5" t="n">
        <v>1</v>
      </c>
      <c r="S751" s="5" t="n">
        <v>0</v>
      </c>
      <c r="T751" s="5" t="n">
        <v>0</v>
      </c>
      <c r="U751" s="5" t="inlineStr">
        <is>
          <t>training</t>
        </is>
      </c>
    </row>
    <row r="752">
      <c r="A752" s="5" t="n">
        <v>724</v>
      </c>
      <c r="B752" s="5" t="n">
        <v>0</v>
      </c>
      <c r="C752" s="5" t="n">
        <v>9</v>
      </c>
      <c r="D752" s="5" t="n">
        <v>790</v>
      </c>
      <c r="E752" s="5" t="n">
        <v>66</v>
      </c>
      <c r="F752" s="5" t="n">
        <v>4</v>
      </c>
      <c r="G752" s="5" t="n">
        <v>0</v>
      </c>
      <c r="H752" s="5" t="n">
        <v>1</v>
      </c>
      <c r="I752" s="5" t="n">
        <v>0</v>
      </c>
      <c r="J752" s="5" t="n">
        <v>0</v>
      </c>
      <c r="K752" s="5" t="n">
        <v>0</v>
      </c>
      <c r="L752" s="5" t="n">
        <v>0</v>
      </c>
      <c r="M752" s="5" t="n">
        <v>1</v>
      </c>
      <c r="N752" s="5" t="n">
        <v>0</v>
      </c>
      <c r="O752" s="5" t="n">
        <v>0</v>
      </c>
      <c r="P752" s="5" t="n">
        <v>0</v>
      </c>
      <c r="Q752" s="5" t="n">
        <v>0</v>
      </c>
      <c r="R752" s="5" t="n">
        <v>0</v>
      </c>
      <c r="S752" s="5" t="n">
        <v>1</v>
      </c>
      <c r="T752" s="5" t="n">
        <v>0</v>
      </c>
      <c r="U752" s="5" t="inlineStr">
        <is>
          <t>training</t>
        </is>
      </c>
    </row>
    <row r="753">
      <c r="A753" s="5" t="n">
        <v>725</v>
      </c>
      <c r="B753" s="5" t="n">
        <v>1</v>
      </c>
      <c r="C753" s="5" t="n">
        <v>27</v>
      </c>
      <c r="D753" s="5" t="n">
        <v>2570</v>
      </c>
      <c r="E753" s="5" t="n">
        <v>21</v>
      </c>
      <c r="F753" s="5" t="n">
        <v>3</v>
      </c>
      <c r="G753" s="5" t="n">
        <v>0</v>
      </c>
      <c r="H753" s="5" t="n">
        <v>0</v>
      </c>
      <c r="I753" s="5" t="n">
        <v>0</v>
      </c>
      <c r="J753" s="5" t="n">
        <v>0</v>
      </c>
      <c r="K753" s="5" t="n">
        <v>0</v>
      </c>
      <c r="L753" s="5" t="n">
        <v>0</v>
      </c>
      <c r="M753" s="5" t="n">
        <v>0</v>
      </c>
      <c r="N753" s="5" t="n">
        <v>0</v>
      </c>
      <c r="O753" s="5" t="n">
        <v>0</v>
      </c>
      <c r="P753" s="5" t="n">
        <v>1</v>
      </c>
      <c r="Q753" s="5" t="n">
        <v>0</v>
      </c>
      <c r="R753" s="5" t="n">
        <v>1</v>
      </c>
      <c r="S753" s="5" t="n">
        <v>0</v>
      </c>
      <c r="T753" s="5" t="n">
        <v>0</v>
      </c>
      <c r="U753" s="5" t="inlineStr">
        <is>
          <t>training</t>
        </is>
      </c>
    </row>
    <row r="754">
      <c r="A754" s="5" t="n">
        <v>726</v>
      </c>
      <c r="B754" s="5" t="n">
        <v>0</v>
      </c>
      <c r="C754" s="5" t="n">
        <v>6</v>
      </c>
      <c r="D754" s="5" t="n">
        <v>250</v>
      </c>
      <c r="E754" s="5" t="n">
        <v>41</v>
      </c>
      <c r="F754" s="5" t="n">
        <v>2</v>
      </c>
      <c r="G754" s="5" t="n">
        <v>0</v>
      </c>
      <c r="H754" s="5" t="n">
        <v>0</v>
      </c>
      <c r="I754" s="5" t="n">
        <v>0</v>
      </c>
      <c r="J754" s="5" t="n">
        <v>1</v>
      </c>
      <c r="K754" s="5" t="n">
        <v>0</v>
      </c>
      <c r="L754" s="5" t="n">
        <v>0</v>
      </c>
      <c r="M754" s="5" t="n">
        <v>0</v>
      </c>
      <c r="N754" s="5" t="n">
        <v>1</v>
      </c>
      <c r="O754" s="5" t="n">
        <v>0</v>
      </c>
      <c r="P754" s="5" t="n">
        <v>0</v>
      </c>
      <c r="Q754" s="5" t="n">
        <v>0</v>
      </c>
      <c r="R754" s="5" t="n">
        <v>1</v>
      </c>
      <c r="S754" s="5" t="n">
        <v>0</v>
      </c>
      <c r="T754" s="5" t="n">
        <v>0</v>
      </c>
      <c r="U754" s="5" t="inlineStr">
        <is>
          <t>training</t>
        </is>
      </c>
    </row>
    <row r="755">
      <c r="A755" s="5" t="n">
        <v>727</v>
      </c>
      <c r="B755" s="5" t="n">
        <v>0</v>
      </c>
      <c r="C755" s="5" t="n">
        <v>15</v>
      </c>
      <c r="D755" s="5" t="n">
        <v>1316</v>
      </c>
      <c r="E755" s="5" t="n">
        <v>47</v>
      </c>
      <c r="F755" s="5" t="n">
        <v>2</v>
      </c>
      <c r="G755" s="5" t="n">
        <v>0</v>
      </c>
      <c r="H755" s="5" t="n">
        <v>0</v>
      </c>
      <c r="I755" s="5" t="n">
        <v>0</v>
      </c>
      <c r="J755" s="5" t="n">
        <v>1</v>
      </c>
      <c r="K755" s="5" t="n">
        <v>0</v>
      </c>
      <c r="L755" s="5" t="n">
        <v>0</v>
      </c>
      <c r="M755" s="5" t="n">
        <v>1</v>
      </c>
      <c r="N755" s="5" t="n">
        <v>0</v>
      </c>
      <c r="O755" s="5" t="n">
        <v>0</v>
      </c>
      <c r="P755" s="5" t="n">
        <v>0</v>
      </c>
      <c r="Q755" s="5" t="n">
        <v>0</v>
      </c>
      <c r="R755" s="5" t="n">
        <v>0</v>
      </c>
      <c r="S755" s="5" t="n">
        <v>1</v>
      </c>
      <c r="T755" s="5" t="n">
        <v>0</v>
      </c>
      <c r="U755" s="5" t="inlineStr">
        <is>
          <t>training</t>
        </is>
      </c>
    </row>
    <row r="756">
      <c r="A756" s="5" t="n">
        <v>728</v>
      </c>
      <c r="B756" s="5" t="n">
        <v>1</v>
      </c>
      <c r="C756" s="5" t="n">
        <v>18</v>
      </c>
      <c r="D756" s="5" t="n">
        <v>1882</v>
      </c>
      <c r="E756" s="5" t="n">
        <v>25</v>
      </c>
      <c r="F756" s="5" t="n">
        <v>4</v>
      </c>
      <c r="G756" s="5" t="n">
        <v>1</v>
      </c>
      <c r="H756" s="5" t="n">
        <v>0</v>
      </c>
      <c r="I756" s="5" t="n">
        <v>0</v>
      </c>
      <c r="J756" s="5" t="n">
        <v>0</v>
      </c>
      <c r="K756" s="5" t="n">
        <v>0</v>
      </c>
      <c r="L756" s="5" t="n">
        <v>0</v>
      </c>
      <c r="M756" s="5" t="n">
        <v>0</v>
      </c>
      <c r="N756" s="5" t="n">
        <v>0</v>
      </c>
      <c r="O756" s="5" t="n">
        <v>0</v>
      </c>
      <c r="P756" s="5" t="n">
        <v>1</v>
      </c>
      <c r="Q756" s="5" t="n">
        <v>0</v>
      </c>
      <c r="R756" s="5" t="n">
        <v>0</v>
      </c>
      <c r="S756" s="5" t="n">
        <v>1</v>
      </c>
      <c r="T756" s="5" t="n">
        <v>0</v>
      </c>
      <c r="U756" s="5" t="inlineStr">
        <is>
          <t>training</t>
        </is>
      </c>
    </row>
    <row r="757">
      <c r="A757" s="5" t="n">
        <v>729</v>
      </c>
      <c r="B757" s="5" t="n">
        <v>1</v>
      </c>
      <c r="C757" s="5" t="n">
        <v>48</v>
      </c>
      <c r="D757" s="5" t="n">
        <v>6416</v>
      </c>
      <c r="E757" s="5" t="n">
        <v>59</v>
      </c>
      <c r="F757" s="5" t="n">
        <v>4</v>
      </c>
      <c r="G757" s="5" t="n">
        <v>0</v>
      </c>
      <c r="H757" s="5" t="n">
        <v>1</v>
      </c>
      <c r="I757" s="5" t="n">
        <v>0</v>
      </c>
      <c r="J757" s="5" t="n">
        <v>0</v>
      </c>
      <c r="K757" s="5" t="n">
        <v>0</v>
      </c>
      <c r="L757" s="5" t="n">
        <v>1</v>
      </c>
      <c r="M757" s="5" t="n">
        <v>0</v>
      </c>
      <c r="N757" s="5" t="n">
        <v>0</v>
      </c>
      <c r="O757" s="5" t="n">
        <v>0</v>
      </c>
      <c r="P757" s="5" t="n">
        <v>1</v>
      </c>
      <c r="Q757" s="5" t="n">
        <v>0</v>
      </c>
      <c r="R757" s="5" t="n">
        <v>0</v>
      </c>
      <c r="S757" s="5" t="n">
        <v>0</v>
      </c>
      <c r="T757" s="5" t="n">
        <v>0</v>
      </c>
      <c r="U757" s="5" t="inlineStr">
        <is>
          <t>testing</t>
        </is>
      </c>
    </row>
    <row r="758">
      <c r="A758" s="5" t="n">
        <v>730</v>
      </c>
      <c r="B758" s="5" t="n">
        <v>0</v>
      </c>
      <c r="C758" s="5" t="n">
        <v>24</v>
      </c>
      <c r="D758" s="5" t="n">
        <v>1275</v>
      </c>
      <c r="E758" s="5" t="n">
        <v>36</v>
      </c>
      <c r="F758" s="5" t="n">
        <v>2</v>
      </c>
      <c r="G758" s="5" t="n">
        <v>0</v>
      </c>
      <c r="H758" s="5" t="n">
        <v>0</v>
      </c>
      <c r="I758" s="5" t="n">
        <v>1</v>
      </c>
      <c r="J758" s="5" t="n">
        <v>1</v>
      </c>
      <c r="K758" s="5" t="n">
        <v>0</v>
      </c>
      <c r="L758" s="5" t="n">
        <v>0</v>
      </c>
      <c r="M758" s="5" t="n">
        <v>0</v>
      </c>
      <c r="N758" s="5" t="n">
        <v>1</v>
      </c>
      <c r="O758" s="5" t="n">
        <v>0</v>
      </c>
      <c r="P758" s="5" t="n">
        <v>0</v>
      </c>
      <c r="Q758" s="5" t="n">
        <v>0</v>
      </c>
      <c r="R758" s="5" t="n">
        <v>0</v>
      </c>
      <c r="S758" s="5" t="n">
        <v>0</v>
      </c>
      <c r="T758" s="5" t="n">
        <v>0</v>
      </c>
      <c r="U758" s="5" t="inlineStr">
        <is>
          <t>training</t>
        </is>
      </c>
    </row>
    <row r="759">
      <c r="A759" s="5" t="n">
        <v>731</v>
      </c>
      <c r="B759" s="5" t="n">
        <v>0</v>
      </c>
      <c r="C759" s="5" t="n">
        <v>24</v>
      </c>
      <c r="D759" s="5" t="n">
        <v>6403</v>
      </c>
      <c r="E759" s="5" t="n">
        <v>33</v>
      </c>
      <c r="F759" s="5" t="n">
        <v>1</v>
      </c>
      <c r="G759" s="5" t="n">
        <v>0</v>
      </c>
      <c r="H759" s="5" t="n">
        <v>1</v>
      </c>
      <c r="I759" s="5" t="n">
        <v>0</v>
      </c>
      <c r="J759" s="5" t="n">
        <v>0</v>
      </c>
      <c r="K759" s="5" t="n">
        <v>1</v>
      </c>
      <c r="L759" s="5" t="n">
        <v>0</v>
      </c>
      <c r="M759" s="5" t="n">
        <v>0</v>
      </c>
      <c r="N759" s="5" t="n">
        <v>0</v>
      </c>
      <c r="O759" s="5" t="n">
        <v>0</v>
      </c>
      <c r="P759" s="5" t="n">
        <v>0</v>
      </c>
      <c r="Q759" s="5" t="n">
        <v>0</v>
      </c>
      <c r="R759" s="5" t="n">
        <v>0</v>
      </c>
      <c r="S759" s="5" t="n">
        <v>1</v>
      </c>
      <c r="T759" s="5" t="n">
        <v>0</v>
      </c>
      <c r="U759" s="5" t="inlineStr">
        <is>
          <t>training</t>
        </is>
      </c>
    </row>
    <row r="760">
      <c r="A760" s="5" t="n">
        <v>732</v>
      </c>
      <c r="B760" s="5" t="n">
        <v>1</v>
      </c>
      <c r="C760" s="5" t="n">
        <v>24</v>
      </c>
      <c r="D760" s="5" t="n">
        <v>1987</v>
      </c>
      <c r="E760" s="5" t="n">
        <v>21</v>
      </c>
      <c r="F760" s="5" t="n">
        <v>2</v>
      </c>
      <c r="G760" s="5" t="n">
        <v>1</v>
      </c>
      <c r="H760" s="5" t="n">
        <v>0</v>
      </c>
      <c r="I760" s="5" t="n">
        <v>0</v>
      </c>
      <c r="J760" s="5" t="n">
        <v>0</v>
      </c>
      <c r="K760" s="5" t="n">
        <v>0</v>
      </c>
      <c r="L760" s="5" t="n">
        <v>0</v>
      </c>
      <c r="M760" s="5" t="n">
        <v>0</v>
      </c>
      <c r="N760" s="5" t="n">
        <v>0</v>
      </c>
      <c r="O760" s="5" t="n">
        <v>0</v>
      </c>
      <c r="P760" s="5" t="n">
        <v>1</v>
      </c>
      <c r="Q760" s="5" t="n">
        <v>0</v>
      </c>
      <c r="R760" s="5" t="n">
        <v>0</v>
      </c>
      <c r="S760" s="5" t="n">
        <v>1</v>
      </c>
      <c r="T760" s="5" t="n">
        <v>0</v>
      </c>
      <c r="U760" s="5" t="inlineStr">
        <is>
          <t>testing</t>
        </is>
      </c>
    </row>
    <row r="761">
      <c r="A761" s="5" t="n">
        <v>733</v>
      </c>
      <c r="B761" s="5" t="n">
        <v>0</v>
      </c>
      <c r="C761" s="5" t="n">
        <v>8</v>
      </c>
      <c r="D761" s="5" t="n">
        <v>760</v>
      </c>
      <c r="E761" s="5" t="n">
        <v>44</v>
      </c>
      <c r="F761" s="5" t="n">
        <v>4</v>
      </c>
      <c r="G761" s="5" t="n">
        <v>0</v>
      </c>
      <c r="H761" s="5" t="n">
        <v>1</v>
      </c>
      <c r="I761" s="5" t="n">
        <v>0</v>
      </c>
      <c r="J761" s="5" t="n">
        <v>0</v>
      </c>
      <c r="K761" s="5" t="n">
        <v>0</v>
      </c>
      <c r="L761" s="5" t="n">
        <v>0</v>
      </c>
      <c r="M761" s="5" t="n">
        <v>0</v>
      </c>
      <c r="N761" s="5" t="n">
        <v>0</v>
      </c>
      <c r="O761" s="5" t="n">
        <v>0</v>
      </c>
      <c r="P761" s="5" t="n">
        <v>0</v>
      </c>
      <c r="Q761" s="5" t="n">
        <v>0</v>
      </c>
      <c r="R761" s="5" t="n">
        <v>0</v>
      </c>
      <c r="S761" s="5" t="n">
        <v>1</v>
      </c>
      <c r="T761" s="5" t="n">
        <v>0</v>
      </c>
      <c r="U761" s="5" t="inlineStr">
        <is>
          <t>training</t>
        </is>
      </c>
    </row>
    <row r="762">
      <c r="A762" s="5" t="n">
        <v>734</v>
      </c>
      <c r="B762" s="5" t="n">
        <v>0</v>
      </c>
      <c r="C762" s="5" t="n">
        <v>24</v>
      </c>
      <c r="D762" s="5" t="n">
        <v>2603</v>
      </c>
      <c r="E762" s="5" t="n">
        <v>28</v>
      </c>
      <c r="F762" s="5" t="n">
        <v>2</v>
      </c>
      <c r="G762" s="5" t="n">
        <v>0</v>
      </c>
      <c r="H762" s="5" t="n">
        <v>0</v>
      </c>
      <c r="I762" s="5" t="n">
        <v>0</v>
      </c>
      <c r="J762" s="5" t="n">
        <v>0</v>
      </c>
      <c r="K762" s="5" t="n">
        <v>0</v>
      </c>
      <c r="L762" s="5" t="n">
        <v>0</v>
      </c>
      <c r="M762" s="5" t="n">
        <v>0</v>
      </c>
      <c r="N762" s="5" t="n">
        <v>1</v>
      </c>
      <c r="O762" s="5" t="n">
        <v>0</v>
      </c>
      <c r="P762" s="5" t="n">
        <v>1</v>
      </c>
      <c r="Q762" s="5" t="n">
        <v>0</v>
      </c>
      <c r="R762" s="5" t="n">
        <v>1</v>
      </c>
      <c r="S762" s="5" t="n">
        <v>0</v>
      </c>
      <c r="T762" s="5" t="n">
        <v>0</v>
      </c>
      <c r="U762" s="5" t="inlineStr">
        <is>
          <t>testing</t>
        </is>
      </c>
    </row>
    <row r="763">
      <c r="A763" s="5" t="n">
        <v>735</v>
      </c>
      <c r="B763" s="5" t="n">
        <v>0</v>
      </c>
      <c r="C763" s="5" t="n">
        <v>4</v>
      </c>
      <c r="D763" s="5" t="n">
        <v>3380</v>
      </c>
      <c r="E763" s="5" t="n">
        <v>37</v>
      </c>
      <c r="F763" s="5" t="n">
        <v>1</v>
      </c>
      <c r="G763" s="5" t="n">
        <v>0</v>
      </c>
      <c r="H763" s="5" t="n">
        <v>0</v>
      </c>
      <c r="I763" s="5" t="n">
        <v>0</v>
      </c>
      <c r="J763" s="5" t="n">
        <v>1</v>
      </c>
      <c r="K763" s="5" t="n">
        <v>0</v>
      </c>
      <c r="L763" s="5" t="n">
        <v>0</v>
      </c>
      <c r="M763" s="5" t="n">
        <v>0</v>
      </c>
      <c r="N763" s="5" t="n">
        <v>0</v>
      </c>
      <c r="O763" s="5" t="n">
        <v>0</v>
      </c>
      <c r="P763" s="5" t="n">
        <v>0</v>
      </c>
      <c r="Q763" s="5" t="n">
        <v>0</v>
      </c>
      <c r="R763" s="5" t="n">
        <v>1</v>
      </c>
      <c r="S763" s="5" t="n">
        <v>0</v>
      </c>
      <c r="T763" s="5" t="n">
        <v>0</v>
      </c>
      <c r="U763" s="5" t="inlineStr">
        <is>
          <t>testing</t>
        </is>
      </c>
    </row>
    <row r="764">
      <c r="A764" s="5" t="n">
        <v>736</v>
      </c>
      <c r="B764" s="5" t="n">
        <v>0</v>
      </c>
      <c r="C764" s="5" t="n">
        <v>36</v>
      </c>
      <c r="D764" s="5" t="n">
        <v>3990</v>
      </c>
      <c r="E764" s="5" t="n">
        <v>29</v>
      </c>
      <c r="F764" s="5" t="n">
        <v>3</v>
      </c>
      <c r="G764" s="5" t="n">
        <v>0</v>
      </c>
      <c r="H764" s="5" t="n">
        <v>1</v>
      </c>
      <c r="I764" s="5" t="n">
        <v>0</v>
      </c>
      <c r="J764" s="5" t="n">
        <v>0</v>
      </c>
      <c r="K764" s="5" t="n">
        <v>0</v>
      </c>
      <c r="L764" s="5" t="n">
        <v>1</v>
      </c>
      <c r="M764" s="5" t="n">
        <v>0</v>
      </c>
      <c r="N764" s="5" t="n">
        <v>0</v>
      </c>
      <c r="O764" s="5" t="n">
        <v>1</v>
      </c>
      <c r="P764" s="5" t="n">
        <v>0</v>
      </c>
      <c r="Q764" s="5" t="n">
        <v>0</v>
      </c>
      <c r="R764" s="5" t="n">
        <v>0</v>
      </c>
      <c r="S764" s="5" t="n">
        <v>0</v>
      </c>
      <c r="T764" s="5" t="n">
        <v>0</v>
      </c>
      <c r="U764" s="5" t="inlineStr">
        <is>
          <t>training</t>
        </is>
      </c>
    </row>
    <row r="765">
      <c r="A765" s="5" t="n">
        <v>737</v>
      </c>
      <c r="B765" s="5" t="n">
        <v>1</v>
      </c>
      <c r="C765" s="5" t="n">
        <v>24</v>
      </c>
      <c r="D765" s="5" t="n">
        <v>11560</v>
      </c>
      <c r="E765" s="5" t="n">
        <v>23</v>
      </c>
      <c r="F765" s="5" t="n">
        <v>1</v>
      </c>
      <c r="G765" s="5" t="n">
        <v>0</v>
      </c>
      <c r="H765" s="5" t="n">
        <v>1</v>
      </c>
      <c r="I765" s="5" t="n">
        <v>0</v>
      </c>
      <c r="J765" s="5" t="n">
        <v>0</v>
      </c>
      <c r="K765" s="5" t="n">
        <v>0</v>
      </c>
      <c r="L765" s="5" t="n">
        <v>0</v>
      </c>
      <c r="M765" s="5" t="n">
        <v>0</v>
      </c>
      <c r="N765" s="5" t="n">
        <v>0</v>
      </c>
      <c r="O765" s="5" t="n">
        <v>0</v>
      </c>
      <c r="P765" s="5" t="n">
        <v>1</v>
      </c>
      <c r="Q765" s="5" t="n">
        <v>0</v>
      </c>
      <c r="R765" s="5" t="n">
        <v>1</v>
      </c>
      <c r="S765" s="5" t="n">
        <v>0</v>
      </c>
      <c r="T765" s="5" t="n">
        <v>0</v>
      </c>
      <c r="U765" s="5" t="inlineStr">
        <is>
          <t>testing</t>
        </is>
      </c>
    </row>
    <row r="766">
      <c r="A766" s="5" t="n">
        <v>738</v>
      </c>
      <c r="B766" s="5" t="n">
        <v>0</v>
      </c>
      <c r="C766" s="5" t="n">
        <v>18</v>
      </c>
      <c r="D766" s="5" t="n">
        <v>4380</v>
      </c>
      <c r="E766" s="5" t="n">
        <v>35</v>
      </c>
      <c r="F766" s="5" t="n">
        <v>3</v>
      </c>
      <c r="G766" s="5" t="n">
        <v>1</v>
      </c>
      <c r="H766" s="5" t="n">
        <v>0</v>
      </c>
      <c r="I766" s="5" t="n">
        <v>0</v>
      </c>
      <c r="J766" s="5" t="n">
        <v>0</v>
      </c>
      <c r="K766" s="5" t="n">
        <v>0</v>
      </c>
      <c r="L766" s="5" t="n">
        <v>0</v>
      </c>
      <c r="M766" s="5" t="n">
        <v>1</v>
      </c>
      <c r="N766" s="5" t="n">
        <v>0</v>
      </c>
      <c r="O766" s="5" t="n">
        <v>0</v>
      </c>
      <c r="P766" s="5" t="n">
        <v>0</v>
      </c>
      <c r="Q766" s="5" t="n">
        <v>0</v>
      </c>
      <c r="R766" s="5" t="n">
        <v>1</v>
      </c>
      <c r="S766" s="5" t="n">
        <v>0</v>
      </c>
      <c r="T766" s="5" t="n">
        <v>0</v>
      </c>
      <c r="U766" s="5" t="inlineStr">
        <is>
          <t>testing</t>
        </is>
      </c>
    </row>
    <row r="767">
      <c r="A767" s="5" t="n">
        <v>739</v>
      </c>
      <c r="B767" s="5" t="n">
        <v>0</v>
      </c>
      <c r="C767" s="5" t="n">
        <v>6</v>
      </c>
      <c r="D767" s="5" t="n">
        <v>6761</v>
      </c>
      <c r="E767" s="5" t="n">
        <v>45</v>
      </c>
      <c r="F767" s="5" t="n">
        <v>1</v>
      </c>
      <c r="G767" s="5" t="n">
        <v>0</v>
      </c>
      <c r="H767" s="5" t="n">
        <v>0</v>
      </c>
      <c r="I767" s="5" t="n">
        <v>0</v>
      </c>
      <c r="J767" s="5" t="n">
        <v>1</v>
      </c>
      <c r="K767" s="5" t="n">
        <v>0</v>
      </c>
      <c r="L767" s="5" t="n">
        <v>0</v>
      </c>
      <c r="M767" s="5" t="n">
        <v>0</v>
      </c>
      <c r="N767" s="5" t="n">
        <v>0</v>
      </c>
      <c r="O767" s="5" t="n">
        <v>0</v>
      </c>
      <c r="P767" s="5" t="n">
        <v>0</v>
      </c>
      <c r="Q767" s="5" t="n">
        <v>0</v>
      </c>
      <c r="R767" s="5" t="n">
        <v>1</v>
      </c>
      <c r="S767" s="5" t="n">
        <v>0</v>
      </c>
      <c r="T767" s="5" t="n">
        <v>0</v>
      </c>
      <c r="U767" s="5" t="inlineStr">
        <is>
          <t>training</t>
        </is>
      </c>
    </row>
    <row r="768">
      <c r="A768" s="5" t="n">
        <v>740</v>
      </c>
      <c r="B768" s="5" t="n">
        <v>1</v>
      </c>
      <c r="C768" s="5" t="n">
        <v>30</v>
      </c>
      <c r="D768" s="5" t="n">
        <v>4280</v>
      </c>
      <c r="E768" s="5" t="n">
        <v>26</v>
      </c>
      <c r="F768" s="5" t="n">
        <v>4</v>
      </c>
      <c r="G768" s="5" t="n">
        <v>0</v>
      </c>
      <c r="H768" s="5" t="n">
        <v>1</v>
      </c>
      <c r="I768" s="5" t="n">
        <v>0</v>
      </c>
      <c r="J768" s="5" t="n">
        <v>0</v>
      </c>
      <c r="K768" s="5" t="n">
        <v>0</v>
      </c>
      <c r="L768" s="5" t="n">
        <v>1</v>
      </c>
      <c r="M768" s="5" t="n">
        <v>1</v>
      </c>
      <c r="N768" s="5" t="n">
        <v>0</v>
      </c>
      <c r="O768" s="5" t="n">
        <v>0</v>
      </c>
      <c r="P768" s="5" t="n">
        <v>1</v>
      </c>
      <c r="Q768" s="5" t="n">
        <v>0</v>
      </c>
      <c r="R768" s="5" t="n">
        <v>0</v>
      </c>
      <c r="S768" s="5" t="n">
        <v>0</v>
      </c>
      <c r="T768" s="5" t="n">
        <v>0</v>
      </c>
      <c r="U768" s="5" t="inlineStr">
        <is>
          <t>training</t>
        </is>
      </c>
    </row>
    <row r="769">
      <c r="A769" s="5" t="n">
        <v>741</v>
      </c>
      <c r="B769" s="5" t="n">
        <v>0</v>
      </c>
      <c r="C769" s="5" t="n">
        <v>24</v>
      </c>
      <c r="D769" s="5" t="n">
        <v>2325</v>
      </c>
      <c r="E769" s="5" t="n">
        <v>32</v>
      </c>
      <c r="F769" s="5" t="n">
        <v>2</v>
      </c>
      <c r="G769" s="5" t="n">
        <v>1</v>
      </c>
      <c r="H769" s="5" t="n">
        <v>0</v>
      </c>
      <c r="I769" s="5" t="n">
        <v>0</v>
      </c>
      <c r="J769" s="5" t="n">
        <v>0</v>
      </c>
      <c r="K769" s="5" t="n">
        <v>0</v>
      </c>
      <c r="L769" s="5" t="n">
        <v>1</v>
      </c>
      <c r="M769" s="5" t="n">
        <v>1</v>
      </c>
      <c r="N769" s="5" t="n">
        <v>0</v>
      </c>
      <c r="O769" s="5" t="n">
        <v>0</v>
      </c>
      <c r="P769" s="5" t="n">
        <v>0</v>
      </c>
      <c r="Q769" s="5" t="n">
        <v>0</v>
      </c>
      <c r="R769" s="5" t="n">
        <v>1</v>
      </c>
      <c r="S769" s="5" t="n">
        <v>0</v>
      </c>
      <c r="T769" s="5" t="n">
        <v>0</v>
      </c>
      <c r="U769" s="5" t="inlineStr">
        <is>
          <t>training</t>
        </is>
      </c>
    </row>
    <row r="770">
      <c r="A770" s="5" t="n">
        <v>742</v>
      </c>
      <c r="B770" s="5" t="n">
        <v>0</v>
      </c>
      <c r="C770" s="5" t="n">
        <v>10</v>
      </c>
      <c r="D770" s="5" t="n">
        <v>1048</v>
      </c>
      <c r="E770" s="5" t="n">
        <v>23</v>
      </c>
      <c r="F770" s="5" t="n">
        <v>4</v>
      </c>
      <c r="G770" s="5" t="n">
        <v>0</v>
      </c>
      <c r="H770" s="5" t="n">
        <v>1</v>
      </c>
      <c r="I770" s="5" t="n">
        <v>0</v>
      </c>
      <c r="J770" s="5" t="n">
        <v>0</v>
      </c>
      <c r="K770" s="5" t="n">
        <v>0</v>
      </c>
      <c r="L770" s="5" t="n">
        <v>1</v>
      </c>
      <c r="M770" s="5" t="n">
        <v>0</v>
      </c>
      <c r="N770" s="5" t="n">
        <v>0</v>
      </c>
      <c r="O770" s="5" t="n">
        <v>0</v>
      </c>
      <c r="P770" s="5" t="n">
        <v>0</v>
      </c>
      <c r="Q770" s="5" t="n">
        <v>0</v>
      </c>
      <c r="R770" s="5" t="n">
        <v>0</v>
      </c>
      <c r="S770" s="5" t="n">
        <v>1</v>
      </c>
      <c r="T770" s="5" t="n">
        <v>0</v>
      </c>
      <c r="U770" s="5" t="inlineStr">
        <is>
          <t>testing</t>
        </is>
      </c>
    </row>
    <row r="771">
      <c r="A771" s="5" t="n">
        <v>743</v>
      </c>
      <c r="B771" s="5" t="n">
        <v>0</v>
      </c>
      <c r="C771" s="5" t="n">
        <v>21</v>
      </c>
      <c r="D771" s="5" t="n">
        <v>3160</v>
      </c>
      <c r="E771" s="5" t="n">
        <v>41</v>
      </c>
      <c r="F771" s="5" t="n">
        <v>4</v>
      </c>
      <c r="G771" s="5" t="n">
        <v>0</v>
      </c>
      <c r="H771" s="5" t="n">
        <v>0</v>
      </c>
      <c r="I771" s="5" t="n">
        <v>0</v>
      </c>
      <c r="J771" s="5" t="n">
        <v>0</v>
      </c>
      <c r="K771" s="5" t="n">
        <v>0</v>
      </c>
      <c r="L771" s="5" t="n">
        <v>0</v>
      </c>
      <c r="M771" s="5" t="n">
        <v>0</v>
      </c>
      <c r="N771" s="5" t="n">
        <v>0</v>
      </c>
      <c r="O771" s="5" t="n">
        <v>1</v>
      </c>
      <c r="P771" s="5" t="n">
        <v>0</v>
      </c>
      <c r="Q771" s="5" t="n">
        <v>0</v>
      </c>
      <c r="R771" s="5" t="n">
        <v>0</v>
      </c>
      <c r="S771" s="5" t="n">
        <v>1</v>
      </c>
      <c r="T771" s="5" t="n">
        <v>0</v>
      </c>
      <c r="U771" s="5" t="inlineStr">
        <is>
          <t>testing</t>
        </is>
      </c>
    </row>
    <row r="772">
      <c r="A772" s="5" t="n">
        <v>744</v>
      </c>
      <c r="B772" s="5" t="n">
        <v>0</v>
      </c>
      <c r="C772" s="5" t="n">
        <v>24</v>
      </c>
      <c r="D772" s="5" t="n">
        <v>2483</v>
      </c>
      <c r="E772" s="5" t="n">
        <v>22</v>
      </c>
      <c r="F772" s="5" t="n">
        <v>4</v>
      </c>
      <c r="G772" s="5" t="n">
        <v>1</v>
      </c>
      <c r="H772" s="5" t="n">
        <v>0</v>
      </c>
      <c r="I772" s="5" t="n">
        <v>0</v>
      </c>
      <c r="J772" s="5" t="n">
        <v>0</v>
      </c>
      <c r="K772" s="5" t="n">
        <v>0</v>
      </c>
      <c r="L772" s="5" t="n">
        <v>1</v>
      </c>
      <c r="M772" s="5" t="n">
        <v>1</v>
      </c>
      <c r="N772" s="5" t="n">
        <v>0</v>
      </c>
      <c r="O772" s="5" t="n">
        <v>0</v>
      </c>
      <c r="P772" s="5" t="n">
        <v>0</v>
      </c>
      <c r="Q772" s="5" t="n">
        <v>0</v>
      </c>
      <c r="R772" s="5" t="n">
        <v>0</v>
      </c>
      <c r="S772" s="5" t="n">
        <v>0</v>
      </c>
      <c r="T772" s="5" t="n">
        <v>1</v>
      </c>
      <c r="U772" s="5" t="inlineStr">
        <is>
          <t>training</t>
        </is>
      </c>
    </row>
    <row r="773">
      <c r="A773" s="5" t="n">
        <v>745</v>
      </c>
      <c r="B773" s="5" t="n">
        <v>0</v>
      </c>
      <c r="C773" s="5" t="n">
        <v>39</v>
      </c>
      <c r="D773" s="5" t="n">
        <v>14179</v>
      </c>
      <c r="E773" s="5" t="n">
        <v>30</v>
      </c>
      <c r="F773" s="5" t="n">
        <v>4</v>
      </c>
      <c r="G773" s="5" t="n">
        <v>1</v>
      </c>
      <c r="H773" s="5" t="n">
        <v>0</v>
      </c>
      <c r="I773" s="5" t="n">
        <v>0</v>
      </c>
      <c r="J773" s="5" t="n">
        <v>1</v>
      </c>
      <c r="K773" s="5" t="n">
        <v>0</v>
      </c>
      <c r="L773" s="5" t="n">
        <v>0</v>
      </c>
      <c r="M773" s="5" t="n">
        <v>0</v>
      </c>
      <c r="N773" s="5" t="n">
        <v>0</v>
      </c>
      <c r="O773" s="5" t="n">
        <v>1</v>
      </c>
      <c r="P773" s="5" t="n">
        <v>0</v>
      </c>
      <c r="Q773" s="5" t="n">
        <v>0</v>
      </c>
      <c r="R773" s="5" t="n">
        <v>0</v>
      </c>
      <c r="S773" s="5" t="n">
        <v>0</v>
      </c>
      <c r="T773" s="5" t="n">
        <v>1</v>
      </c>
      <c r="U773" s="5" t="inlineStr">
        <is>
          <t>training</t>
        </is>
      </c>
    </row>
    <row r="774">
      <c r="A774" s="5" t="n">
        <v>746</v>
      </c>
      <c r="B774" s="5" t="n">
        <v>0</v>
      </c>
      <c r="C774" s="5" t="n">
        <v>13</v>
      </c>
      <c r="D774" s="5" t="n">
        <v>1797</v>
      </c>
      <c r="E774" s="5" t="n">
        <v>28</v>
      </c>
      <c r="F774" s="5" t="n">
        <v>3</v>
      </c>
      <c r="G774" s="5" t="n">
        <v>1</v>
      </c>
      <c r="H774" s="5" t="n">
        <v>0</v>
      </c>
      <c r="I774" s="5" t="n">
        <v>0</v>
      </c>
      <c r="J774" s="5" t="n">
        <v>1</v>
      </c>
      <c r="K774" s="5" t="n">
        <v>0</v>
      </c>
      <c r="L774" s="5" t="n">
        <v>0</v>
      </c>
      <c r="M774" s="5" t="n">
        <v>0</v>
      </c>
      <c r="N774" s="5" t="n">
        <v>0</v>
      </c>
      <c r="O774" s="5" t="n">
        <v>0</v>
      </c>
      <c r="P774" s="5" t="n">
        <v>0</v>
      </c>
      <c r="Q774" s="5" t="n">
        <v>0</v>
      </c>
      <c r="R774" s="5" t="n">
        <v>0</v>
      </c>
      <c r="S774" s="5" t="n">
        <v>0</v>
      </c>
      <c r="T774" s="5" t="n">
        <v>0</v>
      </c>
      <c r="U774" s="5" t="inlineStr">
        <is>
          <t>training</t>
        </is>
      </c>
    </row>
    <row r="775">
      <c r="A775" s="5" t="n">
        <v>747</v>
      </c>
      <c r="B775" s="5" t="n">
        <v>0</v>
      </c>
      <c r="C775" s="5" t="n">
        <v>15</v>
      </c>
      <c r="D775" s="5" t="n">
        <v>2511</v>
      </c>
      <c r="E775" s="5" t="n">
        <v>23</v>
      </c>
      <c r="F775" s="5" t="n">
        <v>1</v>
      </c>
      <c r="G775" s="5" t="n">
        <v>1</v>
      </c>
      <c r="H775" s="5" t="n">
        <v>0</v>
      </c>
      <c r="I775" s="5" t="n">
        <v>0</v>
      </c>
      <c r="J775" s="5" t="n">
        <v>0</v>
      </c>
      <c r="K775" s="5" t="n">
        <v>0</v>
      </c>
      <c r="L775" s="5" t="n">
        <v>0</v>
      </c>
      <c r="M775" s="5" t="n">
        <v>0</v>
      </c>
      <c r="N775" s="5" t="n">
        <v>0</v>
      </c>
      <c r="O775" s="5" t="n">
        <v>0</v>
      </c>
      <c r="P775" s="5" t="n">
        <v>1</v>
      </c>
      <c r="Q775" s="5" t="n">
        <v>0</v>
      </c>
      <c r="R775" s="5" t="n">
        <v>1</v>
      </c>
      <c r="S775" s="5" t="n">
        <v>0</v>
      </c>
      <c r="T775" s="5" t="n">
        <v>0</v>
      </c>
      <c r="U775" s="5" t="inlineStr">
        <is>
          <t>training</t>
        </is>
      </c>
    </row>
    <row r="776">
      <c r="A776" s="5" t="n">
        <v>748</v>
      </c>
      <c r="B776" s="5" t="n">
        <v>1</v>
      </c>
      <c r="C776" s="5" t="n">
        <v>12</v>
      </c>
      <c r="D776" s="5" t="n">
        <v>1274</v>
      </c>
      <c r="E776" s="5" t="n">
        <v>37</v>
      </c>
      <c r="F776" s="5" t="n">
        <v>3</v>
      </c>
      <c r="G776" s="5" t="n">
        <v>1</v>
      </c>
      <c r="H776" s="5" t="n">
        <v>0</v>
      </c>
      <c r="I776" s="5" t="n">
        <v>0</v>
      </c>
      <c r="J776" s="5" t="n">
        <v>0</v>
      </c>
      <c r="K776" s="5" t="n">
        <v>0</v>
      </c>
      <c r="L776" s="5" t="n">
        <v>0</v>
      </c>
      <c r="M776" s="5" t="n">
        <v>0</v>
      </c>
      <c r="N776" s="5" t="n">
        <v>0</v>
      </c>
      <c r="O776" s="5" t="n">
        <v>0</v>
      </c>
      <c r="P776" s="5" t="n">
        <v>0</v>
      </c>
      <c r="Q776" s="5" t="n">
        <v>0</v>
      </c>
      <c r="R776" s="5" t="n">
        <v>1</v>
      </c>
      <c r="S776" s="5" t="n">
        <v>0</v>
      </c>
      <c r="T776" s="5" t="n">
        <v>0</v>
      </c>
      <c r="U776" s="5" t="inlineStr">
        <is>
          <t>training</t>
        </is>
      </c>
    </row>
    <row r="777">
      <c r="A777" s="5" t="n">
        <v>749</v>
      </c>
      <c r="B777" s="5" t="n">
        <v>0</v>
      </c>
      <c r="C777" s="5" t="n">
        <v>21</v>
      </c>
      <c r="D777" s="5" t="n">
        <v>5248</v>
      </c>
      <c r="E777" s="5" t="n">
        <v>26</v>
      </c>
      <c r="F777" s="5" t="n">
        <v>1</v>
      </c>
      <c r="G777" s="5" t="n">
        <v>0</v>
      </c>
      <c r="H777" s="5" t="n">
        <v>0</v>
      </c>
      <c r="I777" s="5" t="n">
        <v>0</v>
      </c>
      <c r="J777" s="5" t="n">
        <v>0</v>
      </c>
      <c r="K777" s="5" t="n">
        <v>0</v>
      </c>
      <c r="L777" s="5" t="n">
        <v>0</v>
      </c>
      <c r="M777" s="5" t="n">
        <v>0</v>
      </c>
      <c r="N777" s="5" t="n">
        <v>0</v>
      </c>
      <c r="O777" s="5" t="n">
        <v>1</v>
      </c>
      <c r="P777" s="5" t="n">
        <v>0</v>
      </c>
      <c r="Q777" s="5" t="n">
        <v>0</v>
      </c>
      <c r="R777" s="5" t="n">
        <v>1</v>
      </c>
      <c r="S777" s="5" t="n">
        <v>0</v>
      </c>
      <c r="T777" s="5" t="n">
        <v>0</v>
      </c>
      <c r="U777" s="5" t="inlineStr">
        <is>
          <t>testing</t>
        </is>
      </c>
    </row>
    <row r="778">
      <c r="A778" s="5" t="n">
        <v>750</v>
      </c>
      <c r="B778" s="5" t="n">
        <v>0</v>
      </c>
      <c r="C778" s="5" t="n">
        <v>15</v>
      </c>
      <c r="D778" s="5" t="n">
        <v>3029</v>
      </c>
      <c r="E778" s="5" t="n">
        <v>33</v>
      </c>
      <c r="F778" s="5" t="n">
        <v>2</v>
      </c>
      <c r="G778" s="5" t="n">
        <v>0</v>
      </c>
      <c r="H778" s="5" t="n">
        <v>0</v>
      </c>
      <c r="I778" s="5" t="n">
        <v>0</v>
      </c>
      <c r="J778" s="5" t="n">
        <v>0</v>
      </c>
      <c r="K778" s="5" t="n">
        <v>0</v>
      </c>
      <c r="L778" s="5" t="n">
        <v>0</v>
      </c>
      <c r="M778" s="5" t="n">
        <v>0</v>
      </c>
      <c r="N778" s="5" t="n">
        <v>0</v>
      </c>
      <c r="O778" s="5" t="n">
        <v>0</v>
      </c>
      <c r="P778" s="5" t="n">
        <v>0</v>
      </c>
      <c r="Q778" s="5" t="n">
        <v>0</v>
      </c>
      <c r="R778" s="5" t="n">
        <v>1</v>
      </c>
      <c r="S778" s="5" t="n">
        <v>0</v>
      </c>
      <c r="T778" s="5" t="n">
        <v>0</v>
      </c>
      <c r="U778" s="5" t="inlineStr">
        <is>
          <t>training</t>
        </is>
      </c>
    </row>
    <row r="779">
      <c r="A779" s="5" t="n">
        <v>751</v>
      </c>
      <c r="B779" s="5" t="n">
        <v>0</v>
      </c>
      <c r="C779" s="5" t="n">
        <v>6</v>
      </c>
      <c r="D779" s="5" t="n">
        <v>428</v>
      </c>
      <c r="E779" s="5" t="n">
        <v>49</v>
      </c>
      <c r="F779" s="5" t="n">
        <v>2</v>
      </c>
      <c r="G779" s="5" t="n">
        <v>1</v>
      </c>
      <c r="H779" s="5" t="n">
        <v>0</v>
      </c>
      <c r="I779" s="5" t="n">
        <v>0</v>
      </c>
      <c r="J779" s="5" t="n">
        <v>0</v>
      </c>
      <c r="K779" s="5" t="n">
        <v>0</v>
      </c>
      <c r="L779" s="5" t="n">
        <v>0</v>
      </c>
      <c r="M779" s="5" t="n">
        <v>0</v>
      </c>
      <c r="N779" s="5" t="n">
        <v>0</v>
      </c>
      <c r="O779" s="5" t="n">
        <v>0</v>
      </c>
      <c r="P779" s="5" t="n">
        <v>0</v>
      </c>
      <c r="Q779" s="5" t="n">
        <v>0</v>
      </c>
      <c r="R779" s="5" t="n">
        <v>0</v>
      </c>
      <c r="S779" s="5" t="n">
        <v>0</v>
      </c>
      <c r="T779" s="5" t="n">
        <v>1</v>
      </c>
      <c r="U779" s="5" t="inlineStr">
        <is>
          <t>testing</t>
        </is>
      </c>
    </row>
    <row r="780">
      <c r="A780" s="5" t="n">
        <v>752</v>
      </c>
      <c r="B780" s="5" t="n">
        <v>1</v>
      </c>
      <c r="C780" s="5" t="n">
        <v>18</v>
      </c>
      <c r="D780" s="5" t="n">
        <v>976</v>
      </c>
      <c r="E780" s="5" t="n">
        <v>23</v>
      </c>
      <c r="F780" s="5" t="n">
        <v>1</v>
      </c>
      <c r="G780" s="5" t="n">
        <v>1</v>
      </c>
      <c r="H780" s="5" t="n">
        <v>0</v>
      </c>
      <c r="I780" s="5" t="n">
        <v>0</v>
      </c>
      <c r="J780" s="5" t="n">
        <v>0</v>
      </c>
      <c r="K780" s="5" t="n">
        <v>0</v>
      </c>
      <c r="L780" s="5" t="n">
        <v>0</v>
      </c>
      <c r="M780" s="5" t="n">
        <v>0</v>
      </c>
      <c r="N780" s="5" t="n">
        <v>0</v>
      </c>
      <c r="O780" s="5" t="n">
        <v>0</v>
      </c>
      <c r="P780" s="5" t="n">
        <v>0</v>
      </c>
      <c r="Q780" s="5" t="n">
        <v>0</v>
      </c>
      <c r="R780" s="5" t="n">
        <v>1</v>
      </c>
      <c r="S780" s="5" t="n">
        <v>0</v>
      </c>
      <c r="T780" s="5" t="n">
        <v>0</v>
      </c>
      <c r="U780" s="5" t="inlineStr">
        <is>
          <t>testing</t>
        </is>
      </c>
    </row>
    <row r="781">
      <c r="A781" s="5" t="n">
        <v>753</v>
      </c>
      <c r="B781" s="5" t="n">
        <v>0</v>
      </c>
      <c r="C781" s="5" t="n">
        <v>12</v>
      </c>
      <c r="D781" s="5" t="n">
        <v>841</v>
      </c>
      <c r="E781" s="5" t="n">
        <v>23</v>
      </c>
      <c r="F781" s="5" t="n">
        <v>2</v>
      </c>
      <c r="G781" s="5" t="n">
        <v>0</v>
      </c>
      <c r="H781" s="5" t="n">
        <v>1</v>
      </c>
      <c r="I781" s="5" t="n">
        <v>0</v>
      </c>
      <c r="J781" s="5" t="n">
        <v>0</v>
      </c>
      <c r="K781" s="5" t="n">
        <v>0</v>
      </c>
      <c r="L781" s="5" t="n">
        <v>0</v>
      </c>
      <c r="M781" s="5" t="n">
        <v>1</v>
      </c>
      <c r="N781" s="5" t="n">
        <v>0</v>
      </c>
      <c r="O781" s="5" t="n">
        <v>0</v>
      </c>
      <c r="P781" s="5" t="n">
        <v>1</v>
      </c>
      <c r="Q781" s="5" t="n">
        <v>0</v>
      </c>
      <c r="R781" s="5" t="n">
        <v>0</v>
      </c>
      <c r="S781" s="5" t="n">
        <v>0</v>
      </c>
      <c r="T781" s="5" t="n">
        <v>0</v>
      </c>
      <c r="U781" s="5" t="inlineStr">
        <is>
          <t>training</t>
        </is>
      </c>
    </row>
    <row r="782">
      <c r="A782" s="5" t="n">
        <v>754</v>
      </c>
      <c r="B782" s="5" t="n">
        <v>0</v>
      </c>
      <c r="C782" s="5" t="n">
        <v>30</v>
      </c>
      <c r="D782" s="5" t="n">
        <v>5771</v>
      </c>
      <c r="E782" s="5" t="n">
        <v>25</v>
      </c>
      <c r="F782" s="5" t="n">
        <v>4</v>
      </c>
      <c r="G782" s="5" t="n">
        <v>0</v>
      </c>
      <c r="H782" s="5" t="n">
        <v>0</v>
      </c>
      <c r="I782" s="5" t="n">
        <v>0</v>
      </c>
      <c r="J782" s="5" t="n">
        <v>1</v>
      </c>
      <c r="K782" s="5" t="n">
        <v>0</v>
      </c>
      <c r="L782" s="5" t="n">
        <v>0</v>
      </c>
      <c r="M782" s="5" t="n">
        <v>0</v>
      </c>
      <c r="N782" s="5" t="n">
        <v>0</v>
      </c>
      <c r="O782" s="5" t="n">
        <v>0</v>
      </c>
      <c r="P782" s="5" t="n">
        <v>0</v>
      </c>
      <c r="Q782" s="5" t="n">
        <v>0</v>
      </c>
      <c r="R782" s="5" t="n">
        <v>0</v>
      </c>
      <c r="S782" s="5" t="n">
        <v>1</v>
      </c>
      <c r="T782" s="5" t="n">
        <v>0</v>
      </c>
      <c r="U782" s="5" t="inlineStr">
        <is>
          <t>testing</t>
        </is>
      </c>
    </row>
    <row r="783">
      <c r="A783" s="5" t="n">
        <v>755</v>
      </c>
      <c r="B783" s="5" t="n">
        <v>1</v>
      </c>
      <c r="C783" s="5" t="n">
        <v>12</v>
      </c>
      <c r="D783" s="5" t="n">
        <v>1555</v>
      </c>
      <c r="E783" s="5" t="n">
        <v>55</v>
      </c>
      <c r="F783" s="5" t="n">
        <v>4</v>
      </c>
      <c r="G783" s="5" t="n">
        <v>0</v>
      </c>
      <c r="H783" s="5" t="n">
        <v>0</v>
      </c>
      <c r="I783" s="5" t="n">
        <v>0</v>
      </c>
      <c r="J783" s="5" t="n">
        <v>0</v>
      </c>
      <c r="K783" s="5" t="n">
        <v>1</v>
      </c>
      <c r="L783" s="5" t="n">
        <v>0</v>
      </c>
      <c r="M783" s="5" t="n">
        <v>0</v>
      </c>
      <c r="N783" s="5" t="n">
        <v>1</v>
      </c>
      <c r="O783" s="5" t="n">
        <v>0</v>
      </c>
      <c r="P783" s="5" t="n">
        <v>0</v>
      </c>
      <c r="Q783" s="5" t="n">
        <v>1</v>
      </c>
      <c r="R783" s="5" t="n">
        <v>0</v>
      </c>
      <c r="S783" s="5" t="n">
        <v>0</v>
      </c>
      <c r="T783" s="5" t="n">
        <v>0</v>
      </c>
      <c r="U783" s="5" t="inlineStr">
        <is>
          <t>training</t>
        </is>
      </c>
    </row>
    <row r="784">
      <c r="A784" s="5" t="n">
        <v>756</v>
      </c>
      <c r="B784" s="5" t="n">
        <v>1</v>
      </c>
      <c r="C784" s="5" t="n">
        <v>24</v>
      </c>
      <c r="D784" s="5" t="n">
        <v>1285</v>
      </c>
      <c r="E784" s="5" t="n">
        <v>32</v>
      </c>
      <c r="F784" s="5" t="n">
        <v>4</v>
      </c>
      <c r="G784" s="5" t="n">
        <v>1</v>
      </c>
      <c r="H784" s="5" t="n">
        <v>0</v>
      </c>
      <c r="I784" s="5" t="n">
        <v>0</v>
      </c>
      <c r="J784" s="5" t="n">
        <v>0</v>
      </c>
      <c r="K784" s="5" t="n">
        <v>0</v>
      </c>
      <c r="L784" s="5" t="n">
        <v>0</v>
      </c>
      <c r="M784" s="5" t="n">
        <v>0</v>
      </c>
      <c r="N784" s="5" t="n">
        <v>0</v>
      </c>
      <c r="O784" s="5" t="n">
        <v>1</v>
      </c>
      <c r="P784" s="5" t="n">
        <v>1</v>
      </c>
      <c r="Q784" s="5" t="n">
        <v>0</v>
      </c>
      <c r="R784" s="5" t="n">
        <v>1</v>
      </c>
      <c r="S784" s="5" t="n">
        <v>0</v>
      </c>
      <c r="T784" s="5" t="n">
        <v>0</v>
      </c>
      <c r="U784" s="5" t="inlineStr">
        <is>
          <t>training</t>
        </is>
      </c>
    </row>
    <row r="785">
      <c r="A785" s="5" t="n">
        <v>757</v>
      </c>
      <c r="B785" s="5" t="n">
        <v>0</v>
      </c>
      <c r="C785" s="5" t="n">
        <v>6</v>
      </c>
      <c r="D785" s="5" t="n">
        <v>1299</v>
      </c>
      <c r="E785" s="5" t="n">
        <v>74</v>
      </c>
      <c r="F785" s="5" t="n">
        <v>1</v>
      </c>
      <c r="G785" s="5" t="n">
        <v>0</v>
      </c>
      <c r="H785" s="5" t="n">
        <v>0</v>
      </c>
      <c r="I785" s="5" t="n">
        <v>1</v>
      </c>
      <c r="J785" s="5" t="n">
        <v>1</v>
      </c>
      <c r="K785" s="5" t="n">
        <v>0</v>
      </c>
      <c r="L785" s="5" t="n">
        <v>0</v>
      </c>
      <c r="M785" s="5" t="n">
        <v>0</v>
      </c>
      <c r="N785" s="5" t="n">
        <v>0</v>
      </c>
      <c r="O785" s="5" t="n">
        <v>0</v>
      </c>
      <c r="P785" s="5" t="n">
        <v>0</v>
      </c>
      <c r="Q785" s="5" t="n">
        <v>0</v>
      </c>
      <c r="R785" s="5" t="n">
        <v>1</v>
      </c>
      <c r="S785" s="5" t="n">
        <v>0</v>
      </c>
      <c r="T785" s="5" t="n">
        <v>0</v>
      </c>
      <c r="U785" s="5" t="inlineStr">
        <is>
          <t>training</t>
        </is>
      </c>
    </row>
    <row r="786">
      <c r="A786" s="5" t="n">
        <v>758</v>
      </c>
      <c r="B786" s="5" t="n">
        <v>1</v>
      </c>
      <c r="C786" s="5" t="n">
        <v>15</v>
      </c>
      <c r="D786" s="5" t="n">
        <v>1271</v>
      </c>
      <c r="E786" s="5" t="n">
        <v>39</v>
      </c>
      <c r="F786" s="5" t="n">
        <v>3</v>
      </c>
      <c r="G786" s="5" t="n">
        <v>0</v>
      </c>
      <c r="H786" s="5" t="n">
        <v>0</v>
      </c>
      <c r="I786" s="5" t="n">
        <v>1</v>
      </c>
      <c r="J786" s="5" t="n">
        <v>1</v>
      </c>
      <c r="K786" s="5" t="n">
        <v>0</v>
      </c>
      <c r="L786" s="5" t="n">
        <v>0</v>
      </c>
      <c r="M786" s="5" t="n">
        <v>0</v>
      </c>
      <c r="N786" s="5" t="n">
        <v>0</v>
      </c>
      <c r="O786" s="5" t="n">
        <v>1</v>
      </c>
      <c r="P786" s="5" t="n">
        <v>0</v>
      </c>
      <c r="Q786" s="5" t="n">
        <v>1</v>
      </c>
      <c r="R786" s="5" t="n">
        <v>0</v>
      </c>
      <c r="S786" s="5" t="n">
        <v>1</v>
      </c>
      <c r="T786" s="5" t="n">
        <v>0</v>
      </c>
      <c r="U786" s="5" t="inlineStr">
        <is>
          <t>training</t>
        </is>
      </c>
    </row>
    <row r="787">
      <c r="A787" s="5" t="n">
        <v>759</v>
      </c>
      <c r="B787" s="5" t="n">
        <v>0</v>
      </c>
      <c r="C787" s="5" t="n">
        <v>24</v>
      </c>
      <c r="D787" s="5" t="n">
        <v>1393</v>
      </c>
      <c r="E787" s="5" t="n">
        <v>31</v>
      </c>
      <c r="F787" s="5" t="n">
        <v>2</v>
      </c>
      <c r="G787" s="5" t="n">
        <v>0</v>
      </c>
      <c r="H787" s="5" t="n">
        <v>0</v>
      </c>
      <c r="I787" s="5" t="n">
        <v>0</v>
      </c>
      <c r="J787" s="5" t="n">
        <v>0</v>
      </c>
      <c r="K787" s="5" t="n">
        <v>0</v>
      </c>
      <c r="L787" s="5" t="n">
        <v>0</v>
      </c>
      <c r="M787" s="5" t="n">
        <v>0</v>
      </c>
      <c r="N787" s="5" t="n">
        <v>0</v>
      </c>
      <c r="O787" s="5" t="n">
        <v>0</v>
      </c>
      <c r="P787" s="5" t="n">
        <v>0</v>
      </c>
      <c r="Q787" s="5" t="n">
        <v>0</v>
      </c>
      <c r="R787" s="5" t="n">
        <v>1</v>
      </c>
      <c r="S787" s="5" t="n">
        <v>0</v>
      </c>
      <c r="T787" s="5" t="n">
        <v>0</v>
      </c>
      <c r="U787" s="5" t="inlineStr">
        <is>
          <t>training</t>
        </is>
      </c>
    </row>
    <row r="788">
      <c r="A788" s="5" t="n">
        <v>760</v>
      </c>
      <c r="B788" s="5" t="n">
        <v>1</v>
      </c>
      <c r="C788" s="5" t="n">
        <v>12</v>
      </c>
      <c r="D788" s="5" t="n">
        <v>691</v>
      </c>
      <c r="E788" s="5" t="n">
        <v>35</v>
      </c>
      <c r="F788" s="5" t="n">
        <v>4</v>
      </c>
      <c r="G788" s="5" t="n">
        <v>1</v>
      </c>
      <c r="H788" s="5" t="n">
        <v>0</v>
      </c>
      <c r="I788" s="5" t="n">
        <v>0</v>
      </c>
      <c r="J788" s="5" t="n">
        <v>1</v>
      </c>
      <c r="K788" s="5" t="n">
        <v>0</v>
      </c>
      <c r="L788" s="5" t="n">
        <v>0</v>
      </c>
      <c r="M788" s="5" t="n">
        <v>0</v>
      </c>
      <c r="N788" s="5" t="n">
        <v>0</v>
      </c>
      <c r="O788" s="5" t="n">
        <v>0</v>
      </c>
      <c r="P788" s="5" t="n">
        <v>0</v>
      </c>
      <c r="Q788" s="5" t="n">
        <v>0</v>
      </c>
      <c r="R788" s="5" t="n">
        <v>1</v>
      </c>
      <c r="S788" s="5" t="n">
        <v>0</v>
      </c>
      <c r="T788" s="5" t="n">
        <v>0</v>
      </c>
      <c r="U788" s="5" t="inlineStr">
        <is>
          <t>testing</t>
        </is>
      </c>
    </row>
    <row r="789">
      <c r="A789" s="5" t="n">
        <v>761</v>
      </c>
      <c r="B789" s="5" t="n">
        <v>0</v>
      </c>
      <c r="C789" s="5" t="n">
        <v>15</v>
      </c>
      <c r="D789" s="5" t="n">
        <v>5045</v>
      </c>
      <c r="E789" s="5" t="n">
        <v>59</v>
      </c>
      <c r="F789" s="5" t="n">
        <v>1</v>
      </c>
      <c r="G789" s="5" t="n">
        <v>0</v>
      </c>
      <c r="H789" s="5" t="n">
        <v>0</v>
      </c>
      <c r="I789" s="5" t="n">
        <v>0</v>
      </c>
      <c r="J789" s="5" t="n">
        <v>1</v>
      </c>
      <c r="K789" s="5" t="n">
        <v>0</v>
      </c>
      <c r="L789" s="5" t="n">
        <v>0</v>
      </c>
      <c r="M789" s="5" t="n">
        <v>0</v>
      </c>
      <c r="N789" s="5" t="n">
        <v>0</v>
      </c>
      <c r="O789" s="5" t="n">
        <v>1</v>
      </c>
      <c r="P789" s="5" t="n">
        <v>0</v>
      </c>
      <c r="Q789" s="5" t="n">
        <v>0</v>
      </c>
      <c r="R789" s="5" t="n">
        <v>1</v>
      </c>
      <c r="S789" s="5" t="n">
        <v>0</v>
      </c>
      <c r="T789" s="5" t="n">
        <v>0</v>
      </c>
      <c r="U789" s="5" t="inlineStr">
        <is>
          <t>testing</t>
        </is>
      </c>
    </row>
    <row r="790">
      <c r="A790" s="5" t="n">
        <v>762</v>
      </c>
      <c r="B790" s="5" t="n">
        <v>1</v>
      </c>
      <c r="C790" s="5" t="n">
        <v>18</v>
      </c>
      <c r="D790" s="5" t="n">
        <v>2124</v>
      </c>
      <c r="E790" s="5" t="n">
        <v>24</v>
      </c>
      <c r="F790" s="5" t="n">
        <v>4</v>
      </c>
      <c r="G790" s="5" t="n">
        <v>1</v>
      </c>
      <c r="H790" s="5" t="n">
        <v>0</v>
      </c>
      <c r="I790" s="5" t="n">
        <v>0</v>
      </c>
      <c r="J790" s="5" t="n">
        <v>1</v>
      </c>
      <c r="K790" s="5" t="n">
        <v>0</v>
      </c>
      <c r="L790" s="5" t="n">
        <v>0</v>
      </c>
      <c r="M790" s="5" t="n">
        <v>0</v>
      </c>
      <c r="N790" s="5" t="n">
        <v>0</v>
      </c>
      <c r="O790" s="5" t="n">
        <v>0</v>
      </c>
      <c r="P790" s="5" t="n">
        <v>1</v>
      </c>
      <c r="Q790" s="5" t="n">
        <v>0</v>
      </c>
      <c r="R790" s="5" t="n">
        <v>0</v>
      </c>
      <c r="S790" s="5" t="n">
        <v>0</v>
      </c>
      <c r="T790" s="5" t="n">
        <v>1</v>
      </c>
      <c r="U790" s="5" t="inlineStr">
        <is>
          <t>testing</t>
        </is>
      </c>
    </row>
    <row r="791">
      <c r="A791" s="5" t="n">
        <v>763</v>
      </c>
      <c r="B791" s="5" t="n">
        <v>0</v>
      </c>
      <c r="C791" s="5" t="n">
        <v>12</v>
      </c>
      <c r="D791" s="5" t="n">
        <v>2214</v>
      </c>
      <c r="E791" s="5" t="n">
        <v>24</v>
      </c>
      <c r="F791" s="5" t="n">
        <v>4</v>
      </c>
      <c r="G791" s="5" t="n">
        <v>1</v>
      </c>
      <c r="H791" s="5" t="n">
        <v>0</v>
      </c>
      <c r="I791" s="5" t="n">
        <v>0</v>
      </c>
      <c r="J791" s="5" t="n">
        <v>0</v>
      </c>
      <c r="K791" s="5" t="n">
        <v>0</v>
      </c>
      <c r="L791" s="5" t="n">
        <v>0</v>
      </c>
      <c r="M791" s="5" t="n">
        <v>0</v>
      </c>
      <c r="N791" s="5" t="n">
        <v>0</v>
      </c>
      <c r="O791" s="5" t="n">
        <v>0</v>
      </c>
      <c r="P791" s="5" t="n">
        <v>0</v>
      </c>
      <c r="Q791" s="5" t="n">
        <v>0</v>
      </c>
      <c r="R791" s="5" t="n">
        <v>0</v>
      </c>
      <c r="S791" s="5" t="n">
        <v>1</v>
      </c>
      <c r="T791" s="5" t="n">
        <v>0</v>
      </c>
      <c r="U791" s="5" t="inlineStr">
        <is>
          <t>training</t>
        </is>
      </c>
    </row>
    <row r="792">
      <c r="A792" s="5" t="n">
        <v>764</v>
      </c>
      <c r="B792" s="5" t="n">
        <v>1</v>
      </c>
      <c r="C792" s="5" t="n">
        <v>21</v>
      </c>
      <c r="D792" s="5" t="n">
        <v>12680</v>
      </c>
      <c r="E792" s="5" t="n">
        <v>30</v>
      </c>
      <c r="F792" s="5" t="n">
        <v>4</v>
      </c>
      <c r="G792" s="5" t="n">
        <v>0</v>
      </c>
      <c r="H792" s="5" t="n">
        <v>0</v>
      </c>
      <c r="I792" s="5" t="n">
        <v>0</v>
      </c>
      <c r="J792" s="5" t="n">
        <v>1</v>
      </c>
      <c r="K792" s="5" t="n">
        <v>0</v>
      </c>
      <c r="L792" s="5" t="n">
        <v>0</v>
      </c>
      <c r="M792" s="5" t="n">
        <v>0</v>
      </c>
      <c r="N792" s="5" t="n">
        <v>0</v>
      </c>
      <c r="O792" s="5" t="n">
        <v>1</v>
      </c>
      <c r="P792" s="5" t="n">
        <v>0</v>
      </c>
      <c r="Q792" s="5" t="n">
        <v>1</v>
      </c>
      <c r="R792" s="5" t="n">
        <v>1</v>
      </c>
      <c r="S792" s="5" t="n">
        <v>0</v>
      </c>
      <c r="T792" s="5" t="n">
        <v>0</v>
      </c>
      <c r="U792" s="5" t="inlineStr">
        <is>
          <t>training</t>
        </is>
      </c>
    </row>
    <row r="793">
      <c r="A793" s="5" t="n">
        <v>765</v>
      </c>
      <c r="B793" s="5" t="n">
        <v>0</v>
      </c>
      <c r="C793" s="5" t="n">
        <v>24</v>
      </c>
      <c r="D793" s="5" t="n">
        <v>2463</v>
      </c>
      <c r="E793" s="5" t="n">
        <v>27</v>
      </c>
      <c r="F793" s="5" t="n">
        <v>4</v>
      </c>
      <c r="G793" s="5" t="n">
        <v>0</v>
      </c>
      <c r="H793" s="5" t="n">
        <v>0</v>
      </c>
      <c r="I793" s="5" t="n">
        <v>0</v>
      </c>
      <c r="J793" s="5" t="n">
        <v>1</v>
      </c>
      <c r="K793" s="5" t="n">
        <v>0</v>
      </c>
      <c r="L793" s="5" t="n">
        <v>0</v>
      </c>
      <c r="M793" s="5" t="n">
        <v>1</v>
      </c>
      <c r="N793" s="5" t="n">
        <v>0</v>
      </c>
      <c r="O793" s="5" t="n">
        <v>0</v>
      </c>
      <c r="P793" s="5" t="n">
        <v>0</v>
      </c>
      <c r="Q793" s="5" t="n">
        <v>0</v>
      </c>
      <c r="R793" s="5" t="n">
        <v>1</v>
      </c>
      <c r="S793" s="5" t="n">
        <v>0</v>
      </c>
      <c r="T793" s="5" t="n">
        <v>0</v>
      </c>
      <c r="U793" s="5" t="inlineStr">
        <is>
          <t>training</t>
        </is>
      </c>
    </row>
    <row r="794">
      <c r="A794" s="5" t="n">
        <v>766</v>
      </c>
      <c r="B794" s="5" t="n">
        <v>0</v>
      </c>
      <c r="C794" s="5" t="n">
        <v>12</v>
      </c>
      <c r="D794" s="5" t="n">
        <v>1155</v>
      </c>
      <c r="E794" s="5" t="n">
        <v>40</v>
      </c>
      <c r="F794" s="5" t="n">
        <v>3</v>
      </c>
      <c r="G794" s="5" t="n">
        <v>0</v>
      </c>
      <c r="H794" s="5" t="n">
        <v>1</v>
      </c>
      <c r="I794" s="5" t="n">
        <v>0</v>
      </c>
      <c r="J794" s="5" t="n">
        <v>0</v>
      </c>
      <c r="K794" s="5" t="n">
        <v>0</v>
      </c>
      <c r="L794" s="5" t="n">
        <v>0</v>
      </c>
      <c r="M794" s="5" t="n">
        <v>0</v>
      </c>
      <c r="N794" s="5" t="n">
        <v>0</v>
      </c>
      <c r="O794" s="5" t="n">
        <v>0</v>
      </c>
      <c r="P794" s="5" t="n">
        <v>0</v>
      </c>
      <c r="Q794" s="5" t="n">
        <v>0</v>
      </c>
      <c r="R794" s="5" t="n">
        <v>0</v>
      </c>
      <c r="S794" s="5" t="n">
        <v>1</v>
      </c>
      <c r="T794" s="5" t="n">
        <v>0</v>
      </c>
      <c r="U794" s="5" t="inlineStr">
        <is>
          <t>training</t>
        </is>
      </c>
    </row>
    <row r="795">
      <c r="A795" s="5" t="n">
        <v>767</v>
      </c>
      <c r="B795" s="5" t="n">
        <v>1</v>
      </c>
      <c r="C795" s="5" t="n">
        <v>30</v>
      </c>
      <c r="D795" s="5" t="n">
        <v>3108</v>
      </c>
      <c r="E795" s="5" t="n">
        <v>31</v>
      </c>
      <c r="F795" s="5" t="n">
        <v>2</v>
      </c>
      <c r="G795" s="5" t="n">
        <v>1</v>
      </c>
      <c r="H795" s="5" t="n">
        <v>0</v>
      </c>
      <c r="I795" s="5" t="n">
        <v>0</v>
      </c>
      <c r="J795" s="5" t="n">
        <v>0</v>
      </c>
      <c r="K795" s="5" t="n">
        <v>0</v>
      </c>
      <c r="L795" s="5" t="n">
        <v>0</v>
      </c>
      <c r="M795" s="5" t="n">
        <v>0</v>
      </c>
      <c r="N795" s="5" t="n">
        <v>0</v>
      </c>
      <c r="O795" s="5" t="n">
        <v>0</v>
      </c>
      <c r="P795" s="5" t="n">
        <v>0</v>
      </c>
      <c r="Q795" s="5" t="n">
        <v>0</v>
      </c>
      <c r="R795" s="5" t="n">
        <v>0</v>
      </c>
      <c r="S795" s="5" t="n">
        <v>0</v>
      </c>
      <c r="T795" s="5" t="n">
        <v>1</v>
      </c>
      <c r="U795" s="5" t="inlineStr">
        <is>
          <t>training</t>
        </is>
      </c>
    </row>
    <row r="796">
      <c r="A796" s="5" t="n">
        <v>768</v>
      </c>
      <c r="B796" s="5" t="n">
        <v>0</v>
      </c>
      <c r="C796" s="5" t="n">
        <v>10</v>
      </c>
      <c r="D796" s="5" t="n">
        <v>2901</v>
      </c>
      <c r="E796" s="5" t="n">
        <v>31</v>
      </c>
      <c r="F796" s="5" t="n">
        <v>1</v>
      </c>
      <c r="G796" s="5" t="n">
        <v>0</v>
      </c>
      <c r="H796" s="5" t="n">
        <v>0</v>
      </c>
      <c r="I796" s="5" t="n">
        <v>0</v>
      </c>
      <c r="J796" s="5" t="n">
        <v>0</v>
      </c>
      <c r="K796" s="5" t="n">
        <v>0</v>
      </c>
      <c r="L796" s="5" t="n">
        <v>0</v>
      </c>
      <c r="M796" s="5" t="n">
        <v>0</v>
      </c>
      <c r="N796" s="5" t="n">
        <v>0</v>
      </c>
      <c r="O796" s="5" t="n">
        <v>1</v>
      </c>
      <c r="P796" s="5" t="n">
        <v>1</v>
      </c>
      <c r="Q796" s="5" t="n">
        <v>0</v>
      </c>
      <c r="R796" s="5" t="n">
        <v>1</v>
      </c>
      <c r="S796" s="5" t="n">
        <v>0</v>
      </c>
      <c r="T796" s="5" t="n">
        <v>0</v>
      </c>
      <c r="U796" s="5" t="inlineStr">
        <is>
          <t>training</t>
        </is>
      </c>
    </row>
    <row r="797">
      <c r="A797" s="5" t="n">
        <v>769</v>
      </c>
      <c r="B797" s="5" t="n">
        <v>0</v>
      </c>
      <c r="C797" s="5" t="n">
        <v>12</v>
      </c>
      <c r="D797" s="5" t="n">
        <v>3617</v>
      </c>
      <c r="E797" s="5" t="n">
        <v>28</v>
      </c>
      <c r="F797" s="5" t="n">
        <v>1</v>
      </c>
      <c r="G797" s="5" t="n">
        <v>0</v>
      </c>
      <c r="H797" s="5" t="n">
        <v>1</v>
      </c>
      <c r="I797" s="5" t="n">
        <v>0</v>
      </c>
      <c r="J797" s="5" t="n">
        <v>1</v>
      </c>
      <c r="K797" s="5" t="n">
        <v>0</v>
      </c>
      <c r="L797" s="5" t="n">
        <v>0</v>
      </c>
      <c r="M797" s="5" t="n">
        <v>0</v>
      </c>
      <c r="N797" s="5" t="n">
        <v>0</v>
      </c>
      <c r="O797" s="5" t="n">
        <v>0</v>
      </c>
      <c r="P797" s="5" t="n">
        <v>1</v>
      </c>
      <c r="Q797" s="5" t="n">
        <v>0</v>
      </c>
      <c r="R797" s="5" t="n">
        <v>0</v>
      </c>
      <c r="S797" s="5" t="n">
        <v>0</v>
      </c>
      <c r="T797" s="5" t="n">
        <v>1</v>
      </c>
      <c r="U797" s="5" t="inlineStr">
        <is>
          <t>testing</t>
        </is>
      </c>
    </row>
    <row r="798">
      <c r="A798" s="5" t="n">
        <v>770</v>
      </c>
      <c r="B798" s="5" t="n">
        <v>0</v>
      </c>
      <c r="C798" s="5" t="n">
        <v>12</v>
      </c>
      <c r="D798" s="5" t="n">
        <v>1655</v>
      </c>
      <c r="E798" s="5" t="n">
        <v>63</v>
      </c>
      <c r="F798" s="5" t="n">
        <v>2</v>
      </c>
      <c r="G798" s="5" t="n">
        <v>0</v>
      </c>
      <c r="H798" s="5" t="n">
        <v>0</v>
      </c>
      <c r="I798" s="5" t="n">
        <v>0</v>
      </c>
      <c r="J798" s="5" t="n">
        <v>1</v>
      </c>
      <c r="K798" s="5" t="n">
        <v>0</v>
      </c>
      <c r="L798" s="5" t="n">
        <v>0</v>
      </c>
      <c r="M798" s="5" t="n">
        <v>0</v>
      </c>
      <c r="N798" s="5" t="n">
        <v>0</v>
      </c>
      <c r="O798" s="5" t="n">
        <v>0</v>
      </c>
      <c r="P798" s="5" t="n">
        <v>0</v>
      </c>
      <c r="Q798" s="5" t="n">
        <v>0</v>
      </c>
      <c r="R798" s="5" t="n">
        <v>0</v>
      </c>
      <c r="S798" s="5" t="n">
        <v>1</v>
      </c>
      <c r="T798" s="5" t="n">
        <v>0</v>
      </c>
      <c r="U798" s="5" t="inlineStr">
        <is>
          <t>training</t>
        </is>
      </c>
    </row>
    <row r="799">
      <c r="A799" s="5" t="n">
        <v>771</v>
      </c>
      <c r="B799" s="5" t="n">
        <v>0</v>
      </c>
      <c r="C799" s="5" t="n">
        <v>24</v>
      </c>
      <c r="D799" s="5" t="n">
        <v>2812</v>
      </c>
      <c r="E799" s="5" t="n">
        <v>26</v>
      </c>
      <c r="F799" s="5" t="n">
        <v>2</v>
      </c>
      <c r="G799" s="5" t="n">
        <v>1</v>
      </c>
      <c r="H799" s="5" t="n">
        <v>0</v>
      </c>
      <c r="I799" s="5" t="n">
        <v>0</v>
      </c>
      <c r="J799" s="5" t="n">
        <v>0</v>
      </c>
      <c r="K799" s="5" t="n">
        <v>0</v>
      </c>
      <c r="L799" s="5" t="n">
        <v>0</v>
      </c>
      <c r="M799" s="5" t="n">
        <v>0</v>
      </c>
      <c r="N799" s="5" t="n">
        <v>0</v>
      </c>
      <c r="O799" s="5" t="n">
        <v>1</v>
      </c>
      <c r="P799" s="5" t="n">
        <v>1</v>
      </c>
      <c r="Q799" s="5" t="n">
        <v>0</v>
      </c>
      <c r="R799" s="5" t="n">
        <v>1</v>
      </c>
      <c r="S799" s="5" t="n">
        <v>0</v>
      </c>
      <c r="T799" s="5" t="n">
        <v>0</v>
      </c>
      <c r="U799" s="5" t="inlineStr">
        <is>
          <t>training</t>
        </is>
      </c>
    </row>
    <row r="800">
      <c r="A800" s="5" t="n">
        <v>772</v>
      </c>
      <c r="B800" s="5" t="n">
        <v>1</v>
      </c>
      <c r="C800" s="5" t="n">
        <v>36</v>
      </c>
      <c r="D800" s="5" t="n">
        <v>8065</v>
      </c>
      <c r="E800" s="5" t="n">
        <v>25</v>
      </c>
      <c r="F800" s="5" t="n">
        <v>3</v>
      </c>
      <c r="G800" s="5" t="n">
        <v>1</v>
      </c>
      <c r="H800" s="5" t="n">
        <v>0</v>
      </c>
      <c r="I800" s="5" t="n">
        <v>0</v>
      </c>
      <c r="J800" s="5" t="n">
        <v>1</v>
      </c>
      <c r="K800" s="5" t="n">
        <v>0</v>
      </c>
      <c r="L800" s="5" t="n">
        <v>0</v>
      </c>
      <c r="M800" s="5" t="n">
        <v>0</v>
      </c>
      <c r="N800" s="5" t="n">
        <v>0</v>
      </c>
      <c r="O800" s="5" t="n">
        <v>0</v>
      </c>
      <c r="P800" s="5" t="n">
        <v>0</v>
      </c>
      <c r="Q800" s="5" t="n">
        <v>0</v>
      </c>
      <c r="R800" s="5" t="n">
        <v>0</v>
      </c>
      <c r="S800" s="5" t="n">
        <v>0</v>
      </c>
      <c r="T800" s="5" t="n">
        <v>0</v>
      </c>
      <c r="U800" s="5" t="inlineStr">
        <is>
          <t>testing</t>
        </is>
      </c>
    </row>
    <row r="801">
      <c r="A801" s="5" t="n">
        <v>773</v>
      </c>
      <c r="B801" s="5" t="n">
        <v>0</v>
      </c>
      <c r="C801" s="5" t="n">
        <v>21</v>
      </c>
      <c r="D801" s="5" t="n">
        <v>3275</v>
      </c>
      <c r="E801" s="5" t="n">
        <v>36</v>
      </c>
      <c r="F801" s="5" t="n">
        <v>1</v>
      </c>
      <c r="G801" s="5" t="n">
        <v>0</v>
      </c>
      <c r="H801" s="5" t="n">
        <v>0</v>
      </c>
      <c r="I801" s="5" t="n">
        <v>0</v>
      </c>
      <c r="J801" s="5" t="n">
        <v>1</v>
      </c>
      <c r="K801" s="5" t="n">
        <v>0</v>
      </c>
      <c r="L801" s="5" t="n">
        <v>0</v>
      </c>
      <c r="M801" s="5" t="n">
        <v>0</v>
      </c>
      <c r="N801" s="5" t="n">
        <v>0</v>
      </c>
      <c r="O801" s="5" t="n">
        <v>0</v>
      </c>
      <c r="P801" s="5" t="n">
        <v>0</v>
      </c>
      <c r="Q801" s="5" t="n">
        <v>0</v>
      </c>
      <c r="R801" s="5" t="n">
        <v>1</v>
      </c>
      <c r="S801" s="5" t="n">
        <v>0</v>
      </c>
      <c r="T801" s="5" t="n">
        <v>0</v>
      </c>
      <c r="U801" s="5" t="inlineStr">
        <is>
          <t>testing</t>
        </is>
      </c>
    </row>
    <row r="802">
      <c r="A802" s="5" t="n">
        <v>774</v>
      </c>
      <c r="B802" s="5" t="n">
        <v>0</v>
      </c>
      <c r="C802" s="5" t="n">
        <v>24</v>
      </c>
      <c r="D802" s="5" t="n">
        <v>2223</v>
      </c>
      <c r="E802" s="5" t="n">
        <v>52</v>
      </c>
      <c r="F802" s="5" t="n">
        <v>4</v>
      </c>
      <c r="G802" s="5" t="n">
        <v>0</v>
      </c>
      <c r="H802" s="5" t="n">
        <v>0</v>
      </c>
      <c r="I802" s="5" t="n">
        <v>0</v>
      </c>
      <c r="J802" s="5" t="n">
        <v>1</v>
      </c>
      <c r="K802" s="5" t="n">
        <v>0</v>
      </c>
      <c r="L802" s="5" t="n">
        <v>0</v>
      </c>
      <c r="M802" s="5" t="n">
        <v>1</v>
      </c>
      <c r="N802" s="5" t="n">
        <v>0</v>
      </c>
      <c r="O802" s="5" t="n">
        <v>0</v>
      </c>
      <c r="P802" s="5" t="n">
        <v>0</v>
      </c>
      <c r="Q802" s="5" t="n">
        <v>0</v>
      </c>
      <c r="R802" s="5" t="n">
        <v>0</v>
      </c>
      <c r="S802" s="5" t="n">
        <v>1</v>
      </c>
      <c r="T802" s="5" t="n">
        <v>0</v>
      </c>
      <c r="U802" s="5" t="inlineStr">
        <is>
          <t>training</t>
        </is>
      </c>
    </row>
    <row r="803">
      <c r="A803" s="5" t="n">
        <v>775</v>
      </c>
      <c r="B803" s="5" t="n">
        <v>0</v>
      </c>
      <c r="C803" s="5" t="n">
        <v>12</v>
      </c>
      <c r="D803" s="5" t="n">
        <v>1480</v>
      </c>
      <c r="E803" s="5" t="n">
        <v>66</v>
      </c>
      <c r="F803" s="5" t="n">
        <v>2</v>
      </c>
      <c r="G803" s="5" t="n">
        <v>0</v>
      </c>
      <c r="H803" s="5" t="n">
        <v>0</v>
      </c>
      <c r="I803" s="5" t="n">
        <v>1</v>
      </c>
      <c r="J803" s="5" t="n">
        <v>1</v>
      </c>
      <c r="K803" s="5" t="n">
        <v>0</v>
      </c>
      <c r="L803" s="5" t="n">
        <v>0</v>
      </c>
      <c r="M803" s="5" t="n">
        <v>1</v>
      </c>
      <c r="N803" s="5" t="n">
        <v>0</v>
      </c>
      <c r="O803" s="5" t="n">
        <v>0</v>
      </c>
      <c r="P803" s="5" t="n">
        <v>0</v>
      </c>
      <c r="Q803" s="5" t="n">
        <v>1</v>
      </c>
      <c r="R803" s="5" t="n">
        <v>1</v>
      </c>
      <c r="S803" s="5" t="n">
        <v>0</v>
      </c>
      <c r="T803" s="5" t="n">
        <v>0</v>
      </c>
      <c r="U803" s="5" t="inlineStr">
        <is>
          <t>training</t>
        </is>
      </c>
    </row>
    <row r="804">
      <c r="A804" s="5" t="n">
        <v>776</v>
      </c>
      <c r="B804" s="5" t="n">
        <v>1</v>
      </c>
      <c r="C804" s="5" t="n">
        <v>24</v>
      </c>
      <c r="D804" s="5" t="n">
        <v>1371</v>
      </c>
      <c r="E804" s="5" t="n">
        <v>25</v>
      </c>
      <c r="F804" s="5" t="n">
        <v>4</v>
      </c>
      <c r="G804" s="5" t="n">
        <v>1</v>
      </c>
      <c r="H804" s="5" t="n">
        <v>0</v>
      </c>
      <c r="I804" s="5" t="n">
        <v>0</v>
      </c>
      <c r="J804" s="5" t="n">
        <v>0</v>
      </c>
      <c r="K804" s="5" t="n">
        <v>0</v>
      </c>
      <c r="L804" s="5" t="n">
        <v>0</v>
      </c>
      <c r="M804" s="5" t="n">
        <v>0</v>
      </c>
      <c r="N804" s="5" t="n">
        <v>0</v>
      </c>
      <c r="O804" s="5" t="n">
        <v>1</v>
      </c>
      <c r="P804" s="5" t="n">
        <v>1</v>
      </c>
      <c r="Q804" s="5" t="n">
        <v>0</v>
      </c>
      <c r="R804" s="5" t="n">
        <v>1</v>
      </c>
      <c r="S804" s="5" t="n">
        <v>0</v>
      </c>
      <c r="T804" s="5" t="n">
        <v>0</v>
      </c>
      <c r="U804" s="5" t="inlineStr">
        <is>
          <t>training</t>
        </is>
      </c>
    </row>
    <row r="805">
      <c r="A805" s="5" t="n">
        <v>777</v>
      </c>
      <c r="B805" s="5" t="n">
        <v>0</v>
      </c>
      <c r="C805" s="5" t="n">
        <v>36</v>
      </c>
      <c r="D805" s="5" t="n">
        <v>3535</v>
      </c>
      <c r="E805" s="5" t="n">
        <v>37</v>
      </c>
      <c r="F805" s="5" t="n">
        <v>4</v>
      </c>
      <c r="G805" s="5" t="n">
        <v>0</v>
      </c>
      <c r="H805" s="5" t="n">
        <v>0</v>
      </c>
      <c r="I805" s="5" t="n">
        <v>0</v>
      </c>
      <c r="J805" s="5" t="n">
        <v>1</v>
      </c>
      <c r="K805" s="5" t="n">
        <v>0</v>
      </c>
      <c r="L805" s="5" t="n">
        <v>0</v>
      </c>
      <c r="M805" s="5" t="n">
        <v>0</v>
      </c>
      <c r="N805" s="5" t="n">
        <v>0</v>
      </c>
      <c r="O805" s="5" t="n">
        <v>0</v>
      </c>
      <c r="P805" s="5" t="n">
        <v>0</v>
      </c>
      <c r="Q805" s="5" t="n">
        <v>0</v>
      </c>
      <c r="R805" s="5" t="n">
        <v>1</v>
      </c>
      <c r="S805" s="5" t="n">
        <v>0</v>
      </c>
      <c r="T805" s="5" t="n">
        <v>0</v>
      </c>
      <c r="U805" s="5" t="inlineStr">
        <is>
          <t>testing</t>
        </is>
      </c>
    </row>
    <row r="806">
      <c r="A806" s="5" t="n">
        <v>778</v>
      </c>
      <c r="B806" s="5" t="n">
        <v>0</v>
      </c>
      <c r="C806" s="5" t="n">
        <v>18</v>
      </c>
      <c r="D806" s="5" t="n">
        <v>3509</v>
      </c>
      <c r="E806" s="5" t="n">
        <v>25</v>
      </c>
      <c r="F806" s="5" t="n">
        <v>4</v>
      </c>
      <c r="G806" s="5" t="n">
        <v>1</v>
      </c>
      <c r="H806" s="5" t="n">
        <v>0</v>
      </c>
      <c r="I806" s="5" t="n">
        <v>0</v>
      </c>
      <c r="J806" s="5" t="n">
        <v>0</v>
      </c>
      <c r="K806" s="5" t="n">
        <v>0</v>
      </c>
      <c r="L806" s="5" t="n">
        <v>0</v>
      </c>
      <c r="M806" s="5" t="n">
        <v>0</v>
      </c>
      <c r="N806" s="5" t="n">
        <v>0</v>
      </c>
      <c r="O806" s="5" t="n">
        <v>0</v>
      </c>
      <c r="P806" s="5" t="n">
        <v>0</v>
      </c>
      <c r="Q806" s="5" t="n">
        <v>0</v>
      </c>
      <c r="R806" s="5" t="n">
        <v>0</v>
      </c>
      <c r="S806" s="5" t="n">
        <v>1</v>
      </c>
      <c r="T806" s="5" t="n">
        <v>0</v>
      </c>
      <c r="U806" s="5" t="inlineStr">
        <is>
          <t>training</t>
        </is>
      </c>
    </row>
    <row r="807">
      <c r="A807" s="5" t="n">
        <v>779</v>
      </c>
      <c r="B807" s="5" t="n">
        <v>0</v>
      </c>
      <c r="C807" s="5" t="n">
        <v>36</v>
      </c>
      <c r="D807" s="5" t="n">
        <v>5711</v>
      </c>
      <c r="E807" s="5" t="n">
        <v>38</v>
      </c>
      <c r="F807" s="5" t="n">
        <v>4</v>
      </c>
      <c r="G807" s="5" t="n">
        <v>0</v>
      </c>
      <c r="H807" s="5" t="n">
        <v>0</v>
      </c>
      <c r="I807" s="5" t="n">
        <v>0</v>
      </c>
      <c r="J807" s="5" t="n">
        <v>1</v>
      </c>
      <c r="K807" s="5" t="n">
        <v>0</v>
      </c>
      <c r="L807" s="5" t="n">
        <v>0</v>
      </c>
      <c r="M807" s="5" t="n">
        <v>0</v>
      </c>
      <c r="N807" s="5" t="n">
        <v>1</v>
      </c>
      <c r="O807" s="5" t="n">
        <v>0</v>
      </c>
      <c r="P807" s="5" t="n">
        <v>0</v>
      </c>
      <c r="Q807" s="5" t="n">
        <v>0</v>
      </c>
      <c r="R807" s="5" t="n">
        <v>1</v>
      </c>
      <c r="S807" s="5" t="n">
        <v>0</v>
      </c>
      <c r="T807" s="5" t="n">
        <v>0</v>
      </c>
      <c r="U807" s="5" t="inlineStr">
        <is>
          <t>training</t>
        </is>
      </c>
    </row>
    <row r="808">
      <c r="A808" s="5" t="n">
        <v>780</v>
      </c>
      <c r="B808" s="5" t="n">
        <v>0</v>
      </c>
      <c r="C808" s="5" t="n">
        <v>18</v>
      </c>
      <c r="D808" s="5" t="n">
        <v>3872</v>
      </c>
      <c r="E808" s="5" t="n">
        <v>67</v>
      </c>
      <c r="F808" s="5" t="n">
        <v>2</v>
      </c>
      <c r="G808" s="5" t="n">
        <v>0</v>
      </c>
      <c r="H808" s="5" t="n">
        <v>1</v>
      </c>
      <c r="I808" s="5" t="n">
        <v>0</v>
      </c>
      <c r="J808" s="5" t="n">
        <v>0</v>
      </c>
      <c r="K808" s="5" t="n">
        <v>0</v>
      </c>
      <c r="L808" s="5" t="n">
        <v>0</v>
      </c>
      <c r="M808" s="5" t="n">
        <v>0</v>
      </c>
      <c r="N808" s="5" t="n">
        <v>0</v>
      </c>
      <c r="O808" s="5" t="n">
        <v>0</v>
      </c>
      <c r="P808" s="5" t="n">
        <v>0</v>
      </c>
      <c r="Q808" s="5" t="n">
        <v>0</v>
      </c>
      <c r="R808" s="5" t="n">
        <v>0</v>
      </c>
      <c r="S808" s="5" t="n">
        <v>0</v>
      </c>
      <c r="T808" s="5" t="n">
        <v>0</v>
      </c>
      <c r="U808" s="5" t="inlineStr">
        <is>
          <t>testing</t>
        </is>
      </c>
    </row>
    <row r="809">
      <c r="A809" s="5" t="n">
        <v>781</v>
      </c>
      <c r="B809" s="5" t="n">
        <v>1</v>
      </c>
      <c r="C809" s="5" t="n">
        <v>39</v>
      </c>
      <c r="D809" s="5" t="n">
        <v>4933</v>
      </c>
      <c r="E809" s="5" t="n">
        <v>25</v>
      </c>
      <c r="F809" s="5" t="n">
        <v>2</v>
      </c>
      <c r="G809" s="5" t="n">
        <v>0</v>
      </c>
      <c r="H809" s="5" t="n">
        <v>1</v>
      </c>
      <c r="I809" s="5" t="n">
        <v>0</v>
      </c>
      <c r="J809" s="5" t="n">
        <v>1</v>
      </c>
      <c r="K809" s="5" t="n">
        <v>0</v>
      </c>
      <c r="L809" s="5" t="n">
        <v>0</v>
      </c>
      <c r="M809" s="5" t="n">
        <v>0</v>
      </c>
      <c r="N809" s="5" t="n">
        <v>0</v>
      </c>
      <c r="O809" s="5" t="n">
        <v>0</v>
      </c>
      <c r="P809" s="5" t="n">
        <v>0</v>
      </c>
      <c r="Q809" s="5" t="n">
        <v>0</v>
      </c>
      <c r="R809" s="5" t="n">
        <v>0</v>
      </c>
      <c r="S809" s="5" t="n">
        <v>1</v>
      </c>
      <c r="T809" s="5" t="n">
        <v>0</v>
      </c>
      <c r="U809" s="5" t="inlineStr">
        <is>
          <t>training</t>
        </is>
      </c>
    </row>
    <row r="810">
      <c r="A810" s="5" t="n">
        <v>782</v>
      </c>
      <c r="B810" s="5" t="n">
        <v>0</v>
      </c>
      <c r="C810" s="5" t="n">
        <v>24</v>
      </c>
      <c r="D810" s="5" t="n">
        <v>1940</v>
      </c>
      <c r="E810" s="5" t="n">
        <v>60</v>
      </c>
      <c r="F810" s="5" t="n">
        <v>4</v>
      </c>
      <c r="G810" s="5" t="n">
        <v>0</v>
      </c>
      <c r="H810" s="5" t="n">
        <v>0</v>
      </c>
      <c r="I810" s="5" t="n">
        <v>0</v>
      </c>
      <c r="J810" s="5" t="n">
        <v>1</v>
      </c>
      <c r="K810" s="5" t="n">
        <v>0</v>
      </c>
      <c r="L810" s="5" t="n">
        <v>0</v>
      </c>
      <c r="M810" s="5" t="n">
        <v>0</v>
      </c>
      <c r="N810" s="5" t="n">
        <v>1</v>
      </c>
      <c r="O810" s="5" t="n">
        <v>0</v>
      </c>
      <c r="P810" s="5" t="n">
        <v>0</v>
      </c>
      <c r="Q810" s="5" t="n">
        <v>0</v>
      </c>
      <c r="R810" s="5" t="n">
        <v>1</v>
      </c>
      <c r="S810" s="5" t="n">
        <v>0</v>
      </c>
      <c r="T810" s="5" t="n">
        <v>0</v>
      </c>
      <c r="U810" s="5" t="inlineStr">
        <is>
          <t>testing</t>
        </is>
      </c>
    </row>
    <row r="811">
      <c r="A811" s="5" t="n">
        <v>783</v>
      </c>
      <c r="B811" s="5" t="n">
        <v>0</v>
      </c>
      <c r="C811" s="5" t="n">
        <v>12</v>
      </c>
      <c r="D811" s="5" t="n">
        <v>1410</v>
      </c>
      <c r="E811" s="5" t="n">
        <v>31</v>
      </c>
      <c r="F811" s="5" t="n">
        <v>2</v>
      </c>
      <c r="G811" s="5" t="n">
        <v>0</v>
      </c>
      <c r="H811" s="5" t="n">
        <v>1</v>
      </c>
      <c r="I811" s="5" t="n">
        <v>0</v>
      </c>
      <c r="J811" s="5" t="n">
        <v>0</v>
      </c>
      <c r="K811" s="5" t="n">
        <v>0</v>
      </c>
      <c r="L811" s="5" t="n">
        <v>1</v>
      </c>
      <c r="M811" s="5" t="n">
        <v>0</v>
      </c>
      <c r="N811" s="5" t="n">
        <v>0</v>
      </c>
      <c r="O811" s="5" t="n">
        <v>0</v>
      </c>
      <c r="P811" s="5" t="n">
        <v>0</v>
      </c>
      <c r="Q811" s="5" t="n">
        <v>0</v>
      </c>
      <c r="R811" s="5" t="n">
        <v>0</v>
      </c>
      <c r="S811" s="5" t="n">
        <v>0</v>
      </c>
      <c r="T811" s="5" t="n">
        <v>0</v>
      </c>
      <c r="U811" s="5" t="inlineStr">
        <is>
          <t>training</t>
        </is>
      </c>
    </row>
    <row r="812">
      <c r="A812" s="5" t="n">
        <v>784</v>
      </c>
      <c r="B812" s="5" t="n">
        <v>1</v>
      </c>
      <c r="C812" s="5" t="n">
        <v>12</v>
      </c>
      <c r="D812" s="5" t="n">
        <v>836</v>
      </c>
      <c r="E812" s="5" t="n">
        <v>23</v>
      </c>
      <c r="F812" s="5" t="n">
        <v>4</v>
      </c>
      <c r="G812" s="5" t="n">
        <v>0</v>
      </c>
      <c r="H812" s="5" t="n">
        <v>1</v>
      </c>
      <c r="I812" s="5" t="n">
        <v>0</v>
      </c>
      <c r="J812" s="5" t="n">
        <v>0</v>
      </c>
      <c r="K812" s="5" t="n">
        <v>0</v>
      </c>
      <c r="L812" s="5" t="n">
        <v>0</v>
      </c>
      <c r="M812" s="5" t="n">
        <v>1</v>
      </c>
      <c r="N812" s="5" t="n">
        <v>0</v>
      </c>
      <c r="O812" s="5" t="n">
        <v>0</v>
      </c>
      <c r="P812" s="5" t="n">
        <v>0</v>
      </c>
      <c r="Q812" s="5" t="n">
        <v>0</v>
      </c>
      <c r="R812" s="5" t="n">
        <v>1</v>
      </c>
      <c r="S812" s="5" t="n">
        <v>0</v>
      </c>
      <c r="T812" s="5" t="n">
        <v>0</v>
      </c>
      <c r="U812" s="5" t="inlineStr">
        <is>
          <t>training</t>
        </is>
      </c>
    </row>
    <row r="813">
      <c r="A813" s="5" t="n">
        <v>785</v>
      </c>
      <c r="B813" s="5" t="n">
        <v>0</v>
      </c>
      <c r="C813" s="5" t="n">
        <v>20</v>
      </c>
      <c r="D813" s="5" t="n">
        <v>6468</v>
      </c>
      <c r="E813" s="5" t="n">
        <v>60</v>
      </c>
      <c r="F813" s="5" t="n">
        <v>1</v>
      </c>
      <c r="G813" s="5" t="n">
        <v>0</v>
      </c>
      <c r="H813" s="5" t="n">
        <v>1</v>
      </c>
      <c r="I813" s="5" t="n">
        <v>0</v>
      </c>
      <c r="J813" s="5" t="n">
        <v>0</v>
      </c>
      <c r="K813" s="5" t="n">
        <v>0</v>
      </c>
      <c r="L813" s="5" t="n">
        <v>0</v>
      </c>
      <c r="M813" s="5" t="n">
        <v>0</v>
      </c>
      <c r="N813" s="5" t="n">
        <v>0</v>
      </c>
      <c r="O813" s="5" t="n">
        <v>1</v>
      </c>
      <c r="P813" s="5" t="n">
        <v>0</v>
      </c>
      <c r="Q813" s="5" t="n">
        <v>0</v>
      </c>
      <c r="R813" s="5" t="n">
        <v>1</v>
      </c>
      <c r="S813" s="5" t="n">
        <v>0</v>
      </c>
      <c r="T813" s="5" t="n">
        <v>0</v>
      </c>
      <c r="U813" s="5" t="inlineStr">
        <is>
          <t>testing</t>
        </is>
      </c>
    </row>
    <row r="814">
      <c r="A814" s="5" t="n">
        <v>786</v>
      </c>
      <c r="B814" s="5" t="n">
        <v>0</v>
      </c>
      <c r="C814" s="5" t="n">
        <v>18</v>
      </c>
      <c r="D814" s="5" t="n">
        <v>1941</v>
      </c>
      <c r="E814" s="5" t="n">
        <v>35</v>
      </c>
      <c r="F814" s="5" t="n">
        <v>4</v>
      </c>
      <c r="G814" s="5" t="n">
        <v>0</v>
      </c>
      <c r="H814" s="5" t="n">
        <v>1</v>
      </c>
      <c r="I814" s="5" t="n">
        <v>0</v>
      </c>
      <c r="J814" s="5" t="n">
        <v>0</v>
      </c>
      <c r="K814" s="5" t="n">
        <v>0</v>
      </c>
      <c r="L814" s="5" t="n">
        <v>0</v>
      </c>
      <c r="M814" s="5" t="n">
        <v>0</v>
      </c>
      <c r="N814" s="5" t="n">
        <v>1</v>
      </c>
      <c r="O814" s="5" t="n">
        <v>0</v>
      </c>
      <c r="P814" s="5" t="n">
        <v>0</v>
      </c>
      <c r="Q814" s="5" t="n">
        <v>0</v>
      </c>
      <c r="R814" s="5" t="n">
        <v>0</v>
      </c>
      <c r="S814" s="5" t="n">
        <v>0</v>
      </c>
      <c r="T814" s="5" t="n">
        <v>0</v>
      </c>
      <c r="U814" s="5" t="inlineStr">
        <is>
          <t>training</t>
        </is>
      </c>
    </row>
    <row r="815">
      <c r="A815" s="5" t="n">
        <v>787</v>
      </c>
      <c r="B815" s="5" t="n">
        <v>0</v>
      </c>
      <c r="C815" s="5" t="n">
        <v>22</v>
      </c>
      <c r="D815" s="5" t="n">
        <v>2675</v>
      </c>
      <c r="E815" s="5" t="n">
        <v>40</v>
      </c>
      <c r="F815" s="5" t="n">
        <v>3</v>
      </c>
      <c r="G815" s="5" t="n">
        <v>0</v>
      </c>
      <c r="H815" s="5" t="n">
        <v>0</v>
      </c>
      <c r="I815" s="5" t="n">
        <v>0</v>
      </c>
      <c r="J815" s="5" t="n">
        <v>0</v>
      </c>
      <c r="K815" s="5" t="n">
        <v>0</v>
      </c>
      <c r="L815" s="5" t="n">
        <v>0</v>
      </c>
      <c r="M815" s="5" t="n">
        <v>1</v>
      </c>
      <c r="N815" s="5" t="n">
        <v>0</v>
      </c>
      <c r="O815" s="5" t="n">
        <v>0</v>
      </c>
      <c r="P815" s="5" t="n">
        <v>0</v>
      </c>
      <c r="Q815" s="5" t="n">
        <v>0</v>
      </c>
      <c r="R815" s="5" t="n">
        <v>0</v>
      </c>
      <c r="S815" s="5" t="n">
        <v>1</v>
      </c>
      <c r="T815" s="5" t="n">
        <v>0</v>
      </c>
      <c r="U815" s="5" t="inlineStr">
        <is>
          <t>training</t>
        </is>
      </c>
    </row>
    <row r="816">
      <c r="A816" s="5" t="n">
        <v>788</v>
      </c>
      <c r="B816" s="5" t="n">
        <v>0</v>
      </c>
      <c r="C816" s="5" t="n">
        <v>48</v>
      </c>
      <c r="D816" s="5" t="n">
        <v>2751</v>
      </c>
      <c r="E816" s="5" t="n">
        <v>38</v>
      </c>
      <c r="F816" s="5" t="n">
        <v>4</v>
      </c>
      <c r="G816" s="5" t="n">
        <v>0</v>
      </c>
      <c r="H816" s="5" t="n">
        <v>0</v>
      </c>
      <c r="I816" s="5" t="n">
        <v>0</v>
      </c>
      <c r="J816" s="5" t="n">
        <v>1</v>
      </c>
      <c r="K816" s="5" t="n">
        <v>0</v>
      </c>
      <c r="L816" s="5" t="n">
        <v>0</v>
      </c>
      <c r="M816" s="5" t="n">
        <v>0</v>
      </c>
      <c r="N816" s="5" t="n">
        <v>0</v>
      </c>
      <c r="O816" s="5" t="n">
        <v>1</v>
      </c>
      <c r="P816" s="5" t="n">
        <v>0</v>
      </c>
      <c r="Q816" s="5" t="n">
        <v>0</v>
      </c>
      <c r="R816" s="5" t="n">
        <v>1</v>
      </c>
      <c r="S816" s="5" t="n">
        <v>0</v>
      </c>
      <c r="T816" s="5" t="n">
        <v>0</v>
      </c>
      <c r="U816" s="5" t="inlineStr">
        <is>
          <t>training</t>
        </is>
      </c>
    </row>
    <row r="817">
      <c r="A817" s="5" t="n">
        <v>789</v>
      </c>
      <c r="B817" s="5" t="n">
        <v>1</v>
      </c>
      <c r="C817" s="5" t="n">
        <v>48</v>
      </c>
      <c r="D817" s="5" t="n">
        <v>6224</v>
      </c>
      <c r="E817" s="5" t="n">
        <v>50</v>
      </c>
      <c r="F817" s="5" t="n">
        <v>4</v>
      </c>
      <c r="G817" s="5" t="n">
        <v>0</v>
      </c>
      <c r="H817" s="5" t="n">
        <v>1</v>
      </c>
      <c r="I817" s="5" t="n">
        <v>0</v>
      </c>
      <c r="J817" s="5" t="n">
        <v>0</v>
      </c>
      <c r="K817" s="5" t="n">
        <v>1</v>
      </c>
      <c r="L817" s="5" t="n">
        <v>0</v>
      </c>
      <c r="M817" s="5" t="n">
        <v>0</v>
      </c>
      <c r="N817" s="5" t="n">
        <v>0</v>
      </c>
      <c r="O817" s="5" t="n">
        <v>0</v>
      </c>
      <c r="P817" s="5" t="n">
        <v>0</v>
      </c>
      <c r="Q817" s="5" t="n">
        <v>1</v>
      </c>
      <c r="R817" s="5" t="n">
        <v>0</v>
      </c>
      <c r="S817" s="5" t="n">
        <v>0</v>
      </c>
      <c r="T817" s="5" t="n">
        <v>0</v>
      </c>
      <c r="U817" s="5" t="inlineStr">
        <is>
          <t>training</t>
        </is>
      </c>
    </row>
    <row r="818">
      <c r="A818" s="5" t="n">
        <v>790</v>
      </c>
      <c r="B818" s="5" t="n">
        <v>1</v>
      </c>
      <c r="C818" s="5" t="n">
        <v>40</v>
      </c>
      <c r="D818" s="5" t="n">
        <v>5998</v>
      </c>
      <c r="E818" s="5" t="n">
        <v>27</v>
      </c>
      <c r="F818" s="5" t="n">
        <v>4</v>
      </c>
      <c r="G818" s="5" t="n">
        <v>1</v>
      </c>
      <c r="H818" s="5" t="n">
        <v>0</v>
      </c>
      <c r="I818" s="5" t="n">
        <v>0</v>
      </c>
      <c r="J818" s="5" t="n">
        <v>1</v>
      </c>
      <c r="K818" s="5" t="n">
        <v>0</v>
      </c>
      <c r="L818" s="5" t="n">
        <v>0</v>
      </c>
      <c r="M818" s="5" t="n">
        <v>0</v>
      </c>
      <c r="N818" s="5" t="n">
        <v>0</v>
      </c>
      <c r="O818" s="5" t="n">
        <v>0</v>
      </c>
      <c r="P818" s="5" t="n">
        <v>0</v>
      </c>
      <c r="Q818" s="5" t="n">
        <v>0</v>
      </c>
      <c r="R818" s="5" t="n">
        <v>0</v>
      </c>
      <c r="S818" s="5" t="n">
        <v>0</v>
      </c>
      <c r="T818" s="5" t="n">
        <v>0</v>
      </c>
      <c r="U818" s="5" t="inlineStr">
        <is>
          <t>testing</t>
        </is>
      </c>
    </row>
    <row r="819">
      <c r="A819" s="5" t="n">
        <v>791</v>
      </c>
      <c r="B819" s="5" t="n">
        <v>1</v>
      </c>
      <c r="C819" s="5" t="n">
        <v>21</v>
      </c>
      <c r="D819" s="5" t="n">
        <v>1188</v>
      </c>
      <c r="E819" s="5" t="n">
        <v>39</v>
      </c>
      <c r="F819" s="5" t="n">
        <v>2</v>
      </c>
      <c r="G819" s="5" t="n">
        <v>0</v>
      </c>
      <c r="H819" s="5" t="n">
        <v>1</v>
      </c>
      <c r="I819" s="5" t="n">
        <v>0</v>
      </c>
      <c r="J819" s="5" t="n">
        <v>0</v>
      </c>
      <c r="K819" s="5" t="n">
        <v>0</v>
      </c>
      <c r="L819" s="5" t="n">
        <v>0</v>
      </c>
      <c r="M819" s="5" t="n">
        <v>0</v>
      </c>
      <c r="N819" s="5" t="n">
        <v>0</v>
      </c>
      <c r="O819" s="5" t="n">
        <v>0</v>
      </c>
      <c r="P819" s="5" t="n">
        <v>0</v>
      </c>
      <c r="Q819" s="5" t="n">
        <v>0</v>
      </c>
      <c r="R819" s="5" t="n">
        <v>0</v>
      </c>
      <c r="S819" s="5" t="n">
        <v>0</v>
      </c>
      <c r="T819" s="5" t="n">
        <v>0</v>
      </c>
      <c r="U819" s="5" t="inlineStr">
        <is>
          <t>training</t>
        </is>
      </c>
    </row>
    <row r="820">
      <c r="A820" s="5" t="n">
        <v>792</v>
      </c>
      <c r="B820" s="5" t="n">
        <v>0</v>
      </c>
      <c r="C820" s="5" t="n">
        <v>24</v>
      </c>
      <c r="D820" s="5" t="n">
        <v>6313</v>
      </c>
      <c r="E820" s="5" t="n">
        <v>41</v>
      </c>
      <c r="F820" s="5" t="n">
        <v>3</v>
      </c>
      <c r="G820" s="5" t="n">
        <v>0</v>
      </c>
      <c r="H820" s="5" t="n">
        <v>0</v>
      </c>
      <c r="I820" s="5" t="n">
        <v>0</v>
      </c>
      <c r="J820" s="5" t="n">
        <v>0</v>
      </c>
      <c r="K820" s="5" t="n">
        <v>0</v>
      </c>
      <c r="L820" s="5" t="n">
        <v>0</v>
      </c>
      <c r="M820" s="5" t="n">
        <v>0</v>
      </c>
      <c r="N820" s="5" t="n">
        <v>0</v>
      </c>
      <c r="O820" s="5" t="n">
        <v>1</v>
      </c>
      <c r="P820" s="5" t="n">
        <v>0</v>
      </c>
      <c r="Q820" s="5" t="n">
        <v>0</v>
      </c>
      <c r="R820" s="5" t="n">
        <v>1</v>
      </c>
      <c r="S820" s="5" t="n">
        <v>0</v>
      </c>
      <c r="T820" s="5" t="n">
        <v>0</v>
      </c>
      <c r="U820" s="5" t="inlineStr">
        <is>
          <t>testing</t>
        </is>
      </c>
    </row>
    <row r="821">
      <c r="A821" s="5" t="n">
        <v>793</v>
      </c>
      <c r="B821" s="5" t="n">
        <v>0</v>
      </c>
      <c r="C821" s="5" t="n">
        <v>6</v>
      </c>
      <c r="D821" s="5" t="n">
        <v>1221</v>
      </c>
      <c r="E821" s="5" t="n">
        <v>27</v>
      </c>
      <c r="F821" s="5" t="n">
        <v>1</v>
      </c>
      <c r="G821" s="5" t="n">
        <v>0</v>
      </c>
      <c r="H821" s="5" t="n">
        <v>0</v>
      </c>
      <c r="I821" s="5" t="n">
        <v>0</v>
      </c>
      <c r="J821" s="5" t="n">
        <v>1</v>
      </c>
      <c r="K821" s="5" t="n">
        <v>0</v>
      </c>
      <c r="L821" s="5" t="n">
        <v>0</v>
      </c>
      <c r="M821" s="5" t="n">
        <v>0</v>
      </c>
      <c r="N821" s="5" t="n">
        <v>0</v>
      </c>
      <c r="O821" s="5" t="n">
        <v>1</v>
      </c>
      <c r="P821" s="5" t="n">
        <v>0</v>
      </c>
      <c r="Q821" s="5" t="n">
        <v>0</v>
      </c>
      <c r="R821" s="5" t="n">
        <v>0</v>
      </c>
      <c r="S821" s="5" t="n">
        <v>0</v>
      </c>
      <c r="T821" s="5" t="n">
        <v>1</v>
      </c>
      <c r="U821" s="5" t="inlineStr">
        <is>
          <t>training</t>
        </is>
      </c>
    </row>
    <row r="822">
      <c r="A822" s="5" t="n">
        <v>794</v>
      </c>
      <c r="B822" s="5" t="n">
        <v>0</v>
      </c>
      <c r="C822" s="5" t="n">
        <v>24</v>
      </c>
      <c r="D822" s="5" t="n">
        <v>2892</v>
      </c>
      <c r="E822" s="5" t="n">
        <v>51</v>
      </c>
      <c r="F822" s="5" t="n">
        <v>3</v>
      </c>
      <c r="G822" s="5" t="n">
        <v>0</v>
      </c>
      <c r="H822" s="5" t="n">
        <v>0</v>
      </c>
      <c r="I822" s="5" t="n">
        <v>1</v>
      </c>
      <c r="J822" s="5" t="n">
        <v>0</v>
      </c>
      <c r="K822" s="5" t="n">
        <v>0</v>
      </c>
      <c r="L822" s="5" t="n">
        <v>0</v>
      </c>
      <c r="M822" s="5" t="n">
        <v>0</v>
      </c>
      <c r="N822" s="5" t="n">
        <v>0</v>
      </c>
      <c r="O822" s="5" t="n">
        <v>0</v>
      </c>
      <c r="P822" s="5" t="n">
        <v>0</v>
      </c>
      <c r="Q822" s="5" t="n">
        <v>1</v>
      </c>
      <c r="R822" s="5" t="n">
        <v>0</v>
      </c>
      <c r="S822" s="5" t="n">
        <v>0</v>
      </c>
      <c r="T822" s="5" t="n">
        <v>1</v>
      </c>
      <c r="U822" s="5" t="inlineStr">
        <is>
          <t>training</t>
        </is>
      </c>
    </row>
    <row r="823">
      <c r="A823" s="5" t="n">
        <v>795</v>
      </c>
      <c r="B823" s="5" t="n">
        <v>0</v>
      </c>
      <c r="C823" s="5" t="n">
        <v>24</v>
      </c>
      <c r="D823" s="5" t="n">
        <v>3062</v>
      </c>
      <c r="E823" s="5" t="n">
        <v>32</v>
      </c>
      <c r="F823" s="5" t="n">
        <v>4</v>
      </c>
      <c r="G823" s="5" t="n">
        <v>0</v>
      </c>
      <c r="H823" s="5" t="n">
        <v>0</v>
      </c>
      <c r="I823" s="5" t="n">
        <v>0</v>
      </c>
      <c r="J823" s="5" t="n">
        <v>0</v>
      </c>
      <c r="K823" s="5" t="n">
        <v>0</v>
      </c>
      <c r="L823" s="5" t="n">
        <v>0</v>
      </c>
      <c r="M823" s="5" t="n">
        <v>1</v>
      </c>
      <c r="N823" s="5" t="n">
        <v>0</v>
      </c>
      <c r="O823" s="5" t="n">
        <v>0</v>
      </c>
      <c r="P823" s="5" t="n">
        <v>1</v>
      </c>
      <c r="Q823" s="5" t="n">
        <v>0</v>
      </c>
      <c r="R823" s="5" t="n">
        <v>0</v>
      </c>
      <c r="S823" s="5" t="n">
        <v>0</v>
      </c>
      <c r="T823" s="5" t="n">
        <v>1</v>
      </c>
      <c r="U823" s="5" t="inlineStr">
        <is>
          <t>training</t>
        </is>
      </c>
    </row>
    <row r="824">
      <c r="A824" s="5" t="n">
        <v>796</v>
      </c>
      <c r="B824" s="5" t="n">
        <v>0</v>
      </c>
      <c r="C824" s="5" t="n">
        <v>9</v>
      </c>
      <c r="D824" s="5" t="n">
        <v>2301</v>
      </c>
      <c r="E824" s="5" t="n">
        <v>22</v>
      </c>
      <c r="F824" s="5" t="n">
        <v>2</v>
      </c>
      <c r="G824" s="5" t="n">
        <v>0</v>
      </c>
      <c r="H824" s="5" t="n">
        <v>0</v>
      </c>
      <c r="I824" s="5" t="n">
        <v>0</v>
      </c>
      <c r="J824" s="5" t="n">
        <v>0</v>
      </c>
      <c r="K824" s="5" t="n">
        <v>0</v>
      </c>
      <c r="L824" s="5" t="n">
        <v>0</v>
      </c>
      <c r="M824" s="5" t="n">
        <v>1</v>
      </c>
      <c r="N824" s="5" t="n">
        <v>0</v>
      </c>
      <c r="O824" s="5" t="n">
        <v>0</v>
      </c>
      <c r="P824" s="5" t="n">
        <v>1</v>
      </c>
      <c r="Q824" s="5" t="n">
        <v>0</v>
      </c>
      <c r="R824" s="5" t="n">
        <v>0</v>
      </c>
      <c r="S824" s="5" t="n">
        <v>0</v>
      </c>
      <c r="T824" s="5" t="n">
        <v>1</v>
      </c>
      <c r="U824" s="5" t="inlineStr">
        <is>
          <t>training</t>
        </is>
      </c>
    </row>
    <row r="825">
      <c r="A825" s="5" t="n">
        <v>797</v>
      </c>
      <c r="B825" s="5" t="n">
        <v>1</v>
      </c>
      <c r="C825" s="5" t="n">
        <v>18</v>
      </c>
      <c r="D825" s="5" t="n">
        <v>7511</v>
      </c>
      <c r="E825" s="5" t="n">
        <v>51</v>
      </c>
      <c r="F825" s="5" t="n">
        <v>1</v>
      </c>
      <c r="G825" s="5" t="n">
        <v>1</v>
      </c>
      <c r="H825" s="5" t="n">
        <v>0</v>
      </c>
      <c r="I825" s="5" t="n">
        <v>0</v>
      </c>
      <c r="J825" s="5" t="n">
        <v>0</v>
      </c>
      <c r="K825" s="5" t="n">
        <v>0</v>
      </c>
      <c r="L825" s="5" t="n">
        <v>0</v>
      </c>
      <c r="M825" s="5" t="n">
        <v>0</v>
      </c>
      <c r="N825" s="5" t="n">
        <v>0</v>
      </c>
      <c r="O825" s="5" t="n">
        <v>1</v>
      </c>
      <c r="P825" s="5" t="n">
        <v>0</v>
      </c>
      <c r="Q825" s="5" t="n">
        <v>1</v>
      </c>
      <c r="R825" s="5" t="n">
        <v>1</v>
      </c>
      <c r="S825" s="5" t="n">
        <v>0</v>
      </c>
      <c r="T825" s="5" t="n">
        <v>0</v>
      </c>
      <c r="U825" s="5" t="inlineStr">
        <is>
          <t>training</t>
        </is>
      </c>
    </row>
    <row r="826">
      <c r="A826" s="5" t="n">
        <v>798</v>
      </c>
      <c r="B826" s="5" t="n">
        <v>0</v>
      </c>
      <c r="C826" s="5" t="n">
        <v>12</v>
      </c>
      <c r="D826" s="5" t="n">
        <v>1258</v>
      </c>
      <c r="E826" s="5" t="n">
        <v>22</v>
      </c>
      <c r="F826" s="5" t="n">
        <v>2</v>
      </c>
      <c r="G826" s="5" t="n">
        <v>0</v>
      </c>
      <c r="H826" s="5" t="n">
        <v>0</v>
      </c>
      <c r="I826" s="5" t="n">
        <v>0</v>
      </c>
      <c r="J826" s="5" t="n">
        <v>1</v>
      </c>
      <c r="K826" s="5" t="n">
        <v>0</v>
      </c>
      <c r="L826" s="5" t="n">
        <v>0</v>
      </c>
      <c r="M826" s="5" t="n">
        <v>0</v>
      </c>
      <c r="N826" s="5" t="n">
        <v>0</v>
      </c>
      <c r="O826" s="5" t="n">
        <v>0</v>
      </c>
      <c r="P826" s="5" t="n">
        <v>1</v>
      </c>
      <c r="Q826" s="5" t="n">
        <v>0</v>
      </c>
      <c r="R826" s="5" t="n">
        <v>0</v>
      </c>
      <c r="S826" s="5" t="n">
        <v>0</v>
      </c>
      <c r="T826" s="5" t="n">
        <v>1</v>
      </c>
      <c r="U826" s="5" t="inlineStr">
        <is>
          <t>testing</t>
        </is>
      </c>
    </row>
    <row r="827">
      <c r="A827" s="5" t="n">
        <v>799</v>
      </c>
      <c r="B827" s="5" t="n">
        <v>0</v>
      </c>
      <c r="C827" s="5" t="n">
        <v>24</v>
      </c>
      <c r="D827" s="5" t="n">
        <v>717</v>
      </c>
      <c r="E827" s="5" t="n">
        <v>54</v>
      </c>
      <c r="F827" s="5" t="n">
        <v>4</v>
      </c>
      <c r="G827" s="5" t="n">
        <v>0</v>
      </c>
      <c r="H827" s="5" t="n">
        <v>0</v>
      </c>
      <c r="I827" s="5" t="n">
        <v>0</v>
      </c>
      <c r="J827" s="5" t="n">
        <v>0</v>
      </c>
      <c r="K827" s="5" t="n">
        <v>1</v>
      </c>
      <c r="L827" s="5" t="n">
        <v>0</v>
      </c>
      <c r="M827" s="5" t="n">
        <v>0</v>
      </c>
      <c r="N827" s="5" t="n">
        <v>0</v>
      </c>
      <c r="O827" s="5" t="n">
        <v>1</v>
      </c>
      <c r="P827" s="5" t="n">
        <v>0</v>
      </c>
      <c r="Q827" s="5" t="n">
        <v>0</v>
      </c>
      <c r="R827" s="5" t="n">
        <v>1</v>
      </c>
      <c r="S827" s="5" t="n">
        <v>0</v>
      </c>
      <c r="T827" s="5" t="n">
        <v>0</v>
      </c>
      <c r="U827" s="5" t="inlineStr">
        <is>
          <t>training</t>
        </is>
      </c>
    </row>
    <row r="828">
      <c r="A828" s="5" t="n">
        <v>800</v>
      </c>
      <c r="B828" s="5" t="n">
        <v>0</v>
      </c>
      <c r="C828" s="5" t="n">
        <v>9</v>
      </c>
      <c r="D828" s="5" t="n">
        <v>1549</v>
      </c>
      <c r="E828" s="5" t="n">
        <v>35</v>
      </c>
      <c r="F828" s="5" t="n">
        <v>4</v>
      </c>
      <c r="G828" s="5" t="n">
        <v>0</v>
      </c>
      <c r="H828" s="5" t="n">
        <v>1</v>
      </c>
      <c r="I828" s="5" t="n">
        <v>0</v>
      </c>
      <c r="J828" s="5" t="n">
        <v>0</v>
      </c>
      <c r="K828" s="5" t="n">
        <v>0</v>
      </c>
      <c r="L828" s="5" t="n">
        <v>0</v>
      </c>
      <c r="M828" s="5" t="n">
        <v>0</v>
      </c>
      <c r="N828" s="5" t="n">
        <v>0</v>
      </c>
      <c r="O828" s="5" t="n">
        <v>1</v>
      </c>
      <c r="P828" s="5" t="n">
        <v>0</v>
      </c>
      <c r="Q828" s="5" t="n">
        <v>0</v>
      </c>
      <c r="R828" s="5" t="n">
        <v>1</v>
      </c>
      <c r="S828" s="5" t="n">
        <v>0</v>
      </c>
      <c r="T828" s="5" t="n">
        <v>0</v>
      </c>
      <c r="U828" s="5" t="inlineStr">
        <is>
          <t>training</t>
        </is>
      </c>
    </row>
    <row r="829">
      <c r="A829" s="5" t="n">
        <v>801</v>
      </c>
      <c r="B829" s="5" t="n">
        <v>0</v>
      </c>
      <c r="C829" s="5" t="n">
        <v>24</v>
      </c>
      <c r="D829" s="5" t="n">
        <v>1597</v>
      </c>
      <c r="E829" s="5" t="n">
        <v>54</v>
      </c>
      <c r="F829" s="5" t="n">
        <v>4</v>
      </c>
      <c r="G829" s="5" t="n">
        <v>0</v>
      </c>
      <c r="H829" s="5" t="n">
        <v>0</v>
      </c>
      <c r="I829" s="5" t="n">
        <v>0</v>
      </c>
      <c r="J829" s="5" t="n">
        <v>1</v>
      </c>
      <c r="K829" s="5" t="n">
        <v>0</v>
      </c>
      <c r="L829" s="5" t="n">
        <v>0</v>
      </c>
      <c r="M829" s="5" t="n">
        <v>0</v>
      </c>
      <c r="N829" s="5" t="n">
        <v>0</v>
      </c>
      <c r="O829" s="5" t="n">
        <v>0</v>
      </c>
      <c r="P829" s="5" t="n">
        <v>0</v>
      </c>
      <c r="Q829" s="5" t="n">
        <v>1</v>
      </c>
      <c r="R829" s="5" t="n">
        <v>0</v>
      </c>
      <c r="S829" s="5" t="n">
        <v>0</v>
      </c>
      <c r="T829" s="5" t="n">
        <v>0</v>
      </c>
      <c r="U829" s="5" t="inlineStr">
        <is>
          <t>training</t>
        </is>
      </c>
    </row>
    <row r="830">
      <c r="A830" s="5" t="n">
        <v>802</v>
      </c>
      <c r="B830" s="5" t="n">
        <v>0</v>
      </c>
      <c r="C830" s="5" t="n">
        <v>18</v>
      </c>
      <c r="D830" s="5" t="n">
        <v>1795</v>
      </c>
      <c r="E830" s="5" t="n">
        <v>48</v>
      </c>
      <c r="F830" s="5" t="n">
        <v>3</v>
      </c>
      <c r="G830" s="5" t="n">
        <v>0</v>
      </c>
      <c r="H830" s="5" t="n">
        <v>1</v>
      </c>
      <c r="I830" s="5" t="n">
        <v>0</v>
      </c>
      <c r="J830" s="5" t="n">
        <v>1</v>
      </c>
      <c r="K830" s="5" t="n">
        <v>0</v>
      </c>
      <c r="L830" s="5" t="n">
        <v>0</v>
      </c>
      <c r="M830" s="5" t="n">
        <v>0</v>
      </c>
      <c r="N830" s="5" t="n">
        <v>0</v>
      </c>
      <c r="O830" s="5" t="n">
        <v>0</v>
      </c>
      <c r="P830" s="5" t="n">
        <v>1</v>
      </c>
      <c r="Q830" s="5" t="n">
        <v>0</v>
      </c>
      <c r="R830" s="5" t="n">
        <v>0</v>
      </c>
      <c r="S830" s="5" t="n">
        <v>1</v>
      </c>
      <c r="T830" s="5" t="n">
        <v>0</v>
      </c>
      <c r="U830" s="5" t="inlineStr">
        <is>
          <t>testing</t>
        </is>
      </c>
    </row>
    <row r="831">
      <c r="A831" s="5" t="n">
        <v>803</v>
      </c>
      <c r="B831" s="5" t="n">
        <v>0</v>
      </c>
      <c r="C831" s="5" t="n">
        <v>20</v>
      </c>
      <c r="D831" s="5" t="n">
        <v>4272</v>
      </c>
      <c r="E831" s="5" t="n">
        <v>24</v>
      </c>
      <c r="F831" s="5" t="n">
        <v>1</v>
      </c>
      <c r="G831" s="5" t="n">
        <v>1</v>
      </c>
      <c r="H831" s="5" t="n">
        <v>0</v>
      </c>
      <c r="I831" s="5" t="n">
        <v>0</v>
      </c>
      <c r="J831" s="5" t="n">
        <v>1</v>
      </c>
      <c r="K831" s="5" t="n">
        <v>0</v>
      </c>
      <c r="L831" s="5" t="n">
        <v>0</v>
      </c>
      <c r="M831" s="5" t="n">
        <v>0</v>
      </c>
      <c r="N831" s="5" t="n">
        <v>0</v>
      </c>
      <c r="O831" s="5" t="n">
        <v>0</v>
      </c>
      <c r="P831" s="5" t="n">
        <v>0</v>
      </c>
      <c r="Q831" s="5" t="n">
        <v>0</v>
      </c>
      <c r="R831" s="5" t="n">
        <v>0</v>
      </c>
      <c r="S831" s="5" t="n">
        <v>0</v>
      </c>
      <c r="T831" s="5" t="n">
        <v>1</v>
      </c>
      <c r="U831" s="5" t="inlineStr">
        <is>
          <t>training</t>
        </is>
      </c>
    </row>
    <row r="832">
      <c r="A832" s="5" t="n">
        <v>804</v>
      </c>
      <c r="B832" s="5" t="n">
        <v>0</v>
      </c>
      <c r="C832" s="5" t="n">
        <v>12</v>
      </c>
      <c r="D832" s="5" t="n">
        <v>976</v>
      </c>
      <c r="E832" s="5" t="n">
        <v>35</v>
      </c>
      <c r="F832" s="5" t="n">
        <v>4</v>
      </c>
      <c r="G832" s="5" t="n">
        <v>0</v>
      </c>
      <c r="H832" s="5" t="n">
        <v>0</v>
      </c>
      <c r="I832" s="5" t="n">
        <v>0</v>
      </c>
      <c r="J832" s="5" t="n">
        <v>1</v>
      </c>
      <c r="K832" s="5" t="n">
        <v>0</v>
      </c>
      <c r="L832" s="5" t="n">
        <v>0</v>
      </c>
      <c r="M832" s="5" t="n">
        <v>0</v>
      </c>
      <c r="N832" s="5" t="n">
        <v>0</v>
      </c>
      <c r="O832" s="5" t="n">
        <v>1</v>
      </c>
      <c r="P832" s="5" t="n">
        <v>0</v>
      </c>
      <c r="Q832" s="5" t="n">
        <v>0</v>
      </c>
      <c r="R832" s="5" t="n">
        <v>0</v>
      </c>
      <c r="S832" s="5" t="n">
        <v>1</v>
      </c>
      <c r="T832" s="5" t="n">
        <v>0</v>
      </c>
      <c r="U832" s="5" t="inlineStr">
        <is>
          <t>training</t>
        </is>
      </c>
    </row>
    <row r="833">
      <c r="A833" s="5" t="n">
        <v>805</v>
      </c>
      <c r="B833" s="5" t="n">
        <v>0</v>
      </c>
      <c r="C833" s="5" t="n">
        <v>12</v>
      </c>
      <c r="D833" s="5" t="n">
        <v>7472</v>
      </c>
      <c r="E833" s="5" t="n">
        <v>24</v>
      </c>
      <c r="F833" s="5" t="n">
        <v>1</v>
      </c>
      <c r="G833" s="5" t="n">
        <v>0</v>
      </c>
      <c r="H833" s="5" t="n">
        <v>1</v>
      </c>
      <c r="I833" s="5" t="n">
        <v>0</v>
      </c>
      <c r="J833" s="5" t="n">
        <v>0</v>
      </c>
      <c r="K833" s="5" t="n">
        <v>0</v>
      </c>
      <c r="L833" s="5" t="n">
        <v>0</v>
      </c>
      <c r="M833" s="5" t="n">
        <v>0</v>
      </c>
      <c r="N833" s="5" t="n">
        <v>0</v>
      </c>
      <c r="O833" s="5" t="n">
        <v>1</v>
      </c>
      <c r="P833" s="5" t="n">
        <v>1</v>
      </c>
      <c r="Q833" s="5" t="n">
        <v>0</v>
      </c>
      <c r="R833" s="5" t="n">
        <v>1</v>
      </c>
      <c r="S833" s="5" t="n">
        <v>0</v>
      </c>
      <c r="T833" s="5" t="n">
        <v>0</v>
      </c>
      <c r="U833" s="5" t="inlineStr">
        <is>
          <t>training</t>
        </is>
      </c>
    </row>
    <row r="834">
      <c r="A834" s="5" t="n">
        <v>806</v>
      </c>
      <c r="B834" s="5" t="n">
        <v>1</v>
      </c>
      <c r="C834" s="5" t="n">
        <v>36</v>
      </c>
      <c r="D834" s="5" t="n">
        <v>9271</v>
      </c>
      <c r="E834" s="5" t="n">
        <v>24</v>
      </c>
      <c r="F834" s="5" t="n">
        <v>2</v>
      </c>
      <c r="G834" s="5" t="n">
        <v>1</v>
      </c>
      <c r="H834" s="5" t="n">
        <v>0</v>
      </c>
      <c r="I834" s="5" t="n">
        <v>0</v>
      </c>
      <c r="J834" s="5" t="n">
        <v>0</v>
      </c>
      <c r="K834" s="5" t="n">
        <v>0</v>
      </c>
      <c r="L834" s="5" t="n">
        <v>0</v>
      </c>
      <c r="M834" s="5" t="n">
        <v>0</v>
      </c>
      <c r="N834" s="5" t="n">
        <v>0</v>
      </c>
      <c r="O834" s="5" t="n">
        <v>0</v>
      </c>
      <c r="P834" s="5" t="n">
        <v>0</v>
      </c>
      <c r="Q834" s="5" t="n">
        <v>0</v>
      </c>
      <c r="R834" s="5" t="n">
        <v>1</v>
      </c>
      <c r="S834" s="5" t="n">
        <v>0</v>
      </c>
      <c r="T834" s="5" t="n">
        <v>0</v>
      </c>
      <c r="U834" s="5" t="inlineStr">
        <is>
          <t>training</t>
        </is>
      </c>
    </row>
    <row r="835">
      <c r="A835" s="5" t="n">
        <v>807</v>
      </c>
      <c r="B835" s="5" t="n">
        <v>0</v>
      </c>
      <c r="C835" s="5" t="n">
        <v>6</v>
      </c>
      <c r="D835" s="5" t="n">
        <v>590</v>
      </c>
      <c r="E835" s="5" t="n">
        <v>26</v>
      </c>
      <c r="F835" s="5" t="n">
        <v>3</v>
      </c>
      <c r="G835" s="5" t="n">
        <v>0</v>
      </c>
      <c r="H835" s="5" t="n">
        <v>1</v>
      </c>
      <c r="I835" s="5" t="n">
        <v>0</v>
      </c>
      <c r="J835" s="5" t="n">
        <v>0</v>
      </c>
      <c r="K835" s="5" t="n">
        <v>0</v>
      </c>
      <c r="L835" s="5" t="n">
        <v>0</v>
      </c>
      <c r="M835" s="5" t="n">
        <v>0</v>
      </c>
      <c r="N835" s="5" t="n">
        <v>0</v>
      </c>
      <c r="O835" s="5" t="n">
        <v>0</v>
      </c>
      <c r="P835" s="5" t="n">
        <v>0</v>
      </c>
      <c r="Q835" s="5" t="n">
        <v>0</v>
      </c>
      <c r="R835" s="5" t="n">
        <v>0</v>
      </c>
      <c r="S835" s="5" t="n">
        <v>1</v>
      </c>
      <c r="T835" s="5" t="n">
        <v>0</v>
      </c>
      <c r="U835" s="5" t="inlineStr">
        <is>
          <t>training</t>
        </is>
      </c>
    </row>
    <row r="836">
      <c r="A836" s="5" t="n">
        <v>808</v>
      </c>
      <c r="B836" s="5" t="n">
        <v>0</v>
      </c>
      <c r="C836" s="5" t="n">
        <v>12</v>
      </c>
      <c r="D836" s="5" t="n">
        <v>930</v>
      </c>
      <c r="E836" s="5" t="n">
        <v>65</v>
      </c>
      <c r="F836" s="5" t="n">
        <v>4</v>
      </c>
      <c r="G836" s="5" t="n">
        <v>0</v>
      </c>
      <c r="H836" s="5" t="n">
        <v>0</v>
      </c>
      <c r="I836" s="5" t="n">
        <v>0</v>
      </c>
      <c r="J836" s="5" t="n">
        <v>1</v>
      </c>
      <c r="K836" s="5" t="n">
        <v>0</v>
      </c>
      <c r="L836" s="5" t="n">
        <v>0</v>
      </c>
      <c r="M836" s="5" t="n">
        <v>0</v>
      </c>
      <c r="N836" s="5" t="n">
        <v>0</v>
      </c>
      <c r="O836" s="5" t="n">
        <v>1</v>
      </c>
      <c r="P836" s="5" t="n">
        <v>0</v>
      </c>
      <c r="Q836" s="5" t="n">
        <v>0</v>
      </c>
      <c r="R836" s="5" t="n">
        <v>0</v>
      </c>
      <c r="S836" s="5" t="n">
        <v>1</v>
      </c>
      <c r="T836" s="5" t="n">
        <v>0</v>
      </c>
      <c r="U836" s="5" t="inlineStr">
        <is>
          <t>testing</t>
        </is>
      </c>
    </row>
    <row r="837">
      <c r="A837" s="5" t="n">
        <v>809</v>
      </c>
      <c r="B837" s="5" t="n">
        <v>0</v>
      </c>
      <c r="C837" s="5" t="n">
        <v>42</v>
      </c>
      <c r="D837" s="5" t="n">
        <v>9283</v>
      </c>
      <c r="E837" s="5" t="n">
        <v>55</v>
      </c>
      <c r="F837" s="5" t="n">
        <v>1</v>
      </c>
      <c r="G837" s="5" t="n">
        <v>0</v>
      </c>
      <c r="H837" s="5" t="n">
        <v>1</v>
      </c>
      <c r="I837" s="5" t="n">
        <v>0</v>
      </c>
      <c r="J837" s="5" t="n">
        <v>0</v>
      </c>
      <c r="K837" s="5" t="n">
        <v>0</v>
      </c>
      <c r="L837" s="5" t="n">
        <v>1</v>
      </c>
      <c r="M837" s="5" t="n">
        <v>0</v>
      </c>
      <c r="N837" s="5" t="n">
        <v>0</v>
      </c>
      <c r="O837" s="5" t="n">
        <v>0</v>
      </c>
      <c r="P837" s="5" t="n">
        <v>0</v>
      </c>
      <c r="Q837" s="5" t="n">
        <v>1</v>
      </c>
      <c r="R837" s="5" t="n">
        <v>1</v>
      </c>
      <c r="S837" s="5" t="n">
        <v>0</v>
      </c>
      <c r="T837" s="5" t="n">
        <v>0</v>
      </c>
      <c r="U837" s="5" t="inlineStr">
        <is>
          <t>testing</t>
        </is>
      </c>
    </row>
    <row r="838">
      <c r="A838" s="5" t="n">
        <v>810</v>
      </c>
      <c r="B838" s="5" t="n">
        <v>1</v>
      </c>
      <c r="C838" s="5" t="n">
        <v>15</v>
      </c>
      <c r="D838" s="5" t="n">
        <v>1778</v>
      </c>
      <c r="E838" s="5" t="n">
        <v>26</v>
      </c>
      <c r="F838" s="5" t="n">
        <v>2</v>
      </c>
      <c r="G838" s="5" t="n">
        <v>0</v>
      </c>
      <c r="H838" s="5" t="n">
        <v>1</v>
      </c>
      <c r="I838" s="5" t="n">
        <v>0</v>
      </c>
      <c r="J838" s="5" t="n">
        <v>0</v>
      </c>
      <c r="K838" s="5" t="n">
        <v>0</v>
      </c>
      <c r="L838" s="5" t="n">
        <v>1</v>
      </c>
      <c r="M838" s="5" t="n">
        <v>0</v>
      </c>
      <c r="N838" s="5" t="n">
        <v>0</v>
      </c>
      <c r="O838" s="5" t="n">
        <v>0</v>
      </c>
      <c r="P838" s="5" t="n">
        <v>1</v>
      </c>
      <c r="Q838" s="5" t="n">
        <v>0</v>
      </c>
      <c r="R838" s="5" t="n">
        <v>1</v>
      </c>
      <c r="S838" s="5" t="n">
        <v>0</v>
      </c>
      <c r="T838" s="5" t="n">
        <v>0</v>
      </c>
      <c r="U838" s="5" t="inlineStr">
        <is>
          <t>training</t>
        </is>
      </c>
    </row>
    <row r="839">
      <c r="A839" s="5" t="n">
        <v>811</v>
      </c>
      <c r="B839" s="5" t="n">
        <v>0</v>
      </c>
      <c r="C839" s="5" t="n">
        <v>8</v>
      </c>
      <c r="D839" s="5" t="n">
        <v>907</v>
      </c>
      <c r="E839" s="5" t="n">
        <v>26</v>
      </c>
      <c r="F839" s="5" t="n">
        <v>3</v>
      </c>
      <c r="G839" s="5" t="n">
        <v>0</v>
      </c>
      <c r="H839" s="5" t="n">
        <v>1</v>
      </c>
      <c r="I839" s="5" t="n">
        <v>0</v>
      </c>
      <c r="J839" s="5" t="n">
        <v>0</v>
      </c>
      <c r="K839" s="5" t="n">
        <v>0</v>
      </c>
      <c r="L839" s="5" t="n">
        <v>0</v>
      </c>
      <c r="M839" s="5" t="n">
        <v>0</v>
      </c>
      <c r="N839" s="5" t="n">
        <v>0</v>
      </c>
      <c r="O839" s="5" t="n">
        <v>0</v>
      </c>
      <c r="P839" s="5" t="n">
        <v>0</v>
      </c>
      <c r="Q839" s="5" t="n">
        <v>0</v>
      </c>
      <c r="R839" s="5" t="n">
        <v>0</v>
      </c>
      <c r="S839" s="5" t="n">
        <v>0</v>
      </c>
      <c r="T839" s="5" t="n">
        <v>0</v>
      </c>
      <c r="U839" s="5" t="inlineStr">
        <is>
          <t>testing</t>
        </is>
      </c>
    </row>
    <row r="840">
      <c r="A840" s="5" t="n">
        <v>812</v>
      </c>
      <c r="B840" s="5" t="n">
        <v>0</v>
      </c>
      <c r="C840" s="5" t="n">
        <v>6</v>
      </c>
      <c r="D840" s="5" t="n">
        <v>484</v>
      </c>
      <c r="E840" s="5" t="n">
        <v>28</v>
      </c>
      <c r="F840" s="5" t="n">
        <v>3</v>
      </c>
      <c r="G840" s="5" t="n">
        <v>0</v>
      </c>
      <c r="H840" s="5" t="n">
        <v>1</v>
      </c>
      <c r="I840" s="5" t="n">
        <v>0</v>
      </c>
      <c r="J840" s="5" t="n">
        <v>0</v>
      </c>
      <c r="K840" s="5" t="n">
        <v>0</v>
      </c>
      <c r="L840" s="5" t="n">
        <v>0</v>
      </c>
      <c r="M840" s="5" t="n">
        <v>0</v>
      </c>
      <c r="N840" s="5" t="n">
        <v>0</v>
      </c>
      <c r="O840" s="5" t="n">
        <v>0</v>
      </c>
      <c r="P840" s="5" t="n">
        <v>0</v>
      </c>
      <c r="Q840" s="5" t="n">
        <v>0</v>
      </c>
      <c r="R840" s="5" t="n">
        <v>0</v>
      </c>
      <c r="S840" s="5" t="n">
        <v>1</v>
      </c>
      <c r="T840" s="5" t="n">
        <v>0</v>
      </c>
      <c r="U840" s="5" t="inlineStr">
        <is>
          <t>training</t>
        </is>
      </c>
    </row>
    <row r="841">
      <c r="A841" s="5" t="n">
        <v>813</v>
      </c>
      <c r="B841" s="5" t="n">
        <v>1</v>
      </c>
      <c r="C841" s="5" t="n">
        <v>36</v>
      </c>
      <c r="D841" s="5" t="n">
        <v>9629</v>
      </c>
      <c r="E841" s="5" t="n">
        <v>24</v>
      </c>
      <c r="F841" s="5" t="n">
        <v>4</v>
      </c>
      <c r="G841" s="5" t="n">
        <v>1</v>
      </c>
      <c r="H841" s="5" t="n">
        <v>0</v>
      </c>
      <c r="I841" s="5" t="n">
        <v>0</v>
      </c>
      <c r="J841" s="5" t="n">
        <v>1</v>
      </c>
      <c r="K841" s="5" t="n">
        <v>0</v>
      </c>
      <c r="L841" s="5" t="n">
        <v>0</v>
      </c>
      <c r="M841" s="5" t="n">
        <v>0</v>
      </c>
      <c r="N841" s="5" t="n">
        <v>0</v>
      </c>
      <c r="O841" s="5" t="n">
        <v>0</v>
      </c>
      <c r="P841" s="5" t="n">
        <v>0</v>
      </c>
      <c r="Q841" s="5" t="n">
        <v>0</v>
      </c>
      <c r="R841" s="5" t="n">
        <v>1</v>
      </c>
      <c r="S841" s="5" t="n">
        <v>0</v>
      </c>
      <c r="T841" s="5" t="n">
        <v>0</v>
      </c>
      <c r="U841" s="5" t="inlineStr">
        <is>
          <t>training</t>
        </is>
      </c>
    </row>
    <row r="842">
      <c r="A842" s="5" t="n">
        <v>814</v>
      </c>
      <c r="B842" s="5" t="n">
        <v>1</v>
      </c>
      <c r="C842" s="5" t="n">
        <v>48</v>
      </c>
      <c r="D842" s="5" t="n">
        <v>3051</v>
      </c>
      <c r="E842" s="5" t="n">
        <v>54</v>
      </c>
      <c r="F842" s="5" t="n">
        <v>3</v>
      </c>
      <c r="G842" s="5" t="n">
        <v>1</v>
      </c>
      <c r="H842" s="5" t="n">
        <v>0</v>
      </c>
      <c r="I842" s="5" t="n">
        <v>0</v>
      </c>
      <c r="J842" s="5" t="n">
        <v>0</v>
      </c>
      <c r="K842" s="5" t="n">
        <v>0</v>
      </c>
      <c r="L842" s="5" t="n">
        <v>0</v>
      </c>
      <c r="M842" s="5" t="n">
        <v>0</v>
      </c>
      <c r="N842" s="5" t="n">
        <v>0</v>
      </c>
      <c r="O842" s="5" t="n">
        <v>0</v>
      </c>
      <c r="P842" s="5" t="n">
        <v>0</v>
      </c>
      <c r="Q842" s="5" t="n">
        <v>0</v>
      </c>
      <c r="R842" s="5" t="n">
        <v>0</v>
      </c>
      <c r="S842" s="5" t="n">
        <v>0</v>
      </c>
      <c r="T842" s="5" t="n">
        <v>0</v>
      </c>
      <c r="U842" s="5" t="inlineStr">
        <is>
          <t>training</t>
        </is>
      </c>
    </row>
    <row r="843">
      <c r="A843" s="5" t="n">
        <v>815</v>
      </c>
      <c r="B843" s="5" t="n">
        <v>1</v>
      </c>
      <c r="C843" s="5" t="n">
        <v>48</v>
      </c>
      <c r="D843" s="5" t="n">
        <v>3931</v>
      </c>
      <c r="E843" s="5" t="n">
        <v>46</v>
      </c>
      <c r="F843" s="5" t="n">
        <v>4</v>
      </c>
      <c r="G843" s="5" t="n">
        <v>1</v>
      </c>
      <c r="H843" s="5" t="n">
        <v>0</v>
      </c>
      <c r="I843" s="5" t="n">
        <v>0</v>
      </c>
      <c r="J843" s="5" t="n">
        <v>0</v>
      </c>
      <c r="K843" s="5" t="n">
        <v>0</v>
      </c>
      <c r="L843" s="5" t="n">
        <v>0</v>
      </c>
      <c r="M843" s="5" t="n">
        <v>0</v>
      </c>
      <c r="N843" s="5" t="n">
        <v>0</v>
      </c>
      <c r="O843" s="5" t="n">
        <v>0</v>
      </c>
      <c r="P843" s="5" t="n">
        <v>0</v>
      </c>
      <c r="Q843" s="5" t="n">
        <v>1</v>
      </c>
      <c r="R843" s="5" t="n">
        <v>1</v>
      </c>
      <c r="S843" s="5" t="n">
        <v>0</v>
      </c>
      <c r="T843" s="5" t="n">
        <v>0</v>
      </c>
      <c r="U843" s="5" t="inlineStr">
        <is>
          <t>testing</t>
        </is>
      </c>
    </row>
    <row r="844">
      <c r="A844" s="5" t="n">
        <v>816</v>
      </c>
      <c r="B844" s="5" t="n">
        <v>0</v>
      </c>
      <c r="C844" s="5" t="n">
        <v>36</v>
      </c>
      <c r="D844" s="5" t="n">
        <v>7432</v>
      </c>
      <c r="E844" s="5" t="n">
        <v>54</v>
      </c>
      <c r="F844" s="5" t="n">
        <v>2</v>
      </c>
      <c r="G844" s="5" t="n">
        <v>0</v>
      </c>
      <c r="H844" s="5" t="n">
        <v>1</v>
      </c>
      <c r="I844" s="5" t="n">
        <v>0</v>
      </c>
      <c r="J844" s="5" t="n">
        <v>0</v>
      </c>
      <c r="K844" s="5" t="n">
        <v>1</v>
      </c>
      <c r="L844" s="5" t="n">
        <v>0</v>
      </c>
      <c r="M844" s="5" t="n">
        <v>0</v>
      </c>
      <c r="N844" s="5" t="n">
        <v>0</v>
      </c>
      <c r="O844" s="5" t="n">
        <v>0</v>
      </c>
      <c r="P844" s="5" t="n">
        <v>1</v>
      </c>
      <c r="Q844" s="5" t="n">
        <v>0</v>
      </c>
      <c r="R844" s="5" t="n">
        <v>1</v>
      </c>
      <c r="S844" s="5" t="n">
        <v>0</v>
      </c>
      <c r="T844" s="5" t="n">
        <v>0</v>
      </c>
      <c r="U844" s="5" t="inlineStr">
        <is>
          <t>training</t>
        </is>
      </c>
    </row>
    <row r="845">
      <c r="A845" s="5" t="n">
        <v>817</v>
      </c>
      <c r="B845" s="5" t="n">
        <v>0</v>
      </c>
      <c r="C845" s="5" t="n">
        <v>6</v>
      </c>
      <c r="D845" s="5" t="n">
        <v>1338</v>
      </c>
      <c r="E845" s="5" t="n">
        <v>62</v>
      </c>
      <c r="F845" s="5" t="n">
        <v>1</v>
      </c>
      <c r="G845" s="5" t="n">
        <v>0</v>
      </c>
      <c r="H845" s="5" t="n">
        <v>0</v>
      </c>
      <c r="I845" s="5" t="n">
        <v>0</v>
      </c>
      <c r="J845" s="5" t="n">
        <v>0</v>
      </c>
      <c r="K845" s="5" t="n">
        <v>0</v>
      </c>
      <c r="L845" s="5" t="n">
        <v>0</v>
      </c>
      <c r="M845" s="5" t="n">
        <v>1</v>
      </c>
      <c r="N845" s="5" t="n">
        <v>0</v>
      </c>
      <c r="O845" s="5" t="n">
        <v>0</v>
      </c>
      <c r="P845" s="5" t="n">
        <v>0</v>
      </c>
      <c r="Q845" s="5" t="n">
        <v>0</v>
      </c>
      <c r="R845" s="5" t="n">
        <v>0</v>
      </c>
      <c r="S845" s="5" t="n">
        <v>0</v>
      </c>
      <c r="T845" s="5" t="n">
        <v>0</v>
      </c>
      <c r="U845" s="5" t="inlineStr">
        <is>
          <t>training</t>
        </is>
      </c>
    </row>
    <row r="846">
      <c r="A846" s="5" t="n">
        <v>818</v>
      </c>
      <c r="B846" s="5" t="n">
        <v>0</v>
      </c>
      <c r="C846" s="5" t="n">
        <v>6</v>
      </c>
      <c r="D846" s="5" t="n">
        <v>1554</v>
      </c>
      <c r="E846" s="5" t="n">
        <v>24</v>
      </c>
      <c r="F846" s="5" t="n">
        <v>1</v>
      </c>
      <c r="G846" s="5" t="n">
        <v>0</v>
      </c>
      <c r="H846" s="5" t="n">
        <v>0</v>
      </c>
      <c r="I846" s="5" t="n">
        <v>0</v>
      </c>
      <c r="J846" s="5" t="n">
        <v>1</v>
      </c>
      <c r="K846" s="5" t="n">
        <v>0</v>
      </c>
      <c r="L846" s="5" t="n">
        <v>0</v>
      </c>
      <c r="M846" s="5" t="n">
        <v>0</v>
      </c>
      <c r="N846" s="5" t="n">
        <v>0</v>
      </c>
      <c r="O846" s="5" t="n">
        <v>0</v>
      </c>
      <c r="P846" s="5" t="n">
        <v>1</v>
      </c>
      <c r="Q846" s="5" t="n">
        <v>0</v>
      </c>
      <c r="R846" s="5" t="n">
        <v>0</v>
      </c>
      <c r="S846" s="5" t="n">
        <v>1</v>
      </c>
      <c r="T846" s="5" t="n">
        <v>0</v>
      </c>
      <c r="U846" s="5" t="inlineStr">
        <is>
          <t>training</t>
        </is>
      </c>
    </row>
    <row r="847">
      <c r="A847" s="5" t="n">
        <v>819</v>
      </c>
      <c r="B847" s="5" t="n">
        <v>0</v>
      </c>
      <c r="C847" s="5" t="n">
        <v>36</v>
      </c>
      <c r="D847" s="5" t="n">
        <v>15857</v>
      </c>
      <c r="E847" s="5" t="n">
        <v>43</v>
      </c>
      <c r="F847" s="5" t="n">
        <v>2</v>
      </c>
      <c r="G847" s="5" t="n">
        <v>1</v>
      </c>
      <c r="H847" s="5" t="n">
        <v>0</v>
      </c>
      <c r="I847" s="5" t="n">
        <v>0</v>
      </c>
      <c r="J847" s="5" t="n">
        <v>0</v>
      </c>
      <c r="K847" s="5" t="n">
        <v>0</v>
      </c>
      <c r="L847" s="5" t="n">
        <v>0</v>
      </c>
      <c r="M847" s="5" t="n">
        <v>0</v>
      </c>
      <c r="N847" s="5" t="n">
        <v>0</v>
      </c>
      <c r="O847" s="5" t="n">
        <v>0</v>
      </c>
      <c r="P847" s="5" t="n">
        <v>0</v>
      </c>
      <c r="Q847" s="5" t="n">
        <v>0</v>
      </c>
      <c r="R847" s="5" t="n">
        <v>0</v>
      </c>
      <c r="S847" s="5" t="n">
        <v>0</v>
      </c>
      <c r="T847" s="5" t="n">
        <v>0</v>
      </c>
      <c r="U847" s="5" t="inlineStr">
        <is>
          <t>training</t>
        </is>
      </c>
    </row>
    <row r="848">
      <c r="A848" s="5" t="n">
        <v>820</v>
      </c>
      <c r="B848" s="5" t="n">
        <v>1</v>
      </c>
      <c r="C848" s="5" t="n">
        <v>18</v>
      </c>
      <c r="D848" s="5" t="n">
        <v>1345</v>
      </c>
      <c r="E848" s="5" t="n">
        <v>26</v>
      </c>
      <c r="F848" s="5" t="n">
        <v>4</v>
      </c>
      <c r="G848" s="5" t="n">
        <v>1</v>
      </c>
      <c r="H848" s="5" t="n">
        <v>0</v>
      </c>
      <c r="I848" s="5" t="n">
        <v>0</v>
      </c>
      <c r="J848" s="5" t="n">
        <v>0</v>
      </c>
      <c r="K848" s="5" t="n">
        <v>0</v>
      </c>
      <c r="L848" s="5" t="n">
        <v>0</v>
      </c>
      <c r="M848" s="5" t="n">
        <v>0</v>
      </c>
      <c r="N848" s="5" t="n">
        <v>0</v>
      </c>
      <c r="O848" s="5" t="n">
        <v>0</v>
      </c>
      <c r="P848" s="5" t="n">
        <v>0</v>
      </c>
      <c r="Q848" s="5" t="n">
        <v>0</v>
      </c>
      <c r="R848" s="5" t="n">
        <v>0</v>
      </c>
      <c r="S848" s="5" t="n">
        <v>1</v>
      </c>
      <c r="T848" s="5" t="n">
        <v>0</v>
      </c>
      <c r="U848" s="5" t="inlineStr">
        <is>
          <t>testing</t>
        </is>
      </c>
    </row>
    <row r="849">
      <c r="A849" s="5" t="n">
        <v>821</v>
      </c>
      <c r="B849" s="5" t="n">
        <v>0</v>
      </c>
      <c r="C849" s="5" t="n">
        <v>12</v>
      </c>
      <c r="D849" s="5" t="n">
        <v>1101</v>
      </c>
      <c r="E849" s="5" t="n">
        <v>27</v>
      </c>
      <c r="F849" s="5" t="n">
        <v>3</v>
      </c>
      <c r="G849" s="5" t="n">
        <v>0</v>
      </c>
      <c r="H849" s="5" t="n">
        <v>0</v>
      </c>
      <c r="I849" s="5" t="n">
        <v>0</v>
      </c>
      <c r="J849" s="5" t="n">
        <v>0</v>
      </c>
      <c r="K849" s="5" t="n">
        <v>0</v>
      </c>
      <c r="L849" s="5" t="n">
        <v>0</v>
      </c>
      <c r="M849" s="5" t="n">
        <v>0</v>
      </c>
      <c r="N849" s="5" t="n">
        <v>0</v>
      </c>
      <c r="O849" s="5" t="n">
        <v>0</v>
      </c>
      <c r="P849" s="5" t="n">
        <v>0</v>
      </c>
      <c r="Q849" s="5" t="n">
        <v>0</v>
      </c>
      <c r="R849" s="5" t="n">
        <v>1</v>
      </c>
      <c r="S849" s="5" t="n">
        <v>0</v>
      </c>
      <c r="T849" s="5" t="n">
        <v>0</v>
      </c>
      <c r="U849" s="5" t="inlineStr">
        <is>
          <t>training</t>
        </is>
      </c>
    </row>
    <row r="850">
      <c r="A850" s="5" t="n">
        <v>822</v>
      </c>
      <c r="B850" s="5" t="n">
        <v>0</v>
      </c>
      <c r="C850" s="5" t="n">
        <v>12</v>
      </c>
      <c r="D850" s="5" t="n">
        <v>3016</v>
      </c>
      <c r="E850" s="5" t="n">
        <v>24</v>
      </c>
      <c r="F850" s="5" t="n">
        <v>3</v>
      </c>
      <c r="G850" s="5" t="n">
        <v>0</v>
      </c>
      <c r="H850" s="5" t="n">
        <v>0</v>
      </c>
      <c r="I850" s="5" t="n">
        <v>1</v>
      </c>
      <c r="J850" s="5" t="n">
        <v>0</v>
      </c>
      <c r="K850" s="5" t="n">
        <v>0</v>
      </c>
      <c r="L850" s="5" t="n">
        <v>0</v>
      </c>
      <c r="M850" s="5" t="n">
        <v>0</v>
      </c>
      <c r="N850" s="5" t="n">
        <v>0</v>
      </c>
      <c r="O850" s="5" t="n">
        <v>0</v>
      </c>
      <c r="P850" s="5" t="n">
        <v>0</v>
      </c>
      <c r="Q850" s="5" t="n">
        <v>0</v>
      </c>
      <c r="R850" s="5" t="n">
        <v>0</v>
      </c>
      <c r="S850" s="5" t="n">
        <v>1</v>
      </c>
      <c r="T850" s="5" t="n">
        <v>0</v>
      </c>
      <c r="U850" s="5" t="inlineStr">
        <is>
          <t>training</t>
        </is>
      </c>
    </row>
    <row r="851">
      <c r="A851" s="5" t="n">
        <v>823</v>
      </c>
      <c r="B851" s="5" t="n">
        <v>1</v>
      </c>
      <c r="C851" s="5" t="n">
        <v>36</v>
      </c>
      <c r="D851" s="5" t="n">
        <v>2712</v>
      </c>
      <c r="E851" s="5" t="n">
        <v>41</v>
      </c>
      <c r="F851" s="5" t="n">
        <v>2</v>
      </c>
      <c r="G851" s="5" t="n">
        <v>1</v>
      </c>
      <c r="H851" s="5" t="n">
        <v>0</v>
      </c>
      <c r="I851" s="5" t="n">
        <v>0</v>
      </c>
      <c r="J851" s="5" t="n">
        <v>0</v>
      </c>
      <c r="K851" s="5" t="n">
        <v>0</v>
      </c>
      <c r="L851" s="5" t="n">
        <v>0</v>
      </c>
      <c r="M851" s="5" t="n">
        <v>0</v>
      </c>
      <c r="N851" s="5" t="n">
        <v>0</v>
      </c>
      <c r="O851" s="5" t="n">
        <v>0</v>
      </c>
      <c r="P851" s="5" t="n">
        <v>0</v>
      </c>
      <c r="Q851" s="5" t="n">
        <v>0</v>
      </c>
      <c r="R851" s="5" t="n">
        <v>0</v>
      </c>
      <c r="S851" s="5" t="n">
        <v>0</v>
      </c>
      <c r="T851" s="5" t="n">
        <v>1</v>
      </c>
      <c r="U851" s="5" t="inlineStr">
        <is>
          <t>testing</t>
        </is>
      </c>
    </row>
    <row r="852">
      <c r="A852" s="5" t="n">
        <v>824</v>
      </c>
      <c r="B852" s="5" t="n">
        <v>0</v>
      </c>
      <c r="C852" s="5" t="n">
        <v>8</v>
      </c>
      <c r="D852" s="5" t="n">
        <v>731</v>
      </c>
      <c r="E852" s="5" t="n">
        <v>47</v>
      </c>
      <c r="F852" s="5" t="n">
        <v>4</v>
      </c>
      <c r="G852" s="5" t="n">
        <v>1</v>
      </c>
      <c r="H852" s="5" t="n">
        <v>0</v>
      </c>
      <c r="I852" s="5" t="n">
        <v>0</v>
      </c>
      <c r="J852" s="5" t="n">
        <v>1</v>
      </c>
      <c r="K852" s="5" t="n">
        <v>0</v>
      </c>
      <c r="L852" s="5" t="n">
        <v>0</v>
      </c>
      <c r="M852" s="5" t="n">
        <v>0</v>
      </c>
      <c r="N852" s="5" t="n">
        <v>0</v>
      </c>
      <c r="O852" s="5" t="n">
        <v>0</v>
      </c>
      <c r="P852" s="5" t="n">
        <v>0</v>
      </c>
      <c r="Q852" s="5" t="n">
        <v>0</v>
      </c>
      <c r="R852" s="5" t="n">
        <v>1</v>
      </c>
      <c r="S852" s="5" t="n">
        <v>0</v>
      </c>
      <c r="T852" s="5" t="n">
        <v>0</v>
      </c>
      <c r="U852" s="5" t="inlineStr">
        <is>
          <t>training</t>
        </is>
      </c>
    </row>
    <row r="853">
      <c r="A853" s="5" t="n">
        <v>825</v>
      </c>
      <c r="B853" s="5" t="n">
        <v>0</v>
      </c>
      <c r="C853" s="5" t="n">
        <v>18</v>
      </c>
      <c r="D853" s="5" t="n">
        <v>3780</v>
      </c>
      <c r="E853" s="5" t="n">
        <v>35</v>
      </c>
      <c r="F853" s="5" t="n">
        <v>3</v>
      </c>
      <c r="G853" s="5" t="n">
        <v>0</v>
      </c>
      <c r="H853" s="5" t="n">
        <v>0</v>
      </c>
      <c r="I853" s="5" t="n">
        <v>0</v>
      </c>
      <c r="J853" s="5" t="n">
        <v>1</v>
      </c>
      <c r="K853" s="5" t="n">
        <v>0</v>
      </c>
      <c r="L853" s="5" t="n">
        <v>0</v>
      </c>
      <c r="M853" s="5" t="n">
        <v>0</v>
      </c>
      <c r="N853" s="5" t="n">
        <v>0</v>
      </c>
      <c r="O853" s="5" t="n">
        <v>0</v>
      </c>
      <c r="P853" s="5" t="n">
        <v>0</v>
      </c>
      <c r="Q853" s="5" t="n">
        <v>0</v>
      </c>
      <c r="R853" s="5" t="n">
        <v>0</v>
      </c>
      <c r="S853" s="5" t="n">
        <v>0</v>
      </c>
      <c r="T853" s="5" t="n">
        <v>1</v>
      </c>
      <c r="U853" s="5" t="inlineStr">
        <is>
          <t>testing</t>
        </is>
      </c>
    </row>
    <row r="854">
      <c r="A854" s="5" t="n">
        <v>826</v>
      </c>
      <c r="B854" s="5" t="n">
        <v>0</v>
      </c>
      <c r="C854" s="5" t="n">
        <v>21</v>
      </c>
      <c r="D854" s="5" t="n">
        <v>1602</v>
      </c>
      <c r="E854" s="5" t="n">
        <v>30</v>
      </c>
      <c r="F854" s="5" t="n">
        <v>4</v>
      </c>
      <c r="G854" s="5" t="n">
        <v>1</v>
      </c>
      <c r="H854" s="5" t="n">
        <v>0</v>
      </c>
      <c r="I854" s="5" t="n">
        <v>0</v>
      </c>
      <c r="J854" s="5" t="n">
        <v>1</v>
      </c>
      <c r="K854" s="5" t="n">
        <v>0</v>
      </c>
      <c r="L854" s="5" t="n">
        <v>0</v>
      </c>
      <c r="M854" s="5" t="n">
        <v>0</v>
      </c>
      <c r="N854" s="5" t="n">
        <v>0</v>
      </c>
      <c r="O854" s="5" t="n">
        <v>0</v>
      </c>
      <c r="P854" s="5" t="n">
        <v>0</v>
      </c>
      <c r="Q854" s="5" t="n">
        <v>0</v>
      </c>
      <c r="R854" s="5" t="n">
        <v>1</v>
      </c>
      <c r="S854" s="5" t="n">
        <v>0</v>
      </c>
      <c r="T854" s="5" t="n">
        <v>0</v>
      </c>
      <c r="U854" s="5" t="inlineStr">
        <is>
          <t>training</t>
        </is>
      </c>
    </row>
    <row r="855">
      <c r="A855" s="5" t="n">
        <v>827</v>
      </c>
      <c r="B855" s="5" t="n">
        <v>1</v>
      </c>
      <c r="C855" s="5" t="n">
        <v>18</v>
      </c>
      <c r="D855" s="5" t="n">
        <v>3966</v>
      </c>
      <c r="E855" s="5" t="n">
        <v>33</v>
      </c>
      <c r="F855" s="5" t="n">
        <v>1</v>
      </c>
      <c r="G855" s="5" t="n">
        <v>1</v>
      </c>
      <c r="H855" s="5" t="n">
        <v>0</v>
      </c>
      <c r="I855" s="5" t="n">
        <v>0</v>
      </c>
      <c r="J855" s="5" t="n">
        <v>1</v>
      </c>
      <c r="K855" s="5" t="n">
        <v>0</v>
      </c>
      <c r="L855" s="5" t="n">
        <v>0</v>
      </c>
      <c r="M855" s="5" t="n">
        <v>0</v>
      </c>
      <c r="N855" s="5" t="n">
        <v>0</v>
      </c>
      <c r="O855" s="5" t="n">
        <v>0</v>
      </c>
      <c r="P855" s="5" t="n">
        <v>1</v>
      </c>
      <c r="Q855" s="5" t="n">
        <v>0</v>
      </c>
      <c r="R855" s="5" t="n">
        <v>1</v>
      </c>
      <c r="S855" s="5" t="n">
        <v>0</v>
      </c>
      <c r="T855" s="5" t="n">
        <v>0</v>
      </c>
      <c r="U855" s="5" t="inlineStr">
        <is>
          <t>testing</t>
        </is>
      </c>
    </row>
    <row r="856">
      <c r="A856" s="5" t="n">
        <v>828</v>
      </c>
      <c r="B856" s="5" t="n">
        <v>1</v>
      </c>
      <c r="C856" s="5" t="n">
        <v>18</v>
      </c>
      <c r="D856" s="5" t="n">
        <v>4165</v>
      </c>
      <c r="E856" s="5" t="n">
        <v>36</v>
      </c>
      <c r="F856" s="5" t="n">
        <v>2</v>
      </c>
      <c r="G856" s="5" t="n">
        <v>0</v>
      </c>
      <c r="H856" s="5" t="n">
        <v>0</v>
      </c>
      <c r="I856" s="5" t="n">
        <v>0</v>
      </c>
      <c r="J856" s="5" t="n">
        <v>0</v>
      </c>
      <c r="K856" s="5" t="n">
        <v>0</v>
      </c>
      <c r="L856" s="5" t="n">
        <v>1</v>
      </c>
      <c r="M856" s="5" t="n">
        <v>0</v>
      </c>
      <c r="N856" s="5" t="n">
        <v>0</v>
      </c>
      <c r="O856" s="5" t="n">
        <v>0</v>
      </c>
      <c r="P856" s="5" t="n">
        <v>0</v>
      </c>
      <c r="Q856" s="5" t="n">
        <v>0</v>
      </c>
      <c r="R856" s="5" t="n">
        <v>0</v>
      </c>
      <c r="S856" s="5" t="n">
        <v>0</v>
      </c>
      <c r="T856" s="5" t="n">
        <v>0</v>
      </c>
      <c r="U856" s="5" t="inlineStr">
        <is>
          <t>training</t>
        </is>
      </c>
    </row>
    <row r="857">
      <c r="A857" s="5" t="n">
        <v>829</v>
      </c>
      <c r="B857" s="5" t="n">
        <v>1</v>
      </c>
      <c r="C857" s="5" t="n">
        <v>36</v>
      </c>
      <c r="D857" s="5" t="n">
        <v>8335</v>
      </c>
      <c r="E857" s="5" t="n">
        <v>47</v>
      </c>
      <c r="F857" s="5" t="n">
        <v>3</v>
      </c>
      <c r="G857" s="5" t="n">
        <v>1</v>
      </c>
      <c r="H857" s="5" t="n">
        <v>0</v>
      </c>
      <c r="I857" s="5" t="n">
        <v>0</v>
      </c>
      <c r="J857" s="5" t="n">
        <v>0</v>
      </c>
      <c r="K857" s="5" t="n">
        <v>0</v>
      </c>
      <c r="L857" s="5" t="n">
        <v>0</v>
      </c>
      <c r="M857" s="5" t="n">
        <v>0</v>
      </c>
      <c r="N857" s="5" t="n">
        <v>0</v>
      </c>
      <c r="O857" s="5" t="n">
        <v>1</v>
      </c>
      <c r="P857" s="5" t="n">
        <v>0</v>
      </c>
      <c r="Q857" s="5" t="n">
        <v>1</v>
      </c>
      <c r="R857" s="5" t="n">
        <v>1</v>
      </c>
      <c r="S857" s="5" t="n">
        <v>0</v>
      </c>
      <c r="T857" s="5" t="n">
        <v>0</v>
      </c>
      <c r="U857" s="5" t="inlineStr">
        <is>
          <t>testing</t>
        </is>
      </c>
    </row>
    <row r="858">
      <c r="A858" s="5" t="n">
        <v>830</v>
      </c>
      <c r="B858" s="5" t="n">
        <v>0</v>
      </c>
      <c r="C858" s="5" t="n">
        <v>48</v>
      </c>
      <c r="D858" s="5" t="n">
        <v>6681</v>
      </c>
      <c r="E858" s="5" t="n">
        <v>38</v>
      </c>
      <c r="F858" s="5" t="n">
        <v>4</v>
      </c>
      <c r="G858" s="5" t="n">
        <v>0</v>
      </c>
      <c r="H858" s="5" t="n">
        <v>1</v>
      </c>
      <c r="I858" s="5" t="n">
        <v>0</v>
      </c>
      <c r="J858" s="5" t="n">
        <v>0</v>
      </c>
      <c r="K858" s="5" t="n">
        <v>1</v>
      </c>
      <c r="L858" s="5" t="n">
        <v>0</v>
      </c>
      <c r="M858" s="5" t="n">
        <v>0</v>
      </c>
      <c r="N858" s="5" t="n">
        <v>0</v>
      </c>
      <c r="O858" s="5" t="n">
        <v>1</v>
      </c>
      <c r="P858" s="5" t="n">
        <v>0</v>
      </c>
      <c r="Q858" s="5" t="n">
        <v>1</v>
      </c>
      <c r="R858" s="5" t="n">
        <v>0</v>
      </c>
      <c r="S858" s="5" t="n">
        <v>0</v>
      </c>
      <c r="T858" s="5" t="n">
        <v>0</v>
      </c>
      <c r="U858" s="5" t="inlineStr">
        <is>
          <t>training</t>
        </is>
      </c>
    </row>
    <row r="859">
      <c r="A859" s="5" t="n">
        <v>831</v>
      </c>
      <c r="B859" s="5" t="n">
        <v>0</v>
      </c>
      <c r="C859" s="5" t="n">
        <v>24</v>
      </c>
      <c r="D859" s="5" t="n">
        <v>2375</v>
      </c>
      <c r="E859" s="5" t="n">
        <v>44</v>
      </c>
      <c r="F859" s="5" t="n">
        <v>4</v>
      </c>
      <c r="G859" s="5" t="n">
        <v>0</v>
      </c>
      <c r="H859" s="5" t="n">
        <v>0</v>
      </c>
      <c r="I859" s="5" t="n">
        <v>0</v>
      </c>
      <c r="J859" s="5" t="n">
        <v>0</v>
      </c>
      <c r="K859" s="5" t="n">
        <v>1</v>
      </c>
      <c r="L859" s="5" t="n">
        <v>0</v>
      </c>
      <c r="M859" s="5" t="n">
        <v>1</v>
      </c>
      <c r="N859" s="5" t="n">
        <v>0</v>
      </c>
      <c r="O859" s="5" t="n">
        <v>0</v>
      </c>
      <c r="P859" s="5" t="n">
        <v>0</v>
      </c>
      <c r="Q859" s="5" t="n">
        <v>0</v>
      </c>
      <c r="R859" s="5" t="n">
        <v>0</v>
      </c>
      <c r="S859" s="5" t="n">
        <v>0</v>
      </c>
      <c r="T859" s="5" t="n">
        <v>0</v>
      </c>
      <c r="U859" s="5" t="inlineStr">
        <is>
          <t>testing</t>
        </is>
      </c>
    </row>
    <row r="860">
      <c r="A860" s="5" t="n">
        <v>832</v>
      </c>
      <c r="B860" s="5" t="n">
        <v>1</v>
      </c>
      <c r="C860" s="5" t="n">
        <v>18</v>
      </c>
      <c r="D860" s="5" t="n">
        <v>1216</v>
      </c>
      <c r="E860" s="5" t="n">
        <v>23</v>
      </c>
      <c r="F860" s="5" t="n">
        <v>4</v>
      </c>
      <c r="G860" s="5" t="n">
        <v>1</v>
      </c>
      <c r="H860" s="5" t="n">
        <v>0</v>
      </c>
      <c r="I860" s="5" t="n">
        <v>0</v>
      </c>
      <c r="J860" s="5" t="n">
        <v>0</v>
      </c>
      <c r="K860" s="5" t="n">
        <v>0</v>
      </c>
      <c r="L860" s="5" t="n">
        <v>0</v>
      </c>
      <c r="M860" s="5" t="n">
        <v>0</v>
      </c>
      <c r="N860" s="5" t="n">
        <v>0</v>
      </c>
      <c r="O860" s="5" t="n">
        <v>0</v>
      </c>
      <c r="P860" s="5" t="n">
        <v>1</v>
      </c>
      <c r="Q860" s="5" t="n">
        <v>0</v>
      </c>
      <c r="R860" s="5" t="n">
        <v>1</v>
      </c>
      <c r="S860" s="5" t="n">
        <v>0</v>
      </c>
      <c r="T860" s="5" t="n">
        <v>0</v>
      </c>
      <c r="U860" s="5" t="inlineStr">
        <is>
          <t>training</t>
        </is>
      </c>
    </row>
    <row r="861">
      <c r="A861" s="5" t="n">
        <v>833</v>
      </c>
      <c r="B861" s="5" t="n">
        <v>1</v>
      </c>
      <c r="C861" s="5" t="n">
        <v>45</v>
      </c>
      <c r="D861" s="5" t="n">
        <v>11816</v>
      </c>
      <c r="E861" s="5" t="n">
        <v>29</v>
      </c>
      <c r="F861" s="5" t="n">
        <v>2</v>
      </c>
      <c r="G861" s="5" t="n">
        <v>1</v>
      </c>
      <c r="H861" s="5" t="n">
        <v>0</v>
      </c>
      <c r="I861" s="5" t="n">
        <v>0</v>
      </c>
      <c r="J861" s="5" t="n">
        <v>0</v>
      </c>
      <c r="K861" s="5" t="n">
        <v>0</v>
      </c>
      <c r="L861" s="5" t="n">
        <v>1</v>
      </c>
      <c r="M861" s="5" t="n">
        <v>0</v>
      </c>
      <c r="N861" s="5" t="n">
        <v>0</v>
      </c>
      <c r="O861" s="5" t="n">
        <v>0</v>
      </c>
      <c r="P861" s="5" t="n">
        <v>1</v>
      </c>
      <c r="Q861" s="5" t="n">
        <v>0</v>
      </c>
      <c r="R861" s="5" t="n">
        <v>0</v>
      </c>
      <c r="S861" s="5" t="n">
        <v>0</v>
      </c>
      <c r="T861" s="5" t="n">
        <v>0</v>
      </c>
      <c r="U861" s="5" t="inlineStr">
        <is>
          <t>training</t>
        </is>
      </c>
    </row>
    <row r="862">
      <c r="A862" s="5" t="n">
        <v>834</v>
      </c>
      <c r="B862" s="5" t="n">
        <v>0</v>
      </c>
      <c r="C862" s="5" t="n">
        <v>24</v>
      </c>
      <c r="D862" s="5" t="n">
        <v>5084</v>
      </c>
      <c r="E862" s="5" t="n">
        <v>42</v>
      </c>
      <c r="F862" s="5" t="n">
        <v>2</v>
      </c>
      <c r="G862" s="5" t="n">
        <v>0</v>
      </c>
      <c r="H862" s="5" t="n">
        <v>1</v>
      </c>
      <c r="I862" s="5" t="n">
        <v>0</v>
      </c>
      <c r="J862" s="5" t="n">
        <v>0</v>
      </c>
      <c r="K862" s="5" t="n">
        <v>0</v>
      </c>
      <c r="L862" s="5" t="n">
        <v>0</v>
      </c>
      <c r="M862" s="5" t="n">
        <v>0</v>
      </c>
      <c r="N862" s="5" t="n">
        <v>0</v>
      </c>
      <c r="O862" s="5" t="n">
        <v>1</v>
      </c>
      <c r="P862" s="5" t="n">
        <v>0</v>
      </c>
      <c r="Q862" s="5" t="n">
        <v>0</v>
      </c>
      <c r="R862" s="5" t="n">
        <v>0</v>
      </c>
      <c r="S862" s="5" t="n">
        <v>1</v>
      </c>
      <c r="T862" s="5" t="n">
        <v>0</v>
      </c>
      <c r="U862" s="5" t="inlineStr">
        <is>
          <t>testing</t>
        </is>
      </c>
    </row>
    <row r="863">
      <c r="A863" s="5" t="n">
        <v>835</v>
      </c>
      <c r="B863" s="5" t="n">
        <v>1</v>
      </c>
      <c r="C863" s="5" t="n">
        <v>15</v>
      </c>
      <c r="D863" s="5" t="n">
        <v>2327</v>
      </c>
      <c r="E863" s="5" t="n">
        <v>25</v>
      </c>
      <c r="F863" s="5" t="n">
        <v>2</v>
      </c>
      <c r="G863" s="5" t="n">
        <v>0</v>
      </c>
      <c r="H863" s="5" t="n">
        <v>0</v>
      </c>
      <c r="I863" s="5" t="n">
        <v>1</v>
      </c>
      <c r="J863" s="5" t="n">
        <v>0</v>
      </c>
      <c r="K863" s="5" t="n">
        <v>0</v>
      </c>
      <c r="L863" s="5" t="n">
        <v>0</v>
      </c>
      <c r="M863" s="5" t="n">
        <v>0</v>
      </c>
      <c r="N863" s="5" t="n">
        <v>0</v>
      </c>
      <c r="O863" s="5" t="n">
        <v>0</v>
      </c>
      <c r="P863" s="5" t="n">
        <v>0</v>
      </c>
      <c r="Q863" s="5" t="n">
        <v>0</v>
      </c>
      <c r="R863" s="5" t="n">
        <v>0</v>
      </c>
      <c r="S863" s="5" t="n">
        <v>1</v>
      </c>
      <c r="T863" s="5" t="n">
        <v>0</v>
      </c>
      <c r="U863" s="5" t="inlineStr">
        <is>
          <t>training</t>
        </is>
      </c>
    </row>
    <row r="864">
      <c r="A864" s="5" t="n">
        <v>836</v>
      </c>
      <c r="B864" s="5" t="n">
        <v>1</v>
      </c>
      <c r="C864" s="5" t="n">
        <v>12</v>
      </c>
      <c r="D864" s="5" t="n">
        <v>1082</v>
      </c>
      <c r="E864" s="5" t="n">
        <v>48</v>
      </c>
      <c r="F864" s="5" t="n">
        <v>4</v>
      </c>
      <c r="G864" s="5" t="n">
        <v>1</v>
      </c>
      <c r="H864" s="5" t="n">
        <v>0</v>
      </c>
      <c r="I864" s="5" t="n">
        <v>0</v>
      </c>
      <c r="J864" s="5" t="n">
        <v>0</v>
      </c>
      <c r="K864" s="5" t="n">
        <v>0</v>
      </c>
      <c r="L864" s="5" t="n">
        <v>1</v>
      </c>
      <c r="M864" s="5" t="n">
        <v>0</v>
      </c>
      <c r="N864" s="5" t="n">
        <v>0</v>
      </c>
      <c r="O864" s="5" t="n">
        <v>0</v>
      </c>
      <c r="P864" s="5" t="n">
        <v>0</v>
      </c>
      <c r="Q864" s="5" t="n">
        <v>0</v>
      </c>
      <c r="R864" s="5" t="n">
        <v>1</v>
      </c>
      <c r="S864" s="5" t="n">
        <v>0</v>
      </c>
      <c r="T864" s="5" t="n">
        <v>0</v>
      </c>
      <c r="U864" s="5" t="inlineStr">
        <is>
          <t>training</t>
        </is>
      </c>
    </row>
    <row r="865">
      <c r="A865" s="5" t="n">
        <v>837</v>
      </c>
      <c r="B865" s="5" t="n">
        <v>0</v>
      </c>
      <c r="C865" s="5" t="n">
        <v>12</v>
      </c>
      <c r="D865" s="5" t="n">
        <v>886</v>
      </c>
      <c r="E865" s="5" t="n">
        <v>21</v>
      </c>
      <c r="F865" s="5" t="n">
        <v>4</v>
      </c>
      <c r="G865" s="5" t="n">
        <v>0</v>
      </c>
      <c r="H865" s="5" t="n">
        <v>0</v>
      </c>
      <c r="I865" s="5" t="n">
        <v>0</v>
      </c>
      <c r="J865" s="5" t="n">
        <v>0</v>
      </c>
      <c r="K865" s="5" t="n">
        <v>0</v>
      </c>
      <c r="L865" s="5" t="n">
        <v>0</v>
      </c>
      <c r="M865" s="5" t="n">
        <v>0</v>
      </c>
      <c r="N865" s="5" t="n">
        <v>0</v>
      </c>
      <c r="O865" s="5" t="n">
        <v>1</v>
      </c>
      <c r="P865" s="5" t="n">
        <v>0</v>
      </c>
      <c r="Q865" s="5" t="n">
        <v>0</v>
      </c>
      <c r="R865" s="5" t="n">
        <v>0</v>
      </c>
      <c r="S865" s="5" t="n">
        <v>1</v>
      </c>
      <c r="T865" s="5" t="n">
        <v>0</v>
      </c>
      <c r="U865" s="5" t="inlineStr">
        <is>
          <t>training</t>
        </is>
      </c>
    </row>
    <row r="866">
      <c r="A866" s="5" t="n">
        <v>838</v>
      </c>
      <c r="B866" s="5" t="n">
        <v>0</v>
      </c>
      <c r="C866" s="5" t="n">
        <v>4</v>
      </c>
      <c r="D866" s="5" t="n">
        <v>601</v>
      </c>
      <c r="E866" s="5" t="n">
        <v>23</v>
      </c>
      <c r="F866" s="5" t="n">
        <v>1</v>
      </c>
      <c r="G866" s="5" t="n">
        <v>0</v>
      </c>
      <c r="H866" s="5" t="n">
        <v>0</v>
      </c>
      <c r="I866" s="5" t="n">
        <v>0</v>
      </c>
      <c r="J866" s="5" t="n">
        <v>0</v>
      </c>
      <c r="K866" s="5" t="n">
        <v>0</v>
      </c>
      <c r="L866" s="5" t="n">
        <v>0</v>
      </c>
      <c r="M866" s="5" t="n">
        <v>0</v>
      </c>
      <c r="N866" s="5" t="n">
        <v>0</v>
      </c>
      <c r="O866" s="5" t="n">
        <v>0</v>
      </c>
      <c r="P866" s="5" t="n">
        <v>1</v>
      </c>
      <c r="Q866" s="5" t="n">
        <v>0</v>
      </c>
      <c r="R866" s="5" t="n">
        <v>0</v>
      </c>
      <c r="S866" s="5" t="n">
        <v>0</v>
      </c>
      <c r="T866" s="5" t="n">
        <v>1</v>
      </c>
      <c r="U866" s="5" t="inlineStr">
        <is>
          <t>training</t>
        </is>
      </c>
    </row>
    <row r="867">
      <c r="A867" s="5" t="n">
        <v>839</v>
      </c>
      <c r="B867" s="5" t="n">
        <v>0</v>
      </c>
      <c r="C867" s="5" t="n">
        <v>24</v>
      </c>
      <c r="D867" s="5" t="n">
        <v>2957</v>
      </c>
      <c r="E867" s="5" t="n">
        <v>63</v>
      </c>
      <c r="F867" s="5" t="n">
        <v>4</v>
      </c>
      <c r="G867" s="5" t="n">
        <v>1</v>
      </c>
      <c r="H867" s="5" t="n">
        <v>0</v>
      </c>
      <c r="I867" s="5" t="n">
        <v>0</v>
      </c>
      <c r="J867" s="5" t="n">
        <v>1</v>
      </c>
      <c r="K867" s="5" t="n">
        <v>0</v>
      </c>
      <c r="L867" s="5" t="n">
        <v>0</v>
      </c>
      <c r="M867" s="5" t="n">
        <v>0</v>
      </c>
      <c r="N867" s="5" t="n">
        <v>0</v>
      </c>
      <c r="O867" s="5" t="n">
        <v>0</v>
      </c>
      <c r="P867" s="5" t="n">
        <v>0</v>
      </c>
      <c r="Q867" s="5" t="n">
        <v>0</v>
      </c>
      <c r="R867" s="5" t="n">
        <v>1</v>
      </c>
      <c r="S867" s="5" t="n">
        <v>0</v>
      </c>
      <c r="T867" s="5" t="n">
        <v>0</v>
      </c>
      <c r="U867" s="5" t="inlineStr">
        <is>
          <t>training</t>
        </is>
      </c>
    </row>
    <row r="868">
      <c r="A868" s="5" t="n">
        <v>840</v>
      </c>
      <c r="B868" s="5" t="n">
        <v>0</v>
      </c>
      <c r="C868" s="5" t="n">
        <v>24</v>
      </c>
      <c r="D868" s="5" t="n">
        <v>2611</v>
      </c>
      <c r="E868" s="5" t="n">
        <v>46</v>
      </c>
      <c r="F868" s="5" t="n">
        <v>4</v>
      </c>
      <c r="G868" s="5" t="n">
        <v>0</v>
      </c>
      <c r="H868" s="5" t="n">
        <v>0</v>
      </c>
      <c r="I868" s="5" t="n">
        <v>0</v>
      </c>
      <c r="J868" s="5" t="n">
        <v>1</v>
      </c>
      <c r="K868" s="5" t="n">
        <v>0</v>
      </c>
      <c r="L868" s="5" t="n">
        <v>0</v>
      </c>
      <c r="M868" s="5" t="n">
        <v>0</v>
      </c>
      <c r="N868" s="5" t="n">
        <v>0</v>
      </c>
      <c r="O868" s="5" t="n">
        <v>0</v>
      </c>
      <c r="P868" s="5" t="n">
        <v>0</v>
      </c>
      <c r="Q868" s="5" t="n">
        <v>0</v>
      </c>
      <c r="R868" s="5" t="n">
        <v>0</v>
      </c>
      <c r="S868" s="5" t="n">
        <v>1</v>
      </c>
      <c r="T868" s="5" t="n">
        <v>0</v>
      </c>
      <c r="U868" s="5" t="inlineStr">
        <is>
          <t>training</t>
        </is>
      </c>
    </row>
    <row r="869">
      <c r="A869" s="5" t="n">
        <v>841</v>
      </c>
      <c r="B869" s="5" t="n">
        <v>1</v>
      </c>
      <c r="C869" s="5" t="n">
        <v>36</v>
      </c>
      <c r="D869" s="5" t="n">
        <v>5179</v>
      </c>
      <c r="E869" s="5" t="n">
        <v>29</v>
      </c>
      <c r="F869" s="5" t="n">
        <v>4</v>
      </c>
      <c r="G869" s="5" t="n">
        <v>1</v>
      </c>
      <c r="H869" s="5" t="n">
        <v>0</v>
      </c>
      <c r="I869" s="5" t="n">
        <v>0</v>
      </c>
      <c r="J869" s="5" t="n">
        <v>0</v>
      </c>
      <c r="K869" s="5" t="n">
        <v>0</v>
      </c>
      <c r="L869" s="5" t="n">
        <v>0</v>
      </c>
      <c r="M869" s="5" t="n">
        <v>0</v>
      </c>
      <c r="N869" s="5" t="n">
        <v>0</v>
      </c>
      <c r="O869" s="5" t="n">
        <v>0</v>
      </c>
      <c r="P869" s="5" t="n">
        <v>0</v>
      </c>
      <c r="Q869" s="5" t="n">
        <v>0</v>
      </c>
      <c r="R869" s="5" t="n">
        <v>0</v>
      </c>
      <c r="S869" s="5" t="n">
        <v>0</v>
      </c>
      <c r="T869" s="5" t="n">
        <v>1</v>
      </c>
      <c r="U869" s="5" t="inlineStr">
        <is>
          <t>training</t>
        </is>
      </c>
    </row>
    <row r="870">
      <c r="A870" s="5" t="n">
        <v>842</v>
      </c>
      <c r="B870" s="5" t="n">
        <v>0</v>
      </c>
      <c r="C870" s="5" t="n">
        <v>21</v>
      </c>
      <c r="D870" s="5" t="n">
        <v>2993</v>
      </c>
      <c r="E870" s="5" t="n">
        <v>28</v>
      </c>
      <c r="F870" s="5" t="n">
        <v>3</v>
      </c>
      <c r="G870" s="5" t="n">
        <v>0</v>
      </c>
      <c r="H870" s="5" t="n">
        <v>0</v>
      </c>
      <c r="I870" s="5" t="n">
        <v>0</v>
      </c>
      <c r="J870" s="5" t="n">
        <v>0</v>
      </c>
      <c r="K870" s="5" t="n">
        <v>1</v>
      </c>
      <c r="L870" s="5" t="n">
        <v>0</v>
      </c>
      <c r="M870" s="5" t="n">
        <v>0</v>
      </c>
      <c r="N870" s="5" t="n">
        <v>0</v>
      </c>
      <c r="O870" s="5" t="n">
        <v>0</v>
      </c>
      <c r="P870" s="5" t="n">
        <v>0</v>
      </c>
      <c r="Q870" s="5" t="n">
        <v>0</v>
      </c>
      <c r="R870" s="5" t="n">
        <v>1</v>
      </c>
      <c r="S870" s="5" t="n">
        <v>0</v>
      </c>
      <c r="T870" s="5" t="n">
        <v>0</v>
      </c>
      <c r="U870" s="5" t="inlineStr">
        <is>
          <t>training</t>
        </is>
      </c>
    </row>
    <row r="871">
      <c r="A871" s="5" t="n">
        <v>843</v>
      </c>
      <c r="B871" s="5" t="n">
        <v>1</v>
      </c>
      <c r="C871" s="5" t="n">
        <v>18</v>
      </c>
      <c r="D871" s="5" t="n">
        <v>1943</v>
      </c>
      <c r="E871" s="5" t="n">
        <v>23</v>
      </c>
      <c r="F871" s="5" t="n">
        <v>4</v>
      </c>
      <c r="G871" s="5" t="n">
        <v>0</v>
      </c>
      <c r="H871" s="5" t="n">
        <v>0</v>
      </c>
      <c r="I871" s="5" t="n">
        <v>0</v>
      </c>
      <c r="J871" s="5" t="n">
        <v>0</v>
      </c>
      <c r="K871" s="5" t="n">
        <v>0</v>
      </c>
      <c r="L871" s="5" t="n">
        <v>0</v>
      </c>
      <c r="M871" s="5" t="n">
        <v>0</v>
      </c>
      <c r="N871" s="5" t="n">
        <v>0</v>
      </c>
      <c r="O871" s="5" t="n">
        <v>0</v>
      </c>
      <c r="P871" s="5" t="n">
        <v>0</v>
      </c>
      <c r="Q871" s="5" t="n">
        <v>0</v>
      </c>
      <c r="R871" s="5" t="n">
        <v>0</v>
      </c>
      <c r="S871" s="5" t="n">
        <v>0</v>
      </c>
      <c r="T871" s="5" t="n">
        <v>0</v>
      </c>
      <c r="U871" s="5" t="inlineStr">
        <is>
          <t>training</t>
        </is>
      </c>
    </row>
    <row r="872">
      <c r="A872" s="5" t="n">
        <v>844</v>
      </c>
      <c r="B872" s="5" t="n">
        <v>0</v>
      </c>
      <c r="C872" s="5" t="n">
        <v>24</v>
      </c>
      <c r="D872" s="5" t="n">
        <v>1559</v>
      </c>
      <c r="E872" s="5" t="n">
        <v>50</v>
      </c>
      <c r="F872" s="5" t="n">
        <v>4</v>
      </c>
      <c r="G872" s="5" t="n">
        <v>0</v>
      </c>
      <c r="H872" s="5" t="n">
        <v>0</v>
      </c>
      <c r="I872" s="5" t="n">
        <v>0</v>
      </c>
      <c r="J872" s="5" t="n">
        <v>0</v>
      </c>
      <c r="K872" s="5" t="n">
        <v>0</v>
      </c>
      <c r="L872" s="5" t="n">
        <v>1</v>
      </c>
      <c r="M872" s="5" t="n">
        <v>0</v>
      </c>
      <c r="N872" s="5" t="n">
        <v>0</v>
      </c>
      <c r="O872" s="5" t="n">
        <v>0</v>
      </c>
      <c r="P872" s="5" t="n">
        <v>0</v>
      </c>
      <c r="Q872" s="5" t="n">
        <v>0</v>
      </c>
      <c r="R872" s="5" t="n">
        <v>0</v>
      </c>
      <c r="S872" s="5" t="n">
        <v>0</v>
      </c>
      <c r="T872" s="5" t="n">
        <v>0</v>
      </c>
      <c r="U872" s="5" t="inlineStr">
        <is>
          <t>testing</t>
        </is>
      </c>
    </row>
    <row r="873">
      <c r="A873" s="5" t="n">
        <v>845</v>
      </c>
      <c r="B873" s="5" t="n">
        <v>0</v>
      </c>
      <c r="C873" s="5" t="n">
        <v>18</v>
      </c>
      <c r="D873" s="5" t="n">
        <v>3422</v>
      </c>
      <c r="E873" s="5" t="n">
        <v>47</v>
      </c>
      <c r="F873" s="5" t="n">
        <v>4</v>
      </c>
      <c r="G873" s="5" t="n">
        <v>0</v>
      </c>
      <c r="H873" s="5" t="n">
        <v>0</v>
      </c>
      <c r="I873" s="5" t="n">
        <v>0</v>
      </c>
      <c r="J873" s="5" t="n">
        <v>0</v>
      </c>
      <c r="K873" s="5" t="n">
        <v>0</v>
      </c>
      <c r="L873" s="5" t="n">
        <v>0</v>
      </c>
      <c r="M873" s="5" t="n">
        <v>0</v>
      </c>
      <c r="N873" s="5" t="n">
        <v>0</v>
      </c>
      <c r="O873" s="5" t="n">
        <v>0</v>
      </c>
      <c r="P873" s="5" t="n">
        <v>0</v>
      </c>
      <c r="Q873" s="5" t="n">
        <v>0</v>
      </c>
      <c r="R873" s="5" t="n">
        <v>0</v>
      </c>
      <c r="S873" s="5" t="n">
        <v>0</v>
      </c>
      <c r="T873" s="5" t="n">
        <v>1</v>
      </c>
      <c r="U873" s="5" t="inlineStr">
        <is>
          <t>training</t>
        </is>
      </c>
    </row>
    <row r="874">
      <c r="A874" s="5" t="n">
        <v>846</v>
      </c>
      <c r="B874" s="5" t="n">
        <v>0</v>
      </c>
      <c r="C874" s="5" t="n">
        <v>21</v>
      </c>
      <c r="D874" s="5" t="n">
        <v>3976</v>
      </c>
      <c r="E874" s="5" t="n">
        <v>35</v>
      </c>
      <c r="F874" s="5" t="n">
        <v>2</v>
      </c>
      <c r="G874" s="5" t="n">
        <v>0</v>
      </c>
      <c r="H874" s="5" t="n">
        <v>1</v>
      </c>
      <c r="I874" s="5" t="n">
        <v>0</v>
      </c>
      <c r="J874" s="5" t="n">
        <v>0</v>
      </c>
      <c r="K874" s="5" t="n">
        <v>0</v>
      </c>
      <c r="L874" s="5" t="n">
        <v>0</v>
      </c>
      <c r="M874" s="5" t="n">
        <v>0</v>
      </c>
      <c r="N874" s="5" t="n">
        <v>0</v>
      </c>
      <c r="O874" s="5" t="n">
        <v>1</v>
      </c>
      <c r="P874" s="5" t="n">
        <v>0</v>
      </c>
      <c r="Q874" s="5" t="n">
        <v>0</v>
      </c>
      <c r="R874" s="5" t="n">
        <v>0</v>
      </c>
      <c r="S874" s="5" t="n">
        <v>0</v>
      </c>
      <c r="T874" s="5" t="n">
        <v>1</v>
      </c>
      <c r="U874" s="5" t="inlineStr">
        <is>
          <t>training</t>
        </is>
      </c>
    </row>
    <row r="875">
      <c r="A875" s="5" t="n">
        <v>847</v>
      </c>
      <c r="B875" s="5" t="n">
        <v>1</v>
      </c>
      <c r="C875" s="5" t="n">
        <v>18</v>
      </c>
      <c r="D875" s="5" t="n">
        <v>6761</v>
      </c>
      <c r="E875" s="5" t="n">
        <v>68</v>
      </c>
      <c r="F875" s="5" t="n">
        <v>2</v>
      </c>
      <c r="G875" s="5" t="n">
        <v>0</v>
      </c>
      <c r="H875" s="5" t="n">
        <v>0</v>
      </c>
      <c r="I875" s="5" t="n">
        <v>0</v>
      </c>
      <c r="J875" s="5" t="n">
        <v>0</v>
      </c>
      <c r="K875" s="5" t="n">
        <v>0</v>
      </c>
      <c r="L875" s="5" t="n">
        <v>0</v>
      </c>
      <c r="M875" s="5" t="n">
        <v>0</v>
      </c>
      <c r="N875" s="5" t="n">
        <v>0</v>
      </c>
      <c r="O875" s="5" t="n">
        <v>1</v>
      </c>
      <c r="P875" s="5" t="n">
        <v>1</v>
      </c>
      <c r="Q875" s="5" t="n">
        <v>0</v>
      </c>
      <c r="R875" s="5" t="n">
        <v>1</v>
      </c>
      <c r="S875" s="5" t="n">
        <v>0</v>
      </c>
      <c r="T875" s="5" t="n">
        <v>0</v>
      </c>
      <c r="U875" s="5" t="inlineStr">
        <is>
          <t>training</t>
        </is>
      </c>
    </row>
    <row r="876">
      <c r="A876" s="5" t="n">
        <v>848</v>
      </c>
      <c r="B876" s="5" t="n">
        <v>0</v>
      </c>
      <c r="C876" s="5" t="n">
        <v>24</v>
      </c>
      <c r="D876" s="5" t="n">
        <v>1249</v>
      </c>
      <c r="E876" s="5" t="n">
        <v>28</v>
      </c>
      <c r="F876" s="5" t="n">
        <v>4</v>
      </c>
      <c r="G876" s="5" t="n">
        <v>0</v>
      </c>
      <c r="H876" s="5" t="n">
        <v>0</v>
      </c>
      <c r="I876" s="5" t="n">
        <v>0</v>
      </c>
      <c r="J876" s="5" t="n">
        <v>0</v>
      </c>
      <c r="K876" s="5" t="n">
        <v>0</v>
      </c>
      <c r="L876" s="5" t="n">
        <v>0</v>
      </c>
      <c r="M876" s="5" t="n">
        <v>0</v>
      </c>
      <c r="N876" s="5" t="n">
        <v>0</v>
      </c>
      <c r="O876" s="5" t="n">
        <v>0</v>
      </c>
      <c r="P876" s="5" t="n">
        <v>0</v>
      </c>
      <c r="Q876" s="5" t="n">
        <v>0</v>
      </c>
      <c r="R876" s="5" t="n">
        <v>1</v>
      </c>
      <c r="S876" s="5" t="n">
        <v>0</v>
      </c>
      <c r="T876" s="5" t="n">
        <v>0</v>
      </c>
      <c r="U876" s="5" t="inlineStr">
        <is>
          <t>training</t>
        </is>
      </c>
    </row>
    <row r="877">
      <c r="A877" s="5" t="n">
        <v>849</v>
      </c>
      <c r="B877" s="5" t="n">
        <v>0</v>
      </c>
      <c r="C877" s="5" t="n">
        <v>9</v>
      </c>
      <c r="D877" s="5" t="n">
        <v>1364</v>
      </c>
      <c r="E877" s="5" t="n">
        <v>59</v>
      </c>
      <c r="F877" s="5" t="n">
        <v>3</v>
      </c>
      <c r="G877" s="5" t="n">
        <v>1</v>
      </c>
      <c r="H877" s="5" t="n">
        <v>0</v>
      </c>
      <c r="I877" s="5" t="n">
        <v>0</v>
      </c>
      <c r="J877" s="5" t="n">
        <v>0</v>
      </c>
      <c r="K877" s="5" t="n">
        <v>0</v>
      </c>
      <c r="L877" s="5" t="n">
        <v>0</v>
      </c>
      <c r="M877" s="5" t="n">
        <v>0</v>
      </c>
      <c r="N877" s="5" t="n">
        <v>0</v>
      </c>
      <c r="O877" s="5" t="n">
        <v>0</v>
      </c>
      <c r="P877" s="5" t="n">
        <v>0</v>
      </c>
      <c r="Q877" s="5" t="n">
        <v>0</v>
      </c>
      <c r="R877" s="5" t="n">
        <v>0</v>
      </c>
      <c r="S877" s="5" t="n">
        <v>1</v>
      </c>
      <c r="T877" s="5" t="n">
        <v>0</v>
      </c>
      <c r="U877" s="5" t="inlineStr">
        <is>
          <t>training</t>
        </is>
      </c>
    </row>
    <row r="878">
      <c r="A878" s="5" t="n">
        <v>850</v>
      </c>
      <c r="B878" s="5" t="n">
        <v>1</v>
      </c>
      <c r="C878" s="5" t="n">
        <v>12</v>
      </c>
      <c r="D878" s="5" t="n">
        <v>709</v>
      </c>
      <c r="E878" s="5" t="n">
        <v>57</v>
      </c>
      <c r="F878" s="5" t="n">
        <v>4</v>
      </c>
      <c r="G878" s="5" t="n">
        <v>1</v>
      </c>
      <c r="H878" s="5" t="n">
        <v>0</v>
      </c>
      <c r="I878" s="5" t="n">
        <v>0</v>
      </c>
      <c r="J878" s="5" t="n">
        <v>0</v>
      </c>
      <c r="K878" s="5" t="n">
        <v>0</v>
      </c>
      <c r="L878" s="5" t="n">
        <v>0</v>
      </c>
      <c r="M878" s="5" t="n">
        <v>0</v>
      </c>
      <c r="N878" s="5" t="n">
        <v>0</v>
      </c>
      <c r="O878" s="5" t="n">
        <v>0</v>
      </c>
      <c r="P878" s="5" t="n">
        <v>0</v>
      </c>
      <c r="Q878" s="5" t="n">
        <v>0</v>
      </c>
      <c r="R878" s="5" t="n">
        <v>0</v>
      </c>
      <c r="S878" s="5" t="n">
        <v>1</v>
      </c>
      <c r="T878" s="5" t="n">
        <v>0</v>
      </c>
      <c r="U878" s="5" t="inlineStr">
        <is>
          <t>training</t>
        </is>
      </c>
    </row>
    <row r="879">
      <c r="A879" s="5" t="n">
        <v>851</v>
      </c>
      <c r="B879" s="5" t="n">
        <v>1</v>
      </c>
      <c r="C879" s="5" t="n">
        <v>20</v>
      </c>
      <c r="D879" s="5" t="n">
        <v>2235</v>
      </c>
      <c r="E879" s="5" t="n">
        <v>33</v>
      </c>
      <c r="F879" s="5" t="n">
        <v>4</v>
      </c>
      <c r="G879" s="5" t="n">
        <v>1</v>
      </c>
      <c r="H879" s="5" t="n">
        <v>0</v>
      </c>
      <c r="I879" s="5" t="n">
        <v>0</v>
      </c>
      <c r="J879" s="5" t="n">
        <v>1</v>
      </c>
      <c r="K879" s="5" t="n">
        <v>0</v>
      </c>
      <c r="L879" s="5" t="n">
        <v>0</v>
      </c>
      <c r="M879" s="5" t="n">
        <v>0</v>
      </c>
      <c r="N879" s="5" t="n">
        <v>0</v>
      </c>
      <c r="O879" s="5" t="n">
        <v>0</v>
      </c>
      <c r="P879" s="5" t="n">
        <v>1</v>
      </c>
      <c r="Q879" s="5" t="n">
        <v>0</v>
      </c>
      <c r="R879" s="5" t="n">
        <v>1</v>
      </c>
      <c r="S879" s="5" t="n">
        <v>0</v>
      </c>
      <c r="T879" s="5" t="n">
        <v>0</v>
      </c>
      <c r="U879" s="5" t="inlineStr">
        <is>
          <t>training</t>
        </is>
      </c>
    </row>
    <row r="880">
      <c r="A880" s="5" t="n">
        <v>852</v>
      </c>
      <c r="B880" s="5" t="n">
        <v>0</v>
      </c>
      <c r="C880" s="5" t="n">
        <v>24</v>
      </c>
      <c r="D880" s="5" t="n">
        <v>4042</v>
      </c>
      <c r="E880" s="5" t="n">
        <v>43</v>
      </c>
      <c r="F880" s="5" t="n">
        <v>3</v>
      </c>
      <c r="G880" s="5" t="n">
        <v>0</v>
      </c>
      <c r="H880" s="5" t="n">
        <v>0</v>
      </c>
      <c r="I880" s="5" t="n">
        <v>0</v>
      </c>
      <c r="J880" s="5" t="n">
        <v>1</v>
      </c>
      <c r="K880" s="5" t="n">
        <v>0</v>
      </c>
      <c r="L880" s="5" t="n">
        <v>0</v>
      </c>
      <c r="M880" s="5" t="n">
        <v>0</v>
      </c>
      <c r="N880" s="5" t="n">
        <v>0</v>
      </c>
      <c r="O880" s="5" t="n">
        <v>1</v>
      </c>
      <c r="P880" s="5" t="n">
        <v>0</v>
      </c>
      <c r="Q880" s="5" t="n">
        <v>0</v>
      </c>
      <c r="R880" s="5" t="n">
        <v>1</v>
      </c>
      <c r="S880" s="5" t="n">
        <v>0</v>
      </c>
      <c r="T880" s="5" t="n">
        <v>0</v>
      </c>
      <c r="U880" s="5" t="inlineStr">
        <is>
          <t>training</t>
        </is>
      </c>
    </row>
    <row r="881">
      <c r="A881" s="5" t="n">
        <v>853</v>
      </c>
      <c r="B881" s="5" t="n">
        <v>0</v>
      </c>
      <c r="C881" s="5" t="n">
        <v>15</v>
      </c>
      <c r="D881" s="5" t="n">
        <v>1471</v>
      </c>
      <c r="E881" s="5" t="n">
        <v>35</v>
      </c>
      <c r="F881" s="5" t="n">
        <v>4</v>
      </c>
      <c r="G881" s="5" t="n">
        <v>0</v>
      </c>
      <c r="H881" s="5" t="n">
        <v>0</v>
      </c>
      <c r="I881" s="5" t="n">
        <v>0</v>
      </c>
      <c r="J881" s="5" t="n">
        <v>1</v>
      </c>
      <c r="K881" s="5" t="n">
        <v>0</v>
      </c>
      <c r="L881" s="5" t="n">
        <v>0</v>
      </c>
      <c r="M881" s="5" t="n">
        <v>0</v>
      </c>
      <c r="N881" s="5" t="n">
        <v>0</v>
      </c>
      <c r="O881" s="5" t="n">
        <v>0</v>
      </c>
      <c r="P881" s="5" t="n">
        <v>0</v>
      </c>
      <c r="Q881" s="5" t="n">
        <v>1</v>
      </c>
      <c r="R881" s="5" t="n">
        <v>0</v>
      </c>
      <c r="S881" s="5" t="n">
        <v>1</v>
      </c>
      <c r="T881" s="5" t="n">
        <v>0</v>
      </c>
      <c r="U881" s="5" t="inlineStr">
        <is>
          <t>testing</t>
        </is>
      </c>
    </row>
    <row r="882">
      <c r="A882" s="5" t="n">
        <v>854</v>
      </c>
      <c r="B882" s="5" t="n">
        <v>1</v>
      </c>
      <c r="C882" s="5" t="n">
        <v>18</v>
      </c>
      <c r="D882" s="5" t="n">
        <v>1442</v>
      </c>
      <c r="E882" s="5" t="n">
        <v>32</v>
      </c>
      <c r="F882" s="5" t="n">
        <v>4</v>
      </c>
      <c r="G882" s="5" t="n">
        <v>1</v>
      </c>
      <c r="H882" s="5" t="n">
        <v>0</v>
      </c>
      <c r="I882" s="5" t="n">
        <v>0</v>
      </c>
      <c r="J882" s="5" t="n">
        <v>0</v>
      </c>
      <c r="K882" s="5" t="n">
        <v>0</v>
      </c>
      <c r="L882" s="5" t="n">
        <v>1</v>
      </c>
      <c r="M882" s="5" t="n">
        <v>0</v>
      </c>
      <c r="N882" s="5" t="n">
        <v>0</v>
      </c>
      <c r="O882" s="5" t="n">
        <v>0</v>
      </c>
      <c r="P882" s="5" t="n">
        <v>0</v>
      </c>
      <c r="Q882" s="5" t="n">
        <v>1</v>
      </c>
      <c r="R882" s="5" t="n">
        <v>1</v>
      </c>
      <c r="S882" s="5" t="n">
        <v>0</v>
      </c>
      <c r="T882" s="5" t="n">
        <v>0</v>
      </c>
      <c r="U882" s="5" t="inlineStr">
        <is>
          <t>training</t>
        </is>
      </c>
    </row>
    <row r="883">
      <c r="A883" s="5" t="n">
        <v>855</v>
      </c>
      <c r="B883" s="5" t="n">
        <v>0</v>
      </c>
      <c r="C883" s="5" t="n">
        <v>36</v>
      </c>
      <c r="D883" s="5" t="n">
        <v>10875</v>
      </c>
      <c r="E883" s="5" t="n">
        <v>45</v>
      </c>
      <c r="F883" s="5" t="n">
        <v>2</v>
      </c>
      <c r="G883" s="5" t="n">
        <v>0</v>
      </c>
      <c r="H883" s="5" t="n">
        <v>0</v>
      </c>
      <c r="I883" s="5" t="n">
        <v>0</v>
      </c>
      <c r="J883" s="5" t="n">
        <v>0</v>
      </c>
      <c r="K883" s="5" t="n">
        <v>1</v>
      </c>
      <c r="L883" s="5" t="n">
        <v>0</v>
      </c>
      <c r="M883" s="5" t="n">
        <v>0</v>
      </c>
      <c r="N883" s="5" t="n">
        <v>0</v>
      </c>
      <c r="O883" s="5" t="n">
        <v>0</v>
      </c>
      <c r="P883" s="5" t="n">
        <v>0</v>
      </c>
      <c r="Q883" s="5" t="n">
        <v>0</v>
      </c>
      <c r="R883" s="5" t="n">
        <v>1</v>
      </c>
      <c r="S883" s="5" t="n">
        <v>0</v>
      </c>
      <c r="T883" s="5" t="n">
        <v>0</v>
      </c>
      <c r="U883" s="5" t="inlineStr">
        <is>
          <t>training</t>
        </is>
      </c>
    </row>
    <row r="884">
      <c r="A884" s="5" t="n">
        <v>856</v>
      </c>
      <c r="B884" s="5" t="n">
        <v>0</v>
      </c>
      <c r="C884" s="5" t="n">
        <v>24</v>
      </c>
      <c r="D884" s="5" t="n">
        <v>1474</v>
      </c>
      <c r="E884" s="5" t="n">
        <v>33</v>
      </c>
      <c r="F884" s="5" t="n">
        <v>4</v>
      </c>
      <c r="G884" s="5" t="n">
        <v>0</v>
      </c>
      <c r="H884" s="5" t="n">
        <v>0</v>
      </c>
      <c r="I884" s="5" t="n">
        <v>0</v>
      </c>
      <c r="J884" s="5" t="n">
        <v>0</v>
      </c>
      <c r="K884" s="5" t="n">
        <v>0</v>
      </c>
      <c r="L884" s="5" t="n">
        <v>0</v>
      </c>
      <c r="M884" s="5" t="n">
        <v>1</v>
      </c>
      <c r="N884" s="5" t="n">
        <v>0</v>
      </c>
      <c r="O884" s="5" t="n">
        <v>0</v>
      </c>
      <c r="P884" s="5" t="n">
        <v>0</v>
      </c>
      <c r="Q884" s="5" t="n">
        <v>0</v>
      </c>
      <c r="R884" s="5" t="n">
        <v>1</v>
      </c>
      <c r="S884" s="5" t="n">
        <v>0</v>
      </c>
      <c r="T884" s="5" t="n">
        <v>0</v>
      </c>
      <c r="U884" s="5" t="inlineStr">
        <is>
          <t>testing</t>
        </is>
      </c>
    </row>
    <row r="885">
      <c r="A885" s="5" t="n">
        <v>857</v>
      </c>
      <c r="B885" s="5" t="n">
        <v>0</v>
      </c>
      <c r="C885" s="5" t="n">
        <v>10</v>
      </c>
      <c r="D885" s="5" t="n">
        <v>894</v>
      </c>
      <c r="E885" s="5" t="n">
        <v>40</v>
      </c>
      <c r="F885" s="5" t="n">
        <v>4</v>
      </c>
      <c r="G885" s="5" t="n">
        <v>0</v>
      </c>
      <c r="H885" s="5" t="n">
        <v>0</v>
      </c>
      <c r="I885" s="5" t="n">
        <v>0</v>
      </c>
      <c r="J885" s="5" t="n">
        <v>0</v>
      </c>
      <c r="K885" s="5" t="n">
        <v>0</v>
      </c>
      <c r="L885" s="5" t="n">
        <v>0</v>
      </c>
      <c r="M885" s="5" t="n">
        <v>0</v>
      </c>
      <c r="N885" s="5" t="n">
        <v>0</v>
      </c>
      <c r="O885" s="5" t="n">
        <v>1</v>
      </c>
      <c r="P885" s="5" t="n">
        <v>0</v>
      </c>
      <c r="Q885" s="5" t="n">
        <v>0</v>
      </c>
      <c r="R885" s="5" t="n">
        <v>0</v>
      </c>
      <c r="S885" s="5" t="n">
        <v>0</v>
      </c>
      <c r="T885" s="5" t="n">
        <v>0</v>
      </c>
      <c r="U885" s="5" t="inlineStr">
        <is>
          <t>training</t>
        </is>
      </c>
    </row>
    <row r="886">
      <c r="A886" s="5" t="n">
        <v>858</v>
      </c>
      <c r="B886" s="5" t="n">
        <v>0</v>
      </c>
      <c r="C886" s="5" t="n">
        <v>15</v>
      </c>
      <c r="D886" s="5" t="n">
        <v>3343</v>
      </c>
      <c r="E886" s="5" t="n">
        <v>28</v>
      </c>
      <c r="F886" s="5" t="n">
        <v>4</v>
      </c>
      <c r="G886" s="5" t="n">
        <v>0</v>
      </c>
      <c r="H886" s="5" t="n">
        <v>0</v>
      </c>
      <c r="I886" s="5" t="n">
        <v>0</v>
      </c>
      <c r="J886" s="5" t="n">
        <v>1</v>
      </c>
      <c r="K886" s="5" t="n">
        <v>0</v>
      </c>
      <c r="L886" s="5" t="n">
        <v>0</v>
      </c>
      <c r="M886" s="5" t="n">
        <v>0</v>
      </c>
      <c r="N886" s="5" t="n">
        <v>0</v>
      </c>
      <c r="O886" s="5" t="n">
        <v>0</v>
      </c>
      <c r="P886" s="5" t="n">
        <v>0</v>
      </c>
      <c r="Q886" s="5" t="n">
        <v>1</v>
      </c>
      <c r="R886" s="5" t="n">
        <v>0</v>
      </c>
      <c r="S886" s="5" t="n">
        <v>0</v>
      </c>
      <c r="T886" s="5" t="n">
        <v>1</v>
      </c>
      <c r="U886" s="5" t="inlineStr">
        <is>
          <t>training</t>
        </is>
      </c>
    </row>
    <row r="887">
      <c r="A887" s="5" t="n">
        <v>859</v>
      </c>
      <c r="B887" s="5" t="n">
        <v>1</v>
      </c>
      <c r="C887" s="5" t="n">
        <v>15</v>
      </c>
      <c r="D887" s="5" t="n">
        <v>3959</v>
      </c>
      <c r="E887" s="5" t="n">
        <v>29</v>
      </c>
      <c r="F887" s="5" t="n">
        <v>3</v>
      </c>
      <c r="G887" s="5" t="n">
        <v>1</v>
      </c>
      <c r="H887" s="5" t="n">
        <v>0</v>
      </c>
      <c r="I887" s="5" t="n">
        <v>0</v>
      </c>
      <c r="J887" s="5" t="n">
        <v>0</v>
      </c>
      <c r="K887" s="5" t="n">
        <v>0</v>
      </c>
      <c r="L887" s="5" t="n">
        <v>0</v>
      </c>
      <c r="M887" s="5" t="n">
        <v>0</v>
      </c>
      <c r="N887" s="5" t="n">
        <v>0</v>
      </c>
      <c r="O887" s="5" t="n">
        <v>0</v>
      </c>
      <c r="P887" s="5" t="n">
        <v>0</v>
      </c>
      <c r="Q887" s="5" t="n">
        <v>0</v>
      </c>
      <c r="R887" s="5" t="n">
        <v>1</v>
      </c>
      <c r="S887" s="5" t="n">
        <v>0</v>
      </c>
      <c r="T887" s="5" t="n">
        <v>0</v>
      </c>
      <c r="U887" s="5" t="inlineStr">
        <is>
          <t>training</t>
        </is>
      </c>
    </row>
    <row r="888">
      <c r="A888" s="5" t="n">
        <v>860</v>
      </c>
      <c r="B888" s="5" t="n">
        <v>0</v>
      </c>
      <c r="C888" s="5" t="n">
        <v>9</v>
      </c>
      <c r="D888" s="5" t="n">
        <v>3577</v>
      </c>
      <c r="E888" s="5" t="n">
        <v>26</v>
      </c>
      <c r="F888" s="5" t="n">
        <v>1</v>
      </c>
      <c r="G888" s="5" t="n">
        <v>0</v>
      </c>
      <c r="H888" s="5" t="n">
        <v>0</v>
      </c>
      <c r="I888" s="5" t="n">
        <v>0</v>
      </c>
      <c r="J888" s="5" t="n">
        <v>0</v>
      </c>
      <c r="K888" s="5" t="n">
        <v>0</v>
      </c>
      <c r="L888" s="5" t="n">
        <v>0</v>
      </c>
      <c r="M888" s="5" t="n">
        <v>1</v>
      </c>
      <c r="N888" s="5" t="n">
        <v>0</v>
      </c>
      <c r="O888" s="5" t="n">
        <v>0</v>
      </c>
      <c r="P888" s="5" t="n">
        <v>1</v>
      </c>
      <c r="Q888" s="5" t="n">
        <v>0</v>
      </c>
      <c r="R888" s="5" t="n">
        <v>1</v>
      </c>
      <c r="S888" s="5" t="n">
        <v>0</v>
      </c>
      <c r="T888" s="5" t="n">
        <v>0</v>
      </c>
      <c r="U888" s="5" t="inlineStr">
        <is>
          <t>testing</t>
        </is>
      </c>
    </row>
    <row r="889">
      <c r="A889" s="5" t="n">
        <v>861</v>
      </c>
      <c r="B889" s="5" t="n">
        <v>0</v>
      </c>
      <c r="C889" s="5" t="n">
        <v>24</v>
      </c>
      <c r="D889" s="5" t="n">
        <v>5804</v>
      </c>
      <c r="E889" s="5" t="n">
        <v>27</v>
      </c>
      <c r="F889" s="5" t="n">
        <v>4</v>
      </c>
      <c r="G889" s="5" t="n">
        <v>0</v>
      </c>
      <c r="H889" s="5" t="n">
        <v>0</v>
      </c>
      <c r="I889" s="5" t="n">
        <v>0</v>
      </c>
      <c r="J889" s="5" t="n">
        <v>1</v>
      </c>
      <c r="K889" s="5" t="n">
        <v>0</v>
      </c>
      <c r="L889" s="5" t="n">
        <v>0</v>
      </c>
      <c r="M889" s="5" t="n">
        <v>0</v>
      </c>
      <c r="N889" s="5" t="n">
        <v>1</v>
      </c>
      <c r="O889" s="5" t="n">
        <v>0</v>
      </c>
      <c r="P889" s="5" t="n">
        <v>0</v>
      </c>
      <c r="Q889" s="5" t="n">
        <v>0</v>
      </c>
      <c r="R889" s="5" t="n">
        <v>1</v>
      </c>
      <c r="S889" s="5" t="n">
        <v>0</v>
      </c>
      <c r="T889" s="5" t="n">
        <v>0</v>
      </c>
      <c r="U889" s="5" t="inlineStr">
        <is>
          <t>training</t>
        </is>
      </c>
    </row>
    <row r="890">
      <c r="A890" s="5" t="n">
        <v>862</v>
      </c>
      <c r="B890" s="5" t="n">
        <v>1</v>
      </c>
      <c r="C890" s="5" t="n">
        <v>18</v>
      </c>
      <c r="D890" s="5" t="n">
        <v>2169</v>
      </c>
      <c r="E890" s="5" t="n">
        <v>28</v>
      </c>
      <c r="F890" s="5" t="n">
        <v>4</v>
      </c>
      <c r="G890" s="5" t="n">
        <v>0</v>
      </c>
      <c r="H890" s="5" t="n">
        <v>0</v>
      </c>
      <c r="I890" s="5" t="n">
        <v>0</v>
      </c>
      <c r="J890" s="5" t="n">
        <v>0</v>
      </c>
      <c r="K890" s="5" t="n">
        <v>1</v>
      </c>
      <c r="L890" s="5" t="n">
        <v>0</v>
      </c>
      <c r="M890" s="5" t="n">
        <v>0</v>
      </c>
      <c r="N890" s="5" t="n">
        <v>0</v>
      </c>
      <c r="O890" s="5" t="n">
        <v>0</v>
      </c>
      <c r="P890" s="5" t="n">
        <v>0</v>
      </c>
      <c r="Q890" s="5" t="n">
        <v>0</v>
      </c>
      <c r="R890" s="5" t="n">
        <v>0</v>
      </c>
      <c r="S890" s="5" t="n">
        <v>0</v>
      </c>
      <c r="T890" s="5" t="n">
        <v>0</v>
      </c>
      <c r="U890" s="5" t="inlineStr">
        <is>
          <t>training</t>
        </is>
      </c>
    </row>
    <row r="891">
      <c r="A891" s="5" t="n">
        <v>863</v>
      </c>
      <c r="B891" s="5" t="n">
        <v>1</v>
      </c>
      <c r="C891" s="5" t="n">
        <v>24</v>
      </c>
      <c r="D891" s="5" t="n">
        <v>2439</v>
      </c>
      <c r="E891" s="5" t="n">
        <v>35</v>
      </c>
      <c r="F891" s="5" t="n">
        <v>4</v>
      </c>
      <c r="G891" s="5" t="n">
        <v>1</v>
      </c>
      <c r="H891" s="5" t="n">
        <v>0</v>
      </c>
      <c r="I891" s="5" t="n">
        <v>0</v>
      </c>
      <c r="J891" s="5" t="n">
        <v>0</v>
      </c>
      <c r="K891" s="5" t="n">
        <v>0</v>
      </c>
      <c r="L891" s="5" t="n">
        <v>0</v>
      </c>
      <c r="M891" s="5" t="n">
        <v>0</v>
      </c>
      <c r="N891" s="5" t="n">
        <v>0</v>
      </c>
      <c r="O891" s="5" t="n">
        <v>0</v>
      </c>
      <c r="P891" s="5" t="n">
        <v>0</v>
      </c>
      <c r="Q891" s="5" t="n">
        <v>0</v>
      </c>
      <c r="R891" s="5" t="n">
        <v>0</v>
      </c>
      <c r="S891" s="5" t="n">
        <v>1</v>
      </c>
      <c r="T891" s="5" t="n">
        <v>0</v>
      </c>
      <c r="U891" s="5" t="inlineStr">
        <is>
          <t>training</t>
        </is>
      </c>
    </row>
    <row r="892">
      <c r="A892" s="5" t="n">
        <v>864</v>
      </c>
      <c r="B892" s="5" t="n">
        <v>0</v>
      </c>
      <c r="C892" s="5" t="n">
        <v>27</v>
      </c>
      <c r="D892" s="5" t="n">
        <v>4526</v>
      </c>
      <c r="E892" s="5" t="n">
        <v>32</v>
      </c>
      <c r="F892" s="5" t="n">
        <v>4</v>
      </c>
      <c r="G892" s="5" t="n">
        <v>0</v>
      </c>
      <c r="H892" s="5" t="n">
        <v>0</v>
      </c>
      <c r="I892" s="5" t="n">
        <v>0</v>
      </c>
      <c r="J892" s="5" t="n">
        <v>1</v>
      </c>
      <c r="K892" s="5" t="n">
        <v>0</v>
      </c>
      <c r="L892" s="5" t="n">
        <v>0</v>
      </c>
      <c r="M892" s="5" t="n">
        <v>0</v>
      </c>
      <c r="N892" s="5" t="n">
        <v>1</v>
      </c>
      <c r="O892" s="5" t="n">
        <v>0</v>
      </c>
      <c r="P892" s="5" t="n">
        <v>0</v>
      </c>
      <c r="Q892" s="5" t="n">
        <v>0</v>
      </c>
      <c r="R892" s="5" t="n">
        <v>0</v>
      </c>
      <c r="S892" s="5" t="n">
        <v>0</v>
      </c>
      <c r="T892" s="5" t="n">
        <v>1</v>
      </c>
      <c r="U892" s="5" t="inlineStr">
        <is>
          <t>testing</t>
        </is>
      </c>
    </row>
    <row r="893">
      <c r="A893" s="5" t="n">
        <v>865</v>
      </c>
      <c r="B893" s="5" t="n">
        <v>1</v>
      </c>
      <c r="C893" s="5" t="n">
        <v>10</v>
      </c>
      <c r="D893" s="5" t="n">
        <v>2210</v>
      </c>
      <c r="E893" s="5" t="n">
        <v>25</v>
      </c>
      <c r="F893" s="5" t="n">
        <v>2</v>
      </c>
      <c r="G893" s="5" t="n">
        <v>0</v>
      </c>
      <c r="H893" s="5" t="n">
        <v>0</v>
      </c>
      <c r="I893" s="5" t="n">
        <v>0</v>
      </c>
      <c r="J893" s="5" t="n">
        <v>0</v>
      </c>
      <c r="K893" s="5" t="n">
        <v>0</v>
      </c>
      <c r="L893" s="5" t="n">
        <v>0</v>
      </c>
      <c r="M893" s="5" t="n">
        <v>0</v>
      </c>
      <c r="N893" s="5" t="n">
        <v>0</v>
      </c>
      <c r="O893" s="5" t="n">
        <v>0</v>
      </c>
      <c r="P893" s="5" t="n">
        <v>1</v>
      </c>
      <c r="Q893" s="5" t="n">
        <v>0</v>
      </c>
      <c r="R893" s="5" t="n">
        <v>0</v>
      </c>
      <c r="S893" s="5" t="n">
        <v>0</v>
      </c>
      <c r="T893" s="5" t="n">
        <v>1</v>
      </c>
      <c r="U893" s="5" t="inlineStr">
        <is>
          <t>training</t>
        </is>
      </c>
    </row>
    <row r="894">
      <c r="A894" s="5" t="n">
        <v>866</v>
      </c>
      <c r="B894" s="5" t="n">
        <v>0</v>
      </c>
      <c r="C894" s="5" t="n">
        <v>15</v>
      </c>
      <c r="D894" s="5" t="n">
        <v>2221</v>
      </c>
      <c r="E894" s="5" t="n">
        <v>20</v>
      </c>
      <c r="F894" s="5" t="n">
        <v>2</v>
      </c>
      <c r="G894" s="5" t="n">
        <v>0</v>
      </c>
      <c r="H894" s="5" t="n">
        <v>0</v>
      </c>
      <c r="I894" s="5" t="n">
        <v>0</v>
      </c>
      <c r="J894" s="5" t="n">
        <v>0</v>
      </c>
      <c r="K894" s="5" t="n">
        <v>0</v>
      </c>
      <c r="L894" s="5" t="n">
        <v>0</v>
      </c>
      <c r="M894" s="5" t="n">
        <v>1</v>
      </c>
      <c r="N894" s="5" t="n">
        <v>0</v>
      </c>
      <c r="O894" s="5" t="n">
        <v>0</v>
      </c>
      <c r="P894" s="5" t="n">
        <v>1</v>
      </c>
      <c r="Q894" s="5" t="n">
        <v>0</v>
      </c>
      <c r="R894" s="5" t="n">
        <v>0</v>
      </c>
      <c r="S894" s="5" t="n">
        <v>0</v>
      </c>
      <c r="T894" s="5" t="n">
        <v>1</v>
      </c>
      <c r="U894" s="5" t="inlineStr">
        <is>
          <t>training</t>
        </is>
      </c>
    </row>
    <row r="895">
      <c r="A895" s="5" t="n">
        <v>867</v>
      </c>
      <c r="B895" s="5" t="n">
        <v>0</v>
      </c>
      <c r="C895" s="5" t="n">
        <v>18</v>
      </c>
      <c r="D895" s="5" t="n">
        <v>2389</v>
      </c>
      <c r="E895" s="5" t="n">
        <v>27</v>
      </c>
      <c r="F895" s="5" t="n">
        <v>4</v>
      </c>
      <c r="G895" s="5" t="n">
        <v>1</v>
      </c>
      <c r="H895" s="5" t="n">
        <v>0</v>
      </c>
      <c r="I895" s="5" t="n">
        <v>0</v>
      </c>
      <c r="J895" s="5" t="n">
        <v>0</v>
      </c>
      <c r="K895" s="5" t="n">
        <v>0</v>
      </c>
      <c r="L895" s="5" t="n">
        <v>0</v>
      </c>
      <c r="M895" s="5" t="n">
        <v>0</v>
      </c>
      <c r="N895" s="5" t="n">
        <v>0</v>
      </c>
      <c r="O895" s="5" t="n">
        <v>0</v>
      </c>
      <c r="P895" s="5" t="n">
        <v>0</v>
      </c>
      <c r="Q895" s="5" t="n">
        <v>0</v>
      </c>
      <c r="R895" s="5" t="n">
        <v>0</v>
      </c>
      <c r="S895" s="5" t="n">
        <v>1</v>
      </c>
      <c r="T895" s="5" t="n">
        <v>0</v>
      </c>
      <c r="U895" s="5" t="inlineStr">
        <is>
          <t>training</t>
        </is>
      </c>
    </row>
    <row r="896">
      <c r="A896" s="5" t="n">
        <v>868</v>
      </c>
      <c r="B896" s="5" t="n">
        <v>0</v>
      </c>
      <c r="C896" s="5" t="n">
        <v>12</v>
      </c>
      <c r="D896" s="5" t="n">
        <v>3331</v>
      </c>
      <c r="E896" s="5" t="n">
        <v>42</v>
      </c>
      <c r="F896" s="5" t="n">
        <v>2</v>
      </c>
      <c r="G896" s="5" t="n">
        <v>0</v>
      </c>
      <c r="H896" s="5" t="n">
        <v>0</v>
      </c>
      <c r="I896" s="5" t="n">
        <v>0</v>
      </c>
      <c r="J896" s="5" t="n">
        <v>1</v>
      </c>
      <c r="K896" s="5" t="n">
        <v>0</v>
      </c>
      <c r="L896" s="5" t="n">
        <v>0</v>
      </c>
      <c r="M896" s="5" t="n">
        <v>0</v>
      </c>
      <c r="N896" s="5" t="n">
        <v>0</v>
      </c>
      <c r="O896" s="5" t="n">
        <v>0</v>
      </c>
      <c r="P896" s="5" t="n">
        <v>0</v>
      </c>
      <c r="Q896" s="5" t="n">
        <v>0</v>
      </c>
      <c r="R896" s="5" t="n">
        <v>0</v>
      </c>
      <c r="S896" s="5" t="n">
        <v>0</v>
      </c>
      <c r="T896" s="5" t="n">
        <v>1</v>
      </c>
      <c r="U896" s="5" t="inlineStr">
        <is>
          <t>training</t>
        </is>
      </c>
    </row>
    <row r="897">
      <c r="A897" s="5" t="n">
        <v>869</v>
      </c>
      <c r="B897" s="5" t="n">
        <v>0</v>
      </c>
      <c r="C897" s="5" t="n">
        <v>36</v>
      </c>
      <c r="D897" s="5" t="n">
        <v>7409</v>
      </c>
      <c r="E897" s="5" t="n">
        <v>37</v>
      </c>
      <c r="F897" s="5" t="n">
        <v>3</v>
      </c>
      <c r="G897" s="5" t="n">
        <v>0</v>
      </c>
      <c r="H897" s="5" t="n">
        <v>0</v>
      </c>
      <c r="I897" s="5" t="n">
        <v>0</v>
      </c>
      <c r="J897" s="5" t="n">
        <v>0</v>
      </c>
      <c r="K897" s="5" t="n">
        <v>0</v>
      </c>
      <c r="L897" s="5" t="n">
        <v>0</v>
      </c>
      <c r="M897" s="5" t="n">
        <v>0</v>
      </c>
      <c r="N897" s="5" t="n">
        <v>0</v>
      </c>
      <c r="O897" s="5" t="n">
        <v>1</v>
      </c>
      <c r="P897" s="5" t="n">
        <v>0</v>
      </c>
      <c r="Q897" s="5" t="n">
        <v>0</v>
      </c>
      <c r="R897" s="5" t="n">
        <v>0</v>
      </c>
      <c r="S897" s="5" t="n">
        <v>0</v>
      </c>
      <c r="T897" s="5" t="n">
        <v>0</v>
      </c>
      <c r="U897" s="5" t="inlineStr">
        <is>
          <t>testing</t>
        </is>
      </c>
    </row>
    <row r="898">
      <c r="A898" s="5" t="n">
        <v>870</v>
      </c>
      <c r="B898" s="5" t="n">
        <v>0</v>
      </c>
      <c r="C898" s="5" t="n">
        <v>12</v>
      </c>
      <c r="D898" s="5" t="n">
        <v>652</v>
      </c>
      <c r="E898" s="5" t="n">
        <v>24</v>
      </c>
      <c r="F898" s="5" t="n">
        <v>4</v>
      </c>
      <c r="G898" s="5" t="n">
        <v>1</v>
      </c>
      <c r="H898" s="5" t="n">
        <v>0</v>
      </c>
      <c r="I898" s="5" t="n">
        <v>0</v>
      </c>
      <c r="J898" s="5" t="n">
        <v>0</v>
      </c>
      <c r="K898" s="5" t="n">
        <v>0</v>
      </c>
      <c r="L898" s="5" t="n">
        <v>0</v>
      </c>
      <c r="M898" s="5" t="n">
        <v>0</v>
      </c>
      <c r="N898" s="5" t="n">
        <v>0</v>
      </c>
      <c r="O898" s="5" t="n">
        <v>0</v>
      </c>
      <c r="P898" s="5" t="n">
        <v>1</v>
      </c>
      <c r="Q898" s="5" t="n">
        <v>0</v>
      </c>
      <c r="R898" s="5" t="n">
        <v>0</v>
      </c>
      <c r="S898" s="5" t="n">
        <v>0</v>
      </c>
      <c r="T898" s="5" t="n">
        <v>1</v>
      </c>
      <c r="U898" s="5" t="inlineStr">
        <is>
          <t>training</t>
        </is>
      </c>
    </row>
    <row r="899">
      <c r="A899" s="5" t="n">
        <v>871</v>
      </c>
      <c r="B899" s="5" t="n">
        <v>0</v>
      </c>
      <c r="C899" s="5" t="n">
        <v>36</v>
      </c>
      <c r="D899" s="5" t="n">
        <v>7678</v>
      </c>
      <c r="E899" s="5" t="n">
        <v>40</v>
      </c>
      <c r="F899" s="5" t="n">
        <v>2</v>
      </c>
      <c r="G899" s="5" t="n">
        <v>0</v>
      </c>
      <c r="H899" s="5" t="n">
        <v>0</v>
      </c>
      <c r="I899" s="5" t="n">
        <v>0</v>
      </c>
      <c r="J899" s="5" t="n">
        <v>0</v>
      </c>
      <c r="K899" s="5" t="n">
        <v>1</v>
      </c>
      <c r="L899" s="5" t="n">
        <v>0</v>
      </c>
      <c r="M899" s="5" t="n">
        <v>1</v>
      </c>
      <c r="N899" s="5" t="n">
        <v>0</v>
      </c>
      <c r="O899" s="5" t="n">
        <v>0</v>
      </c>
      <c r="P899" s="5" t="n">
        <v>0</v>
      </c>
      <c r="Q899" s="5" t="n">
        <v>0</v>
      </c>
      <c r="R899" s="5" t="n">
        <v>0</v>
      </c>
      <c r="S899" s="5" t="n">
        <v>0</v>
      </c>
      <c r="T899" s="5" t="n">
        <v>1</v>
      </c>
      <c r="U899" s="5" t="inlineStr">
        <is>
          <t>training</t>
        </is>
      </c>
    </row>
    <row r="900">
      <c r="A900" s="5" t="n">
        <v>872</v>
      </c>
      <c r="B900" s="5" t="n">
        <v>0</v>
      </c>
      <c r="C900" s="5" t="n">
        <v>6</v>
      </c>
      <c r="D900" s="5" t="n">
        <v>1343</v>
      </c>
      <c r="E900" s="5" t="n">
        <v>46</v>
      </c>
      <c r="F900" s="5" t="n">
        <v>1</v>
      </c>
      <c r="G900" s="5" t="n">
        <v>0</v>
      </c>
      <c r="H900" s="5" t="n">
        <v>0</v>
      </c>
      <c r="I900" s="5" t="n">
        <v>1</v>
      </c>
      <c r="J900" s="5" t="n">
        <v>1</v>
      </c>
      <c r="K900" s="5" t="n">
        <v>0</v>
      </c>
      <c r="L900" s="5" t="n">
        <v>0</v>
      </c>
      <c r="M900" s="5" t="n">
        <v>0</v>
      </c>
      <c r="N900" s="5" t="n">
        <v>0</v>
      </c>
      <c r="O900" s="5" t="n">
        <v>0</v>
      </c>
      <c r="P900" s="5" t="n">
        <v>0</v>
      </c>
      <c r="Q900" s="5" t="n">
        <v>0</v>
      </c>
      <c r="R900" s="5" t="n">
        <v>1</v>
      </c>
      <c r="S900" s="5" t="n">
        <v>0</v>
      </c>
      <c r="T900" s="5" t="n">
        <v>0</v>
      </c>
      <c r="U900" s="5" t="inlineStr">
        <is>
          <t>training</t>
        </is>
      </c>
    </row>
    <row r="901">
      <c r="A901" s="5" t="n">
        <v>873</v>
      </c>
      <c r="B901" s="5" t="n">
        <v>0</v>
      </c>
      <c r="C901" s="5" t="n">
        <v>24</v>
      </c>
      <c r="D901" s="5" t="n">
        <v>1382</v>
      </c>
      <c r="E901" s="5" t="n">
        <v>26</v>
      </c>
      <c r="F901" s="5" t="n">
        <v>4</v>
      </c>
      <c r="G901" s="5" t="n">
        <v>1</v>
      </c>
      <c r="H901" s="5" t="n">
        <v>0</v>
      </c>
      <c r="I901" s="5" t="n">
        <v>0</v>
      </c>
      <c r="J901" s="5" t="n">
        <v>1</v>
      </c>
      <c r="K901" s="5" t="n">
        <v>0</v>
      </c>
      <c r="L901" s="5" t="n">
        <v>0</v>
      </c>
      <c r="M901" s="5" t="n">
        <v>1</v>
      </c>
      <c r="N901" s="5" t="n">
        <v>0</v>
      </c>
      <c r="O901" s="5" t="n">
        <v>0</v>
      </c>
      <c r="P901" s="5" t="n">
        <v>0</v>
      </c>
      <c r="Q901" s="5" t="n">
        <v>0</v>
      </c>
      <c r="R901" s="5" t="n">
        <v>0</v>
      </c>
      <c r="S901" s="5" t="n">
        <v>0</v>
      </c>
      <c r="T901" s="5" t="n">
        <v>0</v>
      </c>
      <c r="U901" s="5" t="inlineStr">
        <is>
          <t>training</t>
        </is>
      </c>
    </row>
    <row r="902">
      <c r="A902" s="5" t="n">
        <v>874</v>
      </c>
      <c r="B902" s="5" t="n">
        <v>0</v>
      </c>
      <c r="C902" s="5" t="n">
        <v>15</v>
      </c>
      <c r="D902" s="5" t="n">
        <v>874</v>
      </c>
      <c r="E902" s="5" t="n">
        <v>24</v>
      </c>
      <c r="F902" s="5" t="n">
        <v>4</v>
      </c>
      <c r="G902" s="5" t="n">
        <v>0</v>
      </c>
      <c r="H902" s="5" t="n">
        <v>0</v>
      </c>
      <c r="I902" s="5" t="n">
        <v>0</v>
      </c>
      <c r="J902" s="5" t="n">
        <v>0</v>
      </c>
      <c r="K902" s="5" t="n">
        <v>0</v>
      </c>
      <c r="L902" s="5" t="n">
        <v>0</v>
      </c>
      <c r="M902" s="5" t="n">
        <v>0</v>
      </c>
      <c r="N902" s="5" t="n">
        <v>0</v>
      </c>
      <c r="O902" s="5" t="n">
        <v>1</v>
      </c>
      <c r="P902" s="5" t="n">
        <v>0</v>
      </c>
      <c r="Q902" s="5" t="n">
        <v>0</v>
      </c>
      <c r="R902" s="5" t="n">
        <v>0</v>
      </c>
      <c r="S902" s="5" t="n">
        <v>0</v>
      </c>
      <c r="T902" s="5" t="n">
        <v>0</v>
      </c>
      <c r="U902" s="5" t="inlineStr">
        <is>
          <t>training</t>
        </is>
      </c>
    </row>
    <row r="903">
      <c r="A903" s="5" t="n">
        <v>875</v>
      </c>
      <c r="B903" s="5" t="n">
        <v>0</v>
      </c>
      <c r="C903" s="5" t="n">
        <v>12</v>
      </c>
      <c r="D903" s="5" t="n">
        <v>3590</v>
      </c>
      <c r="E903" s="5" t="n">
        <v>29</v>
      </c>
      <c r="F903" s="5" t="n">
        <v>2</v>
      </c>
      <c r="G903" s="5" t="n">
        <v>1</v>
      </c>
      <c r="H903" s="5" t="n">
        <v>0</v>
      </c>
      <c r="I903" s="5" t="n">
        <v>0</v>
      </c>
      <c r="J903" s="5" t="n">
        <v>0</v>
      </c>
      <c r="K903" s="5" t="n">
        <v>0</v>
      </c>
      <c r="L903" s="5" t="n">
        <v>0</v>
      </c>
      <c r="M903" s="5" t="n">
        <v>0</v>
      </c>
      <c r="N903" s="5" t="n">
        <v>0</v>
      </c>
      <c r="O903" s="5" t="n">
        <v>0</v>
      </c>
      <c r="P903" s="5" t="n">
        <v>0</v>
      </c>
      <c r="Q903" s="5" t="n">
        <v>0</v>
      </c>
      <c r="R903" s="5" t="n">
        <v>0</v>
      </c>
      <c r="S903" s="5" t="n">
        <v>0</v>
      </c>
      <c r="T903" s="5" t="n">
        <v>1</v>
      </c>
      <c r="U903" s="5" t="inlineStr">
        <is>
          <t>testing</t>
        </is>
      </c>
    </row>
    <row r="904">
      <c r="A904" s="5" t="n">
        <v>876</v>
      </c>
      <c r="B904" s="5" t="n">
        <v>0</v>
      </c>
      <c r="C904" s="5" t="n">
        <v>11</v>
      </c>
      <c r="D904" s="5" t="n">
        <v>1322</v>
      </c>
      <c r="E904" s="5" t="n">
        <v>40</v>
      </c>
      <c r="F904" s="5" t="n">
        <v>4</v>
      </c>
      <c r="G904" s="5" t="n">
        <v>0</v>
      </c>
      <c r="H904" s="5" t="n">
        <v>1</v>
      </c>
      <c r="I904" s="5" t="n">
        <v>0</v>
      </c>
      <c r="J904" s="5" t="n">
        <v>1</v>
      </c>
      <c r="K904" s="5" t="n">
        <v>0</v>
      </c>
      <c r="L904" s="5" t="n">
        <v>0</v>
      </c>
      <c r="M904" s="5" t="n">
        <v>0</v>
      </c>
      <c r="N904" s="5" t="n">
        <v>1</v>
      </c>
      <c r="O904" s="5" t="n">
        <v>0</v>
      </c>
      <c r="P904" s="5" t="n">
        <v>0</v>
      </c>
      <c r="Q904" s="5" t="n">
        <v>0</v>
      </c>
      <c r="R904" s="5" t="n">
        <v>1</v>
      </c>
      <c r="S904" s="5" t="n">
        <v>0</v>
      </c>
      <c r="T904" s="5" t="n">
        <v>0</v>
      </c>
      <c r="U904" s="5" t="inlineStr">
        <is>
          <t>training</t>
        </is>
      </c>
    </row>
    <row r="905">
      <c r="A905" s="5" t="n">
        <v>877</v>
      </c>
      <c r="B905" s="5" t="n">
        <v>0</v>
      </c>
      <c r="C905" s="5" t="n">
        <v>18</v>
      </c>
      <c r="D905" s="5" t="n">
        <v>1940</v>
      </c>
      <c r="E905" s="5" t="n">
        <v>36</v>
      </c>
      <c r="F905" s="5" t="n">
        <v>3</v>
      </c>
      <c r="G905" s="5" t="n">
        <v>1</v>
      </c>
      <c r="H905" s="5" t="n">
        <v>0</v>
      </c>
      <c r="I905" s="5" t="n">
        <v>0</v>
      </c>
      <c r="J905" s="5" t="n">
        <v>0</v>
      </c>
      <c r="K905" s="5" t="n">
        <v>0</v>
      </c>
      <c r="L905" s="5" t="n">
        <v>1</v>
      </c>
      <c r="M905" s="5" t="n">
        <v>0</v>
      </c>
      <c r="N905" s="5" t="n">
        <v>0</v>
      </c>
      <c r="O905" s="5" t="n">
        <v>0</v>
      </c>
      <c r="P905" s="5" t="n">
        <v>0</v>
      </c>
      <c r="Q905" s="5" t="n">
        <v>1</v>
      </c>
      <c r="R905" s="5" t="n">
        <v>0</v>
      </c>
      <c r="S905" s="5" t="n">
        <v>1</v>
      </c>
      <c r="T905" s="5" t="n">
        <v>0</v>
      </c>
      <c r="U905" s="5" t="inlineStr">
        <is>
          <t>training</t>
        </is>
      </c>
    </row>
    <row r="906">
      <c r="A906" s="5" t="n">
        <v>878</v>
      </c>
      <c r="B906" s="5" t="n">
        <v>0</v>
      </c>
      <c r="C906" s="5" t="n">
        <v>36</v>
      </c>
      <c r="D906" s="5" t="n">
        <v>3595</v>
      </c>
      <c r="E906" s="5" t="n">
        <v>28</v>
      </c>
      <c r="F906" s="5" t="n">
        <v>4</v>
      </c>
      <c r="G906" s="5" t="n">
        <v>0</v>
      </c>
      <c r="H906" s="5" t="n">
        <v>0</v>
      </c>
      <c r="I906" s="5" t="n">
        <v>0</v>
      </c>
      <c r="J906" s="5" t="n">
        <v>0</v>
      </c>
      <c r="K906" s="5" t="n">
        <v>0</v>
      </c>
      <c r="L906" s="5" t="n">
        <v>0</v>
      </c>
      <c r="M906" s="5" t="n">
        <v>0</v>
      </c>
      <c r="N906" s="5" t="n">
        <v>0</v>
      </c>
      <c r="O906" s="5" t="n">
        <v>0</v>
      </c>
      <c r="P906" s="5" t="n">
        <v>0</v>
      </c>
      <c r="Q906" s="5" t="n">
        <v>0</v>
      </c>
      <c r="R906" s="5" t="n">
        <v>0</v>
      </c>
      <c r="S906" s="5" t="n">
        <v>1</v>
      </c>
      <c r="T906" s="5" t="n">
        <v>0</v>
      </c>
      <c r="U906" s="5" t="inlineStr">
        <is>
          <t>training</t>
        </is>
      </c>
    </row>
    <row r="907">
      <c r="A907" s="5" t="n">
        <v>879</v>
      </c>
      <c r="B907" s="5" t="n">
        <v>1</v>
      </c>
      <c r="C907" s="5" t="n">
        <v>9</v>
      </c>
      <c r="D907" s="5" t="n">
        <v>1422</v>
      </c>
      <c r="E907" s="5" t="n">
        <v>27</v>
      </c>
      <c r="F907" s="5" t="n">
        <v>3</v>
      </c>
      <c r="G907" s="5" t="n">
        <v>1</v>
      </c>
      <c r="H907" s="5" t="n">
        <v>0</v>
      </c>
      <c r="I907" s="5" t="n">
        <v>0</v>
      </c>
      <c r="J907" s="5" t="n">
        <v>0</v>
      </c>
      <c r="K907" s="5" t="n">
        <v>0</v>
      </c>
      <c r="L907" s="5" t="n">
        <v>0</v>
      </c>
      <c r="M907" s="5" t="n">
        <v>0</v>
      </c>
      <c r="N907" s="5" t="n">
        <v>0</v>
      </c>
      <c r="O907" s="5" t="n">
        <v>0</v>
      </c>
      <c r="P907" s="5" t="n">
        <v>0</v>
      </c>
      <c r="Q907" s="5" t="n">
        <v>1</v>
      </c>
      <c r="R907" s="5" t="n">
        <v>1</v>
      </c>
      <c r="S907" s="5" t="n">
        <v>0</v>
      </c>
      <c r="T907" s="5" t="n">
        <v>0</v>
      </c>
      <c r="U907" s="5" t="inlineStr">
        <is>
          <t>training</t>
        </is>
      </c>
    </row>
    <row r="908">
      <c r="A908" s="5" t="n">
        <v>880</v>
      </c>
      <c r="B908" s="5" t="n">
        <v>0</v>
      </c>
      <c r="C908" s="5" t="n">
        <v>30</v>
      </c>
      <c r="D908" s="5" t="n">
        <v>6742</v>
      </c>
      <c r="E908" s="5" t="n">
        <v>36</v>
      </c>
      <c r="F908" s="5" t="n">
        <v>2</v>
      </c>
      <c r="G908" s="5" t="n">
        <v>0</v>
      </c>
      <c r="H908" s="5" t="n">
        <v>0</v>
      </c>
      <c r="I908" s="5" t="n">
        <v>0</v>
      </c>
      <c r="J908" s="5" t="n">
        <v>1</v>
      </c>
      <c r="K908" s="5" t="n">
        <v>0</v>
      </c>
      <c r="L908" s="5" t="n">
        <v>0</v>
      </c>
      <c r="M908" s="5" t="n">
        <v>0</v>
      </c>
      <c r="N908" s="5" t="n">
        <v>0</v>
      </c>
      <c r="O908" s="5" t="n">
        <v>1</v>
      </c>
      <c r="P908" s="5" t="n">
        <v>0</v>
      </c>
      <c r="Q908" s="5" t="n">
        <v>0</v>
      </c>
      <c r="R908" s="5" t="n">
        <v>0</v>
      </c>
      <c r="S908" s="5" t="n">
        <v>1</v>
      </c>
      <c r="T908" s="5" t="n">
        <v>0</v>
      </c>
      <c r="U908" s="5" t="inlineStr">
        <is>
          <t>training</t>
        </is>
      </c>
    </row>
    <row r="909">
      <c r="A909" s="5" t="n">
        <v>881</v>
      </c>
      <c r="B909" s="5" t="n">
        <v>0</v>
      </c>
      <c r="C909" s="5" t="n">
        <v>24</v>
      </c>
      <c r="D909" s="5" t="n">
        <v>7814</v>
      </c>
      <c r="E909" s="5" t="n">
        <v>38</v>
      </c>
      <c r="F909" s="5" t="n">
        <v>3</v>
      </c>
      <c r="G909" s="5" t="n">
        <v>0</v>
      </c>
      <c r="H909" s="5" t="n">
        <v>0</v>
      </c>
      <c r="I909" s="5" t="n">
        <v>0</v>
      </c>
      <c r="J909" s="5" t="n">
        <v>0</v>
      </c>
      <c r="K909" s="5" t="n">
        <v>0</v>
      </c>
      <c r="L909" s="5" t="n">
        <v>0</v>
      </c>
      <c r="M909" s="5" t="n">
        <v>0</v>
      </c>
      <c r="N909" s="5" t="n">
        <v>0</v>
      </c>
      <c r="O909" s="5" t="n">
        <v>0</v>
      </c>
      <c r="P909" s="5" t="n">
        <v>0</v>
      </c>
      <c r="Q909" s="5" t="n">
        <v>0</v>
      </c>
      <c r="R909" s="5" t="n">
        <v>1</v>
      </c>
      <c r="S909" s="5" t="n">
        <v>0</v>
      </c>
      <c r="T909" s="5" t="n">
        <v>0</v>
      </c>
      <c r="U909" s="5" t="inlineStr">
        <is>
          <t>training</t>
        </is>
      </c>
    </row>
    <row r="910">
      <c r="A910" s="5" t="n">
        <v>882</v>
      </c>
      <c r="B910" s="5" t="n">
        <v>0</v>
      </c>
      <c r="C910" s="5" t="n">
        <v>24</v>
      </c>
      <c r="D910" s="5" t="n">
        <v>9277</v>
      </c>
      <c r="E910" s="5" t="n">
        <v>48</v>
      </c>
      <c r="F910" s="5" t="n">
        <v>2</v>
      </c>
      <c r="G910" s="5" t="n">
        <v>0</v>
      </c>
      <c r="H910" s="5" t="n">
        <v>0</v>
      </c>
      <c r="I910" s="5" t="n">
        <v>0</v>
      </c>
      <c r="J910" s="5" t="n">
        <v>0</v>
      </c>
      <c r="K910" s="5" t="n">
        <v>0</v>
      </c>
      <c r="L910" s="5" t="n">
        <v>0</v>
      </c>
      <c r="M910" s="5" t="n">
        <v>0</v>
      </c>
      <c r="N910" s="5" t="n">
        <v>0</v>
      </c>
      <c r="O910" s="5" t="n">
        <v>1</v>
      </c>
      <c r="P910" s="5" t="n">
        <v>0</v>
      </c>
      <c r="Q910" s="5" t="n">
        <v>1</v>
      </c>
      <c r="R910" s="5" t="n">
        <v>1</v>
      </c>
      <c r="S910" s="5" t="n">
        <v>0</v>
      </c>
      <c r="T910" s="5" t="n">
        <v>0</v>
      </c>
      <c r="U910" s="5" t="inlineStr">
        <is>
          <t>training</t>
        </is>
      </c>
    </row>
    <row r="911">
      <c r="A911" s="5" t="n">
        <v>883</v>
      </c>
      <c r="B911" s="5" t="n">
        <v>0</v>
      </c>
      <c r="C911" s="5" t="n">
        <v>30</v>
      </c>
      <c r="D911" s="5" t="n">
        <v>2181</v>
      </c>
      <c r="E911" s="5" t="n">
        <v>36</v>
      </c>
      <c r="F911" s="5" t="n">
        <v>4</v>
      </c>
      <c r="G911" s="5" t="n">
        <v>0</v>
      </c>
      <c r="H911" s="5" t="n">
        <v>1</v>
      </c>
      <c r="I911" s="5" t="n">
        <v>0</v>
      </c>
      <c r="J911" s="5" t="n">
        <v>1</v>
      </c>
      <c r="K911" s="5" t="n">
        <v>0</v>
      </c>
      <c r="L911" s="5" t="n">
        <v>0</v>
      </c>
      <c r="M911" s="5" t="n">
        <v>0</v>
      </c>
      <c r="N911" s="5" t="n">
        <v>0</v>
      </c>
      <c r="O911" s="5" t="n">
        <v>1</v>
      </c>
      <c r="P911" s="5" t="n">
        <v>0</v>
      </c>
      <c r="Q911" s="5" t="n">
        <v>0</v>
      </c>
      <c r="R911" s="5" t="n">
        <v>1</v>
      </c>
      <c r="S911" s="5" t="n">
        <v>0</v>
      </c>
      <c r="T911" s="5" t="n">
        <v>0</v>
      </c>
      <c r="U911" s="5" t="inlineStr">
        <is>
          <t>testing</t>
        </is>
      </c>
    </row>
    <row r="912">
      <c r="A912" s="5" t="n">
        <v>884</v>
      </c>
      <c r="B912" s="5" t="n">
        <v>0</v>
      </c>
      <c r="C912" s="5" t="n">
        <v>18</v>
      </c>
      <c r="D912" s="5" t="n">
        <v>1098</v>
      </c>
      <c r="E912" s="5" t="n">
        <v>65</v>
      </c>
      <c r="F912" s="5" t="n">
        <v>4</v>
      </c>
      <c r="G912" s="5" t="n">
        <v>0</v>
      </c>
      <c r="H912" s="5" t="n">
        <v>0</v>
      </c>
      <c r="I912" s="5" t="n">
        <v>0</v>
      </c>
      <c r="J912" s="5" t="n">
        <v>1</v>
      </c>
      <c r="K912" s="5" t="n">
        <v>0</v>
      </c>
      <c r="L912" s="5" t="n">
        <v>0</v>
      </c>
      <c r="M912" s="5" t="n">
        <v>0</v>
      </c>
      <c r="N912" s="5" t="n">
        <v>0</v>
      </c>
      <c r="O912" s="5" t="n">
        <v>0</v>
      </c>
      <c r="P912" s="5" t="n">
        <v>0</v>
      </c>
      <c r="Q912" s="5" t="n">
        <v>0</v>
      </c>
      <c r="R912" s="5" t="n">
        <v>0</v>
      </c>
      <c r="S912" s="5" t="n">
        <v>1</v>
      </c>
      <c r="T912" s="5" t="n">
        <v>0</v>
      </c>
      <c r="U912" s="5" t="inlineStr">
        <is>
          <t>testing</t>
        </is>
      </c>
    </row>
    <row r="913">
      <c r="A913" s="5" t="n">
        <v>885</v>
      </c>
      <c r="B913" s="5" t="n">
        <v>1</v>
      </c>
      <c r="C913" s="5" t="n">
        <v>24</v>
      </c>
      <c r="D913" s="5" t="n">
        <v>4057</v>
      </c>
      <c r="E913" s="5" t="n">
        <v>43</v>
      </c>
      <c r="F913" s="5" t="n">
        <v>3</v>
      </c>
      <c r="G913" s="5" t="n">
        <v>0</v>
      </c>
      <c r="H913" s="5" t="n">
        <v>1</v>
      </c>
      <c r="I913" s="5" t="n">
        <v>0</v>
      </c>
      <c r="J913" s="5" t="n">
        <v>0</v>
      </c>
      <c r="K913" s="5" t="n">
        <v>0</v>
      </c>
      <c r="L913" s="5" t="n">
        <v>0</v>
      </c>
      <c r="M913" s="5" t="n">
        <v>0</v>
      </c>
      <c r="N913" s="5" t="n">
        <v>0</v>
      </c>
      <c r="O913" s="5" t="n">
        <v>0</v>
      </c>
      <c r="P913" s="5" t="n">
        <v>0</v>
      </c>
      <c r="Q913" s="5" t="n">
        <v>0</v>
      </c>
      <c r="R913" s="5" t="n">
        <v>0</v>
      </c>
      <c r="S913" s="5" t="n">
        <v>0</v>
      </c>
      <c r="T913" s="5" t="n">
        <v>1</v>
      </c>
      <c r="U913" s="5" t="inlineStr">
        <is>
          <t>training</t>
        </is>
      </c>
    </row>
    <row r="914">
      <c r="A914" s="5" t="n">
        <v>886</v>
      </c>
      <c r="B914" s="5" t="n">
        <v>1</v>
      </c>
      <c r="C914" s="5" t="n">
        <v>12</v>
      </c>
      <c r="D914" s="5" t="n">
        <v>795</v>
      </c>
      <c r="E914" s="5" t="n">
        <v>53</v>
      </c>
      <c r="F914" s="5" t="n">
        <v>4</v>
      </c>
      <c r="G914" s="5" t="n">
        <v>1</v>
      </c>
      <c r="H914" s="5" t="n">
        <v>0</v>
      </c>
      <c r="I914" s="5" t="n">
        <v>0</v>
      </c>
      <c r="J914" s="5" t="n">
        <v>0</v>
      </c>
      <c r="K914" s="5" t="n">
        <v>0</v>
      </c>
      <c r="L914" s="5" t="n">
        <v>0</v>
      </c>
      <c r="M914" s="5" t="n">
        <v>0</v>
      </c>
      <c r="N914" s="5" t="n">
        <v>0</v>
      </c>
      <c r="O914" s="5" t="n">
        <v>0</v>
      </c>
      <c r="P914" s="5" t="n">
        <v>0</v>
      </c>
      <c r="Q914" s="5" t="n">
        <v>0</v>
      </c>
      <c r="R914" s="5" t="n">
        <v>0</v>
      </c>
      <c r="S914" s="5" t="n">
        <v>0</v>
      </c>
      <c r="T914" s="5" t="n">
        <v>0</v>
      </c>
      <c r="U914" s="5" t="inlineStr">
        <is>
          <t>testing</t>
        </is>
      </c>
    </row>
    <row r="915">
      <c r="A915" s="5" t="n">
        <v>887</v>
      </c>
      <c r="B915" s="5" t="n">
        <v>0</v>
      </c>
      <c r="C915" s="5" t="n">
        <v>24</v>
      </c>
      <c r="D915" s="5" t="n">
        <v>2825</v>
      </c>
      <c r="E915" s="5" t="n">
        <v>34</v>
      </c>
      <c r="F915" s="5" t="n">
        <v>4</v>
      </c>
      <c r="G915" s="5" t="n">
        <v>0</v>
      </c>
      <c r="H915" s="5" t="n">
        <v>1</v>
      </c>
      <c r="I915" s="5" t="n">
        <v>0</v>
      </c>
      <c r="J915" s="5" t="n">
        <v>1</v>
      </c>
      <c r="K915" s="5" t="n">
        <v>0</v>
      </c>
      <c r="L915" s="5" t="n">
        <v>0</v>
      </c>
      <c r="M915" s="5" t="n">
        <v>0</v>
      </c>
      <c r="N915" s="5" t="n">
        <v>0</v>
      </c>
      <c r="O915" s="5" t="n">
        <v>1</v>
      </c>
      <c r="P915" s="5" t="n">
        <v>0</v>
      </c>
      <c r="Q915" s="5" t="n">
        <v>0</v>
      </c>
      <c r="R915" s="5" t="n">
        <v>0</v>
      </c>
      <c r="S915" s="5" t="n">
        <v>0</v>
      </c>
      <c r="T915" s="5" t="n">
        <v>0</v>
      </c>
      <c r="U915" s="5" t="inlineStr">
        <is>
          <t>training</t>
        </is>
      </c>
    </row>
    <row r="916">
      <c r="A916" s="5" t="n">
        <v>888</v>
      </c>
      <c r="B916" s="5" t="n">
        <v>1</v>
      </c>
      <c r="C916" s="5" t="n">
        <v>48</v>
      </c>
      <c r="D916" s="5" t="n">
        <v>15672</v>
      </c>
      <c r="E916" s="5" t="n">
        <v>23</v>
      </c>
      <c r="F916" s="5" t="n">
        <v>2</v>
      </c>
      <c r="G916" s="5" t="n">
        <v>0</v>
      </c>
      <c r="H916" s="5" t="n">
        <v>1</v>
      </c>
      <c r="I916" s="5" t="n">
        <v>0</v>
      </c>
      <c r="J916" s="5" t="n">
        <v>0</v>
      </c>
      <c r="K916" s="5" t="n">
        <v>0</v>
      </c>
      <c r="L916" s="5" t="n">
        <v>0</v>
      </c>
      <c r="M916" s="5" t="n">
        <v>0</v>
      </c>
      <c r="N916" s="5" t="n">
        <v>0</v>
      </c>
      <c r="O916" s="5" t="n">
        <v>0</v>
      </c>
      <c r="P916" s="5" t="n">
        <v>0</v>
      </c>
      <c r="Q916" s="5" t="n">
        <v>0</v>
      </c>
      <c r="R916" s="5" t="n">
        <v>0</v>
      </c>
      <c r="S916" s="5" t="n">
        <v>0</v>
      </c>
      <c r="T916" s="5" t="n">
        <v>0</v>
      </c>
      <c r="U916" s="5" t="inlineStr">
        <is>
          <t>training</t>
        </is>
      </c>
    </row>
    <row r="917">
      <c r="A917" s="5" t="n">
        <v>889</v>
      </c>
      <c r="B917" s="5" t="n">
        <v>0</v>
      </c>
      <c r="C917" s="5" t="n">
        <v>36</v>
      </c>
      <c r="D917" s="5" t="n">
        <v>6614</v>
      </c>
      <c r="E917" s="5" t="n">
        <v>34</v>
      </c>
      <c r="F917" s="5" t="n">
        <v>4</v>
      </c>
      <c r="G917" s="5" t="n">
        <v>0</v>
      </c>
      <c r="H917" s="5" t="n">
        <v>0</v>
      </c>
      <c r="I917" s="5" t="n">
        <v>0</v>
      </c>
      <c r="J917" s="5" t="n">
        <v>1</v>
      </c>
      <c r="K917" s="5" t="n">
        <v>0</v>
      </c>
      <c r="L917" s="5" t="n">
        <v>0</v>
      </c>
      <c r="M917" s="5" t="n">
        <v>0</v>
      </c>
      <c r="N917" s="5" t="n">
        <v>0</v>
      </c>
      <c r="O917" s="5" t="n">
        <v>0</v>
      </c>
      <c r="P917" s="5" t="n">
        <v>0</v>
      </c>
      <c r="Q917" s="5" t="n">
        <v>0</v>
      </c>
      <c r="R917" s="5" t="n">
        <v>1</v>
      </c>
      <c r="S917" s="5" t="n">
        <v>0</v>
      </c>
      <c r="T917" s="5" t="n">
        <v>0</v>
      </c>
      <c r="U917" s="5" t="inlineStr">
        <is>
          <t>training</t>
        </is>
      </c>
    </row>
    <row r="918">
      <c r="A918" s="5" t="n">
        <v>890</v>
      </c>
      <c r="B918" s="5" t="n">
        <v>0</v>
      </c>
      <c r="C918" s="5" t="n">
        <v>28</v>
      </c>
      <c r="D918" s="5" t="n">
        <v>7824</v>
      </c>
      <c r="E918" s="5" t="n">
        <v>40</v>
      </c>
      <c r="F918" s="5" t="n">
        <v>3</v>
      </c>
      <c r="G918" s="5" t="n">
        <v>0</v>
      </c>
      <c r="H918" s="5" t="n">
        <v>0</v>
      </c>
      <c r="I918" s="5" t="n">
        <v>0</v>
      </c>
      <c r="J918" s="5" t="n">
        <v>0</v>
      </c>
      <c r="K918" s="5" t="n">
        <v>0</v>
      </c>
      <c r="L918" s="5" t="n">
        <v>1</v>
      </c>
      <c r="M918" s="5" t="n">
        <v>0</v>
      </c>
      <c r="N918" s="5" t="n">
        <v>0</v>
      </c>
      <c r="O918" s="5" t="n">
        <v>1</v>
      </c>
      <c r="P918" s="5" t="n">
        <v>1</v>
      </c>
      <c r="Q918" s="5" t="n">
        <v>0</v>
      </c>
      <c r="R918" s="5" t="n">
        <v>1</v>
      </c>
      <c r="S918" s="5" t="n">
        <v>0</v>
      </c>
      <c r="T918" s="5" t="n">
        <v>0</v>
      </c>
      <c r="U918" s="5" t="inlineStr">
        <is>
          <t>training</t>
        </is>
      </c>
    </row>
    <row r="919">
      <c r="A919" s="5" t="n">
        <v>891</v>
      </c>
      <c r="B919" s="5" t="n">
        <v>0</v>
      </c>
      <c r="C919" s="5" t="n">
        <v>27</v>
      </c>
      <c r="D919" s="5" t="n">
        <v>2442</v>
      </c>
      <c r="E919" s="5" t="n">
        <v>43</v>
      </c>
      <c r="F919" s="5" t="n">
        <v>4</v>
      </c>
      <c r="G919" s="5" t="n">
        <v>1</v>
      </c>
      <c r="H919" s="5" t="n">
        <v>0</v>
      </c>
      <c r="I919" s="5" t="n">
        <v>0</v>
      </c>
      <c r="J919" s="5" t="n">
        <v>1</v>
      </c>
      <c r="K919" s="5" t="n">
        <v>0</v>
      </c>
      <c r="L919" s="5" t="n">
        <v>0</v>
      </c>
      <c r="M919" s="5" t="n">
        <v>0</v>
      </c>
      <c r="N919" s="5" t="n">
        <v>0</v>
      </c>
      <c r="O919" s="5" t="n">
        <v>0</v>
      </c>
      <c r="P919" s="5" t="n">
        <v>0</v>
      </c>
      <c r="Q919" s="5" t="n">
        <v>0</v>
      </c>
      <c r="R919" s="5" t="n">
        <v>0</v>
      </c>
      <c r="S919" s="5" t="n">
        <v>0</v>
      </c>
      <c r="T919" s="5" t="n">
        <v>0</v>
      </c>
      <c r="U919" s="5" t="inlineStr">
        <is>
          <t>training</t>
        </is>
      </c>
    </row>
    <row r="920">
      <c r="A920" s="5" t="n">
        <v>892</v>
      </c>
      <c r="B920" s="5" t="n">
        <v>0</v>
      </c>
      <c r="C920" s="5" t="n">
        <v>15</v>
      </c>
      <c r="D920" s="5" t="n">
        <v>1829</v>
      </c>
      <c r="E920" s="5" t="n">
        <v>46</v>
      </c>
      <c r="F920" s="5" t="n">
        <v>4</v>
      </c>
      <c r="G920" s="5" t="n">
        <v>0</v>
      </c>
      <c r="H920" s="5" t="n">
        <v>0</v>
      </c>
      <c r="I920" s="5" t="n">
        <v>0</v>
      </c>
      <c r="J920" s="5" t="n">
        <v>1</v>
      </c>
      <c r="K920" s="5" t="n">
        <v>0</v>
      </c>
      <c r="L920" s="5" t="n">
        <v>0</v>
      </c>
      <c r="M920" s="5" t="n">
        <v>0</v>
      </c>
      <c r="N920" s="5" t="n">
        <v>0</v>
      </c>
      <c r="O920" s="5" t="n">
        <v>0</v>
      </c>
      <c r="P920" s="5" t="n">
        <v>0</v>
      </c>
      <c r="Q920" s="5" t="n">
        <v>0</v>
      </c>
      <c r="R920" s="5" t="n">
        <v>0</v>
      </c>
      <c r="S920" s="5" t="n">
        <v>1</v>
      </c>
      <c r="T920" s="5" t="n">
        <v>0</v>
      </c>
      <c r="U920" s="5" t="inlineStr">
        <is>
          <t>training</t>
        </is>
      </c>
    </row>
    <row r="921">
      <c r="A921" s="5" t="n">
        <v>893</v>
      </c>
      <c r="B921" s="5" t="n">
        <v>0</v>
      </c>
      <c r="C921" s="5" t="n">
        <v>12</v>
      </c>
      <c r="D921" s="5" t="n">
        <v>2171</v>
      </c>
      <c r="E921" s="5" t="n">
        <v>38</v>
      </c>
      <c r="F921" s="5" t="n">
        <v>4</v>
      </c>
      <c r="G921" s="5" t="n">
        <v>1</v>
      </c>
      <c r="H921" s="5" t="n">
        <v>0</v>
      </c>
      <c r="I921" s="5" t="n">
        <v>0</v>
      </c>
      <c r="J921" s="5" t="n">
        <v>1</v>
      </c>
      <c r="K921" s="5" t="n">
        <v>0</v>
      </c>
      <c r="L921" s="5" t="n">
        <v>0</v>
      </c>
      <c r="M921" s="5" t="n">
        <v>0</v>
      </c>
      <c r="N921" s="5" t="n">
        <v>0</v>
      </c>
      <c r="O921" s="5" t="n">
        <v>0</v>
      </c>
      <c r="P921" s="5" t="n">
        <v>0</v>
      </c>
      <c r="Q921" s="5" t="n">
        <v>0</v>
      </c>
      <c r="R921" s="5" t="n">
        <v>1</v>
      </c>
      <c r="S921" s="5" t="n">
        <v>0</v>
      </c>
      <c r="T921" s="5" t="n">
        <v>0</v>
      </c>
      <c r="U921" s="5" t="inlineStr">
        <is>
          <t>training</t>
        </is>
      </c>
    </row>
    <row r="922">
      <c r="A922" s="5" t="n">
        <v>894</v>
      </c>
      <c r="B922" s="5" t="n">
        <v>0</v>
      </c>
      <c r="C922" s="5" t="n">
        <v>36</v>
      </c>
      <c r="D922" s="5" t="n">
        <v>5800</v>
      </c>
      <c r="E922" s="5" t="n">
        <v>34</v>
      </c>
      <c r="F922" s="5" t="n">
        <v>3</v>
      </c>
      <c r="G922" s="5" t="n">
        <v>0</v>
      </c>
      <c r="H922" s="5" t="n">
        <v>1</v>
      </c>
      <c r="I922" s="5" t="n">
        <v>0</v>
      </c>
      <c r="J922" s="5" t="n">
        <v>1</v>
      </c>
      <c r="K922" s="5" t="n">
        <v>0</v>
      </c>
      <c r="L922" s="5" t="n">
        <v>0</v>
      </c>
      <c r="M922" s="5" t="n">
        <v>0</v>
      </c>
      <c r="N922" s="5" t="n">
        <v>0</v>
      </c>
      <c r="O922" s="5" t="n">
        <v>0</v>
      </c>
      <c r="P922" s="5" t="n">
        <v>0</v>
      </c>
      <c r="Q922" s="5" t="n">
        <v>0</v>
      </c>
      <c r="R922" s="5" t="n">
        <v>1</v>
      </c>
      <c r="S922" s="5" t="n">
        <v>0</v>
      </c>
      <c r="T922" s="5" t="n">
        <v>0</v>
      </c>
      <c r="U922" s="5" t="inlineStr">
        <is>
          <t>testing</t>
        </is>
      </c>
    </row>
    <row r="923">
      <c r="A923" s="5" t="n">
        <v>895</v>
      </c>
      <c r="B923" s="5" t="n">
        <v>0</v>
      </c>
      <c r="C923" s="5" t="n">
        <v>18</v>
      </c>
      <c r="D923" s="5" t="n">
        <v>1169</v>
      </c>
      <c r="E923" s="5" t="n">
        <v>29</v>
      </c>
      <c r="F923" s="5" t="n">
        <v>4</v>
      </c>
      <c r="G923" s="5" t="n">
        <v>0</v>
      </c>
      <c r="H923" s="5" t="n">
        <v>0</v>
      </c>
      <c r="I923" s="5" t="n">
        <v>0</v>
      </c>
      <c r="J923" s="5" t="n">
        <v>1</v>
      </c>
      <c r="K923" s="5" t="n">
        <v>0</v>
      </c>
      <c r="L923" s="5" t="n">
        <v>0</v>
      </c>
      <c r="M923" s="5" t="n">
        <v>0</v>
      </c>
      <c r="N923" s="5" t="n">
        <v>0</v>
      </c>
      <c r="O923" s="5" t="n">
        <v>1</v>
      </c>
      <c r="P923" s="5" t="n">
        <v>0</v>
      </c>
      <c r="Q923" s="5" t="n">
        <v>0</v>
      </c>
      <c r="R923" s="5" t="n">
        <v>0</v>
      </c>
      <c r="S923" s="5" t="n">
        <v>1</v>
      </c>
      <c r="T923" s="5" t="n">
        <v>0</v>
      </c>
      <c r="U923" s="5" t="inlineStr">
        <is>
          <t>training</t>
        </is>
      </c>
    </row>
    <row r="924">
      <c r="A924" s="5" t="n">
        <v>896</v>
      </c>
      <c r="B924" s="5" t="n">
        <v>0</v>
      </c>
      <c r="C924" s="5" t="n">
        <v>36</v>
      </c>
      <c r="D924" s="5" t="n">
        <v>8947</v>
      </c>
      <c r="E924" s="5" t="n">
        <v>31</v>
      </c>
      <c r="F924" s="5" t="n">
        <v>3</v>
      </c>
      <c r="G924" s="5" t="n">
        <v>0</v>
      </c>
      <c r="H924" s="5" t="n">
        <v>0</v>
      </c>
      <c r="I924" s="5" t="n">
        <v>0</v>
      </c>
      <c r="J924" s="5" t="n">
        <v>0</v>
      </c>
      <c r="K924" s="5" t="n">
        <v>1</v>
      </c>
      <c r="L924" s="5" t="n">
        <v>0</v>
      </c>
      <c r="M924" s="5" t="n">
        <v>0</v>
      </c>
      <c r="N924" s="5" t="n">
        <v>0</v>
      </c>
      <c r="O924" s="5" t="n">
        <v>1</v>
      </c>
      <c r="P924" s="5" t="n">
        <v>0</v>
      </c>
      <c r="Q924" s="5" t="n">
        <v>0</v>
      </c>
      <c r="R924" s="5" t="n">
        <v>1</v>
      </c>
      <c r="S924" s="5" t="n">
        <v>0</v>
      </c>
      <c r="T924" s="5" t="n">
        <v>0</v>
      </c>
      <c r="U924" s="5" t="inlineStr">
        <is>
          <t>testing</t>
        </is>
      </c>
    </row>
    <row r="925">
      <c r="A925" s="5" t="n">
        <v>897</v>
      </c>
      <c r="B925" s="5" t="n">
        <v>0</v>
      </c>
      <c r="C925" s="5" t="n">
        <v>21</v>
      </c>
      <c r="D925" s="5" t="n">
        <v>2606</v>
      </c>
      <c r="E925" s="5" t="n">
        <v>28</v>
      </c>
      <c r="F925" s="5" t="n">
        <v>4</v>
      </c>
      <c r="G925" s="5" t="n">
        <v>1</v>
      </c>
      <c r="H925" s="5" t="n">
        <v>0</v>
      </c>
      <c r="I925" s="5" t="n">
        <v>0</v>
      </c>
      <c r="J925" s="5" t="n">
        <v>0</v>
      </c>
      <c r="K925" s="5" t="n">
        <v>0</v>
      </c>
      <c r="L925" s="5" t="n">
        <v>0</v>
      </c>
      <c r="M925" s="5" t="n">
        <v>0</v>
      </c>
      <c r="N925" s="5" t="n">
        <v>0</v>
      </c>
      <c r="O925" s="5" t="n">
        <v>0</v>
      </c>
      <c r="P925" s="5" t="n">
        <v>1</v>
      </c>
      <c r="Q925" s="5" t="n">
        <v>0</v>
      </c>
      <c r="R925" s="5" t="n">
        <v>0</v>
      </c>
      <c r="S925" s="5" t="n">
        <v>1</v>
      </c>
      <c r="T925" s="5" t="n">
        <v>0</v>
      </c>
      <c r="U925" s="5" t="inlineStr">
        <is>
          <t>testing</t>
        </is>
      </c>
    </row>
    <row r="926">
      <c r="A926" s="5" t="n">
        <v>898</v>
      </c>
      <c r="B926" s="5" t="n">
        <v>0</v>
      </c>
      <c r="C926" s="5" t="n">
        <v>12</v>
      </c>
      <c r="D926" s="5" t="n">
        <v>1592</v>
      </c>
      <c r="E926" s="5" t="n">
        <v>35</v>
      </c>
      <c r="F926" s="5" t="n">
        <v>3</v>
      </c>
      <c r="G926" s="5" t="n">
        <v>0</v>
      </c>
      <c r="H926" s="5" t="n">
        <v>0</v>
      </c>
      <c r="I926" s="5" t="n">
        <v>0</v>
      </c>
      <c r="J926" s="5" t="n">
        <v>1</v>
      </c>
      <c r="K926" s="5" t="n">
        <v>0</v>
      </c>
      <c r="L926" s="5" t="n">
        <v>0</v>
      </c>
      <c r="M926" s="5" t="n">
        <v>0</v>
      </c>
      <c r="N926" s="5" t="n">
        <v>1</v>
      </c>
      <c r="O926" s="5" t="n">
        <v>0</v>
      </c>
      <c r="P926" s="5" t="n">
        <v>0</v>
      </c>
      <c r="Q926" s="5" t="n">
        <v>0</v>
      </c>
      <c r="R926" s="5" t="n">
        <v>0</v>
      </c>
      <c r="S926" s="5" t="n">
        <v>0</v>
      </c>
      <c r="T926" s="5" t="n">
        <v>1</v>
      </c>
      <c r="U926" s="5" t="inlineStr">
        <is>
          <t>training</t>
        </is>
      </c>
    </row>
    <row r="927">
      <c r="A927" s="5" t="n">
        <v>899</v>
      </c>
      <c r="B927" s="5" t="n">
        <v>0</v>
      </c>
      <c r="C927" s="5" t="n">
        <v>15</v>
      </c>
      <c r="D927" s="5" t="n">
        <v>2186</v>
      </c>
      <c r="E927" s="5" t="n">
        <v>33</v>
      </c>
      <c r="F927" s="5" t="n">
        <v>1</v>
      </c>
      <c r="G927" s="5" t="n">
        <v>0</v>
      </c>
      <c r="H927" s="5" t="n">
        <v>0</v>
      </c>
      <c r="I927" s="5" t="n">
        <v>0</v>
      </c>
      <c r="J927" s="5" t="n">
        <v>0</v>
      </c>
      <c r="K927" s="5" t="n">
        <v>0</v>
      </c>
      <c r="L927" s="5" t="n">
        <v>0</v>
      </c>
      <c r="M927" s="5" t="n">
        <v>0</v>
      </c>
      <c r="N927" s="5" t="n">
        <v>0</v>
      </c>
      <c r="O927" s="5" t="n">
        <v>1</v>
      </c>
      <c r="P927" s="5" t="n">
        <v>1</v>
      </c>
      <c r="Q927" s="5" t="n">
        <v>0</v>
      </c>
      <c r="R927" s="5" t="n">
        <v>0</v>
      </c>
      <c r="S927" s="5" t="n">
        <v>0</v>
      </c>
      <c r="T927" s="5" t="n">
        <v>1</v>
      </c>
      <c r="U927" s="5" t="inlineStr">
        <is>
          <t>testing</t>
        </is>
      </c>
    </row>
    <row r="928">
      <c r="A928" s="5" t="n">
        <v>900</v>
      </c>
      <c r="B928" s="5" t="n">
        <v>1</v>
      </c>
      <c r="C928" s="5" t="n">
        <v>18</v>
      </c>
      <c r="D928" s="5" t="n">
        <v>4153</v>
      </c>
      <c r="E928" s="5" t="n">
        <v>42</v>
      </c>
      <c r="F928" s="5" t="n">
        <v>2</v>
      </c>
      <c r="G928" s="5" t="n">
        <v>1</v>
      </c>
      <c r="H928" s="5" t="n">
        <v>0</v>
      </c>
      <c r="I928" s="5" t="n">
        <v>0</v>
      </c>
      <c r="J928" s="5" t="n">
        <v>0</v>
      </c>
      <c r="K928" s="5" t="n">
        <v>0</v>
      </c>
      <c r="L928" s="5" t="n">
        <v>0</v>
      </c>
      <c r="M928" s="5" t="n">
        <v>0</v>
      </c>
      <c r="N928" s="5" t="n">
        <v>0</v>
      </c>
      <c r="O928" s="5" t="n">
        <v>0</v>
      </c>
      <c r="P928" s="5" t="n">
        <v>0</v>
      </c>
      <c r="Q928" s="5" t="n">
        <v>0</v>
      </c>
      <c r="R928" s="5" t="n">
        <v>0</v>
      </c>
      <c r="S928" s="5" t="n">
        <v>0</v>
      </c>
      <c r="T928" s="5" t="n">
        <v>1</v>
      </c>
      <c r="U928" s="5" t="inlineStr">
        <is>
          <t>training</t>
        </is>
      </c>
    </row>
    <row r="929">
      <c r="A929" s="5" t="n">
        <v>901</v>
      </c>
      <c r="B929" s="5" t="n">
        <v>1</v>
      </c>
      <c r="C929" s="5" t="n">
        <v>16</v>
      </c>
      <c r="D929" s="5" t="n">
        <v>2625</v>
      </c>
      <c r="E929" s="5" t="n">
        <v>43</v>
      </c>
      <c r="F929" s="5" t="n">
        <v>2</v>
      </c>
      <c r="G929" s="5" t="n">
        <v>1</v>
      </c>
      <c r="H929" s="5" t="n">
        <v>0</v>
      </c>
      <c r="I929" s="5" t="n">
        <v>0</v>
      </c>
      <c r="J929" s="5" t="n">
        <v>1</v>
      </c>
      <c r="K929" s="5" t="n">
        <v>0</v>
      </c>
      <c r="L929" s="5" t="n">
        <v>0</v>
      </c>
      <c r="M929" s="5" t="n">
        <v>0</v>
      </c>
      <c r="N929" s="5" t="n">
        <v>0</v>
      </c>
      <c r="O929" s="5" t="n">
        <v>0</v>
      </c>
      <c r="P929" s="5" t="n">
        <v>1</v>
      </c>
      <c r="Q929" s="5" t="n">
        <v>0</v>
      </c>
      <c r="R929" s="5" t="n">
        <v>1</v>
      </c>
      <c r="S929" s="5" t="n">
        <v>0</v>
      </c>
      <c r="T929" s="5" t="n">
        <v>0</v>
      </c>
      <c r="U929" s="5" t="inlineStr">
        <is>
          <t>training</t>
        </is>
      </c>
    </row>
    <row r="930">
      <c r="A930" s="5" t="n">
        <v>902</v>
      </c>
      <c r="B930" s="5" t="n">
        <v>0</v>
      </c>
      <c r="C930" s="5" t="n">
        <v>20</v>
      </c>
      <c r="D930" s="5" t="n">
        <v>3485</v>
      </c>
      <c r="E930" s="5" t="n">
        <v>44</v>
      </c>
      <c r="F930" s="5" t="n">
        <v>2</v>
      </c>
      <c r="G930" s="5" t="n">
        <v>0</v>
      </c>
      <c r="H930" s="5" t="n">
        <v>0</v>
      </c>
      <c r="I930" s="5" t="n">
        <v>0</v>
      </c>
      <c r="J930" s="5" t="n">
        <v>1</v>
      </c>
      <c r="K930" s="5" t="n">
        <v>0</v>
      </c>
      <c r="L930" s="5" t="n">
        <v>0</v>
      </c>
      <c r="M930" s="5" t="n">
        <v>0</v>
      </c>
      <c r="N930" s="5" t="n">
        <v>0</v>
      </c>
      <c r="O930" s="5" t="n">
        <v>1</v>
      </c>
      <c r="P930" s="5" t="n">
        <v>0</v>
      </c>
      <c r="Q930" s="5" t="n">
        <v>0</v>
      </c>
      <c r="R930" s="5" t="n">
        <v>1</v>
      </c>
      <c r="S930" s="5" t="n">
        <v>0</v>
      </c>
      <c r="T930" s="5" t="n">
        <v>0</v>
      </c>
      <c r="U930" s="5" t="inlineStr">
        <is>
          <t>testing</t>
        </is>
      </c>
    </row>
    <row r="931">
      <c r="A931" s="5" t="n">
        <v>903</v>
      </c>
      <c r="B931" s="5" t="n">
        <v>0</v>
      </c>
      <c r="C931" s="5" t="n">
        <v>36</v>
      </c>
      <c r="D931" s="5" t="n">
        <v>10477</v>
      </c>
      <c r="E931" s="5" t="n">
        <v>42</v>
      </c>
      <c r="F931" s="5" t="n">
        <v>2</v>
      </c>
      <c r="G931" s="5" t="n">
        <v>0</v>
      </c>
      <c r="H931" s="5" t="n">
        <v>0</v>
      </c>
      <c r="I931" s="5" t="n">
        <v>0</v>
      </c>
      <c r="J931" s="5" t="n">
        <v>1</v>
      </c>
      <c r="K931" s="5" t="n">
        <v>0</v>
      </c>
      <c r="L931" s="5" t="n">
        <v>0</v>
      </c>
      <c r="M931" s="5" t="n">
        <v>0</v>
      </c>
      <c r="N931" s="5" t="n">
        <v>0</v>
      </c>
      <c r="O931" s="5" t="n">
        <v>1</v>
      </c>
      <c r="P931" s="5" t="n">
        <v>0</v>
      </c>
      <c r="Q931" s="5" t="n">
        <v>1</v>
      </c>
      <c r="R931" s="5" t="n">
        <v>1</v>
      </c>
      <c r="S931" s="5" t="n">
        <v>0</v>
      </c>
      <c r="T931" s="5" t="n">
        <v>0</v>
      </c>
      <c r="U931" s="5" t="inlineStr">
        <is>
          <t>training</t>
        </is>
      </c>
    </row>
    <row r="932">
      <c r="A932" s="5" t="n">
        <v>904</v>
      </c>
      <c r="B932" s="5" t="n">
        <v>0</v>
      </c>
      <c r="C932" s="5" t="n">
        <v>15</v>
      </c>
      <c r="D932" s="5" t="n">
        <v>1386</v>
      </c>
      <c r="E932" s="5" t="n">
        <v>40</v>
      </c>
      <c r="F932" s="5" t="n">
        <v>4</v>
      </c>
      <c r="G932" s="5" t="n">
        <v>0</v>
      </c>
      <c r="H932" s="5" t="n">
        <v>0</v>
      </c>
      <c r="I932" s="5" t="n">
        <v>0</v>
      </c>
      <c r="J932" s="5" t="n">
        <v>0</v>
      </c>
      <c r="K932" s="5" t="n">
        <v>0</v>
      </c>
      <c r="L932" s="5" t="n">
        <v>0</v>
      </c>
      <c r="M932" s="5" t="n">
        <v>0</v>
      </c>
      <c r="N932" s="5" t="n">
        <v>0</v>
      </c>
      <c r="O932" s="5" t="n">
        <v>1</v>
      </c>
      <c r="P932" s="5" t="n">
        <v>1</v>
      </c>
      <c r="Q932" s="5" t="n">
        <v>0</v>
      </c>
      <c r="R932" s="5" t="n">
        <v>0</v>
      </c>
      <c r="S932" s="5" t="n">
        <v>1</v>
      </c>
      <c r="T932" s="5" t="n">
        <v>0</v>
      </c>
      <c r="U932" s="5" t="inlineStr">
        <is>
          <t>testing</t>
        </is>
      </c>
    </row>
    <row r="933">
      <c r="A933" s="5" t="n">
        <v>905</v>
      </c>
      <c r="B933" s="5" t="n">
        <v>0</v>
      </c>
      <c r="C933" s="5" t="n">
        <v>24</v>
      </c>
      <c r="D933" s="5" t="n">
        <v>1278</v>
      </c>
      <c r="E933" s="5" t="n">
        <v>36</v>
      </c>
      <c r="F933" s="5" t="n">
        <v>4</v>
      </c>
      <c r="G933" s="5" t="n">
        <v>0</v>
      </c>
      <c r="H933" s="5" t="n">
        <v>0</v>
      </c>
      <c r="I933" s="5" t="n">
        <v>0</v>
      </c>
      <c r="J933" s="5" t="n">
        <v>0</v>
      </c>
      <c r="K933" s="5" t="n">
        <v>0</v>
      </c>
      <c r="L933" s="5" t="n">
        <v>0</v>
      </c>
      <c r="M933" s="5" t="n">
        <v>0</v>
      </c>
      <c r="N933" s="5" t="n">
        <v>0</v>
      </c>
      <c r="O933" s="5" t="n">
        <v>0</v>
      </c>
      <c r="P933" s="5" t="n">
        <v>0</v>
      </c>
      <c r="Q933" s="5" t="n">
        <v>0</v>
      </c>
      <c r="R933" s="5" t="n">
        <v>0</v>
      </c>
      <c r="S933" s="5" t="n">
        <v>1</v>
      </c>
      <c r="T933" s="5" t="n">
        <v>0</v>
      </c>
      <c r="U933" s="5" t="inlineStr">
        <is>
          <t>training</t>
        </is>
      </c>
    </row>
    <row r="934">
      <c r="A934" s="5" t="n">
        <v>906</v>
      </c>
      <c r="B934" s="5" t="n">
        <v>0</v>
      </c>
      <c r="C934" s="5" t="n">
        <v>12</v>
      </c>
      <c r="D934" s="5" t="n">
        <v>1107</v>
      </c>
      <c r="E934" s="5" t="n">
        <v>20</v>
      </c>
      <c r="F934" s="5" t="n">
        <v>2</v>
      </c>
      <c r="G934" s="5" t="n">
        <v>1</v>
      </c>
      <c r="H934" s="5" t="n">
        <v>0</v>
      </c>
      <c r="I934" s="5" t="n">
        <v>0</v>
      </c>
      <c r="J934" s="5" t="n">
        <v>0</v>
      </c>
      <c r="K934" s="5" t="n">
        <v>0</v>
      </c>
      <c r="L934" s="5" t="n">
        <v>0</v>
      </c>
      <c r="M934" s="5" t="n">
        <v>0</v>
      </c>
      <c r="N934" s="5" t="n">
        <v>0</v>
      </c>
      <c r="O934" s="5" t="n">
        <v>0</v>
      </c>
      <c r="P934" s="5" t="n">
        <v>1</v>
      </c>
      <c r="Q934" s="5" t="n">
        <v>0</v>
      </c>
      <c r="R934" s="5" t="n">
        <v>0</v>
      </c>
      <c r="S934" s="5" t="n">
        <v>1</v>
      </c>
      <c r="T934" s="5" t="n">
        <v>0</v>
      </c>
      <c r="U934" s="5" t="inlineStr">
        <is>
          <t>testing</t>
        </is>
      </c>
    </row>
    <row r="935">
      <c r="A935" s="5" t="n">
        <v>907</v>
      </c>
      <c r="B935" s="5" t="n">
        <v>0</v>
      </c>
      <c r="C935" s="5" t="n">
        <v>21</v>
      </c>
      <c r="D935" s="5" t="n">
        <v>3763</v>
      </c>
      <c r="E935" s="5" t="n">
        <v>24</v>
      </c>
      <c r="F935" s="5" t="n">
        <v>2</v>
      </c>
      <c r="G935" s="5" t="n">
        <v>1</v>
      </c>
      <c r="H935" s="5" t="n">
        <v>0</v>
      </c>
      <c r="I935" s="5" t="n">
        <v>0</v>
      </c>
      <c r="J935" s="5" t="n">
        <v>0</v>
      </c>
      <c r="K935" s="5" t="n">
        <v>0</v>
      </c>
      <c r="L935" s="5" t="n">
        <v>0</v>
      </c>
      <c r="M935" s="5" t="n">
        <v>0</v>
      </c>
      <c r="N935" s="5" t="n">
        <v>0</v>
      </c>
      <c r="O935" s="5" t="n">
        <v>1</v>
      </c>
      <c r="P935" s="5" t="n">
        <v>0</v>
      </c>
      <c r="Q935" s="5" t="n">
        <v>0</v>
      </c>
      <c r="R935" s="5" t="n">
        <v>1</v>
      </c>
      <c r="S935" s="5" t="n">
        <v>0</v>
      </c>
      <c r="T935" s="5" t="n">
        <v>0</v>
      </c>
      <c r="U935" s="5" t="inlineStr">
        <is>
          <t>training</t>
        </is>
      </c>
    </row>
    <row r="936">
      <c r="A936" s="5" t="n">
        <v>908</v>
      </c>
      <c r="B936" s="5" t="n">
        <v>0</v>
      </c>
      <c r="C936" s="5" t="n">
        <v>36</v>
      </c>
      <c r="D936" s="5" t="n">
        <v>3711</v>
      </c>
      <c r="E936" s="5" t="n">
        <v>27</v>
      </c>
      <c r="F936" s="5" t="n">
        <v>2</v>
      </c>
      <c r="G936" s="5" t="n">
        <v>0</v>
      </c>
      <c r="H936" s="5" t="n">
        <v>1</v>
      </c>
      <c r="I936" s="5" t="n">
        <v>0</v>
      </c>
      <c r="J936" s="5" t="n">
        <v>0</v>
      </c>
      <c r="K936" s="5" t="n">
        <v>0</v>
      </c>
      <c r="L936" s="5" t="n">
        <v>0</v>
      </c>
      <c r="M936" s="5" t="n">
        <v>0</v>
      </c>
      <c r="N936" s="5" t="n">
        <v>0</v>
      </c>
      <c r="O936" s="5" t="n">
        <v>1</v>
      </c>
      <c r="P936" s="5" t="n">
        <v>0</v>
      </c>
      <c r="Q936" s="5" t="n">
        <v>0</v>
      </c>
      <c r="R936" s="5" t="n">
        <v>0</v>
      </c>
      <c r="S936" s="5" t="n">
        <v>0</v>
      </c>
      <c r="T936" s="5" t="n">
        <v>0</v>
      </c>
      <c r="U936" s="5" t="inlineStr">
        <is>
          <t>testing</t>
        </is>
      </c>
    </row>
    <row r="937">
      <c r="A937" s="5" t="n">
        <v>909</v>
      </c>
      <c r="B937" s="5" t="n">
        <v>0</v>
      </c>
      <c r="C937" s="5" t="n">
        <v>15</v>
      </c>
      <c r="D937" s="5" t="n">
        <v>3594</v>
      </c>
      <c r="E937" s="5" t="n">
        <v>46</v>
      </c>
      <c r="F937" s="5" t="n">
        <v>1</v>
      </c>
      <c r="G937" s="5" t="n">
        <v>0</v>
      </c>
      <c r="H937" s="5" t="n">
        <v>0</v>
      </c>
      <c r="I937" s="5" t="n">
        <v>0</v>
      </c>
      <c r="J937" s="5" t="n">
        <v>0</v>
      </c>
      <c r="K937" s="5" t="n">
        <v>1</v>
      </c>
      <c r="L937" s="5" t="n">
        <v>0</v>
      </c>
      <c r="M937" s="5" t="n">
        <v>0</v>
      </c>
      <c r="N937" s="5" t="n">
        <v>0</v>
      </c>
      <c r="O937" s="5" t="n">
        <v>0</v>
      </c>
      <c r="P937" s="5" t="n">
        <v>0</v>
      </c>
      <c r="Q937" s="5" t="n">
        <v>0</v>
      </c>
      <c r="R937" s="5" t="n">
        <v>1</v>
      </c>
      <c r="S937" s="5" t="n">
        <v>0</v>
      </c>
      <c r="T937" s="5" t="n">
        <v>0</v>
      </c>
      <c r="U937" s="5" t="inlineStr">
        <is>
          <t>training</t>
        </is>
      </c>
    </row>
    <row r="938">
      <c r="A938" s="5" t="n">
        <v>910</v>
      </c>
      <c r="B938" s="5" t="n">
        <v>0</v>
      </c>
      <c r="C938" s="5" t="n">
        <v>9</v>
      </c>
      <c r="D938" s="5" t="n">
        <v>3195</v>
      </c>
      <c r="E938" s="5" t="n">
        <v>33</v>
      </c>
      <c r="F938" s="5" t="n">
        <v>1</v>
      </c>
      <c r="G938" s="5" t="n">
        <v>0</v>
      </c>
      <c r="H938" s="5" t="n">
        <v>1</v>
      </c>
      <c r="I938" s="5" t="n">
        <v>0</v>
      </c>
      <c r="J938" s="5" t="n">
        <v>0</v>
      </c>
      <c r="K938" s="5" t="n">
        <v>0</v>
      </c>
      <c r="L938" s="5" t="n">
        <v>0</v>
      </c>
      <c r="M938" s="5" t="n">
        <v>0</v>
      </c>
      <c r="N938" s="5" t="n">
        <v>0</v>
      </c>
      <c r="O938" s="5" t="n">
        <v>1</v>
      </c>
      <c r="P938" s="5" t="n">
        <v>0</v>
      </c>
      <c r="Q938" s="5" t="n">
        <v>0</v>
      </c>
      <c r="R938" s="5" t="n">
        <v>1</v>
      </c>
      <c r="S938" s="5" t="n">
        <v>0</v>
      </c>
      <c r="T938" s="5" t="n">
        <v>0</v>
      </c>
      <c r="U938" s="5" t="inlineStr">
        <is>
          <t>testing</t>
        </is>
      </c>
    </row>
    <row r="939">
      <c r="A939" s="5" t="n">
        <v>911</v>
      </c>
      <c r="B939" s="5" t="n">
        <v>0</v>
      </c>
      <c r="C939" s="5" t="n">
        <v>36</v>
      </c>
      <c r="D939" s="5" t="n">
        <v>4454</v>
      </c>
      <c r="E939" s="5" t="n">
        <v>34</v>
      </c>
      <c r="F939" s="5" t="n">
        <v>4</v>
      </c>
      <c r="G939" s="5" t="n">
        <v>0</v>
      </c>
      <c r="H939" s="5" t="n">
        <v>0</v>
      </c>
      <c r="I939" s="5" t="n">
        <v>0</v>
      </c>
      <c r="J939" s="5" t="n">
        <v>0</v>
      </c>
      <c r="K939" s="5" t="n">
        <v>1</v>
      </c>
      <c r="L939" s="5" t="n">
        <v>0</v>
      </c>
      <c r="M939" s="5" t="n">
        <v>0</v>
      </c>
      <c r="N939" s="5" t="n">
        <v>0</v>
      </c>
      <c r="O939" s="5" t="n">
        <v>0</v>
      </c>
      <c r="P939" s="5" t="n">
        <v>0</v>
      </c>
      <c r="Q939" s="5" t="n">
        <v>0</v>
      </c>
      <c r="R939" s="5" t="n">
        <v>0</v>
      </c>
      <c r="S939" s="5" t="n">
        <v>1</v>
      </c>
      <c r="T939" s="5" t="n">
        <v>0</v>
      </c>
      <c r="U939" s="5" t="inlineStr">
        <is>
          <t>training</t>
        </is>
      </c>
    </row>
    <row r="940">
      <c r="A940" s="5" t="n">
        <v>912</v>
      </c>
      <c r="B940" s="5" t="n">
        <v>1</v>
      </c>
      <c r="C940" s="5" t="n">
        <v>24</v>
      </c>
      <c r="D940" s="5" t="n">
        <v>4736</v>
      </c>
      <c r="E940" s="5" t="n">
        <v>25</v>
      </c>
      <c r="F940" s="5" t="n">
        <v>2</v>
      </c>
      <c r="G940" s="5" t="n">
        <v>0</v>
      </c>
      <c r="H940" s="5" t="n">
        <v>1</v>
      </c>
      <c r="I940" s="5" t="n">
        <v>0</v>
      </c>
      <c r="J940" s="5" t="n">
        <v>1</v>
      </c>
      <c r="K940" s="5" t="n">
        <v>0</v>
      </c>
      <c r="L940" s="5" t="n">
        <v>0</v>
      </c>
      <c r="M940" s="5" t="n">
        <v>0</v>
      </c>
      <c r="N940" s="5" t="n">
        <v>0</v>
      </c>
      <c r="O940" s="5" t="n">
        <v>0</v>
      </c>
      <c r="P940" s="5" t="n">
        <v>0</v>
      </c>
      <c r="Q940" s="5" t="n">
        <v>0</v>
      </c>
      <c r="R940" s="5" t="n">
        <v>0</v>
      </c>
      <c r="S940" s="5" t="n">
        <v>0</v>
      </c>
      <c r="T940" s="5" t="n">
        <v>1</v>
      </c>
      <c r="U940" s="5" t="inlineStr">
        <is>
          <t>testing</t>
        </is>
      </c>
    </row>
    <row r="941">
      <c r="A941" s="5" t="n">
        <v>913</v>
      </c>
      <c r="B941" s="5" t="n">
        <v>0</v>
      </c>
      <c r="C941" s="5" t="n">
        <v>30</v>
      </c>
      <c r="D941" s="5" t="n">
        <v>2991</v>
      </c>
      <c r="E941" s="5" t="n">
        <v>25</v>
      </c>
      <c r="F941" s="5" t="n">
        <v>2</v>
      </c>
      <c r="G941" s="5" t="n">
        <v>0</v>
      </c>
      <c r="H941" s="5" t="n">
        <v>1</v>
      </c>
      <c r="I941" s="5" t="n">
        <v>0</v>
      </c>
      <c r="J941" s="5" t="n">
        <v>0</v>
      </c>
      <c r="K941" s="5" t="n">
        <v>0</v>
      </c>
      <c r="L941" s="5" t="n">
        <v>0</v>
      </c>
      <c r="M941" s="5" t="n">
        <v>0</v>
      </c>
      <c r="N941" s="5" t="n">
        <v>0</v>
      </c>
      <c r="O941" s="5" t="n">
        <v>1</v>
      </c>
      <c r="P941" s="5" t="n">
        <v>0</v>
      </c>
      <c r="Q941" s="5" t="n">
        <v>0</v>
      </c>
      <c r="R941" s="5" t="n">
        <v>0</v>
      </c>
      <c r="S941" s="5" t="n">
        <v>1</v>
      </c>
      <c r="T941" s="5" t="n">
        <v>0</v>
      </c>
      <c r="U941" s="5" t="inlineStr">
        <is>
          <t>training</t>
        </is>
      </c>
    </row>
    <row r="942">
      <c r="A942" s="5" t="n">
        <v>914</v>
      </c>
      <c r="B942" s="5" t="n">
        <v>0</v>
      </c>
      <c r="C942" s="5" t="n">
        <v>11</v>
      </c>
      <c r="D942" s="5" t="n">
        <v>2142</v>
      </c>
      <c r="E942" s="5" t="n">
        <v>28</v>
      </c>
      <c r="F942" s="5" t="n">
        <v>1</v>
      </c>
      <c r="G942" s="5" t="n">
        <v>0</v>
      </c>
      <c r="H942" s="5" t="n">
        <v>0</v>
      </c>
      <c r="I942" s="5" t="n">
        <v>0</v>
      </c>
      <c r="J942" s="5" t="n">
        <v>0</v>
      </c>
      <c r="K942" s="5" t="n">
        <v>0</v>
      </c>
      <c r="L942" s="5" t="n">
        <v>0</v>
      </c>
      <c r="M942" s="5" t="n">
        <v>0</v>
      </c>
      <c r="N942" s="5" t="n">
        <v>1</v>
      </c>
      <c r="O942" s="5" t="n">
        <v>0</v>
      </c>
      <c r="P942" s="5" t="n">
        <v>0</v>
      </c>
      <c r="Q942" s="5" t="n">
        <v>0</v>
      </c>
      <c r="R942" s="5" t="n">
        <v>0</v>
      </c>
      <c r="S942" s="5" t="n">
        <v>0</v>
      </c>
      <c r="T942" s="5" t="n">
        <v>0</v>
      </c>
      <c r="U942" s="5" t="inlineStr">
        <is>
          <t>training</t>
        </is>
      </c>
    </row>
    <row r="943">
      <c r="A943" s="5" t="n">
        <v>915</v>
      </c>
      <c r="B943" s="5" t="n">
        <v>1</v>
      </c>
      <c r="C943" s="5" t="n">
        <v>24</v>
      </c>
      <c r="D943" s="5" t="n">
        <v>3161</v>
      </c>
      <c r="E943" s="5" t="n">
        <v>31</v>
      </c>
      <c r="F943" s="5" t="n">
        <v>4</v>
      </c>
      <c r="G943" s="5" t="n">
        <v>1</v>
      </c>
      <c r="H943" s="5" t="n">
        <v>0</v>
      </c>
      <c r="I943" s="5" t="n">
        <v>0</v>
      </c>
      <c r="J943" s="5" t="n">
        <v>0</v>
      </c>
      <c r="K943" s="5" t="n">
        <v>0</v>
      </c>
      <c r="L943" s="5" t="n">
        <v>1</v>
      </c>
      <c r="M943" s="5" t="n">
        <v>0</v>
      </c>
      <c r="N943" s="5" t="n">
        <v>0</v>
      </c>
      <c r="O943" s="5" t="n">
        <v>0</v>
      </c>
      <c r="P943" s="5" t="n">
        <v>1</v>
      </c>
      <c r="Q943" s="5" t="n">
        <v>0</v>
      </c>
      <c r="R943" s="5" t="n">
        <v>0</v>
      </c>
      <c r="S943" s="5" t="n">
        <v>0</v>
      </c>
      <c r="T943" s="5" t="n">
        <v>0</v>
      </c>
      <c r="U943" s="5" t="inlineStr">
        <is>
          <t>training</t>
        </is>
      </c>
    </row>
    <row r="944">
      <c r="A944" s="5" t="n">
        <v>916</v>
      </c>
      <c r="B944" s="5" t="n">
        <v>1</v>
      </c>
      <c r="C944" s="5" t="n">
        <v>48</v>
      </c>
      <c r="D944" s="5" t="n">
        <v>18424</v>
      </c>
      <c r="E944" s="5" t="n">
        <v>32</v>
      </c>
      <c r="F944" s="5" t="n">
        <v>1</v>
      </c>
      <c r="G944" s="5" t="n">
        <v>0</v>
      </c>
      <c r="H944" s="5" t="n">
        <v>1</v>
      </c>
      <c r="I944" s="5" t="n">
        <v>0</v>
      </c>
      <c r="J944" s="5" t="n">
        <v>0</v>
      </c>
      <c r="K944" s="5" t="n">
        <v>0</v>
      </c>
      <c r="L944" s="5" t="n">
        <v>1</v>
      </c>
      <c r="M944" s="5" t="n">
        <v>0</v>
      </c>
      <c r="N944" s="5" t="n">
        <v>0</v>
      </c>
      <c r="O944" s="5" t="n">
        <v>0</v>
      </c>
      <c r="P944" s="5" t="n">
        <v>0</v>
      </c>
      <c r="Q944" s="5" t="n">
        <v>0</v>
      </c>
      <c r="R944" s="5" t="n">
        <v>0</v>
      </c>
      <c r="S944" s="5" t="n">
        <v>0</v>
      </c>
      <c r="T944" s="5" t="n">
        <v>0</v>
      </c>
      <c r="U944" s="5" t="inlineStr">
        <is>
          <t>testing</t>
        </is>
      </c>
    </row>
    <row r="945">
      <c r="A945" s="5" t="n">
        <v>917</v>
      </c>
      <c r="B945" s="5" t="n">
        <v>0</v>
      </c>
      <c r="C945" s="5" t="n">
        <v>10</v>
      </c>
      <c r="D945" s="5" t="n">
        <v>2848</v>
      </c>
      <c r="E945" s="5" t="n">
        <v>32</v>
      </c>
      <c r="F945" s="5" t="n">
        <v>1</v>
      </c>
      <c r="G945" s="5" t="n">
        <v>0</v>
      </c>
      <c r="H945" s="5" t="n">
        <v>0</v>
      </c>
      <c r="I945" s="5" t="n">
        <v>0</v>
      </c>
      <c r="J945" s="5" t="n">
        <v>0</v>
      </c>
      <c r="K945" s="5" t="n">
        <v>0</v>
      </c>
      <c r="L945" s="5" t="n">
        <v>0</v>
      </c>
      <c r="M945" s="5" t="n">
        <v>1</v>
      </c>
      <c r="N945" s="5" t="n">
        <v>0</v>
      </c>
      <c r="O945" s="5" t="n">
        <v>0</v>
      </c>
      <c r="P945" s="5" t="n">
        <v>0</v>
      </c>
      <c r="Q945" s="5" t="n">
        <v>0</v>
      </c>
      <c r="R945" s="5" t="n">
        <v>1</v>
      </c>
      <c r="S945" s="5" t="n">
        <v>0</v>
      </c>
      <c r="T945" s="5" t="n">
        <v>0</v>
      </c>
      <c r="U945" s="5" t="inlineStr">
        <is>
          <t>testing</t>
        </is>
      </c>
    </row>
    <row r="946">
      <c r="A946" s="5" t="n">
        <v>918</v>
      </c>
      <c r="B946" s="5" t="n">
        <v>1</v>
      </c>
      <c r="C946" s="5" t="n">
        <v>6</v>
      </c>
      <c r="D946" s="5" t="n">
        <v>14896</v>
      </c>
      <c r="E946" s="5" t="n">
        <v>68</v>
      </c>
      <c r="F946" s="5" t="n">
        <v>1</v>
      </c>
      <c r="G946" s="5" t="n">
        <v>1</v>
      </c>
      <c r="H946" s="5" t="n">
        <v>0</v>
      </c>
      <c r="I946" s="5" t="n">
        <v>0</v>
      </c>
      <c r="J946" s="5" t="n">
        <v>0</v>
      </c>
      <c r="K946" s="5" t="n">
        <v>0</v>
      </c>
      <c r="L946" s="5" t="n">
        <v>0</v>
      </c>
      <c r="M946" s="5" t="n">
        <v>0</v>
      </c>
      <c r="N946" s="5" t="n">
        <v>0</v>
      </c>
      <c r="O946" s="5" t="n">
        <v>0</v>
      </c>
      <c r="P946" s="5" t="n">
        <v>0</v>
      </c>
      <c r="Q946" s="5" t="n">
        <v>0</v>
      </c>
      <c r="R946" s="5" t="n">
        <v>1</v>
      </c>
      <c r="S946" s="5" t="n">
        <v>0</v>
      </c>
      <c r="T946" s="5" t="n">
        <v>0</v>
      </c>
      <c r="U946" s="5" t="inlineStr">
        <is>
          <t>training</t>
        </is>
      </c>
    </row>
    <row r="947">
      <c r="A947" s="5" t="n">
        <v>919</v>
      </c>
      <c r="B947" s="5" t="n">
        <v>1</v>
      </c>
      <c r="C947" s="5" t="n">
        <v>24</v>
      </c>
      <c r="D947" s="5" t="n">
        <v>2359</v>
      </c>
      <c r="E947" s="5" t="n">
        <v>33</v>
      </c>
      <c r="F947" s="5" t="n">
        <v>1</v>
      </c>
      <c r="G947" s="5" t="n">
        <v>1</v>
      </c>
      <c r="H947" s="5" t="n">
        <v>0</v>
      </c>
      <c r="I947" s="5" t="n">
        <v>0</v>
      </c>
      <c r="J947" s="5" t="n">
        <v>0</v>
      </c>
      <c r="K947" s="5" t="n">
        <v>0</v>
      </c>
      <c r="L947" s="5" t="n">
        <v>0</v>
      </c>
      <c r="M947" s="5" t="n">
        <v>1</v>
      </c>
      <c r="N947" s="5" t="n">
        <v>0</v>
      </c>
      <c r="O947" s="5" t="n">
        <v>0</v>
      </c>
      <c r="P947" s="5" t="n">
        <v>0</v>
      </c>
      <c r="Q947" s="5" t="n">
        <v>0</v>
      </c>
      <c r="R947" s="5" t="n">
        <v>0</v>
      </c>
      <c r="S947" s="5" t="n">
        <v>0</v>
      </c>
      <c r="T947" s="5" t="n">
        <v>1</v>
      </c>
      <c r="U947" s="5" t="inlineStr">
        <is>
          <t>training</t>
        </is>
      </c>
    </row>
    <row r="948">
      <c r="A948" s="5" t="n">
        <v>920</v>
      </c>
      <c r="B948" s="5" t="n">
        <v>1</v>
      </c>
      <c r="C948" s="5" t="n">
        <v>24</v>
      </c>
      <c r="D948" s="5" t="n">
        <v>3345</v>
      </c>
      <c r="E948" s="5" t="n">
        <v>39</v>
      </c>
      <c r="F948" s="5" t="n">
        <v>4</v>
      </c>
      <c r="G948" s="5" t="n">
        <v>1</v>
      </c>
      <c r="H948" s="5" t="n">
        <v>0</v>
      </c>
      <c r="I948" s="5" t="n">
        <v>0</v>
      </c>
      <c r="J948" s="5" t="n">
        <v>0</v>
      </c>
      <c r="K948" s="5" t="n">
        <v>0</v>
      </c>
      <c r="L948" s="5" t="n">
        <v>0</v>
      </c>
      <c r="M948" s="5" t="n">
        <v>0</v>
      </c>
      <c r="N948" s="5" t="n">
        <v>0</v>
      </c>
      <c r="O948" s="5" t="n">
        <v>0</v>
      </c>
      <c r="P948" s="5" t="n">
        <v>1</v>
      </c>
      <c r="Q948" s="5" t="n">
        <v>0</v>
      </c>
      <c r="R948" s="5" t="n">
        <v>0</v>
      </c>
      <c r="S948" s="5" t="n">
        <v>0</v>
      </c>
      <c r="T948" s="5" t="n">
        <v>1</v>
      </c>
      <c r="U948" s="5" t="inlineStr">
        <is>
          <t>training</t>
        </is>
      </c>
    </row>
    <row r="949">
      <c r="A949" s="5" t="n">
        <v>921</v>
      </c>
      <c r="B949" s="5" t="n">
        <v>0</v>
      </c>
      <c r="C949" s="5" t="n">
        <v>18</v>
      </c>
      <c r="D949" s="5" t="n">
        <v>1817</v>
      </c>
      <c r="E949" s="5" t="n">
        <v>28</v>
      </c>
      <c r="F949" s="5" t="n">
        <v>4</v>
      </c>
      <c r="G949" s="5" t="n">
        <v>0</v>
      </c>
      <c r="H949" s="5" t="n">
        <v>0</v>
      </c>
      <c r="I949" s="5" t="n">
        <v>0</v>
      </c>
      <c r="J949" s="5" t="n">
        <v>1</v>
      </c>
      <c r="K949" s="5" t="n">
        <v>0</v>
      </c>
      <c r="L949" s="5" t="n">
        <v>0</v>
      </c>
      <c r="M949" s="5" t="n">
        <v>0</v>
      </c>
      <c r="N949" s="5" t="n">
        <v>0</v>
      </c>
      <c r="O949" s="5" t="n">
        <v>0</v>
      </c>
      <c r="P949" s="5" t="n">
        <v>0</v>
      </c>
      <c r="Q949" s="5" t="n">
        <v>0</v>
      </c>
      <c r="R949" s="5" t="n">
        <v>0</v>
      </c>
      <c r="S949" s="5" t="n">
        <v>0</v>
      </c>
      <c r="T949" s="5" t="n">
        <v>1</v>
      </c>
      <c r="U949" s="5" t="inlineStr">
        <is>
          <t>testing</t>
        </is>
      </c>
    </row>
    <row r="950">
      <c r="A950" s="5" t="n">
        <v>922</v>
      </c>
      <c r="B950" s="5" t="n">
        <v>0</v>
      </c>
      <c r="C950" s="5" t="n">
        <v>48</v>
      </c>
      <c r="D950" s="5" t="n">
        <v>12749</v>
      </c>
      <c r="E950" s="5" t="n">
        <v>37</v>
      </c>
      <c r="F950" s="5" t="n">
        <v>4</v>
      </c>
      <c r="G950" s="5" t="n">
        <v>0</v>
      </c>
      <c r="H950" s="5" t="n">
        <v>0</v>
      </c>
      <c r="I950" s="5" t="n">
        <v>0</v>
      </c>
      <c r="J950" s="5" t="n">
        <v>0</v>
      </c>
      <c r="K950" s="5" t="n">
        <v>1</v>
      </c>
      <c r="L950" s="5" t="n">
        <v>0</v>
      </c>
      <c r="M950" s="5" t="n">
        <v>1</v>
      </c>
      <c r="N950" s="5" t="n">
        <v>0</v>
      </c>
      <c r="O950" s="5" t="n">
        <v>0</v>
      </c>
      <c r="P950" s="5" t="n">
        <v>0</v>
      </c>
      <c r="Q950" s="5" t="n">
        <v>0</v>
      </c>
      <c r="R950" s="5" t="n">
        <v>0</v>
      </c>
      <c r="S950" s="5" t="n">
        <v>1</v>
      </c>
      <c r="T950" s="5" t="n">
        <v>0</v>
      </c>
      <c r="U950" s="5" t="inlineStr">
        <is>
          <t>training</t>
        </is>
      </c>
    </row>
    <row r="951">
      <c r="A951" s="5" t="n">
        <v>923</v>
      </c>
      <c r="B951" s="5" t="n">
        <v>1</v>
      </c>
      <c r="C951" s="5" t="n">
        <v>9</v>
      </c>
      <c r="D951" s="5" t="n">
        <v>1366</v>
      </c>
      <c r="E951" s="5" t="n">
        <v>22</v>
      </c>
      <c r="F951" s="5" t="n">
        <v>3</v>
      </c>
      <c r="G951" s="5" t="n">
        <v>1</v>
      </c>
      <c r="H951" s="5" t="n">
        <v>0</v>
      </c>
      <c r="I951" s="5" t="n">
        <v>0</v>
      </c>
      <c r="J951" s="5" t="n">
        <v>0</v>
      </c>
      <c r="K951" s="5" t="n">
        <v>0</v>
      </c>
      <c r="L951" s="5" t="n">
        <v>0</v>
      </c>
      <c r="M951" s="5" t="n">
        <v>0</v>
      </c>
      <c r="N951" s="5" t="n">
        <v>0</v>
      </c>
      <c r="O951" s="5" t="n">
        <v>0</v>
      </c>
      <c r="P951" s="5" t="n">
        <v>1</v>
      </c>
      <c r="Q951" s="5" t="n">
        <v>0</v>
      </c>
      <c r="R951" s="5" t="n">
        <v>0</v>
      </c>
      <c r="S951" s="5" t="n">
        <v>1</v>
      </c>
      <c r="T951" s="5" t="n">
        <v>0</v>
      </c>
      <c r="U951" s="5" t="inlineStr">
        <is>
          <t>training</t>
        </is>
      </c>
    </row>
    <row r="952">
      <c r="A952" s="5" t="n">
        <v>924</v>
      </c>
      <c r="B952" s="5" t="n">
        <v>0</v>
      </c>
      <c r="C952" s="5" t="n">
        <v>12</v>
      </c>
      <c r="D952" s="5" t="n">
        <v>2002</v>
      </c>
      <c r="E952" s="5" t="n">
        <v>30</v>
      </c>
      <c r="F952" s="5" t="n">
        <v>3</v>
      </c>
      <c r="G952" s="5" t="n">
        <v>0</v>
      </c>
      <c r="H952" s="5" t="n">
        <v>1</v>
      </c>
      <c r="I952" s="5" t="n">
        <v>0</v>
      </c>
      <c r="J952" s="5" t="n">
        <v>0</v>
      </c>
      <c r="K952" s="5" t="n">
        <v>0</v>
      </c>
      <c r="L952" s="5" t="n">
        <v>0</v>
      </c>
      <c r="M952" s="5" t="n">
        <v>0</v>
      </c>
      <c r="N952" s="5" t="n">
        <v>0</v>
      </c>
      <c r="O952" s="5" t="n">
        <v>0</v>
      </c>
      <c r="P952" s="5" t="n">
        <v>1</v>
      </c>
      <c r="Q952" s="5" t="n">
        <v>0</v>
      </c>
      <c r="R952" s="5" t="n">
        <v>1</v>
      </c>
      <c r="S952" s="5" t="n">
        <v>0</v>
      </c>
      <c r="T952" s="5" t="n">
        <v>0</v>
      </c>
      <c r="U952" s="5" t="inlineStr">
        <is>
          <t>training</t>
        </is>
      </c>
    </row>
    <row r="953">
      <c r="A953" s="5" t="n">
        <v>925</v>
      </c>
      <c r="B953" s="5" t="n">
        <v>1</v>
      </c>
      <c r="C953" s="5" t="n">
        <v>24</v>
      </c>
      <c r="D953" s="5" t="n">
        <v>6872</v>
      </c>
      <c r="E953" s="5" t="n">
        <v>55</v>
      </c>
      <c r="F953" s="5" t="n">
        <v>2</v>
      </c>
      <c r="G953" s="5" t="n">
        <v>1</v>
      </c>
      <c r="H953" s="5" t="n">
        <v>0</v>
      </c>
      <c r="I953" s="5" t="n">
        <v>0</v>
      </c>
      <c r="J953" s="5" t="n">
        <v>0</v>
      </c>
      <c r="K953" s="5" t="n">
        <v>0</v>
      </c>
      <c r="L953" s="5" t="n">
        <v>1</v>
      </c>
      <c r="M953" s="5" t="n">
        <v>0</v>
      </c>
      <c r="N953" s="5" t="n">
        <v>0</v>
      </c>
      <c r="O953" s="5" t="n">
        <v>0</v>
      </c>
      <c r="P953" s="5" t="n">
        <v>0</v>
      </c>
      <c r="Q953" s="5" t="n">
        <v>0</v>
      </c>
      <c r="R953" s="5" t="n">
        <v>0</v>
      </c>
      <c r="S953" s="5" t="n">
        <v>0</v>
      </c>
      <c r="T953" s="5" t="n">
        <v>1</v>
      </c>
      <c r="U953" s="5" t="inlineStr">
        <is>
          <t>training</t>
        </is>
      </c>
    </row>
    <row r="954">
      <c r="A954" s="5" t="n">
        <v>926</v>
      </c>
      <c r="B954" s="5" t="n">
        <v>1</v>
      </c>
      <c r="C954" s="5" t="n">
        <v>12</v>
      </c>
      <c r="D954" s="5" t="n">
        <v>697</v>
      </c>
      <c r="E954" s="5" t="n">
        <v>46</v>
      </c>
      <c r="F954" s="5" t="n">
        <v>4</v>
      </c>
      <c r="G954" s="5" t="n">
        <v>1</v>
      </c>
      <c r="H954" s="5" t="n">
        <v>0</v>
      </c>
      <c r="I954" s="5" t="n">
        <v>0</v>
      </c>
      <c r="J954" s="5" t="n">
        <v>0</v>
      </c>
      <c r="K954" s="5" t="n">
        <v>0</v>
      </c>
      <c r="L954" s="5" t="n">
        <v>1</v>
      </c>
      <c r="M954" s="5" t="n">
        <v>0</v>
      </c>
      <c r="N954" s="5" t="n">
        <v>0</v>
      </c>
      <c r="O954" s="5" t="n">
        <v>0</v>
      </c>
      <c r="P954" s="5" t="n">
        <v>0</v>
      </c>
      <c r="Q954" s="5" t="n">
        <v>0</v>
      </c>
      <c r="R954" s="5" t="n">
        <v>1</v>
      </c>
      <c r="S954" s="5" t="n">
        <v>0</v>
      </c>
      <c r="T954" s="5" t="n">
        <v>0</v>
      </c>
      <c r="U954" s="5" t="inlineStr">
        <is>
          <t>training</t>
        </is>
      </c>
    </row>
    <row r="955">
      <c r="A955" s="5" t="n">
        <v>927</v>
      </c>
      <c r="B955" s="5" t="n">
        <v>0</v>
      </c>
      <c r="C955" s="5" t="n">
        <v>18</v>
      </c>
      <c r="D955" s="5" t="n">
        <v>1049</v>
      </c>
      <c r="E955" s="5" t="n">
        <v>21</v>
      </c>
      <c r="F955" s="5" t="n">
        <v>4</v>
      </c>
      <c r="G955" s="5" t="n">
        <v>1</v>
      </c>
      <c r="H955" s="5" t="n">
        <v>0</v>
      </c>
      <c r="I955" s="5" t="n">
        <v>0</v>
      </c>
      <c r="J955" s="5" t="n">
        <v>1</v>
      </c>
      <c r="K955" s="5" t="n">
        <v>0</v>
      </c>
      <c r="L955" s="5" t="n">
        <v>0</v>
      </c>
      <c r="M955" s="5" t="n">
        <v>0</v>
      </c>
      <c r="N955" s="5" t="n">
        <v>0</v>
      </c>
      <c r="O955" s="5" t="n">
        <v>0</v>
      </c>
      <c r="P955" s="5" t="n">
        <v>1</v>
      </c>
      <c r="Q955" s="5" t="n">
        <v>0</v>
      </c>
      <c r="R955" s="5" t="n">
        <v>0</v>
      </c>
      <c r="S955" s="5" t="n">
        <v>0</v>
      </c>
      <c r="T955" s="5" t="n">
        <v>1</v>
      </c>
      <c r="U955" s="5" t="inlineStr">
        <is>
          <t>training</t>
        </is>
      </c>
    </row>
    <row r="956">
      <c r="A956" s="5" t="n">
        <v>928</v>
      </c>
      <c r="B956" s="5" t="n">
        <v>1</v>
      </c>
      <c r="C956" s="5" t="n">
        <v>48</v>
      </c>
      <c r="D956" s="5" t="n">
        <v>10297</v>
      </c>
      <c r="E956" s="5" t="n">
        <v>39</v>
      </c>
      <c r="F956" s="5" t="n">
        <v>4</v>
      </c>
      <c r="G956" s="5" t="n">
        <v>1</v>
      </c>
      <c r="H956" s="5" t="n">
        <v>0</v>
      </c>
      <c r="I956" s="5" t="n">
        <v>0</v>
      </c>
      <c r="J956" s="5" t="n">
        <v>0</v>
      </c>
      <c r="K956" s="5" t="n">
        <v>0</v>
      </c>
      <c r="L956" s="5" t="n">
        <v>0</v>
      </c>
      <c r="M956" s="5" t="n">
        <v>0</v>
      </c>
      <c r="N956" s="5" t="n">
        <v>0</v>
      </c>
      <c r="O956" s="5" t="n">
        <v>0</v>
      </c>
      <c r="P956" s="5" t="n">
        <v>0</v>
      </c>
      <c r="Q956" s="5" t="n">
        <v>1</v>
      </c>
      <c r="R956" s="5" t="n">
        <v>1</v>
      </c>
      <c r="S956" s="5" t="n">
        <v>0</v>
      </c>
      <c r="T956" s="5" t="n">
        <v>0</v>
      </c>
      <c r="U956" s="5" t="inlineStr">
        <is>
          <t>testing</t>
        </is>
      </c>
    </row>
    <row r="957">
      <c r="A957" s="5" t="n">
        <v>929</v>
      </c>
      <c r="B957" s="5" t="n">
        <v>0</v>
      </c>
      <c r="C957" s="5" t="n">
        <v>30</v>
      </c>
      <c r="D957" s="5" t="n">
        <v>1867</v>
      </c>
      <c r="E957" s="5" t="n">
        <v>58</v>
      </c>
      <c r="F957" s="5" t="n">
        <v>4</v>
      </c>
      <c r="G957" s="5" t="n">
        <v>0</v>
      </c>
      <c r="H957" s="5" t="n">
        <v>0</v>
      </c>
      <c r="I957" s="5" t="n">
        <v>0</v>
      </c>
      <c r="J957" s="5" t="n">
        <v>0</v>
      </c>
      <c r="K957" s="5" t="n">
        <v>0</v>
      </c>
      <c r="L957" s="5" t="n">
        <v>0</v>
      </c>
      <c r="M957" s="5" t="n">
        <v>0</v>
      </c>
      <c r="N957" s="5" t="n">
        <v>0</v>
      </c>
      <c r="O957" s="5" t="n">
        <v>1</v>
      </c>
      <c r="P957" s="5" t="n">
        <v>0</v>
      </c>
      <c r="Q957" s="5" t="n">
        <v>0</v>
      </c>
      <c r="R957" s="5" t="n">
        <v>0</v>
      </c>
      <c r="S957" s="5" t="n">
        <v>1</v>
      </c>
      <c r="T957" s="5" t="n">
        <v>0</v>
      </c>
      <c r="U957" s="5" t="inlineStr">
        <is>
          <t>training</t>
        </is>
      </c>
    </row>
    <row r="958">
      <c r="A958" s="5" t="n">
        <v>930</v>
      </c>
      <c r="B958" s="5" t="n">
        <v>0</v>
      </c>
      <c r="C958" s="5" t="n">
        <v>12</v>
      </c>
      <c r="D958" s="5" t="n">
        <v>1344</v>
      </c>
      <c r="E958" s="5" t="n">
        <v>43</v>
      </c>
      <c r="F958" s="5" t="n">
        <v>4</v>
      </c>
      <c r="G958" s="5" t="n">
        <v>1</v>
      </c>
      <c r="H958" s="5" t="n">
        <v>0</v>
      </c>
      <c r="I958" s="5" t="n">
        <v>0</v>
      </c>
      <c r="J958" s="5" t="n">
        <v>0</v>
      </c>
      <c r="K958" s="5" t="n">
        <v>1</v>
      </c>
      <c r="L958" s="5" t="n">
        <v>0</v>
      </c>
      <c r="M958" s="5" t="n">
        <v>0</v>
      </c>
      <c r="N958" s="5" t="n">
        <v>0</v>
      </c>
      <c r="O958" s="5" t="n">
        <v>0</v>
      </c>
      <c r="P958" s="5" t="n">
        <v>0</v>
      </c>
      <c r="Q958" s="5" t="n">
        <v>0</v>
      </c>
      <c r="R958" s="5" t="n">
        <v>1</v>
      </c>
      <c r="S958" s="5" t="n">
        <v>0</v>
      </c>
      <c r="T958" s="5" t="n">
        <v>0</v>
      </c>
      <c r="U958" s="5" t="inlineStr">
        <is>
          <t>training</t>
        </is>
      </c>
    </row>
    <row r="959">
      <c r="A959" s="5" t="n">
        <v>931</v>
      </c>
      <c r="B959" s="5" t="n">
        <v>0</v>
      </c>
      <c r="C959" s="5" t="n">
        <v>24</v>
      </c>
      <c r="D959" s="5" t="n">
        <v>1747</v>
      </c>
      <c r="E959" s="5" t="n">
        <v>24</v>
      </c>
      <c r="F959" s="5" t="n">
        <v>4</v>
      </c>
      <c r="G959" s="5" t="n">
        <v>1</v>
      </c>
      <c r="H959" s="5" t="n">
        <v>0</v>
      </c>
      <c r="I959" s="5" t="n">
        <v>0</v>
      </c>
      <c r="J959" s="5" t="n">
        <v>0</v>
      </c>
      <c r="K959" s="5" t="n">
        <v>0</v>
      </c>
      <c r="L959" s="5" t="n">
        <v>0</v>
      </c>
      <c r="M959" s="5" t="n">
        <v>0</v>
      </c>
      <c r="N959" s="5" t="n">
        <v>0</v>
      </c>
      <c r="O959" s="5" t="n">
        <v>0</v>
      </c>
      <c r="P959" s="5" t="n">
        <v>0</v>
      </c>
      <c r="Q959" s="5" t="n">
        <v>0</v>
      </c>
      <c r="R959" s="5" t="n">
        <v>0</v>
      </c>
      <c r="S959" s="5" t="n">
        <v>0</v>
      </c>
      <c r="T959" s="5" t="n">
        <v>1</v>
      </c>
      <c r="U959" s="5" t="inlineStr">
        <is>
          <t>training</t>
        </is>
      </c>
    </row>
    <row r="960">
      <c r="A960" s="5" t="n">
        <v>932</v>
      </c>
      <c r="B960" s="5" t="n">
        <v>1</v>
      </c>
      <c r="C960" s="5" t="n">
        <v>9</v>
      </c>
      <c r="D960" s="5" t="n">
        <v>1670</v>
      </c>
      <c r="E960" s="5" t="n">
        <v>22</v>
      </c>
      <c r="F960" s="5" t="n">
        <v>4</v>
      </c>
      <c r="G960" s="5" t="n">
        <v>0</v>
      </c>
      <c r="H960" s="5" t="n">
        <v>1</v>
      </c>
      <c r="I960" s="5" t="n">
        <v>0</v>
      </c>
      <c r="J960" s="5" t="n">
        <v>0</v>
      </c>
      <c r="K960" s="5" t="n">
        <v>0</v>
      </c>
      <c r="L960" s="5" t="n">
        <v>0</v>
      </c>
      <c r="M960" s="5" t="n">
        <v>0</v>
      </c>
      <c r="N960" s="5" t="n">
        <v>0</v>
      </c>
      <c r="O960" s="5" t="n">
        <v>0</v>
      </c>
      <c r="P960" s="5" t="n">
        <v>0</v>
      </c>
      <c r="Q960" s="5" t="n">
        <v>0</v>
      </c>
      <c r="R960" s="5" t="n">
        <v>0</v>
      </c>
      <c r="S960" s="5" t="n">
        <v>1</v>
      </c>
      <c r="T960" s="5" t="n">
        <v>0</v>
      </c>
      <c r="U960" s="5" t="inlineStr">
        <is>
          <t>training</t>
        </is>
      </c>
    </row>
    <row r="961">
      <c r="A961" s="5" t="n">
        <v>933</v>
      </c>
      <c r="B961" s="5" t="n">
        <v>0</v>
      </c>
      <c r="C961" s="5" t="n">
        <v>9</v>
      </c>
      <c r="D961" s="5" t="n">
        <v>1224</v>
      </c>
      <c r="E961" s="5" t="n">
        <v>30</v>
      </c>
      <c r="F961" s="5" t="n">
        <v>3</v>
      </c>
      <c r="G961" s="5" t="n">
        <v>0</v>
      </c>
      <c r="H961" s="5" t="n">
        <v>0</v>
      </c>
      <c r="I961" s="5" t="n">
        <v>0</v>
      </c>
      <c r="J961" s="5" t="n">
        <v>1</v>
      </c>
      <c r="K961" s="5" t="n">
        <v>0</v>
      </c>
      <c r="L961" s="5" t="n">
        <v>0</v>
      </c>
      <c r="M961" s="5" t="n">
        <v>0</v>
      </c>
      <c r="N961" s="5" t="n">
        <v>0</v>
      </c>
      <c r="O961" s="5" t="n">
        <v>0</v>
      </c>
      <c r="P961" s="5" t="n">
        <v>0</v>
      </c>
      <c r="Q961" s="5" t="n">
        <v>0</v>
      </c>
      <c r="R961" s="5" t="n">
        <v>1</v>
      </c>
      <c r="S961" s="5" t="n">
        <v>0</v>
      </c>
      <c r="T961" s="5" t="n">
        <v>0</v>
      </c>
      <c r="U961" s="5" t="inlineStr">
        <is>
          <t>training</t>
        </is>
      </c>
    </row>
    <row r="962">
      <c r="A962" s="5" t="n">
        <v>934</v>
      </c>
      <c r="B962" s="5" t="n">
        <v>0</v>
      </c>
      <c r="C962" s="5" t="n">
        <v>12</v>
      </c>
      <c r="D962" s="5" t="n">
        <v>522</v>
      </c>
      <c r="E962" s="5" t="n">
        <v>42</v>
      </c>
      <c r="F962" s="5" t="n">
        <v>4</v>
      </c>
      <c r="G962" s="5" t="n">
        <v>0</v>
      </c>
      <c r="H962" s="5" t="n">
        <v>0</v>
      </c>
      <c r="I962" s="5" t="n">
        <v>0</v>
      </c>
      <c r="J962" s="5" t="n">
        <v>1</v>
      </c>
      <c r="K962" s="5" t="n">
        <v>0</v>
      </c>
      <c r="L962" s="5" t="n">
        <v>0</v>
      </c>
      <c r="M962" s="5" t="n">
        <v>1</v>
      </c>
      <c r="N962" s="5" t="n">
        <v>0</v>
      </c>
      <c r="O962" s="5" t="n">
        <v>0</v>
      </c>
      <c r="P962" s="5" t="n">
        <v>0</v>
      </c>
      <c r="Q962" s="5" t="n">
        <v>0</v>
      </c>
      <c r="R962" s="5" t="n">
        <v>0</v>
      </c>
      <c r="S962" s="5" t="n">
        <v>1</v>
      </c>
      <c r="T962" s="5" t="n">
        <v>0</v>
      </c>
      <c r="U962" s="5" t="inlineStr">
        <is>
          <t>training</t>
        </is>
      </c>
    </row>
    <row r="963">
      <c r="A963" s="5" t="n">
        <v>935</v>
      </c>
      <c r="B963" s="5" t="n">
        <v>0</v>
      </c>
      <c r="C963" s="5" t="n">
        <v>12</v>
      </c>
      <c r="D963" s="5" t="n">
        <v>1498</v>
      </c>
      <c r="E963" s="5" t="n">
        <v>23</v>
      </c>
      <c r="F963" s="5" t="n">
        <v>4</v>
      </c>
      <c r="G963" s="5" t="n">
        <v>1</v>
      </c>
      <c r="H963" s="5" t="n">
        <v>0</v>
      </c>
      <c r="I963" s="5" t="n">
        <v>0</v>
      </c>
      <c r="J963" s="5" t="n">
        <v>0</v>
      </c>
      <c r="K963" s="5" t="n">
        <v>0</v>
      </c>
      <c r="L963" s="5" t="n">
        <v>0</v>
      </c>
      <c r="M963" s="5" t="n">
        <v>0</v>
      </c>
      <c r="N963" s="5" t="n">
        <v>0</v>
      </c>
      <c r="O963" s="5" t="n">
        <v>0</v>
      </c>
      <c r="P963" s="5" t="n">
        <v>0</v>
      </c>
      <c r="Q963" s="5" t="n">
        <v>0</v>
      </c>
      <c r="R963" s="5" t="n">
        <v>0</v>
      </c>
      <c r="S963" s="5" t="n">
        <v>1</v>
      </c>
      <c r="T963" s="5" t="n">
        <v>0</v>
      </c>
      <c r="U963" s="5" t="inlineStr">
        <is>
          <t>training</t>
        </is>
      </c>
    </row>
    <row r="964">
      <c r="A964" s="5" t="n">
        <v>936</v>
      </c>
      <c r="B964" s="5" t="n">
        <v>1</v>
      </c>
      <c r="C964" s="5" t="n">
        <v>30</v>
      </c>
      <c r="D964" s="5" t="n">
        <v>1919</v>
      </c>
      <c r="E964" s="5" t="n">
        <v>30</v>
      </c>
      <c r="F964" s="5" t="n">
        <v>4</v>
      </c>
      <c r="G964" s="5" t="n">
        <v>0</v>
      </c>
      <c r="H964" s="5" t="n">
        <v>1</v>
      </c>
      <c r="I964" s="5" t="n">
        <v>0</v>
      </c>
      <c r="J964" s="5" t="n">
        <v>0</v>
      </c>
      <c r="K964" s="5" t="n">
        <v>1</v>
      </c>
      <c r="L964" s="5" t="n">
        <v>0</v>
      </c>
      <c r="M964" s="5" t="n">
        <v>1</v>
      </c>
      <c r="N964" s="5" t="n">
        <v>0</v>
      </c>
      <c r="O964" s="5" t="n">
        <v>0</v>
      </c>
      <c r="P964" s="5" t="n">
        <v>0</v>
      </c>
      <c r="Q964" s="5" t="n">
        <v>0</v>
      </c>
      <c r="R964" s="5" t="n">
        <v>0</v>
      </c>
      <c r="S964" s="5" t="n">
        <v>1</v>
      </c>
      <c r="T964" s="5" t="n">
        <v>0</v>
      </c>
      <c r="U964" s="5" t="inlineStr">
        <is>
          <t>training</t>
        </is>
      </c>
    </row>
    <row r="965">
      <c r="A965" s="5" t="n">
        <v>937</v>
      </c>
      <c r="B965" s="5" t="n">
        <v>1</v>
      </c>
      <c r="C965" s="5" t="n">
        <v>9</v>
      </c>
      <c r="D965" s="5" t="n">
        <v>745</v>
      </c>
      <c r="E965" s="5" t="n">
        <v>28</v>
      </c>
      <c r="F965" s="5" t="n">
        <v>3</v>
      </c>
      <c r="G965" s="5" t="n">
        <v>0</v>
      </c>
      <c r="H965" s="5" t="n">
        <v>0</v>
      </c>
      <c r="I965" s="5" t="n">
        <v>1</v>
      </c>
      <c r="J965" s="5" t="n">
        <v>0</v>
      </c>
      <c r="K965" s="5" t="n">
        <v>0</v>
      </c>
      <c r="L965" s="5" t="n">
        <v>0</v>
      </c>
      <c r="M965" s="5" t="n">
        <v>0</v>
      </c>
      <c r="N965" s="5" t="n">
        <v>0</v>
      </c>
      <c r="O965" s="5" t="n">
        <v>0</v>
      </c>
      <c r="P965" s="5" t="n">
        <v>0</v>
      </c>
      <c r="Q965" s="5" t="n">
        <v>0</v>
      </c>
      <c r="R965" s="5" t="n">
        <v>0</v>
      </c>
      <c r="S965" s="5" t="n">
        <v>1</v>
      </c>
      <c r="T965" s="5" t="n">
        <v>0</v>
      </c>
      <c r="U965" s="5" t="inlineStr">
        <is>
          <t>training</t>
        </is>
      </c>
    </row>
    <row r="966">
      <c r="A966" s="5" t="n">
        <v>938</v>
      </c>
      <c r="B966" s="5" t="n">
        <v>0</v>
      </c>
      <c r="C966" s="5" t="n">
        <v>6</v>
      </c>
      <c r="D966" s="5" t="n">
        <v>2063</v>
      </c>
      <c r="E966" s="5" t="n">
        <v>30</v>
      </c>
      <c r="F966" s="5" t="n">
        <v>4</v>
      </c>
      <c r="G966" s="5" t="n">
        <v>0</v>
      </c>
      <c r="H966" s="5" t="n">
        <v>1</v>
      </c>
      <c r="I966" s="5" t="n">
        <v>0</v>
      </c>
      <c r="J966" s="5" t="n">
        <v>0</v>
      </c>
      <c r="K966" s="5" t="n">
        <v>0</v>
      </c>
      <c r="L966" s="5" t="n">
        <v>0</v>
      </c>
      <c r="M966" s="5" t="n">
        <v>0</v>
      </c>
      <c r="N966" s="5" t="n">
        <v>0</v>
      </c>
      <c r="O966" s="5" t="n">
        <v>0</v>
      </c>
      <c r="P966" s="5" t="n">
        <v>1</v>
      </c>
      <c r="Q966" s="5" t="n">
        <v>0</v>
      </c>
      <c r="R966" s="5" t="n">
        <v>0</v>
      </c>
      <c r="S966" s="5" t="n">
        <v>1</v>
      </c>
      <c r="T966" s="5" t="n">
        <v>0</v>
      </c>
      <c r="U966" s="5" t="inlineStr">
        <is>
          <t>training</t>
        </is>
      </c>
    </row>
    <row r="967">
      <c r="A967" s="5" t="n">
        <v>939</v>
      </c>
      <c r="B967" s="5" t="n">
        <v>1</v>
      </c>
      <c r="C967" s="5" t="n">
        <v>60</v>
      </c>
      <c r="D967" s="5" t="n">
        <v>6288</v>
      </c>
      <c r="E967" s="5" t="n">
        <v>42</v>
      </c>
      <c r="F967" s="5" t="n">
        <v>4</v>
      </c>
      <c r="G967" s="5" t="n">
        <v>0</v>
      </c>
      <c r="H967" s="5" t="n">
        <v>1</v>
      </c>
      <c r="I967" s="5" t="n">
        <v>0</v>
      </c>
      <c r="J967" s="5" t="n">
        <v>0</v>
      </c>
      <c r="K967" s="5" t="n">
        <v>0</v>
      </c>
      <c r="L967" s="5" t="n">
        <v>0</v>
      </c>
      <c r="M967" s="5" t="n">
        <v>0</v>
      </c>
      <c r="N967" s="5" t="n">
        <v>0</v>
      </c>
      <c r="O967" s="5" t="n">
        <v>0</v>
      </c>
      <c r="P967" s="5" t="n">
        <v>0</v>
      </c>
      <c r="Q967" s="5" t="n">
        <v>1</v>
      </c>
      <c r="R967" s="5" t="n">
        <v>0</v>
      </c>
      <c r="S967" s="5" t="n">
        <v>0</v>
      </c>
      <c r="T967" s="5" t="n">
        <v>0</v>
      </c>
      <c r="U967" s="5" t="inlineStr">
        <is>
          <t>testing</t>
        </is>
      </c>
    </row>
    <row r="968">
      <c r="A968" s="5" t="n">
        <v>940</v>
      </c>
      <c r="B968" s="5" t="n">
        <v>0</v>
      </c>
      <c r="C968" s="5" t="n">
        <v>24</v>
      </c>
      <c r="D968" s="5" t="n">
        <v>6842</v>
      </c>
      <c r="E968" s="5" t="n">
        <v>46</v>
      </c>
      <c r="F968" s="5" t="n">
        <v>2</v>
      </c>
      <c r="G968" s="5" t="n">
        <v>0</v>
      </c>
      <c r="H968" s="5" t="n">
        <v>0</v>
      </c>
      <c r="I968" s="5" t="n">
        <v>0</v>
      </c>
      <c r="J968" s="5" t="n">
        <v>1</v>
      </c>
      <c r="K968" s="5" t="n">
        <v>0</v>
      </c>
      <c r="L968" s="5" t="n">
        <v>0</v>
      </c>
      <c r="M968" s="5" t="n">
        <v>0</v>
      </c>
      <c r="N968" s="5" t="n">
        <v>0</v>
      </c>
      <c r="O968" s="5" t="n">
        <v>1</v>
      </c>
      <c r="P968" s="5" t="n">
        <v>0</v>
      </c>
      <c r="Q968" s="5" t="n">
        <v>0</v>
      </c>
      <c r="R968" s="5" t="n">
        <v>1</v>
      </c>
      <c r="S968" s="5" t="n">
        <v>0</v>
      </c>
      <c r="T968" s="5" t="n">
        <v>0</v>
      </c>
      <c r="U968" s="5" t="inlineStr">
        <is>
          <t>training</t>
        </is>
      </c>
    </row>
    <row r="969">
      <c r="A969" s="5" t="n">
        <v>941</v>
      </c>
      <c r="B969" s="5" t="n">
        <v>0</v>
      </c>
      <c r="C969" s="5" t="n">
        <v>12</v>
      </c>
      <c r="D969" s="5" t="n">
        <v>3527</v>
      </c>
      <c r="E969" s="5" t="n">
        <v>45</v>
      </c>
      <c r="F969" s="5" t="n">
        <v>2</v>
      </c>
      <c r="G969" s="5" t="n">
        <v>0</v>
      </c>
      <c r="H969" s="5" t="n">
        <v>0</v>
      </c>
      <c r="I969" s="5" t="n">
        <v>0</v>
      </c>
      <c r="J969" s="5" t="n">
        <v>0</v>
      </c>
      <c r="K969" s="5" t="n">
        <v>0</v>
      </c>
      <c r="L969" s="5" t="n">
        <v>0</v>
      </c>
      <c r="M969" s="5" t="n">
        <v>0</v>
      </c>
      <c r="N969" s="5" t="n">
        <v>0</v>
      </c>
      <c r="O969" s="5" t="n">
        <v>1</v>
      </c>
      <c r="P969" s="5" t="n">
        <v>0</v>
      </c>
      <c r="Q969" s="5" t="n">
        <v>0</v>
      </c>
      <c r="R969" s="5" t="n">
        <v>1</v>
      </c>
      <c r="S969" s="5" t="n">
        <v>0</v>
      </c>
      <c r="T969" s="5" t="n">
        <v>0</v>
      </c>
      <c r="U969" s="5" t="inlineStr">
        <is>
          <t>testing</t>
        </is>
      </c>
    </row>
    <row r="970">
      <c r="A970" s="5" t="n">
        <v>942</v>
      </c>
      <c r="B970" s="5" t="n">
        <v>0</v>
      </c>
      <c r="C970" s="5" t="n">
        <v>10</v>
      </c>
      <c r="D970" s="5" t="n">
        <v>1546</v>
      </c>
      <c r="E970" s="5" t="n">
        <v>31</v>
      </c>
      <c r="F970" s="5" t="n">
        <v>3</v>
      </c>
      <c r="G970" s="5" t="n">
        <v>0</v>
      </c>
      <c r="H970" s="5" t="n">
        <v>0</v>
      </c>
      <c r="I970" s="5" t="n">
        <v>0</v>
      </c>
      <c r="J970" s="5" t="n">
        <v>0</v>
      </c>
      <c r="K970" s="5" t="n">
        <v>0</v>
      </c>
      <c r="L970" s="5" t="n">
        <v>0</v>
      </c>
      <c r="M970" s="5" t="n">
        <v>0</v>
      </c>
      <c r="N970" s="5" t="n">
        <v>0</v>
      </c>
      <c r="O970" s="5" t="n">
        <v>0</v>
      </c>
      <c r="P970" s="5" t="n">
        <v>0</v>
      </c>
      <c r="Q970" s="5" t="n">
        <v>0</v>
      </c>
      <c r="R970" s="5" t="n">
        <v>1</v>
      </c>
      <c r="S970" s="5" t="n">
        <v>0</v>
      </c>
      <c r="T970" s="5" t="n">
        <v>0</v>
      </c>
      <c r="U970" s="5" t="inlineStr">
        <is>
          <t>testing</t>
        </is>
      </c>
    </row>
    <row r="971">
      <c r="A971" s="5" t="n">
        <v>943</v>
      </c>
      <c r="B971" s="5" t="n">
        <v>0</v>
      </c>
      <c r="C971" s="5" t="n">
        <v>24</v>
      </c>
      <c r="D971" s="5" t="n">
        <v>929</v>
      </c>
      <c r="E971" s="5" t="n">
        <v>31</v>
      </c>
      <c r="F971" s="5" t="n">
        <v>4</v>
      </c>
      <c r="G971" s="5" t="n">
        <v>0</v>
      </c>
      <c r="H971" s="5" t="n">
        <v>0</v>
      </c>
      <c r="I971" s="5" t="n">
        <v>0</v>
      </c>
      <c r="J971" s="5" t="n">
        <v>0</v>
      </c>
      <c r="K971" s="5" t="n">
        <v>0</v>
      </c>
      <c r="L971" s="5" t="n">
        <v>0</v>
      </c>
      <c r="M971" s="5" t="n">
        <v>0</v>
      </c>
      <c r="N971" s="5" t="n">
        <v>0</v>
      </c>
      <c r="O971" s="5" t="n">
        <v>1</v>
      </c>
      <c r="P971" s="5" t="n">
        <v>0</v>
      </c>
      <c r="Q971" s="5" t="n">
        <v>0</v>
      </c>
      <c r="R971" s="5" t="n">
        <v>0</v>
      </c>
      <c r="S971" s="5" t="n">
        <v>0</v>
      </c>
      <c r="T971" s="5" t="n">
        <v>1</v>
      </c>
      <c r="U971" s="5" t="inlineStr">
        <is>
          <t>training</t>
        </is>
      </c>
    </row>
    <row r="972">
      <c r="A972" s="5" t="n">
        <v>944</v>
      </c>
      <c r="B972" s="5" t="n">
        <v>0</v>
      </c>
      <c r="C972" s="5" t="n">
        <v>4</v>
      </c>
      <c r="D972" s="5" t="n">
        <v>1455</v>
      </c>
      <c r="E972" s="5" t="n">
        <v>42</v>
      </c>
      <c r="F972" s="5" t="n">
        <v>2</v>
      </c>
      <c r="G972" s="5" t="n">
        <v>0</v>
      </c>
      <c r="H972" s="5" t="n">
        <v>0</v>
      </c>
      <c r="I972" s="5" t="n">
        <v>0</v>
      </c>
      <c r="J972" s="5" t="n">
        <v>1</v>
      </c>
      <c r="K972" s="5" t="n">
        <v>0</v>
      </c>
      <c r="L972" s="5" t="n">
        <v>0</v>
      </c>
      <c r="M972" s="5" t="n">
        <v>0</v>
      </c>
      <c r="N972" s="5" t="n">
        <v>0</v>
      </c>
      <c r="O972" s="5" t="n">
        <v>0</v>
      </c>
      <c r="P972" s="5" t="n">
        <v>0</v>
      </c>
      <c r="Q972" s="5" t="n">
        <v>0</v>
      </c>
      <c r="R972" s="5" t="n">
        <v>1</v>
      </c>
      <c r="S972" s="5" t="n">
        <v>0</v>
      </c>
      <c r="T972" s="5" t="n">
        <v>0</v>
      </c>
      <c r="U972" s="5" t="inlineStr">
        <is>
          <t>training</t>
        </is>
      </c>
    </row>
    <row r="973">
      <c r="A973" s="5" t="n">
        <v>945</v>
      </c>
      <c r="B973" s="5" t="n">
        <v>0</v>
      </c>
      <c r="C973" s="5" t="n">
        <v>15</v>
      </c>
      <c r="D973" s="5" t="n">
        <v>1845</v>
      </c>
      <c r="E973" s="5" t="n">
        <v>46</v>
      </c>
      <c r="F973" s="5" t="n">
        <v>4</v>
      </c>
      <c r="G973" s="5" t="n">
        <v>1</v>
      </c>
      <c r="H973" s="5" t="n">
        <v>0</v>
      </c>
      <c r="I973" s="5" t="n">
        <v>0</v>
      </c>
      <c r="J973" s="5" t="n">
        <v>0</v>
      </c>
      <c r="K973" s="5" t="n">
        <v>0</v>
      </c>
      <c r="L973" s="5" t="n">
        <v>0</v>
      </c>
      <c r="M973" s="5" t="n">
        <v>0</v>
      </c>
      <c r="N973" s="5" t="n">
        <v>0</v>
      </c>
      <c r="O973" s="5" t="n">
        <v>0</v>
      </c>
      <c r="P973" s="5" t="n">
        <v>1</v>
      </c>
      <c r="Q973" s="5" t="n">
        <v>0</v>
      </c>
      <c r="R973" s="5" t="n">
        <v>0</v>
      </c>
      <c r="S973" s="5" t="n">
        <v>0</v>
      </c>
      <c r="T973" s="5" t="n">
        <v>1</v>
      </c>
      <c r="U973" s="5" t="inlineStr">
        <is>
          <t>training</t>
        </is>
      </c>
    </row>
    <row r="974">
      <c r="A974" s="5" t="n">
        <v>946</v>
      </c>
      <c r="B974" s="5" t="n">
        <v>0</v>
      </c>
      <c r="C974" s="5" t="n">
        <v>48</v>
      </c>
      <c r="D974" s="5" t="n">
        <v>8358</v>
      </c>
      <c r="E974" s="5" t="n">
        <v>30</v>
      </c>
      <c r="F974" s="5" t="n">
        <v>1</v>
      </c>
      <c r="G974" s="5" t="n">
        <v>0</v>
      </c>
      <c r="H974" s="5" t="n">
        <v>1</v>
      </c>
      <c r="I974" s="5" t="n">
        <v>0</v>
      </c>
      <c r="J974" s="5" t="n">
        <v>0</v>
      </c>
      <c r="K974" s="5" t="n">
        <v>0</v>
      </c>
      <c r="L974" s="5" t="n">
        <v>1</v>
      </c>
      <c r="M974" s="5" t="n">
        <v>1</v>
      </c>
      <c r="N974" s="5" t="n">
        <v>0</v>
      </c>
      <c r="O974" s="5" t="n">
        <v>0</v>
      </c>
      <c r="P974" s="5" t="n">
        <v>0</v>
      </c>
      <c r="Q974" s="5" t="n">
        <v>0</v>
      </c>
      <c r="R974" s="5" t="n">
        <v>1</v>
      </c>
      <c r="S974" s="5" t="n">
        <v>0</v>
      </c>
      <c r="T974" s="5" t="n">
        <v>0</v>
      </c>
      <c r="U974" s="5" t="inlineStr">
        <is>
          <t>training</t>
        </is>
      </c>
    </row>
    <row r="975">
      <c r="A975" s="5" t="n">
        <v>947</v>
      </c>
      <c r="B975" s="5" t="n">
        <v>1</v>
      </c>
      <c r="C975" s="5" t="n">
        <v>24</v>
      </c>
      <c r="D975" s="5" t="n">
        <v>3349</v>
      </c>
      <c r="E975" s="5" t="n">
        <v>30</v>
      </c>
      <c r="F975" s="5" t="n">
        <v>4</v>
      </c>
      <c r="G975" s="5" t="n">
        <v>1</v>
      </c>
      <c r="H975" s="5" t="n">
        <v>0</v>
      </c>
      <c r="I975" s="5" t="n">
        <v>0</v>
      </c>
      <c r="J975" s="5" t="n">
        <v>0</v>
      </c>
      <c r="K975" s="5" t="n">
        <v>0</v>
      </c>
      <c r="L975" s="5" t="n">
        <v>1</v>
      </c>
      <c r="M975" s="5" t="n">
        <v>1</v>
      </c>
      <c r="N975" s="5" t="n">
        <v>0</v>
      </c>
      <c r="O975" s="5" t="n">
        <v>0</v>
      </c>
      <c r="P975" s="5" t="n">
        <v>0</v>
      </c>
      <c r="Q975" s="5" t="n">
        <v>1</v>
      </c>
      <c r="R975" s="5" t="n">
        <v>0</v>
      </c>
      <c r="S975" s="5" t="n">
        <v>0</v>
      </c>
      <c r="T975" s="5" t="n">
        <v>1</v>
      </c>
      <c r="U975" s="5" t="inlineStr">
        <is>
          <t>training</t>
        </is>
      </c>
    </row>
    <row r="976">
      <c r="A976" s="5" t="n">
        <v>948</v>
      </c>
      <c r="B976" s="5" t="n">
        <v>0</v>
      </c>
      <c r="C976" s="5" t="n">
        <v>12</v>
      </c>
      <c r="D976" s="5" t="n">
        <v>2859</v>
      </c>
      <c r="E976" s="5" t="n">
        <v>38</v>
      </c>
      <c r="F976" s="5" t="n">
        <v>4</v>
      </c>
      <c r="G976" s="5" t="n">
        <v>0</v>
      </c>
      <c r="H976" s="5" t="n">
        <v>0</v>
      </c>
      <c r="I976" s="5" t="n">
        <v>0</v>
      </c>
      <c r="J976" s="5" t="n">
        <v>0</v>
      </c>
      <c r="K976" s="5" t="n">
        <v>0</v>
      </c>
      <c r="L976" s="5" t="n">
        <v>0</v>
      </c>
      <c r="M976" s="5" t="n">
        <v>0</v>
      </c>
      <c r="N976" s="5" t="n">
        <v>0</v>
      </c>
      <c r="O976" s="5" t="n">
        <v>1</v>
      </c>
      <c r="P976" s="5" t="n">
        <v>0</v>
      </c>
      <c r="Q976" s="5" t="n">
        <v>0</v>
      </c>
      <c r="R976" s="5" t="n">
        <v>1</v>
      </c>
      <c r="S976" s="5" t="n">
        <v>0</v>
      </c>
      <c r="T976" s="5" t="n">
        <v>0</v>
      </c>
      <c r="U976" s="5" t="inlineStr">
        <is>
          <t>training</t>
        </is>
      </c>
    </row>
    <row r="977">
      <c r="A977" s="5" t="n">
        <v>949</v>
      </c>
      <c r="B977" s="5" t="n">
        <v>1</v>
      </c>
      <c r="C977" s="5" t="n">
        <v>18</v>
      </c>
      <c r="D977" s="5" t="n">
        <v>1533</v>
      </c>
      <c r="E977" s="5" t="n">
        <v>43</v>
      </c>
      <c r="F977" s="5" t="n">
        <v>4</v>
      </c>
      <c r="G977" s="5" t="n">
        <v>0</v>
      </c>
      <c r="H977" s="5" t="n">
        <v>0</v>
      </c>
      <c r="I977" s="5" t="n">
        <v>0</v>
      </c>
      <c r="J977" s="5" t="n">
        <v>0</v>
      </c>
      <c r="K977" s="5" t="n">
        <v>0</v>
      </c>
      <c r="L977" s="5" t="n">
        <v>0</v>
      </c>
      <c r="M977" s="5" t="n">
        <v>0</v>
      </c>
      <c r="N977" s="5" t="n">
        <v>0</v>
      </c>
      <c r="O977" s="5" t="n">
        <v>0</v>
      </c>
      <c r="P977" s="5" t="n">
        <v>0</v>
      </c>
      <c r="Q977" s="5" t="n">
        <v>0</v>
      </c>
      <c r="R977" s="5" t="n">
        <v>0</v>
      </c>
      <c r="S977" s="5" t="n">
        <v>0</v>
      </c>
      <c r="T977" s="5" t="n">
        <v>1</v>
      </c>
      <c r="U977" s="5" t="inlineStr">
        <is>
          <t>testing</t>
        </is>
      </c>
    </row>
    <row r="978">
      <c r="A978" s="5" t="n">
        <v>950</v>
      </c>
      <c r="B978" s="5" t="n">
        <v>1</v>
      </c>
      <c r="C978" s="5" t="n">
        <v>24</v>
      </c>
      <c r="D978" s="5" t="n">
        <v>3621</v>
      </c>
      <c r="E978" s="5" t="n">
        <v>31</v>
      </c>
      <c r="F978" s="5" t="n">
        <v>2</v>
      </c>
      <c r="G978" s="5" t="n">
        <v>0</v>
      </c>
      <c r="H978" s="5" t="n">
        <v>0</v>
      </c>
      <c r="I978" s="5" t="n">
        <v>0</v>
      </c>
      <c r="J978" s="5" t="n">
        <v>0</v>
      </c>
      <c r="K978" s="5" t="n">
        <v>0</v>
      </c>
      <c r="L978" s="5" t="n">
        <v>0</v>
      </c>
      <c r="M978" s="5" t="n">
        <v>1</v>
      </c>
      <c r="N978" s="5" t="n">
        <v>0</v>
      </c>
      <c r="O978" s="5" t="n">
        <v>0</v>
      </c>
      <c r="P978" s="5" t="n">
        <v>0</v>
      </c>
      <c r="Q978" s="5" t="n">
        <v>0</v>
      </c>
      <c r="R978" s="5" t="n">
        <v>0</v>
      </c>
      <c r="S978" s="5" t="n">
        <v>1</v>
      </c>
      <c r="T978" s="5" t="n">
        <v>0</v>
      </c>
      <c r="U978" s="5" t="inlineStr">
        <is>
          <t>training</t>
        </is>
      </c>
    </row>
    <row r="979">
      <c r="A979" s="5" t="n">
        <v>951</v>
      </c>
      <c r="B979" s="5" t="n">
        <v>0</v>
      </c>
      <c r="C979" s="5" t="n">
        <v>18</v>
      </c>
      <c r="D979" s="5" t="n">
        <v>3590</v>
      </c>
      <c r="E979" s="5" t="n">
        <v>40</v>
      </c>
      <c r="F979" s="5" t="n">
        <v>3</v>
      </c>
      <c r="G979" s="5" t="n">
        <v>0</v>
      </c>
      <c r="H979" s="5" t="n">
        <v>1</v>
      </c>
      <c r="I979" s="5" t="n">
        <v>0</v>
      </c>
      <c r="J979" s="5" t="n">
        <v>1</v>
      </c>
      <c r="K979" s="5" t="n">
        <v>0</v>
      </c>
      <c r="L979" s="5" t="n">
        <v>0</v>
      </c>
      <c r="M979" s="5" t="n">
        <v>0</v>
      </c>
      <c r="N979" s="5" t="n">
        <v>0</v>
      </c>
      <c r="O979" s="5" t="n">
        <v>0</v>
      </c>
      <c r="P979" s="5" t="n">
        <v>0</v>
      </c>
      <c r="Q979" s="5" t="n">
        <v>0</v>
      </c>
      <c r="R979" s="5" t="n">
        <v>0</v>
      </c>
      <c r="S979" s="5" t="n">
        <v>0</v>
      </c>
      <c r="T979" s="5" t="n">
        <v>0</v>
      </c>
      <c r="U979" s="5" t="inlineStr">
        <is>
          <t>training</t>
        </is>
      </c>
    </row>
    <row r="980">
      <c r="A980" s="5" t="n">
        <v>952</v>
      </c>
      <c r="B980" s="5" t="n">
        <v>1</v>
      </c>
      <c r="C980" s="5" t="n">
        <v>36</v>
      </c>
      <c r="D980" s="5" t="n">
        <v>2145</v>
      </c>
      <c r="E980" s="5" t="n">
        <v>24</v>
      </c>
      <c r="F980" s="5" t="n">
        <v>2</v>
      </c>
      <c r="G980" s="5" t="n">
        <v>1</v>
      </c>
      <c r="H980" s="5" t="n">
        <v>0</v>
      </c>
      <c r="I980" s="5" t="n">
        <v>0</v>
      </c>
      <c r="J980" s="5" t="n">
        <v>0</v>
      </c>
      <c r="K980" s="5" t="n">
        <v>1</v>
      </c>
      <c r="L980" s="5" t="n">
        <v>0</v>
      </c>
      <c r="M980" s="5" t="n">
        <v>0</v>
      </c>
      <c r="N980" s="5" t="n">
        <v>0</v>
      </c>
      <c r="O980" s="5" t="n">
        <v>0</v>
      </c>
      <c r="P980" s="5" t="n">
        <v>0</v>
      </c>
      <c r="Q980" s="5" t="n">
        <v>0</v>
      </c>
      <c r="R980" s="5" t="n">
        <v>0</v>
      </c>
      <c r="S980" s="5" t="n">
        <v>0</v>
      </c>
      <c r="T980" s="5" t="n">
        <v>0</v>
      </c>
      <c r="U980" s="5" t="inlineStr">
        <is>
          <t>training</t>
        </is>
      </c>
    </row>
    <row r="981">
      <c r="A981" s="5" t="n">
        <v>953</v>
      </c>
      <c r="B981" s="5" t="n">
        <v>1</v>
      </c>
      <c r="C981" s="5" t="n">
        <v>24</v>
      </c>
      <c r="D981" s="5" t="n">
        <v>4113</v>
      </c>
      <c r="E981" s="5" t="n">
        <v>28</v>
      </c>
      <c r="F981" s="5" t="n">
        <v>3</v>
      </c>
      <c r="G981" s="5" t="n">
        <v>0</v>
      </c>
      <c r="H981" s="5" t="n">
        <v>1</v>
      </c>
      <c r="I981" s="5" t="n">
        <v>0</v>
      </c>
      <c r="J981" s="5" t="n">
        <v>0</v>
      </c>
      <c r="K981" s="5" t="n">
        <v>0</v>
      </c>
      <c r="L981" s="5" t="n">
        <v>0</v>
      </c>
      <c r="M981" s="5" t="n">
        <v>1</v>
      </c>
      <c r="N981" s="5" t="n">
        <v>0</v>
      </c>
      <c r="O981" s="5" t="n">
        <v>0</v>
      </c>
      <c r="P981" s="5" t="n">
        <v>1</v>
      </c>
      <c r="Q981" s="5" t="n">
        <v>0</v>
      </c>
      <c r="R981" s="5" t="n">
        <v>1</v>
      </c>
      <c r="S981" s="5" t="n">
        <v>0</v>
      </c>
      <c r="T981" s="5" t="n">
        <v>0</v>
      </c>
      <c r="U981" s="5" t="inlineStr">
        <is>
          <t>training</t>
        </is>
      </c>
    </row>
    <row r="982">
      <c r="A982" s="5" t="n">
        <v>954</v>
      </c>
      <c r="B982" s="5" t="n">
        <v>1</v>
      </c>
      <c r="C982" s="5" t="n">
        <v>36</v>
      </c>
      <c r="D982" s="5" t="n">
        <v>10974</v>
      </c>
      <c r="E982" s="5" t="n">
        <v>26</v>
      </c>
      <c r="F982" s="5" t="n">
        <v>4</v>
      </c>
      <c r="G982" s="5" t="n">
        <v>0</v>
      </c>
      <c r="H982" s="5" t="n">
        <v>0</v>
      </c>
      <c r="I982" s="5" t="n">
        <v>0</v>
      </c>
      <c r="J982" s="5" t="n">
        <v>0</v>
      </c>
      <c r="K982" s="5" t="n">
        <v>0</v>
      </c>
      <c r="L982" s="5" t="n">
        <v>0</v>
      </c>
      <c r="M982" s="5" t="n">
        <v>0</v>
      </c>
      <c r="N982" s="5" t="n">
        <v>0</v>
      </c>
      <c r="O982" s="5" t="n">
        <v>0</v>
      </c>
      <c r="P982" s="5" t="n">
        <v>0</v>
      </c>
      <c r="Q982" s="5" t="n">
        <v>0</v>
      </c>
      <c r="R982" s="5" t="n">
        <v>0</v>
      </c>
      <c r="S982" s="5" t="n">
        <v>0</v>
      </c>
      <c r="T982" s="5" t="n">
        <v>1</v>
      </c>
      <c r="U982" s="5" t="inlineStr">
        <is>
          <t>testing</t>
        </is>
      </c>
    </row>
    <row r="983">
      <c r="A983" s="5" t="n">
        <v>955</v>
      </c>
      <c r="B983" s="5" t="n">
        <v>0</v>
      </c>
      <c r="C983" s="5" t="n">
        <v>12</v>
      </c>
      <c r="D983" s="5" t="n">
        <v>1893</v>
      </c>
      <c r="E983" s="5" t="n">
        <v>29</v>
      </c>
      <c r="F983" s="5" t="n">
        <v>4</v>
      </c>
      <c r="G983" s="5" t="n">
        <v>1</v>
      </c>
      <c r="H983" s="5" t="n">
        <v>0</v>
      </c>
      <c r="I983" s="5" t="n">
        <v>0</v>
      </c>
      <c r="J983" s="5" t="n">
        <v>0</v>
      </c>
      <c r="K983" s="5" t="n">
        <v>0</v>
      </c>
      <c r="L983" s="5" t="n">
        <v>0</v>
      </c>
      <c r="M983" s="5" t="n">
        <v>0</v>
      </c>
      <c r="N983" s="5" t="n">
        <v>0</v>
      </c>
      <c r="O983" s="5" t="n">
        <v>0</v>
      </c>
      <c r="P983" s="5" t="n">
        <v>0</v>
      </c>
      <c r="Q983" s="5" t="n">
        <v>0</v>
      </c>
      <c r="R983" s="5" t="n">
        <v>1</v>
      </c>
      <c r="S983" s="5" t="n">
        <v>0</v>
      </c>
      <c r="T983" s="5" t="n">
        <v>0</v>
      </c>
      <c r="U983" s="5" t="inlineStr">
        <is>
          <t>testing</t>
        </is>
      </c>
    </row>
    <row r="984">
      <c r="A984" s="5" t="n">
        <v>956</v>
      </c>
      <c r="B984" s="5" t="n">
        <v>0</v>
      </c>
      <c r="C984" s="5" t="n">
        <v>24</v>
      </c>
      <c r="D984" s="5" t="n">
        <v>1231</v>
      </c>
      <c r="E984" s="5" t="n">
        <v>57</v>
      </c>
      <c r="F984" s="5" t="n">
        <v>4</v>
      </c>
      <c r="G984" s="5" t="n">
        <v>1</v>
      </c>
      <c r="H984" s="5" t="n">
        <v>0</v>
      </c>
      <c r="I984" s="5" t="n">
        <v>0</v>
      </c>
      <c r="J984" s="5" t="n">
        <v>1</v>
      </c>
      <c r="K984" s="5" t="n">
        <v>0</v>
      </c>
      <c r="L984" s="5" t="n">
        <v>0</v>
      </c>
      <c r="M984" s="5" t="n">
        <v>0</v>
      </c>
      <c r="N984" s="5" t="n">
        <v>1</v>
      </c>
      <c r="O984" s="5" t="n">
        <v>0</v>
      </c>
      <c r="P984" s="5" t="n">
        <v>1</v>
      </c>
      <c r="Q984" s="5" t="n">
        <v>0</v>
      </c>
      <c r="R984" s="5" t="n">
        <v>0</v>
      </c>
      <c r="S984" s="5" t="n">
        <v>1</v>
      </c>
      <c r="T984" s="5" t="n">
        <v>0</v>
      </c>
      <c r="U984" s="5" t="inlineStr">
        <is>
          <t>training</t>
        </is>
      </c>
    </row>
    <row r="985">
      <c r="A985" s="5" t="n">
        <v>957</v>
      </c>
      <c r="B985" s="5" t="n">
        <v>0</v>
      </c>
      <c r="C985" s="5" t="n">
        <v>30</v>
      </c>
      <c r="D985" s="5" t="n">
        <v>3656</v>
      </c>
      <c r="E985" s="5" t="n">
        <v>49</v>
      </c>
      <c r="F985" s="5" t="n">
        <v>4</v>
      </c>
      <c r="G985" s="5" t="n">
        <v>0</v>
      </c>
      <c r="H985" s="5" t="n">
        <v>0</v>
      </c>
      <c r="I985" s="5" t="n">
        <v>1</v>
      </c>
      <c r="J985" s="5" t="n">
        <v>1</v>
      </c>
      <c r="K985" s="5" t="n">
        <v>0</v>
      </c>
      <c r="L985" s="5" t="n">
        <v>0</v>
      </c>
      <c r="M985" s="5" t="n">
        <v>0</v>
      </c>
      <c r="N985" s="5" t="n">
        <v>0</v>
      </c>
      <c r="O985" s="5" t="n">
        <v>1</v>
      </c>
      <c r="P985" s="5" t="n">
        <v>0</v>
      </c>
      <c r="Q985" s="5" t="n">
        <v>0</v>
      </c>
      <c r="R985" s="5" t="n">
        <v>0</v>
      </c>
      <c r="S985" s="5" t="n">
        <v>1</v>
      </c>
      <c r="T985" s="5" t="n">
        <v>0</v>
      </c>
      <c r="U985" s="5" t="inlineStr">
        <is>
          <t>training</t>
        </is>
      </c>
    </row>
    <row r="986">
      <c r="A986" s="5" t="n">
        <v>958</v>
      </c>
      <c r="B986" s="5" t="n">
        <v>0</v>
      </c>
      <c r="C986" s="5" t="n">
        <v>9</v>
      </c>
      <c r="D986" s="5" t="n">
        <v>1154</v>
      </c>
      <c r="E986" s="5" t="n">
        <v>37</v>
      </c>
      <c r="F986" s="5" t="n">
        <v>2</v>
      </c>
      <c r="G986" s="5" t="n">
        <v>0</v>
      </c>
      <c r="H986" s="5" t="n">
        <v>1</v>
      </c>
      <c r="I986" s="5" t="n">
        <v>0</v>
      </c>
      <c r="J986" s="5" t="n">
        <v>1</v>
      </c>
      <c r="K986" s="5" t="n">
        <v>0</v>
      </c>
      <c r="L986" s="5" t="n">
        <v>0</v>
      </c>
      <c r="M986" s="5" t="n">
        <v>0</v>
      </c>
      <c r="N986" s="5" t="n">
        <v>0</v>
      </c>
      <c r="O986" s="5" t="n">
        <v>0</v>
      </c>
      <c r="P986" s="5" t="n">
        <v>0</v>
      </c>
      <c r="Q986" s="5" t="n">
        <v>0</v>
      </c>
      <c r="R986" s="5" t="n">
        <v>0</v>
      </c>
      <c r="S986" s="5" t="n">
        <v>1</v>
      </c>
      <c r="T986" s="5" t="n">
        <v>0</v>
      </c>
      <c r="U986" s="5" t="inlineStr">
        <is>
          <t>training</t>
        </is>
      </c>
    </row>
    <row r="987">
      <c r="A987" s="5" t="n">
        <v>959</v>
      </c>
      <c r="B987" s="5" t="n">
        <v>1</v>
      </c>
      <c r="C987" s="5" t="n">
        <v>28</v>
      </c>
      <c r="D987" s="5" t="n">
        <v>4006</v>
      </c>
      <c r="E987" s="5" t="n">
        <v>45</v>
      </c>
      <c r="F987" s="5" t="n">
        <v>3</v>
      </c>
      <c r="G987" s="5" t="n">
        <v>1</v>
      </c>
      <c r="H987" s="5" t="n">
        <v>0</v>
      </c>
      <c r="I987" s="5" t="n">
        <v>0</v>
      </c>
      <c r="J987" s="5" t="n">
        <v>0</v>
      </c>
      <c r="K987" s="5" t="n">
        <v>0</v>
      </c>
      <c r="L987" s="5" t="n">
        <v>0</v>
      </c>
      <c r="M987" s="5" t="n">
        <v>0</v>
      </c>
      <c r="N987" s="5" t="n">
        <v>0</v>
      </c>
      <c r="O987" s="5" t="n">
        <v>0</v>
      </c>
      <c r="P987" s="5" t="n">
        <v>0</v>
      </c>
      <c r="Q987" s="5" t="n">
        <v>0</v>
      </c>
      <c r="R987" s="5" t="n">
        <v>1</v>
      </c>
      <c r="S987" s="5" t="n">
        <v>0</v>
      </c>
      <c r="T987" s="5" t="n">
        <v>0</v>
      </c>
      <c r="U987" s="5" t="inlineStr">
        <is>
          <t>training</t>
        </is>
      </c>
    </row>
    <row r="988">
      <c r="A988" s="5" t="n">
        <v>960</v>
      </c>
      <c r="B988" s="5" t="n">
        <v>0</v>
      </c>
      <c r="C988" s="5" t="n">
        <v>24</v>
      </c>
      <c r="D988" s="5" t="n">
        <v>3069</v>
      </c>
      <c r="E988" s="5" t="n">
        <v>30</v>
      </c>
      <c r="F988" s="5" t="n">
        <v>4</v>
      </c>
      <c r="G988" s="5" t="n">
        <v>0</v>
      </c>
      <c r="H988" s="5" t="n">
        <v>1</v>
      </c>
      <c r="I988" s="5" t="n">
        <v>0</v>
      </c>
      <c r="J988" s="5" t="n">
        <v>0</v>
      </c>
      <c r="K988" s="5" t="n">
        <v>0</v>
      </c>
      <c r="L988" s="5" t="n">
        <v>0</v>
      </c>
      <c r="M988" s="5" t="n">
        <v>1</v>
      </c>
      <c r="N988" s="5" t="n">
        <v>0</v>
      </c>
      <c r="O988" s="5" t="n">
        <v>0</v>
      </c>
      <c r="P988" s="5" t="n">
        <v>0</v>
      </c>
      <c r="Q988" s="5" t="n">
        <v>1</v>
      </c>
      <c r="R988" s="5" t="n">
        <v>0</v>
      </c>
      <c r="S988" s="5" t="n">
        <v>0</v>
      </c>
      <c r="T988" s="5" t="n">
        <v>1</v>
      </c>
      <c r="U988" s="5" t="inlineStr">
        <is>
          <t>training</t>
        </is>
      </c>
    </row>
    <row r="989">
      <c r="A989" s="5" t="n">
        <v>961</v>
      </c>
      <c r="B989" s="5" t="n">
        <v>0</v>
      </c>
      <c r="C989" s="5" t="n">
        <v>6</v>
      </c>
      <c r="D989" s="5" t="n">
        <v>1740</v>
      </c>
      <c r="E989" s="5" t="n">
        <v>30</v>
      </c>
      <c r="F989" s="5" t="n">
        <v>2</v>
      </c>
      <c r="G989" s="5" t="n">
        <v>0</v>
      </c>
      <c r="H989" s="5" t="n">
        <v>0</v>
      </c>
      <c r="I989" s="5" t="n">
        <v>0</v>
      </c>
      <c r="J989" s="5" t="n">
        <v>1</v>
      </c>
      <c r="K989" s="5" t="n">
        <v>0</v>
      </c>
      <c r="L989" s="5" t="n">
        <v>0</v>
      </c>
      <c r="M989" s="5" t="n">
        <v>0</v>
      </c>
      <c r="N989" s="5" t="n">
        <v>0</v>
      </c>
      <c r="O989" s="5" t="n">
        <v>0</v>
      </c>
      <c r="P989" s="5" t="n">
        <v>1</v>
      </c>
      <c r="Q989" s="5" t="n">
        <v>0</v>
      </c>
      <c r="R989" s="5" t="n">
        <v>0</v>
      </c>
      <c r="S989" s="5" t="n">
        <v>1</v>
      </c>
      <c r="T989" s="5" t="n">
        <v>0</v>
      </c>
      <c r="U989" s="5" t="inlineStr">
        <is>
          <t>training</t>
        </is>
      </c>
    </row>
    <row r="990">
      <c r="A990" s="5" t="n">
        <v>962</v>
      </c>
      <c r="B990" s="5" t="n">
        <v>0</v>
      </c>
      <c r="C990" s="5" t="n">
        <v>21</v>
      </c>
      <c r="D990" s="5" t="n">
        <v>2353</v>
      </c>
      <c r="E990" s="5" t="n">
        <v>47</v>
      </c>
      <c r="F990" s="5" t="n">
        <v>1</v>
      </c>
      <c r="G990" s="5" t="n">
        <v>0</v>
      </c>
      <c r="H990" s="5" t="n">
        <v>1</v>
      </c>
      <c r="I990" s="5" t="n">
        <v>0</v>
      </c>
      <c r="J990" s="5" t="n">
        <v>0</v>
      </c>
      <c r="K990" s="5" t="n">
        <v>1</v>
      </c>
      <c r="L990" s="5" t="n">
        <v>0</v>
      </c>
      <c r="M990" s="5" t="n">
        <v>0</v>
      </c>
      <c r="N990" s="5" t="n">
        <v>0</v>
      </c>
      <c r="O990" s="5" t="n">
        <v>0</v>
      </c>
      <c r="P990" s="5" t="n">
        <v>0</v>
      </c>
      <c r="Q990" s="5" t="n">
        <v>0</v>
      </c>
      <c r="R990" s="5" t="n">
        <v>1</v>
      </c>
      <c r="S990" s="5" t="n">
        <v>0</v>
      </c>
      <c r="T990" s="5" t="n">
        <v>0</v>
      </c>
      <c r="U990" s="5" t="inlineStr">
        <is>
          <t>training</t>
        </is>
      </c>
    </row>
    <row r="991">
      <c r="A991" s="5" t="n">
        <v>963</v>
      </c>
      <c r="B991" s="5" t="n">
        <v>0</v>
      </c>
      <c r="C991" s="5" t="n">
        <v>15</v>
      </c>
      <c r="D991" s="5" t="n">
        <v>3556</v>
      </c>
      <c r="E991" s="5" t="n">
        <v>29</v>
      </c>
      <c r="F991" s="5" t="n">
        <v>3</v>
      </c>
      <c r="G991" s="5" t="n">
        <v>0</v>
      </c>
      <c r="H991" s="5" t="n">
        <v>0</v>
      </c>
      <c r="I991" s="5" t="n">
        <v>0</v>
      </c>
      <c r="J991" s="5" t="n">
        <v>0</v>
      </c>
      <c r="K991" s="5" t="n">
        <v>0</v>
      </c>
      <c r="L991" s="5" t="n">
        <v>0</v>
      </c>
      <c r="M991" s="5" t="n">
        <v>0</v>
      </c>
      <c r="N991" s="5" t="n">
        <v>0</v>
      </c>
      <c r="O991" s="5" t="n">
        <v>1</v>
      </c>
      <c r="P991" s="5" t="n">
        <v>0</v>
      </c>
      <c r="Q991" s="5" t="n">
        <v>0</v>
      </c>
      <c r="R991" s="5" t="n">
        <v>1</v>
      </c>
      <c r="S991" s="5" t="n">
        <v>0</v>
      </c>
      <c r="T991" s="5" t="n">
        <v>0</v>
      </c>
      <c r="U991" s="5" t="inlineStr">
        <is>
          <t>training</t>
        </is>
      </c>
    </row>
    <row r="992">
      <c r="A992" s="5" t="n">
        <v>964</v>
      </c>
      <c r="B992" s="5" t="n">
        <v>1</v>
      </c>
      <c r="C992" s="5" t="n">
        <v>24</v>
      </c>
      <c r="D992" s="5" t="n">
        <v>2397</v>
      </c>
      <c r="E992" s="5" t="n">
        <v>35</v>
      </c>
      <c r="F992" s="5" t="n">
        <v>3</v>
      </c>
      <c r="G992" s="5" t="n">
        <v>0</v>
      </c>
      <c r="H992" s="5" t="n">
        <v>0</v>
      </c>
      <c r="I992" s="5" t="n">
        <v>0</v>
      </c>
      <c r="J992" s="5" t="n">
        <v>0</v>
      </c>
      <c r="K992" s="5" t="n">
        <v>0</v>
      </c>
      <c r="L992" s="5" t="n">
        <v>0</v>
      </c>
      <c r="M992" s="5" t="n">
        <v>1</v>
      </c>
      <c r="N992" s="5" t="n">
        <v>0</v>
      </c>
      <c r="O992" s="5" t="n">
        <v>0</v>
      </c>
      <c r="P992" s="5" t="n">
        <v>0</v>
      </c>
      <c r="Q992" s="5" t="n">
        <v>0</v>
      </c>
      <c r="R992" s="5" t="n">
        <v>0</v>
      </c>
      <c r="S992" s="5" t="n">
        <v>1</v>
      </c>
      <c r="T992" s="5" t="n">
        <v>0</v>
      </c>
      <c r="U992" s="5" t="inlineStr">
        <is>
          <t>training</t>
        </is>
      </c>
    </row>
    <row r="993">
      <c r="A993" s="5" t="n">
        <v>965</v>
      </c>
      <c r="B993" s="5" t="n">
        <v>0</v>
      </c>
      <c r="C993" s="5" t="n">
        <v>6</v>
      </c>
      <c r="D993" s="5" t="n">
        <v>454</v>
      </c>
      <c r="E993" s="5" t="n">
        <v>22</v>
      </c>
      <c r="F993" s="5" t="n">
        <v>3</v>
      </c>
      <c r="G993" s="5" t="n">
        <v>0</v>
      </c>
      <c r="H993" s="5" t="n">
        <v>1</v>
      </c>
      <c r="I993" s="5" t="n">
        <v>0</v>
      </c>
      <c r="J993" s="5" t="n">
        <v>0</v>
      </c>
      <c r="K993" s="5" t="n">
        <v>0</v>
      </c>
      <c r="L993" s="5" t="n">
        <v>0</v>
      </c>
      <c r="M993" s="5" t="n">
        <v>0</v>
      </c>
      <c r="N993" s="5" t="n">
        <v>0</v>
      </c>
      <c r="O993" s="5" t="n">
        <v>0</v>
      </c>
      <c r="P993" s="5" t="n">
        <v>0</v>
      </c>
      <c r="Q993" s="5" t="n">
        <v>0</v>
      </c>
      <c r="R993" s="5" t="n">
        <v>0</v>
      </c>
      <c r="S993" s="5" t="n">
        <v>0</v>
      </c>
      <c r="T993" s="5" t="n">
        <v>0</v>
      </c>
      <c r="U993" s="5" t="inlineStr">
        <is>
          <t>testing</t>
        </is>
      </c>
    </row>
    <row r="994">
      <c r="A994" s="5" t="n">
        <v>966</v>
      </c>
      <c r="B994" s="5" t="n">
        <v>0</v>
      </c>
      <c r="C994" s="5" t="n">
        <v>30</v>
      </c>
      <c r="D994" s="5" t="n">
        <v>1715</v>
      </c>
      <c r="E994" s="5" t="n">
        <v>26</v>
      </c>
      <c r="F994" s="5" t="n">
        <v>4</v>
      </c>
      <c r="G994" s="5" t="n">
        <v>0</v>
      </c>
      <c r="H994" s="5" t="n">
        <v>1</v>
      </c>
      <c r="I994" s="5" t="n">
        <v>0</v>
      </c>
      <c r="J994" s="5" t="n">
        <v>0</v>
      </c>
      <c r="K994" s="5" t="n">
        <v>0</v>
      </c>
      <c r="L994" s="5" t="n">
        <v>0</v>
      </c>
      <c r="M994" s="5" t="n">
        <v>0</v>
      </c>
      <c r="N994" s="5" t="n">
        <v>0</v>
      </c>
      <c r="O994" s="5" t="n">
        <v>1</v>
      </c>
      <c r="P994" s="5" t="n">
        <v>0</v>
      </c>
      <c r="Q994" s="5" t="n">
        <v>0</v>
      </c>
      <c r="R994" s="5" t="n">
        <v>0</v>
      </c>
      <c r="S994" s="5" t="n">
        <v>1</v>
      </c>
      <c r="T994" s="5" t="n">
        <v>0</v>
      </c>
      <c r="U994" s="5" t="inlineStr">
        <is>
          <t>testing</t>
        </is>
      </c>
    </row>
    <row r="995">
      <c r="A995" s="5" t="n">
        <v>967</v>
      </c>
      <c r="B995" s="5" t="n">
        <v>1</v>
      </c>
      <c r="C995" s="5" t="n">
        <v>27</v>
      </c>
      <c r="D995" s="5" t="n">
        <v>2520</v>
      </c>
      <c r="E995" s="5" t="n">
        <v>23</v>
      </c>
      <c r="F995" s="5" t="n">
        <v>4</v>
      </c>
      <c r="G995" s="5" t="n">
        <v>0</v>
      </c>
      <c r="H995" s="5" t="n">
        <v>1</v>
      </c>
      <c r="I995" s="5" t="n">
        <v>0</v>
      </c>
      <c r="J995" s="5" t="n">
        <v>1</v>
      </c>
      <c r="K995" s="5" t="n">
        <v>0</v>
      </c>
      <c r="L995" s="5" t="n">
        <v>0</v>
      </c>
      <c r="M995" s="5" t="n">
        <v>1</v>
      </c>
      <c r="N995" s="5" t="n">
        <v>0</v>
      </c>
      <c r="O995" s="5" t="n">
        <v>0</v>
      </c>
      <c r="P995" s="5" t="n">
        <v>0</v>
      </c>
      <c r="Q995" s="5" t="n">
        <v>0</v>
      </c>
      <c r="R995" s="5" t="n">
        <v>0</v>
      </c>
      <c r="S995" s="5" t="n">
        <v>1</v>
      </c>
      <c r="T995" s="5" t="n">
        <v>0</v>
      </c>
      <c r="U995" s="5" t="inlineStr">
        <is>
          <t>training</t>
        </is>
      </c>
    </row>
    <row r="996">
      <c r="A996" s="5" t="n">
        <v>968</v>
      </c>
      <c r="B996" s="5" t="n">
        <v>0</v>
      </c>
      <c r="C996" s="5" t="n">
        <v>15</v>
      </c>
      <c r="D996" s="5" t="n">
        <v>3568</v>
      </c>
      <c r="E996" s="5" t="n">
        <v>54</v>
      </c>
      <c r="F996" s="5" t="n">
        <v>4</v>
      </c>
      <c r="G996" s="5" t="n">
        <v>0</v>
      </c>
      <c r="H996" s="5" t="n">
        <v>0</v>
      </c>
      <c r="I996" s="5" t="n">
        <v>0</v>
      </c>
      <c r="J996" s="5" t="n">
        <v>0</v>
      </c>
      <c r="K996" s="5" t="n">
        <v>0</v>
      </c>
      <c r="L996" s="5" t="n">
        <v>0</v>
      </c>
      <c r="M996" s="5" t="n">
        <v>0</v>
      </c>
      <c r="N996" s="5" t="n">
        <v>0</v>
      </c>
      <c r="O996" s="5" t="n">
        <v>0</v>
      </c>
      <c r="P996" s="5" t="n">
        <v>1</v>
      </c>
      <c r="Q996" s="5" t="n">
        <v>0</v>
      </c>
      <c r="R996" s="5" t="n">
        <v>0</v>
      </c>
      <c r="S996" s="5" t="n">
        <v>1</v>
      </c>
      <c r="T996" s="5" t="n">
        <v>0</v>
      </c>
      <c r="U996" s="5" t="inlineStr">
        <is>
          <t>testing</t>
        </is>
      </c>
    </row>
    <row r="997">
      <c r="A997" s="5" t="n">
        <v>969</v>
      </c>
      <c r="B997" s="5" t="n">
        <v>0</v>
      </c>
      <c r="C997" s="5" t="n">
        <v>42</v>
      </c>
      <c r="D997" s="5" t="n">
        <v>7166</v>
      </c>
      <c r="E997" s="5" t="n">
        <v>29</v>
      </c>
      <c r="F997" s="5" t="n">
        <v>2</v>
      </c>
      <c r="G997" s="5" t="n">
        <v>0</v>
      </c>
      <c r="H997" s="5" t="n">
        <v>0</v>
      </c>
      <c r="I997" s="5" t="n">
        <v>0</v>
      </c>
      <c r="J997" s="5" t="n">
        <v>0</v>
      </c>
      <c r="K997" s="5" t="n">
        <v>0</v>
      </c>
      <c r="L997" s="5" t="n">
        <v>0</v>
      </c>
      <c r="M997" s="5" t="n">
        <v>0</v>
      </c>
      <c r="N997" s="5" t="n">
        <v>0</v>
      </c>
      <c r="O997" s="5" t="n">
        <v>1</v>
      </c>
      <c r="P997" s="5" t="n">
        <v>1</v>
      </c>
      <c r="Q997" s="5" t="n">
        <v>0</v>
      </c>
      <c r="R997" s="5" t="n">
        <v>0</v>
      </c>
      <c r="S997" s="5" t="n">
        <v>1</v>
      </c>
      <c r="T997" s="5" t="n">
        <v>0</v>
      </c>
      <c r="U997" s="5" t="inlineStr">
        <is>
          <t>training</t>
        </is>
      </c>
    </row>
    <row r="998">
      <c r="A998" s="5" t="n">
        <v>970</v>
      </c>
      <c r="B998" s="5" t="n">
        <v>0</v>
      </c>
      <c r="C998" s="5" t="n">
        <v>11</v>
      </c>
      <c r="D998" s="5" t="n">
        <v>3939</v>
      </c>
      <c r="E998" s="5" t="n">
        <v>40</v>
      </c>
      <c r="F998" s="5" t="n">
        <v>1</v>
      </c>
      <c r="G998" s="5" t="n">
        <v>1</v>
      </c>
      <c r="H998" s="5" t="n">
        <v>0</v>
      </c>
      <c r="I998" s="5" t="n">
        <v>0</v>
      </c>
      <c r="J998" s="5" t="n">
        <v>1</v>
      </c>
      <c r="K998" s="5" t="n">
        <v>0</v>
      </c>
      <c r="L998" s="5" t="n">
        <v>0</v>
      </c>
      <c r="M998" s="5" t="n">
        <v>0</v>
      </c>
      <c r="N998" s="5" t="n">
        <v>0</v>
      </c>
      <c r="O998" s="5" t="n">
        <v>0</v>
      </c>
      <c r="P998" s="5" t="n">
        <v>0</v>
      </c>
      <c r="Q998" s="5" t="n">
        <v>0</v>
      </c>
      <c r="R998" s="5" t="n">
        <v>1</v>
      </c>
      <c r="S998" s="5" t="n">
        <v>0</v>
      </c>
      <c r="T998" s="5" t="n">
        <v>0</v>
      </c>
      <c r="U998" s="5" t="inlineStr">
        <is>
          <t>training</t>
        </is>
      </c>
    </row>
    <row r="999">
      <c r="A999" s="5" t="n">
        <v>971</v>
      </c>
      <c r="B999" s="5" t="n">
        <v>0</v>
      </c>
      <c r="C999" s="5" t="n">
        <v>15</v>
      </c>
      <c r="D999" s="5" t="n">
        <v>1514</v>
      </c>
      <c r="E999" s="5" t="n">
        <v>22</v>
      </c>
      <c r="F999" s="5" t="n">
        <v>4</v>
      </c>
      <c r="G999" s="5" t="n">
        <v>0</v>
      </c>
      <c r="H999" s="5" t="n">
        <v>1</v>
      </c>
      <c r="I999" s="5" t="n">
        <v>0</v>
      </c>
      <c r="J999" s="5" t="n">
        <v>0</v>
      </c>
      <c r="K999" s="5" t="n">
        <v>0</v>
      </c>
      <c r="L999" s="5" t="n">
        <v>0</v>
      </c>
      <c r="M999" s="5" t="n">
        <v>1</v>
      </c>
      <c r="N999" s="5" t="n">
        <v>0</v>
      </c>
      <c r="O999" s="5" t="n">
        <v>0</v>
      </c>
      <c r="P999" s="5" t="n">
        <v>0</v>
      </c>
      <c r="Q999" s="5" t="n">
        <v>0</v>
      </c>
      <c r="R999" s="5" t="n">
        <v>0</v>
      </c>
      <c r="S999" s="5" t="n">
        <v>0</v>
      </c>
      <c r="T999" s="5" t="n">
        <v>0</v>
      </c>
      <c r="U999" s="5" t="inlineStr">
        <is>
          <t>training</t>
        </is>
      </c>
    </row>
    <row r="1000">
      <c r="A1000" s="5" t="n">
        <v>972</v>
      </c>
      <c r="B1000" s="5" t="n">
        <v>0</v>
      </c>
      <c r="C1000" s="5" t="n">
        <v>24</v>
      </c>
      <c r="D1000" s="5" t="n">
        <v>7393</v>
      </c>
      <c r="E1000" s="5" t="n">
        <v>43</v>
      </c>
      <c r="F1000" s="5" t="n">
        <v>1</v>
      </c>
      <c r="G1000" s="5" t="n">
        <v>0</v>
      </c>
      <c r="H1000" s="5" t="n">
        <v>0</v>
      </c>
      <c r="I1000" s="5" t="n">
        <v>0</v>
      </c>
      <c r="J1000" s="5" t="n">
        <v>0</v>
      </c>
      <c r="K1000" s="5" t="n">
        <v>0</v>
      </c>
      <c r="L1000" s="5" t="n">
        <v>0</v>
      </c>
      <c r="M1000" s="5" t="n">
        <v>0</v>
      </c>
      <c r="N1000" s="5" t="n">
        <v>0</v>
      </c>
      <c r="O1000" s="5" t="n">
        <v>0</v>
      </c>
      <c r="P1000" s="5" t="n">
        <v>0</v>
      </c>
      <c r="Q1000" s="5" t="n">
        <v>0</v>
      </c>
      <c r="R1000" s="5" t="n">
        <v>1</v>
      </c>
      <c r="S1000" s="5" t="n">
        <v>0</v>
      </c>
      <c r="T1000" s="5" t="n">
        <v>0</v>
      </c>
      <c r="U1000" s="5" t="inlineStr">
        <is>
          <t>training</t>
        </is>
      </c>
    </row>
    <row r="1001">
      <c r="A1001" s="5" t="n">
        <v>973</v>
      </c>
      <c r="B1001" s="5" t="n">
        <v>1</v>
      </c>
      <c r="C1001" s="5" t="n">
        <v>24</v>
      </c>
      <c r="D1001" s="5" t="n">
        <v>1193</v>
      </c>
      <c r="E1001" s="5" t="n">
        <v>29</v>
      </c>
      <c r="F1001" s="5" t="n">
        <v>1</v>
      </c>
      <c r="G1001" s="5" t="n">
        <v>1</v>
      </c>
      <c r="H1001" s="5" t="n">
        <v>0</v>
      </c>
      <c r="I1001" s="5" t="n">
        <v>0</v>
      </c>
      <c r="J1001" s="5" t="n">
        <v>0</v>
      </c>
      <c r="K1001" s="5" t="n">
        <v>0</v>
      </c>
      <c r="L1001" s="5" t="n">
        <v>1</v>
      </c>
      <c r="M1001" s="5" t="n">
        <v>0</v>
      </c>
      <c r="N1001" s="5" t="n">
        <v>0</v>
      </c>
      <c r="O1001" s="5" t="n">
        <v>0</v>
      </c>
      <c r="P1001" s="5" t="n">
        <v>1</v>
      </c>
      <c r="Q1001" s="5" t="n">
        <v>0</v>
      </c>
      <c r="R1001" s="5" t="n">
        <v>1</v>
      </c>
      <c r="S1001" s="5" t="n">
        <v>0</v>
      </c>
      <c r="T1001" s="5" t="n">
        <v>0</v>
      </c>
      <c r="U1001" s="5" t="inlineStr">
        <is>
          <t>training</t>
        </is>
      </c>
    </row>
    <row r="1002">
      <c r="A1002" s="5" t="n">
        <v>974</v>
      </c>
      <c r="B1002" s="5" t="n">
        <v>1</v>
      </c>
      <c r="C1002" s="5" t="n">
        <v>60</v>
      </c>
      <c r="D1002" s="5" t="n">
        <v>7297</v>
      </c>
      <c r="E1002" s="5" t="n">
        <v>36</v>
      </c>
      <c r="F1002" s="5" t="n">
        <v>4</v>
      </c>
      <c r="G1002" s="5" t="n">
        <v>1</v>
      </c>
      <c r="H1002" s="5" t="n">
        <v>0</v>
      </c>
      <c r="I1002" s="5" t="n">
        <v>0</v>
      </c>
      <c r="J1002" s="5" t="n">
        <v>0</v>
      </c>
      <c r="K1002" s="5" t="n">
        <v>0</v>
      </c>
      <c r="L1002" s="5" t="n">
        <v>0</v>
      </c>
      <c r="M1002" s="5" t="n">
        <v>0</v>
      </c>
      <c r="N1002" s="5" t="n">
        <v>0</v>
      </c>
      <c r="O1002" s="5" t="n">
        <v>0</v>
      </c>
      <c r="P1002" s="5" t="n">
        <v>1</v>
      </c>
      <c r="Q1002" s="5" t="n">
        <v>0</v>
      </c>
      <c r="R1002" s="5" t="n">
        <v>0</v>
      </c>
      <c r="S1002" s="5" t="n">
        <v>0</v>
      </c>
      <c r="T1002" s="5" t="n">
        <v>0</v>
      </c>
      <c r="U1002" s="5" t="inlineStr">
        <is>
          <t>testing</t>
        </is>
      </c>
    </row>
    <row r="1003">
      <c r="A1003" s="5" t="n">
        <v>975</v>
      </c>
      <c r="B1003" s="5" t="n">
        <v>0</v>
      </c>
      <c r="C1003" s="5" t="n">
        <v>30</v>
      </c>
      <c r="D1003" s="5" t="n">
        <v>2831</v>
      </c>
      <c r="E1003" s="5" t="n">
        <v>33</v>
      </c>
      <c r="F1003" s="5" t="n">
        <v>4</v>
      </c>
      <c r="G1003" s="5" t="n">
        <v>0</v>
      </c>
      <c r="H1003" s="5" t="n">
        <v>0</v>
      </c>
      <c r="I1003" s="5" t="n">
        <v>0</v>
      </c>
      <c r="J1003" s="5" t="n">
        <v>1</v>
      </c>
      <c r="K1003" s="5" t="n">
        <v>0</v>
      </c>
      <c r="L1003" s="5" t="n">
        <v>0</v>
      </c>
      <c r="M1003" s="5" t="n">
        <v>0</v>
      </c>
      <c r="N1003" s="5" t="n">
        <v>0</v>
      </c>
      <c r="O1003" s="5" t="n">
        <v>0</v>
      </c>
      <c r="P1003" s="5" t="n">
        <v>0</v>
      </c>
      <c r="Q1003" s="5" t="n">
        <v>0</v>
      </c>
      <c r="R1003" s="5" t="n">
        <v>0</v>
      </c>
      <c r="S1003" s="5" t="n">
        <v>1</v>
      </c>
      <c r="T1003" s="5" t="n">
        <v>0</v>
      </c>
      <c r="U1003" s="5" t="inlineStr">
        <is>
          <t>training</t>
        </is>
      </c>
    </row>
    <row r="1004">
      <c r="A1004" s="5" t="n">
        <v>976</v>
      </c>
      <c r="B1004" s="5" t="n">
        <v>0</v>
      </c>
      <c r="C1004" s="5" t="n">
        <v>24</v>
      </c>
      <c r="D1004" s="5" t="n">
        <v>1258</v>
      </c>
      <c r="E1004" s="5" t="n">
        <v>57</v>
      </c>
      <c r="F1004" s="5" t="n">
        <v>3</v>
      </c>
      <c r="G1004" s="5" t="n">
        <v>0</v>
      </c>
      <c r="H1004" s="5" t="n">
        <v>0</v>
      </c>
      <c r="I1004" s="5" t="n">
        <v>1</v>
      </c>
      <c r="J1004" s="5" t="n">
        <v>0</v>
      </c>
      <c r="K1004" s="5" t="n">
        <v>0</v>
      </c>
      <c r="L1004" s="5" t="n">
        <v>0</v>
      </c>
      <c r="M1004" s="5" t="n">
        <v>1</v>
      </c>
      <c r="N1004" s="5" t="n">
        <v>0</v>
      </c>
      <c r="O1004" s="5" t="n">
        <v>0</v>
      </c>
      <c r="P1004" s="5" t="n">
        <v>0</v>
      </c>
      <c r="Q1004" s="5" t="n">
        <v>0</v>
      </c>
      <c r="R1004" s="5" t="n">
        <v>0</v>
      </c>
      <c r="S1004" s="5" t="n">
        <v>1</v>
      </c>
      <c r="T1004" s="5" t="n">
        <v>0</v>
      </c>
      <c r="U1004" s="5" t="inlineStr">
        <is>
          <t>training</t>
        </is>
      </c>
    </row>
    <row r="1005">
      <c r="A1005" s="5" t="n">
        <v>977</v>
      </c>
      <c r="B1005" s="5" t="n">
        <v>0</v>
      </c>
      <c r="C1005" s="5" t="n">
        <v>6</v>
      </c>
      <c r="D1005" s="5" t="n">
        <v>753</v>
      </c>
      <c r="E1005" s="5" t="n">
        <v>64</v>
      </c>
      <c r="F1005" s="5" t="n">
        <v>2</v>
      </c>
      <c r="G1005" s="5" t="n">
        <v>0</v>
      </c>
      <c r="H1005" s="5" t="n">
        <v>1</v>
      </c>
      <c r="I1005" s="5" t="n">
        <v>0</v>
      </c>
      <c r="J1005" s="5" t="n">
        <v>0</v>
      </c>
      <c r="K1005" s="5" t="n">
        <v>0</v>
      </c>
      <c r="L1005" s="5" t="n">
        <v>0</v>
      </c>
      <c r="M1005" s="5" t="n">
        <v>0</v>
      </c>
      <c r="N1005" s="5" t="n">
        <v>0</v>
      </c>
      <c r="O1005" s="5" t="n">
        <v>0</v>
      </c>
      <c r="P1005" s="5" t="n">
        <v>0</v>
      </c>
      <c r="Q1005" s="5" t="n">
        <v>0</v>
      </c>
      <c r="R1005" s="5" t="n">
        <v>0</v>
      </c>
      <c r="S1005" s="5" t="n">
        <v>1</v>
      </c>
      <c r="T1005" s="5" t="n">
        <v>0</v>
      </c>
      <c r="U1005" s="5" t="inlineStr">
        <is>
          <t>testing</t>
        </is>
      </c>
    </row>
    <row r="1006">
      <c r="A1006" s="5" t="n">
        <v>978</v>
      </c>
      <c r="B1006" s="5" t="n">
        <v>0</v>
      </c>
      <c r="C1006" s="5" t="n">
        <v>18</v>
      </c>
      <c r="D1006" s="5" t="n">
        <v>2427</v>
      </c>
      <c r="E1006" s="5" t="n">
        <v>42</v>
      </c>
      <c r="F1006" s="5" t="n">
        <v>4</v>
      </c>
      <c r="G1006" s="5" t="n">
        <v>0</v>
      </c>
      <c r="H1006" s="5" t="n">
        <v>1</v>
      </c>
      <c r="I1006" s="5" t="n">
        <v>0</v>
      </c>
      <c r="J1006" s="5" t="n">
        <v>0</v>
      </c>
      <c r="K1006" s="5" t="n">
        <v>1</v>
      </c>
      <c r="L1006" s="5" t="n">
        <v>0</v>
      </c>
      <c r="M1006" s="5" t="n">
        <v>0</v>
      </c>
      <c r="N1006" s="5" t="n">
        <v>0</v>
      </c>
      <c r="O1006" s="5" t="n">
        <v>1</v>
      </c>
      <c r="P1006" s="5" t="n">
        <v>0</v>
      </c>
      <c r="Q1006" s="5" t="n">
        <v>0</v>
      </c>
      <c r="R1006" s="5" t="n">
        <v>0</v>
      </c>
      <c r="S1006" s="5" t="n">
        <v>0</v>
      </c>
      <c r="T1006" s="5" t="n">
        <v>0</v>
      </c>
      <c r="U1006" s="5" t="inlineStr">
        <is>
          <t>testing</t>
        </is>
      </c>
    </row>
    <row r="1007">
      <c r="A1007" s="5" t="n">
        <v>979</v>
      </c>
      <c r="B1007" s="5" t="n">
        <v>1</v>
      </c>
      <c r="C1007" s="5" t="n">
        <v>24</v>
      </c>
      <c r="D1007" s="5" t="n">
        <v>2538</v>
      </c>
      <c r="E1007" s="5" t="n">
        <v>47</v>
      </c>
      <c r="F1007" s="5" t="n">
        <v>4</v>
      </c>
      <c r="G1007" s="5" t="n">
        <v>0</v>
      </c>
      <c r="H1007" s="5" t="n">
        <v>0</v>
      </c>
      <c r="I1007" s="5" t="n">
        <v>0</v>
      </c>
      <c r="J1007" s="5" t="n">
        <v>0</v>
      </c>
      <c r="K1007" s="5" t="n">
        <v>1</v>
      </c>
      <c r="L1007" s="5" t="n">
        <v>0</v>
      </c>
      <c r="M1007" s="5" t="n">
        <v>0</v>
      </c>
      <c r="N1007" s="5" t="n">
        <v>0</v>
      </c>
      <c r="O1007" s="5" t="n">
        <v>0</v>
      </c>
      <c r="P1007" s="5" t="n">
        <v>0</v>
      </c>
      <c r="Q1007" s="5" t="n">
        <v>0</v>
      </c>
      <c r="R1007" s="5" t="n">
        <v>1</v>
      </c>
      <c r="S1007" s="5" t="n">
        <v>0</v>
      </c>
      <c r="T1007" s="5" t="n">
        <v>0</v>
      </c>
      <c r="U1007" s="5" t="inlineStr">
        <is>
          <t>training</t>
        </is>
      </c>
    </row>
    <row r="1008">
      <c r="A1008" s="5" t="n">
        <v>980</v>
      </c>
      <c r="B1008" s="5" t="n">
        <v>1</v>
      </c>
      <c r="C1008" s="5" t="n">
        <v>15</v>
      </c>
      <c r="D1008" s="5" t="n">
        <v>1264</v>
      </c>
      <c r="E1008" s="5" t="n">
        <v>25</v>
      </c>
      <c r="F1008" s="5" t="n">
        <v>2</v>
      </c>
      <c r="G1008" s="5" t="n">
        <v>0</v>
      </c>
      <c r="H1008" s="5" t="n">
        <v>1</v>
      </c>
      <c r="I1008" s="5" t="n">
        <v>0</v>
      </c>
      <c r="J1008" s="5" t="n">
        <v>0</v>
      </c>
      <c r="K1008" s="5" t="n">
        <v>0</v>
      </c>
      <c r="L1008" s="5" t="n">
        <v>1</v>
      </c>
      <c r="M1008" s="5" t="n">
        <v>1</v>
      </c>
      <c r="N1008" s="5" t="n">
        <v>0</v>
      </c>
      <c r="O1008" s="5" t="n">
        <v>0</v>
      </c>
      <c r="P1008" s="5" t="n">
        <v>1</v>
      </c>
      <c r="Q1008" s="5" t="n">
        <v>0</v>
      </c>
      <c r="R1008" s="5" t="n">
        <v>1</v>
      </c>
      <c r="S1008" s="5" t="n">
        <v>0</v>
      </c>
      <c r="T1008" s="5" t="n">
        <v>0</v>
      </c>
      <c r="U1008" s="5" t="inlineStr">
        <is>
          <t>training</t>
        </is>
      </c>
    </row>
    <row r="1009">
      <c r="A1009" s="5" t="n">
        <v>981</v>
      </c>
      <c r="B1009" s="5" t="n">
        <v>1</v>
      </c>
      <c r="C1009" s="5" t="n">
        <v>30</v>
      </c>
      <c r="D1009" s="5" t="n">
        <v>8386</v>
      </c>
      <c r="E1009" s="5" t="n">
        <v>49</v>
      </c>
      <c r="F1009" s="5" t="n">
        <v>2</v>
      </c>
      <c r="G1009" s="5" t="n">
        <v>0</v>
      </c>
      <c r="H1009" s="5" t="n">
        <v>1</v>
      </c>
      <c r="I1009" s="5" t="n">
        <v>0</v>
      </c>
      <c r="J1009" s="5" t="n">
        <v>1</v>
      </c>
      <c r="K1009" s="5" t="n">
        <v>0</v>
      </c>
      <c r="L1009" s="5" t="n">
        <v>0</v>
      </c>
      <c r="M1009" s="5" t="n">
        <v>0</v>
      </c>
      <c r="N1009" s="5" t="n">
        <v>0</v>
      </c>
      <c r="O1009" s="5" t="n">
        <v>0</v>
      </c>
      <c r="P1009" s="5" t="n">
        <v>0</v>
      </c>
      <c r="Q1009" s="5" t="n">
        <v>0</v>
      </c>
      <c r="R1009" s="5" t="n">
        <v>0</v>
      </c>
      <c r="S1009" s="5" t="n">
        <v>0</v>
      </c>
      <c r="T1009" s="5" t="n">
        <v>1</v>
      </c>
      <c r="U1009" s="5" t="inlineStr">
        <is>
          <t>training</t>
        </is>
      </c>
    </row>
    <row r="1010">
      <c r="A1010" s="5" t="n">
        <v>982</v>
      </c>
      <c r="B1010" s="5" t="n">
        <v>1</v>
      </c>
      <c r="C1010" s="5" t="n">
        <v>48</v>
      </c>
      <c r="D1010" s="5" t="n">
        <v>4844</v>
      </c>
      <c r="E1010" s="5" t="n">
        <v>33</v>
      </c>
      <c r="F1010" s="5" t="n">
        <v>3</v>
      </c>
      <c r="G1010" s="5" t="n">
        <v>0</v>
      </c>
      <c r="H1010" s="5" t="n">
        <v>0</v>
      </c>
      <c r="I1010" s="5" t="n">
        <v>0</v>
      </c>
      <c r="J1010" s="5" t="n">
        <v>0</v>
      </c>
      <c r="K1010" s="5" t="n">
        <v>0</v>
      </c>
      <c r="L1010" s="5" t="n">
        <v>0</v>
      </c>
      <c r="M1010" s="5" t="n">
        <v>0</v>
      </c>
      <c r="N1010" s="5" t="n">
        <v>0</v>
      </c>
      <c r="O1010" s="5" t="n">
        <v>0</v>
      </c>
      <c r="P1010" s="5" t="n">
        <v>1</v>
      </c>
      <c r="Q1010" s="5" t="n">
        <v>0</v>
      </c>
      <c r="R1010" s="5" t="n">
        <v>0</v>
      </c>
      <c r="S1010" s="5" t="n">
        <v>0</v>
      </c>
      <c r="T1010" s="5" t="n">
        <v>0</v>
      </c>
      <c r="U1010" s="5" t="inlineStr">
        <is>
          <t>training</t>
        </is>
      </c>
    </row>
    <row r="1011">
      <c r="A1011" s="5" t="n">
        <v>983</v>
      </c>
      <c r="B1011" s="5" t="n">
        <v>0</v>
      </c>
      <c r="C1011" s="5" t="n">
        <v>21</v>
      </c>
      <c r="D1011" s="5" t="n">
        <v>2923</v>
      </c>
      <c r="E1011" s="5" t="n">
        <v>28</v>
      </c>
      <c r="F1011" s="5" t="n">
        <v>1</v>
      </c>
      <c r="G1011" s="5" t="n">
        <v>0</v>
      </c>
      <c r="H1011" s="5" t="n">
        <v>0</v>
      </c>
      <c r="I1011" s="5" t="n">
        <v>1</v>
      </c>
      <c r="J1011" s="5" t="n">
        <v>0</v>
      </c>
      <c r="K1011" s="5" t="n">
        <v>0</v>
      </c>
      <c r="L1011" s="5" t="n">
        <v>0</v>
      </c>
      <c r="M1011" s="5" t="n">
        <v>1</v>
      </c>
      <c r="N1011" s="5" t="n">
        <v>0</v>
      </c>
      <c r="O1011" s="5" t="n">
        <v>0</v>
      </c>
      <c r="P1011" s="5" t="n">
        <v>0</v>
      </c>
      <c r="Q1011" s="5" t="n">
        <v>0</v>
      </c>
      <c r="R1011" s="5" t="n">
        <v>1</v>
      </c>
      <c r="S1011" s="5" t="n">
        <v>0</v>
      </c>
      <c r="T1011" s="5" t="n">
        <v>0</v>
      </c>
      <c r="U1011" s="5" t="inlineStr">
        <is>
          <t>training</t>
        </is>
      </c>
    </row>
    <row r="1012">
      <c r="A1012" s="5" t="n">
        <v>984</v>
      </c>
      <c r="B1012" s="5" t="n">
        <v>1</v>
      </c>
      <c r="C1012" s="5" t="n">
        <v>36</v>
      </c>
      <c r="D1012" s="5" t="n">
        <v>8229</v>
      </c>
      <c r="E1012" s="5" t="n">
        <v>26</v>
      </c>
      <c r="F1012" s="5" t="n">
        <v>2</v>
      </c>
      <c r="G1012" s="5" t="n">
        <v>1</v>
      </c>
      <c r="H1012" s="5" t="n">
        <v>0</v>
      </c>
      <c r="I1012" s="5" t="n">
        <v>0</v>
      </c>
      <c r="J1012" s="5" t="n">
        <v>0</v>
      </c>
      <c r="K1012" s="5" t="n">
        <v>0</v>
      </c>
      <c r="L1012" s="5" t="n">
        <v>0</v>
      </c>
      <c r="M1012" s="5" t="n">
        <v>0</v>
      </c>
      <c r="N1012" s="5" t="n">
        <v>0</v>
      </c>
      <c r="O1012" s="5" t="n">
        <v>0</v>
      </c>
      <c r="P1012" s="5" t="n">
        <v>0</v>
      </c>
      <c r="Q1012" s="5" t="n">
        <v>0</v>
      </c>
      <c r="R1012" s="5" t="n">
        <v>1</v>
      </c>
      <c r="S1012" s="5" t="n">
        <v>0</v>
      </c>
      <c r="T1012" s="5" t="n">
        <v>0</v>
      </c>
      <c r="U1012" s="5" t="inlineStr">
        <is>
          <t>training</t>
        </is>
      </c>
    </row>
    <row r="1013">
      <c r="A1013" s="5" t="n">
        <v>985</v>
      </c>
      <c r="B1013" s="5" t="n">
        <v>0</v>
      </c>
      <c r="C1013" s="5" t="n">
        <v>24</v>
      </c>
      <c r="D1013" s="5" t="n">
        <v>2028</v>
      </c>
      <c r="E1013" s="5" t="n">
        <v>30</v>
      </c>
      <c r="F1013" s="5" t="n">
        <v>2</v>
      </c>
      <c r="G1013" s="5" t="n">
        <v>0</v>
      </c>
      <c r="H1013" s="5" t="n">
        <v>0</v>
      </c>
      <c r="I1013" s="5" t="n">
        <v>0</v>
      </c>
      <c r="J1013" s="5" t="n">
        <v>1</v>
      </c>
      <c r="K1013" s="5" t="n">
        <v>0</v>
      </c>
      <c r="L1013" s="5" t="n">
        <v>0</v>
      </c>
      <c r="M1013" s="5" t="n">
        <v>0</v>
      </c>
      <c r="N1013" s="5" t="n">
        <v>0</v>
      </c>
      <c r="O1013" s="5" t="n">
        <v>0</v>
      </c>
      <c r="P1013" s="5" t="n">
        <v>0</v>
      </c>
      <c r="Q1013" s="5" t="n">
        <v>0</v>
      </c>
      <c r="R1013" s="5" t="n">
        <v>0</v>
      </c>
      <c r="S1013" s="5" t="n">
        <v>0</v>
      </c>
      <c r="T1013" s="5" t="n">
        <v>1</v>
      </c>
      <c r="U1013" s="5" t="inlineStr">
        <is>
          <t>testing</t>
        </is>
      </c>
    </row>
    <row r="1014">
      <c r="A1014" s="5" t="n">
        <v>986</v>
      </c>
      <c r="B1014" s="5" t="n">
        <v>0</v>
      </c>
      <c r="C1014" s="5" t="n">
        <v>15</v>
      </c>
      <c r="D1014" s="5" t="n">
        <v>1433</v>
      </c>
      <c r="E1014" s="5" t="n">
        <v>25</v>
      </c>
      <c r="F1014" s="5" t="n">
        <v>4</v>
      </c>
      <c r="G1014" s="5" t="n">
        <v>1</v>
      </c>
      <c r="H1014" s="5" t="n">
        <v>0</v>
      </c>
      <c r="I1014" s="5" t="n">
        <v>0</v>
      </c>
      <c r="J1014" s="5" t="n">
        <v>1</v>
      </c>
      <c r="K1014" s="5" t="n">
        <v>0</v>
      </c>
      <c r="L1014" s="5" t="n">
        <v>0</v>
      </c>
      <c r="M1014" s="5" t="n">
        <v>0</v>
      </c>
      <c r="N1014" s="5" t="n">
        <v>0</v>
      </c>
      <c r="O1014" s="5" t="n">
        <v>0</v>
      </c>
      <c r="P1014" s="5" t="n">
        <v>1</v>
      </c>
      <c r="Q1014" s="5" t="n">
        <v>0</v>
      </c>
      <c r="R1014" s="5" t="n">
        <v>0</v>
      </c>
      <c r="S1014" s="5" t="n">
        <v>0</v>
      </c>
      <c r="T1014" s="5" t="n">
        <v>1</v>
      </c>
      <c r="U1014" s="5" t="inlineStr">
        <is>
          <t>testing</t>
        </is>
      </c>
    </row>
    <row r="1015">
      <c r="A1015" s="5" t="n">
        <v>987</v>
      </c>
      <c r="B1015" s="5" t="n">
        <v>0</v>
      </c>
      <c r="C1015" s="5" t="n">
        <v>42</v>
      </c>
      <c r="D1015" s="5" t="n">
        <v>6289</v>
      </c>
      <c r="E1015" s="5" t="n">
        <v>33</v>
      </c>
      <c r="F1015" s="5" t="n">
        <v>2</v>
      </c>
      <c r="G1015" s="5" t="n">
        <v>0</v>
      </c>
      <c r="H1015" s="5" t="n">
        <v>0</v>
      </c>
      <c r="I1015" s="5" t="n">
        <v>1</v>
      </c>
      <c r="J1015" s="5" t="n">
        <v>0</v>
      </c>
      <c r="K1015" s="5" t="n">
        <v>0</v>
      </c>
      <c r="L1015" s="5" t="n">
        <v>1</v>
      </c>
      <c r="M1015" s="5" t="n">
        <v>0</v>
      </c>
      <c r="N1015" s="5" t="n">
        <v>0</v>
      </c>
      <c r="O1015" s="5" t="n">
        <v>0</v>
      </c>
      <c r="P1015" s="5" t="n">
        <v>0</v>
      </c>
      <c r="Q1015" s="5" t="n">
        <v>0</v>
      </c>
      <c r="R1015" s="5" t="n">
        <v>0</v>
      </c>
      <c r="S1015" s="5" t="n">
        <v>0</v>
      </c>
      <c r="T1015" s="5" t="n">
        <v>0</v>
      </c>
      <c r="U1015" s="5" t="inlineStr">
        <is>
          <t>testing</t>
        </is>
      </c>
    </row>
    <row r="1016">
      <c r="A1016" s="5" t="n">
        <v>988</v>
      </c>
      <c r="B1016" s="5" t="n">
        <v>0</v>
      </c>
      <c r="C1016" s="5" t="n">
        <v>13</v>
      </c>
      <c r="D1016" s="5" t="n">
        <v>1409</v>
      </c>
      <c r="E1016" s="5" t="n">
        <v>64</v>
      </c>
      <c r="F1016" s="5" t="n">
        <v>2</v>
      </c>
      <c r="G1016" s="5" t="n">
        <v>0</v>
      </c>
      <c r="H1016" s="5" t="n">
        <v>0</v>
      </c>
      <c r="I1016" s="5" t="n">
        <v>0</v>
      </c>
      <c r="J1016" s="5" t="n">
        <v>0</v>
      </c>
      <c r="K1016" s="5" t="n">
        <v>0</v>
      </c>
      <c r="L1016" s="5" t="n">
        <v>0</v>
      </c>
      <c r="M1016" s="5" t="n">
        <v>1</v>
      </c>
      <c r="N1016" s="5" t="n">
        <v>0</v>
      </c>
      <c r="O1016" s="5" t="n">
        <v>0</v>
      </c>
      <c r="P1016" s="5" t="n">
        <v>0</v>
      </c>
      <c r="Q1016" s="5" t="n">
        <v>0</v>
      </c>
      <c r="R1016" s="5" t="n">
        <v>0</v>
      </c>
      <c r="S1016" s="5" t="n">
        <v>1</v>
      </c>
      <c r="T1016" s="5" t="n">
        <v>0</v>
      </c>
      <c r="U1016" s="5" t="inlineStr">
        <is>
          <t>training</t>
        </is>
      </c>
    </row>
    <row r="1017">
      <c r="A1017" s="5" t="n">
        <v>989</v>
      </c>
      <c r="B1017" s="5" t="n">
        <v>0</v>
      </c>
      <c r="C1017" s="5" t="n">
        <v>24</v>
      </c>
      <c r="D1017" s="5" t="n">
        <v>6579</v>
      </c>
      <c r="E1017" s="5" t="n">
        <v>29</v>
      </c>
      <c r="F1017" s="5" t="n">
        <v>4</v>
      </c>
      <c r="G1017" s="5" t="n">
        <v>1</v>
      </c>
      <c r="H1017" s="5" t="n">
        <v>0</v>
      </c>
      <c r="I1017" s="5" t="n">
        <v>0</v>
      </c>
      <c r="J1017" s="5" t="n">
        <v>0</v>
      </c>
      <c r="K1017" s="5" t="n">
        <v>0</v>
      </c>
      <c r="L1017" s="5" t="n">
        <v>0</v>
      </c>
      <c r="M1017" s="5" t="n">
        <v>0</v>
      </c>
      <c r="N1017" s="5" t="n">
        <v>0</v>
      </c>
      <c r="O1017" s="5" t="n">
        <v>0</v>
      </c>
      <c r="P1017" s="5" t="n">
        <v>0</v>
      </c>
      <c r="Q1017" s="5" t="n">
        <v>1</v>
      </c>
      <c r="R1017" s="5" t="n">
        <v>1</v>
      </c>
      <c r="S1017" s="5" t="n">
        <v>0</v>
      </c>
      <c r="T1017" s="5" t="n">
        <v>0</v>
      </c>
      <c r="U1017" s="5" t="inlineStr">
        <is>
          <t>testing</t>
        </is>
      </c>
    </row>
    <row r="1018">
      <c r="A1018" s="5" t="n">
        <v>990</v>
      </c>
      <c r="B1018" s="5" t="n">
        <v>0</v>
      </c>
      <c r="C1018" s="5" t="n">
        <v>24</v>
      </c>
      <c r="D1018" s="5" t="n">
        <v>1743</v>
      </c>
      <c r="E1018" s="5" t="n">
        <v>48</v>
      </c>
      <c r="F1018" s="5" t="n">
        <v>4</v>
      </c>
      <c r="G1018" s="5" t="n">
        <v>0</v>
      </c>
      <c r="H1018" s="5" t="n">
        <v>1</v>
      </c>
      <c r="I1018" s="5" t="n">
        <v>0</v>
      </c>
      <c r="J1018" s="5" t="n">
        <v>1</v>
      </c>
      <c r="K1018" s="5" t="n">
        <v>0</v>
      </c>
      <c r="L1018" s="5" t="n">
        <v>0</v>
      </c>
      <c r="M1018" s="5" t="n">
        <v>0</v>
      </c>
      <c r="N1018" s="5" t="n">
        <v>0</v>
      </c>
      <c r="O1018" s="5" t="n">
        <v>0</v>
      </c>
      <c r="P1018" s="5" t="n">
        <v>0</v>
      </c>
      <c r="Q1018" s="5" t="n">
        <v>0</v>
      </c>
      <c r="R1018" s="5" t="n">
        <v>0</v>
      </c>
      <c r="S1018" s="5" t="n">
        <v>1</v>
      </c>
      <c r="T1018" s="5" t="n">
        <v>0</v>
      </c>
      <c r="U1018" s="5" t="inlineStr">
        <is>
          <t>training</t>
        </is>
      </c>
    </row>
    <row r="1019">
      <c r="A1019" s="5" t="n">
        <v>991</v>
      </c>
      <c r="B1019" s="5" t="n">
        <v>0</v>
      </c>
      <c r="C1019" s="5" t="n">
        <v>12</v>
      </c>
      <c r="D1019" s="5" t="n">
        <v>3565</v>
      </c>
      <c r="E1019" s="5" t="n">
        <v>37</v>
      </c>
      <c r="F1019" s="5" t="n">
        <v>2</v>
      </c>
      <c r="G1019" s="5" t="n">
        <v>0</v>
      </c>
      <c r="H1019" s="5" t="n">
        <v>0</v>
      </c>
      <c r="I1019" s="5" t="n">
        <v>0</v>
      </c>
      <c r="J1019" s="5" t="n">
        <v>1</v>
      </c>
      <c r="K1019" s="5" t="n">
        <v>0</v>
      </c>
      <c r="L1019" s="5" t="n">
        <v>0</v>
      </c>
      <c r="M1019" s="5" t="n">
        <v>0</v>
      </c>
      <c r="N1019" s="5" t="n">
        <v>0</v>
      </c>
      <c r="O1019" s="5" t="n">
        <v>1</v>
      </c>
      <c r="P1019" s="5" t="n">
        <v>0</v>
      </c>
      <c r="Q1019" s="5" t="n">
        <v>0</v>
      </c>
      <c r="R1019" s="5" t="n">
        <v>0</v>
      </c>
      <c r="S1019" s="5" t="n">
        <v>0</v>
      </c>
      <c r="T1019" s="5" t="n">
        <v>0</v>
      </c>
      <c r="U1019" s="5" t="inlineStr">
        <is>
          <t>training</t>
        </is>
      </c>
    </row>
    <row r="1020">
      <c r="A1020" s="5" t="n">
        <v>992</v>
      </c>
      <c r="B1020" s="5" t="n">
        <v>0</v>
      </c>
      <c r="C1020" s="5" t="n">
        <v>15</v>
      </c>
      <c r="D1020" s="5" t="n">
        <v>1569</v>
      </c>
      <c r="E1020" s="5" t="n">
        <v>34</v>
      </c>
      <c r="F1020" s="5" t="n">
        <v>4</v>
      </c>
      <c r="G1020" s="5" t="n">
        <v>0</v>
      </c>
      <c r="H1020" s="5" t="n">
        <v>0</v>
      </c>
      <c r="I1020" s="5" t="n">
        <v>0</v>
      </c>
      <c r="J1020" s="5" t="n">
        <v>0</v>
      </c>
      <c r="K1020" s="5" t="n">
        <v>0</v>
      </c>
      <c r="L1020" s="5" t="n">
        <v>1</v>
      </c>
      <c r="M1020" s="5" t="n">
        <v>1</v>
      </c>
      <c r="N1020" s="5" t="n">
        <v>0</v>
      </c>
      <c r="O1020" s="5" t="n">
        <v>0</v>
      </c>
      <c r="P1020" s="5" t="n">
        <v>0</v>
      </c>
      <c r="Q1020" s="5" t="n">
        <v>0</v>
      </c>
      <c r="R1020" s="5" t="n">
        <v>0</v>
      </c>
      <c r="S1020" s="5" t="n">
        <v>1</v>
      </c>
      <c r="T1020" s="5" t="n">
        <v>0</v>
      </c>
      <c r="U1020" s="5" t="inlineStr">
        <is>
          <t>training</t>
        </is>
      </c>
    </row>
    <row r="1021">
      <c r="A1021" s="5" t="n">
        <v>993</v>
      </c>
      <c r="B1021" s="5" t="n">
        <v>0</v>
      </c>
      <c r="C1021" s="5" t="n">
        <v>18</v>
      </c>
      <c r="D1021" s="5" t="n">
        <v>1936</v>
      </c>
      <c r="E1021" s="5" t="n">
        <v>23</v>
      </c>
      <c r="F1021" s="5" t="n">
        <v>2</v>
      </c>
      <c r="G1021" s="5" t="n">
        <v>1</v>
      </c>
      <c r="H1021" s="5" t="n">
        <v>0</v>
      </c>
      <c r="I1021" s="5" t="n">
        <v>0</v>
      </c>
      <c r="J1021" s="5" t="n">
        <v>0</v>
      </c>
      <c r="K1021" s="5" t="n">
        <v>0</v>
      </c>
      <c r="L1021" s="5" t="n">
        <v>0</v>
      </c>
      <c r="M1021" s="5" t="n">
        <v>0</v>
      </c>
      <c r="N1021" s="5" t="n">
        <v>0</v>
      </c>
      <c r="O1021" s="5" t="n">
        <v>1</v>
      </c>
      <c r="P1021" s="5" t="n">
        <v>1</v>
      </c>
      <c r="Q1021" s="5" t="n">
        <v>0</v>
      </c>
      <c r="R1021" s="5" t="n">
        <v>0</v>
      </c>
      <c r="S1021" s="5" t="n">
        <v>1</v>
      </c>
      <c r="T1021" s="5" t="n">
        <v>0</v>
      </c>
      <c r="U1021" s="5" t="inlineStr">
        <is>
          <t>testing</t>
        </is>
      </c>
    </row>
    <row r="1022">
      <c r="A1022" s="5" t="n">
        <v>994</v>
      </c>
      <c r="B1022" s="5" t="n">
        <v>0</v>
      </c>
      <c r="C1022" s="5" t="n">
        <v>36</v>
      </c>
      <c r="D1022" s="5" t="n">
        <v>3959</v>
      </c>
      <c r="E1022" s="5" t="n">
        <v>30</v>
      </c>
      <c r="F1022" s="5" t="n">
        <v>4</v>
      </c>
      <c r="G1022" s="5" t="n">
        <v>1</v>
      </c>
      <c r="H1022" s="5" t="n">
        <v>0</v>
      </c>
      <c r="I1022" s="5" t="n">
        <v>0</v>
      </c>
      <c r="J1022" s="5" t="n">
        <v>0</v>
      </c>
      <c r="K1022" s="5" t="n">
        <v>0</v>
      </c>
      <c r="L1022" s="5" t="n">
        <v>0</v>
      </c>
      <c r="M1022" s="5" t="n">
        <v>0</v>
      </c>
      <c r="N1022" s="5" t="n">
        <v>0</v>
      </c>
      <c r="O1022" s="5" t="n">
        <v>0</v>
      </c>
      <c r="P1022" s="5" t="n">
        <v>0</v>
      </c>
      <c r="Q1022" s="5" t="n">
        <v>0</v>
      </c>
      <c r="R1022" s="5" t="n">
        <v>0</v>
      </c>
      <c r="S1022" s="5" t="n">
        <v>0</v>
      </c>
      <c r="T1022" s="5" t="n">
        <v>1</v>
      </c>
      <c r="U1022" s="5" t="inlineStr">
        <is>
          <t>training</t>
        </is>
      </c>
    </row>
    <row r="1023">
      <c r="A1023" s="5" t="n">
        <v>995</v>
      </c>
      <c r="B1023" s="5" t="n">
        <v>0</v>
      </c>
      <c r="C1023" s="5" t="n">
        <v>12</v>
      </c>
      <c r="D1023" s="5" t="n">
        <v>2390</v>
      </c>
      <c r="E1023" s="5" t="n">
        <v>50</v>
      </c>
      <c r="F1023" s="5" t="n">
        <v>4</v>
      </c>
      <c r="G1023" s="5" t="n">
        <v>0</v>
      </c>
      <c r="H1023" s="5" t="n">
        <v>0</v>
      </c>
      <c r="I1023" s="5" t="n">
        <v>0</v>
      </c>
      <c r="J1023" s="5" t="n">
        <v>0</v>
      </c>
      <c r="K1023" s="5" t="n">
        <v>0</v>
      </c>
      <c r="L1023" s="5" t="n">
        <v>0</v>
      </c>
      <c r="M1023" s="5" t="n">
        <v>0</v>
      </c>
      <c r="N1023" s="5" t="n">
        <v>0</v>
      </c>
      <c r="O1023" s="5" t="n">
        <v>1</v>
      </c>
      <c r="P1023" s="5" t="n">
        <v>0</v>
      </c>
      <c r="Q1023" s="5" t="n">
        <v>0</v>
      </c>
      <c r="R1023" s="5" t="n">
        <v>1</v>
      </c>
      <c r="S1023" s="5" t="n">
        <v>0</v>
      </c>
      <c r="T1023" s="5" t="n">
        <v>0</v>
      </c>
      <c r="U1023" s="5" t="inlineStr">
        <is>
          <t>training</t>
        </is>
      </c>
    </row>
    <row r="1024">
      <c r="A1024" s="5" t="n">
        <v>996</v>
      </c>
      <c r="B1024" s="5" t="n">
        <v>0</v>
      </c>
      <c r="C1024" s="5" t="n">
        <v>12</v>
      </c>
      <c r="D1024" s="5" t="n">
        <v>1736</v>
      </c>
      <c r="E1024" s="5" t="n">
        <v>31</v>
      </c>
      <c r="F1024" s="5" t="n">
        <v>3</v>
      </c>
      <c r="G1024" s="5" t="n">
        <v>0</v>
      </c>
      <c r="H1024" s="5" t="n">
        <v>0</v>
      </c>
      <c r="I1024" s="5" t="n">
        <v>0</v>
      </c>
      <c r="J1024" s="5" t="n">
        <v>0</v>
      </c>
      <c r="K1024" s="5" t="n">
        <v>0</v>
      </c>
      <c r="L1024" s="5" t="n">
        <v>0</v>
      </c>
      <c r="M1024" s="5" t="n">
        <v>0</v>
      </c>
      <c r="N1024" s="5" t="n">
        <v>0</v>
      </c>
      <c r="O1024" s="5" t="n">
        <v>0</v>
      </c>
      <c r="P1024" s="5" t="n">
        <v>0</v>
      </c>
      <c r="Q1024" s="5" t="n">
        <v>0</v>
      </c>
      <c r="R1024" s="5" t="n">
        <v>0</v>
      </c>
      <c r="S1024" s="5" t="n">
        <v>0</v>
      </c>
      <c r="T1024" s="5" t="n">
        <v>1</v>
      </c>
      <c r="U1024" s="5" t="inlineStr">
        <is>
          <t>training</t>
        </is>
      </c>
    </row>
    <row r="1025">
      <c r="A1025" s="5" t="n">
        <v>997</v>
      </c>
      <c r="B1025" s="5" t="n">
        <v>0</v>
      </c>
      <c r="C1025" s="5" t="n">
        <v>30</v>
      </c>
      <c r="D1025" s="5" t="n">
        <v>3857</v>
      </c>
      <c r="E1025" s="5" t="n">
        <v>40</v>
      </c>
      <c r="F1025" s="5" t="n">
        <v>4</v>
      </c>
      <c r="G1025" s="5" t="n">
        <v>1</v>
      </c>
      <c r="H1025" s="5" t="n">
        <v>0</v>
      </c>
      <c r="I1025" s="5" t="n">
        <v>0</v>
      </c>
      <c r="J1025" s="5" t="n">
        <v>0</v>
      </c>
      <c r="K1025" s="5" t="n">
        <v>0</v>
      </c>
      <c r="L1025" s="5" t="n">
        <v>0</v>
      </c>
      <c r="M1025" s="5" t="n">
        <v>0</v>
      </c>
      <c r="N1025" s="5" t="n">
        <v>0</v>
      </c>
      <c r="O1025" s="5" t="n">
        <v>0</v>
      </c>
      <c r="P1025" s="5" t="n">
        <v>0</v>
      </c>
      <c r="Q1025" s="5" t="n">
        <v>0</v>
      </c>
      <c r="R1025" s="5" t="n">
        <v>1</v>
      </c>
      <c r="S1025" s="5" t="n">
        <v>0</v>
      </c>
      <c r="T1025" s="5" t="n">
        <v>0</v>
      </c>
      <c r="U1025" s="5" t="inlineStr">
        <is>
          <t>training</t>
        </is>
      </c>
    </row>
    <row r="1026">
      <c r="A1026" s="5" t="n">
        <v>998</v>
      </c>
      <c r="B1026" s="5" t="n">
        <v>0</v>
      </c>
      <c r="C1026" s="5" t="n">
        <v>12</v>
      </c>
      <c r="D1026" s="5" t="n">
        <v>804</v>
      </c>
      <c r="E1026" s="5" t="n">
        <v>38</v>
      </c>
      <c r="F1026" s="5" t="n">
        <v>4</v>
      </c>
      <c r="G1026" s="5" t="n">
        <v>0</v>
      </c>
      <c r="H1026" s="5" t="n">
        <v>0</v>
      </c>
      <c r="I1026" s="5" t="n">
        <v>0</v>
      </c>
      <c r="J1026" s="5" t="n">
        <v>0</v>
      </c>
      <c r="K1026" s="5" t="n">
        <v>0</v>
      </c>
      <c r="L1026" s="5" t="n">
        <v>0</v>
      </c>
      <c r="M1026" s="5" t="n">
        <v>0</v>
      </c>
      <c r="N1026" s="5" t="n">
        <v>0</v>
      </c>
      <c r="O1026" s="5" t="n">
        <v>0</v>
      </c>
      <c r="P1026" s="5" t="n">
        <v>0</v>
      </c>
      <c r="Q1026" s="5" t="n">
        <v>0</v>
      </c>
      <c r="R1026" s="5" t="n">
        <v>0</v>
      </c>
      <c r="S1026" s="5" t="n">
        <v>1</v>
      </c>
      <c r="T1026" s="5" t="n">
        <v>0</v>
      </c>
      <c r="U1026" s="5" t="inlineStr">
        <is>
          <t>testing</t>
        </is>
      </c>
    </row>
    <row r="1027">
      <c r="A1027" s="5" t="n">
        <v>999</v>
      </c>
      <c r="B1027" s="5" t="n">
        <v>1</v>
      </c>
      <c r="C1027" s="5" t="n">
        <v>45</v>
      </c>
      <c r="D1027" s="5" t="n">
        <v>1845</v>
      </c>
      <c r="E1027" s="5" t="n">
        <v>23</v>
      </c>
      <c r="F1027" s="5" t="n">
        <v>4</v>
      </c>
      <c r="G1027" s="5" t="n">
        <v>1</v>
      </c>
      <c r="H1027" s="5" t="n">
        <v>0</v>
      </c>
      <c r="I1027" s="5" t="n">
        <v>0</v>
      </c>
      <c r="J1027" s="5" t="n">
        <v>0</v>
      </c>
      <c r="K1027" s="5" t="n">
        <v>0</v>
      </c>
      <c r="L1027" s="5" t="n">
        <v>0</v>
      </c>
      <c r="M1027" s="5" t="n">
        <v>0</v>
      </c>
      <c r="N1027" s="5" t="n">
        <v>0</v>
      </c>
      <c r="O1027" s="5" t="n">
        <v>0</v>
      </c>
      <c r="P1027" s="5" t="n">
        <v>0</v>
      </c>
      <c r="Q1027" s="5" t="n">
        <v>1</v>
      </c>
      <c r="R1027" s="5" t="n">
        <v>0</v>
      </c>
      <c r="S1027" s="5" t="n">
        <v>1</v>
      </c>
      <c r="T1027" s="5" t="n">
        <v>0</v>
      </c>
      <c r="U1027" s="5" t="inlineStr">
        <is>
          <t>training</t>
        </is>
      </c>
    </row>
    <row r="1028">
      <c r="A1028" s="5" t="n">
        <v>1000</v>
      </c>
      <c r="B1028" s="5" t="n">
        <v>0</v>
      </c>
      <c r="C1028" s="5" t="n">
        <v>45</v>
      </c>
      <c r="D1028" s="5" t="n">
        <v>4576</v>
      </c>
      <c r="E1028" s="5" t="n">
        <v>27</v>
      </c>
      <c r="F1028" s="5" t="n">
        <v>3</v>
      </c>
      <c r="G1028" s="5" t="n">
        <v>0</v>
      </c>
      <c r="H1028" s="5" t="n">
        <v>1</v>
      </c>
      <c r="I1028" s="5" t="n">
        <v>0</v>
      </c>
      <c r="J1028" s="5" t="n">
        <v>1</v>
      </c>
      <c r="K1028" s="5" t="n">
        <v>0</v>
      </c>
      <c r="L1028" s="5" t="n">
        <v>0</v>
      </c>
      <c r="M1028" s="5" t="n">
        <v>1</v>
      </c>
      <c r="N1028" s="5" t="n">
        <v>0</v>
      </c>
      <c r="O1028" s="5" t="n">
        <v>0</v>
      </c>
      <c r="P1028" s="5" t="n">
        <v>0</v>
      </c>
      <c r="Q1028" s="5" t="n">
        <v>0</v>
      </c>
      <c r="R1028" s="5" t="n">
        <v>1</v>
      </c>
      <c r="S1028" s="5" t="n">
        <v>0</v>
      </c>
      <c r="T1028" s="5" t="n">
        <v>0</v>
      </c>
      <c r="U1028" s="5" t="inlineStr">
        <is>
          <t>training</t>
        </is>
      </c>
    </row>
  </sheetData>
  <mergeCells count="2">
    <mergeCell ref="A3:P3"/>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14"/>
  <sheetViews>
    <sheetView workbookViewId="0">
      <pane xSplit="2" ySplit="14" topLeftCell="C15" activePane="bottomRight" state="frozen"/>
      <selection pane="topRight"/>
      <selection pane="bottomLeft"/>
      <selection pane="bottomRight" activeCell="A1" sqref="A1"/>
    </sheetView>
  </sheetViews>
  <sheetFormatPr baseColWidth="8" defaultRowHeight="15"/>
  <cols>
    <col width="41" customWidth="1" min="1" max="1"/>
    <col width="20" customWidth="1" min="2" max="2"/>
    <col width="26" customWidth="1" min="3" max="3"/>
    <col width="40" customWidth="1" min="4" max="4"/>
    <col width="10" customWidth="1" min="5" max="5"/>
    <col width="18" customWidth="1" min="6" max="6"/>
    <col width="13" customWidth="1" min="7" max="7"/>
    <col width="10" customWidth="1" min="8" max="8"/>
    <col width="14" customWidth="1" min="9" max="9"/>
    <col width="13" customWidth="1" min="10" max="10"/>
    <col width="13" customWidth="1" min="11" max="11"/>
    <col width="18" customWidth="1" min="12" max="12"/>
    <col width="16" customWidth="1" min="13" max="13"/>
    <col width="18" customWidth="1" min="14" max="14"/>
    <col width="19" customWidth="1" min="15" max="15"/>
    <col width="18" customWidth="1" min="16" max="16"/>
    <col width="16" customWidth="1" min="17" max="17"/>
    <col width="15" customWidth="1" min="18" max="18"/>
    <col width="19" customWidth="1" min="19" max="19"/>
    <col width="18" customWidth="1" min="20" max="20"/>
    <col width="10" customWidth="1" min="21" max="21"/>
  </cols>
  <sheetData>
    <row r="1">
      <c r="A1" s="3" t="inlineStr">
        <is>
          <t>Preparación, paso 2: escalar las numéricas con media y desviación de training</t>
        </is>
      </c>
    </row>
    <row r="2" ht="65" customHeight="1">
      <c r="A2" s="2" t="inlineStr">
        <is>
          <t>Segundo paso de la preparación: escalar. Las cuatro columnas numéricas tienen unidades muy distintas (meses, marcos alemanes, años, tramos de 1 a 4); si se dejan así, el peso del monto sería minúsculo comparado con el de la cuota, y Solver tendría problemas para moverse. A cada una le restamos su promedio y la dividimos por su desviación estándar, igual que en las clases anteriores. Las columnas 0/1 no se escalan: ya están en una escala comparable y así el peso de cada dummy se lee directo como el efecto de pertenecer a esa categoría.</t>
        </is>
      </c>
    </row>
    <row r="3" ht="49.5" customHeight="1">
      <c r="A3" s="2" t="inlineStr">
        <is>
          <t>El detalle que importa: el promedio y la desviación se calculan solo con las 700 filas de training, y con esos mismos números se escalan las 300 de testing. Si usáramos las 1.000, estaríamos dejando que testing influya en el modelo, aunque sea de forma mínima. Es la primera regla de higiene de todo el curso: testing no participa en nada que sea aprender.</t>
        </is>
      </c>
    </row>
    <row r="4"/>
    <row r="5">
      <c r="A5" s="4" t="inlineStr">
        <is>
          <t>columna</t>
        </is>
      </c>
      <c r="B5" s="4" t="inlineStr">
        <is>
          <t>promedio (training)</t>
        </is>
      </c>
      <c r="C5" s="4" t="inlineStr">
        <is>
          <t>desv. estándar (training)</t>
        </is>
      </c>
      <c r="D5" s="4" t="inlineStr">
        <is>
          <t>fórmula de la columna escalada</t>
        </is>
      </c>
    </row>
    <row r="6">
      <c r="A6" t="inlineStr">
        <is>
          <t>duracion</t>
        </is>
      </c>
      <c r="B6" s="6">
        <f>AVERAGEIF('2 transformar y limpiar'!$U$29:$U$1028,"training",'2 transformar y limpiar'!$C$29:$C$1028)</f>
        <v/>
      </c>
      <c r="C6" s="6">
        <f>SQRT(SUMPRODUCT(('2 transformar y limpiar'!$U$29:$U$1028="training")*'2 transformar y limpiar'!$C$29:$C$1028^2)/COUNTIF('2 transformar y limpiar'!$U$29:$U$1028,"training")-B6^2)</f>
        <v/>
      </c>
      <c r="D6" t="inlineStr">
        <is>
          <t>(duracion − promedio) / desviación</t>
        </is>
      </c>
    </row>
    <row r="7">
      <c r="A7" t="inlineStr">
        <is>
          <t>monto</t>
        </is>
      </c>
      <c r="B7" s="6">
        <f>AVERAGEIF('2 transformar y limpiar'!$U$29:$U$1028,"training",'2 transformar y limpiar'!$D$29:$D$1028)</f>
        <v/>
      </c>
      <c r="C7" s="6">
        <f>SQRT(SUMPRODUCT(('2 transformar y limpiar'!$U$29:$U$1028="training")*'2 transformar y limpiar'!$D$29:$D$1028^2)/COUNTIF('2 transformar y limpiar'!$U$29:$U$1028,"training")-B7^2)</f>
        <v/>
      </c>
      <c r="D7" t="inlineStr">
        <is>
          <t>(monto − promedio) / desviación</t>
        </is>
      </c>
    </row>
    <row r="8">
      <c r="A8" t="inlineStr">
        <is>
          <t>edad</t>
        </is>
      </c>
      <c r="B8" s="6">
        <f>AVERAGEIF('2 transformar y limpiar'!$U$29:$U$1028,"training",'2 transformar y limpiar'!$E$29:$E$1028)</f>
        <v/>
      </c>
      <c r="C8" s="6">
        <f>SQRT(SUMPRODUCT(('2 transformar y limpiar'!$U$29:$U$1028="training")*'2 transformar y limpiar'!$E$29:$E$1028^2)/COUNTIF('2 transformar y limpiar'!$U$29:$U$1028,"training")-B8^2)</f>
        <v/>
      </c>
      <c r="D8" t="inlineStr">
        <is>
          <t>(edad − promedio) / desviación</t>
        </is>
      </c>
    </row>
    <row r="9">
      <c r="A9" t="inlineStr">
        <is>
          <t>cuota_pct_ingreso</t>
        </is>
      </c>
      <c r="B9" s="6">
        <f>AVERAGEIF('2 transformar y limpiar'!$U$29:$U$1028,"training",'2 transformar y limpiar'!$F$29:$F$1028)</f>
        <v/>
      </c>
      <c r="C9" s="6">
        <f>SQRT(SUMPRODUCT(('2 transformar y limpiar'!$U$29:$U$1028="training")*'2 transformar y limpiar'!$F$29:$F$1028^2)/COUNTIF('2 transformar y limpiar'!$U$29:$U$1028,"training")-B9^2)</f>
        <v/>
      </c>
      <c r="D9" t="inlineStr">
        <is>
          <t>(cuota_pct_ingreso − promedio) / desviación</t>
        </is>
      </c>
    </row>
    <row r="10"/>
    <row r="11">
      <c r="A11" t="inlineStr">
        <is>
          <t>Las 14 columnas 0/1 no se escalan. Las medias y desviaciones de arriba son fórmulas sobre la hoja 2: cámbiale el conjunto a una fila y verás moverse los números.</t>
        </is>
      </c>
    </row>
    <row r="12"/>
    <row r="13">
      <c r="A13" s="3" t="inlineStr">
        <is>
          <t>La tabla escalada (fórmulas para las numéricas, copia directa para el resto)</t>
        </is>
      </c>
    </row>
    <row r="14">
      <c r="A14" s="4" t="inlineStr">
        <is>
          <t>id</t>
        </is>
      </c>
      <c r="B14" s="4" t="inlineStr">
        <is>
          <t>y</t>
        </is>
      </c>
      <c r="C14" s="4" t="inlineStr">
        <is>
          <t>duracion</t>
        </is>
      </c>
      <c r="D14" s="4" t="inlineStr">
        <is>
          <t>monto</t>
        </is>
      </c>
      <c r="E14" s="4" t="inlineStr">
        <is>
          <t>edad</t>
        </is>
      </c>
      <c r="F14" s="4" t="inlineStr">
        <is>
          <t>cuota_pct_ingreso</t>
        </is>
      </c>
      <c r="G14" s="4" t="inlineStr">
        <is>
          <t>cta_negativa</t>
        </is>
      </c>
      <c r="H14" s="4" t="inlineStr">
        <is>
          <t>cta_0_200</t>
        </is>
      </c>
      <c r="I14" s="4" t="inlineStr">
        <is>
          <t>cta_sobre_200</t>
        </is>
      </c>
      <c r="J14" s="4" t="inlineStr">
        <is>
          <t>hist_critico</t>
        </is>
      </c>
      <c r="K14" s="4" t="inlineStr">
        <is>
          <t>hist_atrasos</t>
        </is>
      </c>
      <c r="L14" s="4" t="inlineStr">
        <is>
          <t>hist_sin_creditos</t>
        </is>
      </c>
      <c r="M14" s="4" t="inlineStr">
        <is>
          <t>ahorro_100_1000</t>
        </is>
      </c>
      <c r="N14" s="4" t="inlineStr">
        <is>
          <t>ahorro_sobre_1000</t>
        </is>
      </c>
      <c r="O14" s="4" t="inlineStr">
        <is>
          <t>ahorro_desconocido</t>
        </is>
      </c>
      <c r="P14" s="4" t="inlineStr">
        <is>
          <t>vivienda_arriendo</t>
        </is>
      </c>
      <c r="Q14" s="4" t="inlineStr">
        <is>
          <t>vivienda_gratis</t>
        </is>
      </c>
      <c r="R14" s="4" t="inlineStr">
        <is>
          <t>proposito_auto</t>
        </is>
      </c>
      <c r="S14" s="4" t="inlineStr">
        <is>
          <t>proposito_radio_tv</t>
        </is>
      </c>
      <c r="T14" s="4" t="inlineStr">
        <is>
          <t>proposito_muebles</t>
        </is>
      </c>
      <c r="U14" s="4" t="inlineStr">
        <is>
          <t>conjunto</t>
        </is>
      </c>
    </row>
    <row r="15">
      <c r="A15">
        <f>'2 transformar y limpiar'!A29</f>
        <v/>
      </c>
      <c r="B15">
        <f>'2 transformar y limpiar'!B29</f>
        <v/>
      </c>
      <c r="C15" s="6">
        <f>('2 transformar y limpiar'!C29-$B$6)/$C$6</f>
        <v/>
      </c>
      <c r="D15" s="6">
        <f>('2 transformar y limpiar'!D29-$B$7)/$C$7</f>
        <v/>
      </c>
      <c r="E15" s="6">
        <f>('2 transformar y limpiar'!E29-$B$8)/$C$8</f>
        <v/>
      </c>
      <c r="F15" s="6">
        <f>('2 transformar y limpiar'!F29-$B$9)/$C$9</f>
        <v/>
      </c>
      <c r="G15">
        <f>'2 transformar y limpiar'!G29</f>
        <v/>
      </c>
      <c r="H15">
        <f>'2 transformar y limpiar'!H29</f>
        <v/>
      </c>
      <c r="I15">
        <f>'2 transformar y limpiar'!I29</f>
        <v/>
      </c>
      <c r="J15">
        <f>'2 transformar y limpiar'!J29</f>
        <v/>
      </c>
      <c r="K15">
        <f>'2 transformar y limpiar'!K29</f>
        <v/>
      </c>
      <c r="L15">
        <f>'2 transformar y limpiar'!L29</f>
        <v/>
      </c>
      <c r="M15">
        <f>'2 transformar y limpiar'!M29</f>
        <v/>
      </c>
      <c r="N15">
        <f>'2 transformar y limpiar'!N29</f>
        <v/>
      </c>
      <c r="O15">
        <f>'2 transformar y limpiar'!O29</f>
        <v/>
      </c>
      <c r="P15">
        <f>'2 transformar y limpiar'!P29</f>
        <v/>
      </c>
      <c r="Q15">
        <f>'2 transformar y limpiar'!Q29</f>
        <v/>
      </c>
      <c r="R15">
        <f>'2 transformar y limpiar'!R29</f>
        <v/>
      </c>
      <c r="S15">
        <f>'2 transformar y limpiar'!S29</f>
        <v/>
      </c>
      <c r="T15">
        <f>'2 transformar y limpiar'!T29</f>
        <v/>
      </c>
      <c r="U15" s="5">
        <f>'2 transformar y limpiar'!U29</f>
        <v/>
      </c>
    </row>
    <row r="16">
      <c r="A16">
        <f>'2 transformar y limpiar'!A30</f>
        <v/>
      </c>
      <c r="B16">
        <f>'2 transformar y limpiar'!B30</f>
        <v/>
      </c>
      <c r="C16" s="6">
        <f>('2 transformar y limpiar'!C30-$B$6)/$C$6</f>
        <v/>
      </c>
      <c r="D16" s="6">
        <f>('2 transformar y limpiar'!D30-$B$7)/$C$7</f>
        <v/>
      </c>
      <c r="E16" s="6">
        <f>('2 transformar y limpiar'!E30-$B$8)/$C$8</f>
        <v/>
      </c>
      <c r="F16" s="6">
        <f>('2 transformar y limpiar'!F30-$B$9)/$C$9</f>
        <v/>
      </c>
      <c r="G16">
        <f>'2 transformar y limpiar'!G30</f>
        <v/>
      </c>
      <c r="H16">
        <f>'2 transformar y limpiar'!H30</f>
        <v/>
      </c>
      <c r="I16">
        <f>'2 transformar y limpiar'!I30</f>
        <v/>
      </c>
      <c r="J16">
        <f>'2 transformar y limpiar'!J30</f>
        <v/>
      </c>
      <c r="K16">
        <f>'2 transformar y limpiar'!K30</f>
        <v/>
      </c>
      <c r="L16">
        <f>'2 transformar y limpiar'!L30</f>
        <v/>
      </c>
      <c r="M16">
        <f>'2 transformar y limpiar'!M30</f>
        <v/>
      </c>
      <c r="N16">
        <f>'2 transformar y limpiar'!N30</f>
        <v/>
      </c>
      <c r="O16">
        <f>'2 transformar y limpiar'!O30</f>
        <v/>
      </c>
      <c r="P16">
        <f>'2 transformar y limpiar'!P30</f>
        <v/>
      </c>
      <c r="Q16">
        <f>'2 transformar y limpiar'!Q30</f>
        <v/>
      </c>
      <c r="R16">
        <f>'2 transformar y limpiar'!R30</f>
        <v/>
      </c>
      <c r="S16">
        <f>'2 transformar y limpiar'!S30</f>
        <v/>
      </c>
      <c r="T16">
        <f>'2 transformar y limpiar'!T30</f>
        <v/>
      </c>
      <c r="U16" s="5">
        <f>'2 transformar y limpiar'!U30</f>
        <v/>
      </c>
    </row>
    <row r="17">
      <c r="A17">
        <f>'2 transformar y limpiar'!A31</f>
        <v/>
      </c>
      <c r="B17">
        <f>'2 transformar y limpiar'!B31</f>
        <v/>
      </c>
      <c r="C17" s="6">
        <f>('2 transformar y limpiar'!C31-$B$6)/$C$6</f>
        <v/>
      </c>
      <c r="D17" s="6">
        <f>('2 transformar y limpiar'!D31-$B$7)/$C$7</f>
        <v/>
      </c>
      <c r="E17" s="6">
        <f>('2 transformar y limpiar'!E31-$B$8)/$C$8</f>
        <v/>
      </c>
      <c r="F17" s="6">
        <f>('2 transformar y limpiar'!F31-$B$9)/$C$9</f>
        <v/>
      </c>
      <c r="G17">
        <f>'2 transformar y limpiar'!G31</f>
        <v/>
      </c>
      <c r="H17">
        <f>'2 transformar y limpiar'!H31</f>
        <v/>
      </c>
      <c r="I17">
        <f>'2 transformar y limpiar'!I31</f>
        <v/>
      </c>
      <c r="J17">
        <f>'2 transformar y limpiar'!J31</f>
        <v/>
      </c>
      <c r="K17">
        <f>'2 transformar y limpiar'!K31</f>
        <v/>
      </c>
      <c r="L17">
        <f>'2 transformar y limpiar'!L31</f>
        <v/>
      </c>
      <c r="M17">
        <f>'2 transformar y limpiar'!M31</f>
        <v/>
      </c>
      <c r="N17">
        <f>'2 transformar y limpiar'!N31</f>
        <v/>
      </c>
      <c r="O17">
        <f>'2 transformar y limpiar'!O31</f>
        <v/>
      </c>
      <c r="P17">
        <f>'2 transformar y limpiar'!P31</f>
        <v/>
      </c>
      <c r="Q17">
        <f>'2 transformar y limpiar'!Q31</f>
        <v/>
      </c>
      <c r="R17">
        <f>'2 transformar y limpiar'!R31</f>
        <v/>
      </c>
      <c r="S17">
        <f>'2 transformar y limpiar'!S31</f>
        <v/>
      </c>
      <c r="T17">
        <f>'2 transformar y limpiar'!T31</f>
        <v/>
      </c>
      <c r="U17" s="5">
        <f>'2 transformar y limpiar'!U31</f>
        <v/>
      </c>
    </row>
    <row r="18">
      <c r="A18">
        <f>'2 transformar y limpiar'!A32</f>
        <v/>
      </c>
      <c r="B18">
        <f>'2 transformar y limpiar'!B32</f>
        <v/>
      </c>
      <c r="C18" s="6">
        <f>('2 transformar y limpiar'!C32-$B$6)/$C$6</f>
        <v/>
      </c>
      <c r="D18" s="6">
        <f>('2 transformar y limpiar'!D32-$B$7)/$C$7</f>
        <v/>
      </c>
      <c r="E18" s="6">
        <f>('2 transformar y limpiar'!E32-$B$8)/$C$8</f>
        <v/>
      </c>
      <c r="F18" s="6">
        <f>('2 transformar y limpiar'!F32-$B$9)/$C$9</f>
        <v/>
      </c>
      <c r="G18">
        <f>'2 transformar y limpiar'!G32</f>
        <v/>
      </c>
      <c r="H18">
        <f>'2 transformar y limpiar'!H32</f>
        <v/>
      </c>
      <c r="I18">
        <f>'2 transformar y limpiar'!I32</f>
        <v/>
      </c>
      <c r="J18">
        <f>'2 transformar y limpiar'!J32</f>
        <v/>
      </c>
      <c r="K18">
        <f>'2 transformar y limpiar'!K32</f>
        <v/>
      </c>
      <c r="L18">
        <f>'2 transformar y limpiar'!L32</f>
        <v/>
      </c>
      <c r="M18">
        <f>'2 transformar y limpiar'!M32</f>
        <v/>
      </c>
      <c r="N18">
        <f>'2 transformar y limpiar'!N32</f>
        <v/>
      </c>
      <c r="O18">
        <f>'2 transformar y limpiar'!O32</f>
        <v/>
      </c>
      <c r="P18">
        <f>'2 transformar y limpiar'!P32</f>
        <v/>
      </c>
      <c r="Q18">
        <f>'2 transformar y limpiar'!Q32</f>
        <v/>
      </c>
      <c r="R18">
        <f>'2 transformar y limpiar'!R32</f>
        <v/>
      </c>
      <c r="S18">
        <f>'2 transformar y limpiar'!S32</f>
        <v/>
      </c>
      <c r="T18">
        <f>'2 transformar y limpiar'!T32</f>
        <v/>
      </c>
      <c r="U18" s="5">
        <f>'2 transformar y limpiar'!U32</f>
        <v/>
      </c>
    </row>
    <row r="19">
      <c r="A19">
        <f>'2 transformar y limpiar'!A33</f>
        <v/>
      </c>
      <c r="B19">
        <f>'2 transformar y limpiar'!B33</f>
        <v/>
      </c>
      <c r="C19" s="6">
        <f>('2 transformar y limpiar'!C33-$B$6)/$C$6</f>
        <v/>
      </c>
      <c r="D19" s="6">
        <f>('2 transformar y limpiar'!D33-$B$7)/$C$7</f>
        <v/>
      </c>
      <c r="E19" s="6">
        <f>('2 transformar y limpiar'!E33-$B$8)/$C$8</f>
        <v/>
      </c>
      <c r="F19" s="6">
        <f>('2 transformar y limpiar'!F33-$B$9)/$C$9</f>
        <v/>
      </c>
      <c r="G19">
        <f>'2 transformar y limpiar'!G33</f>
        <v/>
      </c>
      <c r="H19">
        <f>'2 transformar y limpiar'!H33</f>
        <v/>
      </c>
      <c r="I19">
        <f>'2 transformar y limpiar'!I33</f>
        <v/>
      </c>
      <c r="J19">
        <f>'2 transformar y limpiar'!J33</f>
        <v/>
      </c>
      <c r="K19">
        <f>'2 transformar y limpiar'!K33</f>
        <v/>
      </c>
      <c r="L19">
        <f>'2 transformar y limpiar'!L33</f>
        <v/>
      </c>
      <c r="M19">
        <f>'2 transformar y limpiar'!M33</f>
        <v/>
      </c>
      <c r="N19">
        <f>'2 transformar y limpiar'!N33</f>
        <v/>
      </c>
      <c r="O19">
        <f>'2 transformar y limpiar'!O33</f>
        <v/>
      </c>
      <c r="P19">
        <f>'2 transformar y limpiar'!P33</f>
        <v/>
      </c>
      <c r="Q19">
        <f>'2 transformar y limpiar'!Q33</f>
        <v/>
      </c>
      <c r="R19">
        <f>'2 transformar y limpiar'!R33</f>
        <v/>
      </c>
      <c r="S19">
        <f>'2 transformar y limpiar'!S33</f>
        <v/>
      </c>
      <c r="T19">
        <f>'2 transformar y limpiar'!T33</f>
        <v/>
      </c>
      <c r="U19" s="5">
        <f>'2 transformar y limpiar'!U33</f>
        <v/>
      </c>
    </row>
    <row r="20">
      <c r="A20">
        <f>'2 transformar y limpiar'!A34</f>
        <v/>
      </c>
      <c r="B20">
        <f>'2 transformar y limpiar'!B34</f>
        <v/>
      </c>
      <c r="C20" s="6">
        <f>('2 transformar y limpiar'!C34-$B$6)/$C$6</f>
        <v/>
      </c>
      <c r="D20" s="6">
        <f>('2 transformar y limpiar'!D34-$B$7)/$C$7</f>
        <v/>
      </c>
      <c r="E20" s="6">
        <f>('2 transformar y limpiar'!E34-$B$8)/$C$8</f>
        <v/>
      </c>
      <c r="F20" s="6">
        <f>('2 transformar y limpiar'!F34-$B$9)/$C$9</f>
        <v/>
      </c>
      <c r="G20">
        <f>'2 transformar y limpiar'!G34</f>
        <v/>
      </c>
      <c r="H20">
        <f>'2 transformar y limpiar'!H34</f>
        <v/>
      </c>
      <c r="I20">
        <f>'2 transformar y limpiar'!I34</f>
        <v/>
      </c>
      <c r="J20">
        <f>'2 transformar y limpiar'!J34</f>
        <v/>
      </c>
      <c r="K20">
        <f>'2 transformar y limpiar'!K34</f>
        <v/>
      </c>
      <c r="L20">
        <f>'2 transformar y limpiar'!L34</f>
        <v/>
      </c>
      <c r="M20">
        <f>'2 transformar y limpiar'!M34</f>
        <v/>
      </c>
      <c r="N20">
        <f>'2 transformar y limpiar'!N34</f>
        <v/>
      </c>
      <c r="O20">
        <f>'2 transformar y limpiar'!O34</f>
        <v/>
      </c>
      <c r="P20">
        <f>'2 transformar y limpiar'!P34</f>
        <v/>
      </c>
      <c r="Q20">
        <f>'2 transformar y limpiar'!Q34</f>
        <v/>
      </c>
      <c r="R20">
        <f>'2 transformar y limpiar'!R34</f>
        <v/>
      </c>
      <c r="S20">
        <f>'2 transformar y limpiar'!S34</f>
        <v/>
      </c>
      <c r="T20">
        <f>'2 transformar y limpiar'!T34</f>
        <v/>
      </c>
      <c r="U20" s="5">
        <f>'2 transformar y limpiar'!U34</f>
        <v/>
      </c>
    </row>
    <row r="21">
      <c r="A21">
        <f>'2 transformar y limpiar'!A35</f>
        <v/>
      </c>
      <c r="B21">
        <f>'2 transformar y limpiar'!B35</f>
        <v/>
      </c>
      <c r="C21" s="6">
        <f>('2 transformar y limpiar'!C35-$B$6)/$C$6</f>
        <v/>
      </c>
      <c r="D21" s="6">
        <f>('2 transformar y limpiar'!D35-$B$7)/$C$7</f>
        <v/>
      </c>
      <c r="E21" s="6">
        <f>('2 transformar y limpiar'!E35-$B$8)/$C$8</f>
        <v/>
      </c>
      <c r="F21" s="6">
        <f>('2 transformar y limpiar'!F35-$B$9)/$C$9</f>
        <v/>
      </c>
      <c r="G21">
        <f>'2 transformar y limpiar'!G35</f>
        <v/>
      </c>
      <c r="H21">
        <f>'2 transformar y limpiar'!H35</f>
        <v/>
      </c>
      <c r="I21">
        <f>'2 transformar y limpiar'!I35</f>
        <v/>
      </c>
      <c r="J21">
        <f>'2 transformar y limpiar'!J35</f>
        <v/>
      </c>
      <c r="K21">
        <f>'2 transformar y limpiar'!K35</f>
        <v/>
      </c>
      <c r="L21">
        <f>'2 transformar y limpiar'!L35</f>
        <v/>
      </c>
      <c r="M21">
        <f>'2 transformar y limpiar'!M35</f>
        <v/>
      </c>
      <c r="N21">
        <f>'2 transformar y limpiar'!N35</f>
        <v/>
      </c>
      <c r="O21">
        <f>'2 transformar y limpiar'!O35</f>
        <v/>
      </c>
      <c r="P21">
        <f>'2 transformar y limpiar'!P35</f>
        <v/>
      </c>
      <c r="Q21">
        <f>'2 transformar y limpiar'!Q35</f>
        <v/>
      </c>
      <c r="R21">
        <f>'2 transformar y limpiar'!R35</f>
        <v/>
      </c>
      <c r="S21">
        <f>'2 transformar y limpiar'!S35</f>
        <v/>
      </c>
      <c r="T21">
        <f>'2 transformar y limpiar'!T35</f>
        <v/>
      </c>
      <c r="U21" s="5">
        <f>'2 transformar y limpiar'!U35</f>
        <v/>
      </c>
    </row>
    <row r="22">
      <c r="A22">
        <f>'2 transformar y limpiar'!A36</f>
        <v/>
      </c>
      <c r="B22">
        <f>'2 transformar y limpiar'!B36</f>
        <v/>
      </c>
      <c r="C22" s="6">
        <f>('2 transformar y limpiar'!C36-$B$6)/$C$6</f>
        <v/>
      </c>
      <c r="D22" s="6">
        <f>('2 transformar y limpiar'!D36-$B$7)/$C$7</f>
        <v/>
      </c>
      <c r="E22" s="6">
        <f>('2 transformar y limpiar'!E36-$B$8)/$C$8</f>
        <v/>
      </c>
      <c r="F22" s="6">
        <f>('2 transformar y limpiar'!F36-$B$9)/$C$9</f>
        <v/>
      </c>
      <c r="G22">
        <f>'2 transformar y limpiar'!G36</f>
        <v/>
      </c>
      <c r="H22">
        <f>'2 transformar y limpiar'!H36</f>
        <v/>
      </c>
      <c r="I22">
        <f>'2 transformar y limpiar'!I36</f>
        <v/>
      </c>
      <c r="J22">
        <f>'2 transformar y limpiar'!J36</f>
        <v/>
      </c>
      <c r="K22">
        <f>'2 transformar y limpiar'!K36</f>
        <v/>
      </c>
      <c r="L22">
        <f>'2 transformar y limpiar'!L36</f>
        <v/>
      </c>
      <c r="M22">
        <f>'2 transformar y limpiar'!M36</f>
        <v/>
      </c>
      <c r="N22">
        <f>'2 transformar y limpiar'!N36</f>
        <v/>
      </c>
      <c r="O22">
        <f>'2 transformar y limpiar'!O36</f>
        <v/>
      </c>
      <c r="P22">
        <f>'2 transformar y limpiar'!P36</f>
        <v/>
      </c>
      <c r="Q22">
        <f>'2 transformar y limpiar'!Q36</f>
        <v/>
      </c>
      <c r="R22">
        <f>'2 transformar y limpiar'!R36</f>
        <v/>
      </c>
      <c r="S22">
        <f>'2 transformar y limpiar'!S36</f>
        <v/>
      </c>
      <c r="T22">
        <f>'2 transformar y limpiar'!T36</f>
        <v/>
      </c>
      <c r="U22" s="5">
        <f>'2 transformar y limpiar'!U36</f>
        <v/>
      </c>
    </row>
    <row r="23">
      <c r="A23">
        <f>'2 transformar y limpiar'!A37</f>
        <v/>
      </c>
      <c r="B23">
        <f>'2 transformar y limpiar'!B37</f>
        <v/>
      </c>
      <c r="C23" s="6">
        <f>('2 transformar y limpiar'!C37-$B$6)/$C$6</f>
        <v/>
      </c>
      <c r="D23" s="6">
        <f>('2 transformar y limpiar'!D37-$B$7)/$C$7</f>
        <v/>
      </c>
      <c r="E23" s="6">
        <f>('2 transformar y limpiar'!E37-$B$8)/$C$8</f>
        <v/>
      </c>
      <c r="F23" s="6">
        <f>('2 transformar y limpiar'!F37-$B$9)/$C$9</f>
        <v/>
      </c>
      <c r="G23">
        <f>'2 transformar y limpiar'!G37</f>
        <v/>
      </c>
      <c r="H23">
        <f>'2 transformar y limpiar'!H37</f>
        <v/>
      </c>
      <c r="I23">
        <f>'2 transformar y limpiar'!I37</f>
        <v/>
      </c>
      <c r="J23">
        <f>'2 transformar y limpiar'!J37</f>
        <v/>
      </c>
      <c r="K23">
        <f>'2 transformar y limpiar'!K37</f>
        <v/>
      </c>
      <c r="L23">
        <f>'2 transformar y limpiar'!L37</f>
        <v/>
      </c>
      <c r="M23">
        <f>'2 transformar y limpiar'!M37</f>
        <v/>
      </c>
      <c r="N23">
        <f>'2 transformar y limpiar'!N37</f>
        <v/>
      </c>
      <c r="O23">
        <f>'2 transformar y limpiar'!O37</f>
        <v/>
      </c>
      <c r="P23">
        <f>'2 transformar y limpiar'!P37</f>
        <v/>
      </c>
      <c r="Q23">
        <f>'2 transformar y limpiar'!Q37</f>
        <v/>
      </c>
      <c r="R23">
        <f>'2 transformar y limpiar'!R37</f>
        <v/>
      </c>
      <c r="S23">
        <f>'2 transformar y limpiar'!S37</f>
        <v/>
      </c>
      <c r="T23">
        <f>'2 transformar y limpiar'!T37</f>
        <v/>
      </c>
      <c r="U23" s="5">
        <f>'2 transformar y limpiar'!U37</f>
        <v/>
      </c>
    </row>
    <row r="24">
      <c r="A24">
        <f>'2 transformar y limpiar'!A38</f>
        <v/>
      </c>
      <c r="B24">
        <f>'2 transformar y limpiar'!B38</f>
        <v/>
      </c>
      <c r="C24" s="6">
        <f>('2 transformar y limpiar'!C38-$B$6)/$C$6</f>
        <v/>
      </c>
      <c r="D24" s="6">
        <f>('2 transformar y limpiar'!D38-$B$7)/$C$7</f>
        <v/>
      </c>
      <c r="E24" s="6">
        <f>('2 transformar y limpiar'!E38-$B$8)/$C$8</f>
        <v/>
      </c>
      <c r="F24" s="6">
        <f>('2 transformar y limpiar'!F38-$B$9)/$C$9</f>
        <v/>
      </c>
      <c r="G24">
        <f>'2 transformar y limpiar'!G38</f>
        <v/>
      </c>
      <c r="H24">
        <f>'2 transformar y limpiar'!H38</f>
        <v/>
      </c>
      <c r="I24">
        <f>'2 transformar y limpiar'!I38</f>
        <v/>
      </c>
      <c r="J24">
        <f>'2 transformar y limpiar'!J38</f>
        <v/>
      </c>
      <c r="K24">
        <f>'2 transformar y limpiar'!K38</f>
        <v/>
      </c>
      <c r="L24">
        <f>'2 transformar y limpiar'!L38</f>
        <v/>
      </c>
      <c r="M24">
        <f>'2 transformar y limpiar'!M38</f>
        <v/>
      </c>
      <c r="N24">
        <f>'2 transformar y limpiar'!N38</f>
        <v/>
      </c>
      <c r="O24">
        <f>'2 transformar y limpiar'!O38</f>
        <v/>
      </c>
      <c r="P24">
        <f>'2 transformar y limpiar'!P38</f>
        <v/>
      </c>
      <c r="Q24">
        <f>'2 transformar y limpiar'!Q38</f>
        <v/>
      </c>
      <c r="R24">
        <f>'2 transformar y limpiar'!R38</f>
        <v/>
      </c>
      <c r="S24">
        <f>'2 transformar y limpiar'!S38</f>
        <v/>
      </c>
      <c r="T24">
        <f>'2 transformar y limpiar'!T38</f>
        <v/>
      </c>
      <c r="U24" s="5">
        <f>'2 transformar y limpiar'!U38</f>
        <v/>
      </c>
    </row>
    <row r="25">
      <c r="A25">
        <f>'2 transformar y limpiar'!A39</f>
        <v/>
      </c>
      <c r="B25">
        <f>'2 transformar y limpiar'!B39</f>
        <v/>
      </c>
      <c r="C25" s="6">
        <f>('2 transformar y limpiar'!C39-$B$6)/$C$6</f>
        <v/>
      </c>
      <c r="D25" s="6">
        <f>('2 transformar y limpiar'!D39-$B$7)/$C$7</f>
        <v/>
      </c>
      <c r="E25" s="6">
        <f>('2 transformar y limpiar'!E39-$B$8)/$C$8</f>
        <v/>
      </c>
      <c r="F25" s="6">
        <f>('2 transformar y limpiar'!F39-$B$9)/$C$9</f>
        <v/>
      </c>
      <c r="G25">
        <f>'2 transformar y limpiar'!G39</f>
        <v/>
      </c>
      <c r="H25">
        <f>'2 transformar y limpiar'!H39</f>
        <v/>
      </c>
      <c r="I25">
        <f>'2 transformar y limpiar'!I39</f>
        <v/>
      </c>
      <c r="J25">
        <f>'2 transformar y limpiar'!J39</f>
        <v/>
      </c>
      <c r="K25">
        <f>'2 transformar y limpiar'!K39</f>
        <v/>
      </c>
      <c r="L25">
        <f>'2 transformar y limpiar'!L39</f>
        <v/>
      </c>
      <c r="M25">
        <f>'2 transformar y limpiar'!M39</f>
        <v/>
      </c>
      <c r="N25">
        <f>'2 transformar y limpiar'!N39</f>
        <v/>
      </c>
      <c r="O25">
        <f>'2 transformar y limpiar'!O39</f>
        <v/>
      </c>
      <c r="P25">
        <f>'2 transformar y limpiar'!P39</f>
        <v/>
      </c>
      <c r="Q25">
        <f>'2 transformar y limpiar'!Q39</f>
        <v/>
      </c>
      <c r="R25">
        <f>'2 transformar y limpiar'!R39</f>
        <v/>
      </c>
      <c r="S25">
        <f>'2 transformar y limpiar'!S39</f>
        <v/>
      </c>
      <c r="T25">
        <f>'2 transformar y limpiar'!T39</f>
        <v/>
      </c>
      <c r="U25" s="5">
        <f>'2 transformar y limpiar'!U39</f>
        <v/>
      </c>
    </row>
    <row r="26">
      <c r="A26">
        <f>'2 transformar y limpiar'!A40</f>
        <v/>
      </c>
      <c r="B26">
        <f>'2 transformar y limpiar'!B40</f>
        <v/>
      </c>
      <c r="C26" s="6">
        <f>('2 transformar y limpiar'!C40-$B$6)/$C$6</f>
        <v/>
      </c>
      <c r="D26" s="6">
        <f>('2 transformar y limpiar'!D40-$B$7)/$C$7</f>
        <v/>
      </c>
      <c r="E26" s="6">
        <f>('2 transformar y limpiar'!E40-$B$8)/$C$8</f>
        <v/>
      </c>
      <c r="F26" s="6">
        <f>('2 transformar y limpiar'!F40-$B$9)/$C$9</f>
        <v/>
      </c>
      <c r="G26">
        <f>'2 transformar y limpiar'!G40</f>
        <v/>
      </c>
      <c r="H26">
        <f>'2 transformar y limpiar'!H40</f>
        <v/>
      </c>
      <c r="I26">
        <f>'2 transformar y limpiar'!I40</f>
        <v/>
      </c>
      <c r="J26">
        <f>'2 transformar y limpiar'!J40</f>
        <v/>
      </c>
      <c r="K26">
        <f>'2 transformar y limpiar'!K40</f>
        <v/>
      </c>
      <c r="L26">
        <f>'2 transformar y limpiar'!L40</f>
        <v/>
      </c>
      <c r="M26">
        <f>'2 transformar y limpiar'!M40</f>
        <v/>
      </c>
      <c r="N26">
        <f>'2 transformar y limpiar'!N40</f>
        <v/>
      </c>
      <c r="O26">
        <f>'2 transformar y limpiar'!O40</f>
        <v/>
      </c>
      <c r="P26">
        <f>'2 transformar y limpiar'!P40</f>
        <v/>
      </c>
      <c r="Q26">
        <f>'2 transformar y limpiar'!Q40</f>
        <v/>
      </c>
      <c r="R26">
        <f>'2 transformar y limpiar'!R40</f>
        <v/>
      </c>
      <c r="S26">
        <f>'2 transformar y limpiar'!S40</f>
        <v/>
      </c>
      <c r="T26">
        <f>'2 transformar y limpiar'!T40</f>
        <v/>
      </c>
      <c r="U26" s="5">
        <f>'2 transformar y limpiar'!U40</f>
        <v/>
      </c>
    </row>
    <row r="27">
      <c r="A27">
        <f>'2 transformar y limpiar'!A41</f>
        <v/>
      </c>
      <c r="B27">
        <f>'2 transformar y limpiar'!B41</f>
        <v/>
      </c>
      <c r="C27" s="6">
        <f>('2 transformar y limpiar'!C41-$B$6)/$C$6</f>
        <v/>
      </c>
      <c r="D27" s="6">
        <f>('2 transformar y limpiar'!D41-$B$7)/$C$7</f>
        <v/>
      </c>
      <c r="E27" s="6">
        <f>('2 transformar y limpiar'!E41-$B$8)/$C$8</f>
        <v/>
      </c>
      <c r="F27" s="6">
        <f>('2 transformar y limpiar'!F41-$B$9)/$C$9</f>
        <v/>
      </c>
      <c r="G27">
        <f>'2 transformar y limpiar'!G41</f>
        <v/>
      </c>
      <c r="H27">
        <f>'2 transformar y limpiar'!H41</f>
        <v/>
      </c>
      <c r="I27">
        <f>'2 transformar y limpiar'!I41</f>
        <v/>
      </c>
      <c r="J27">
        <f>'2 transformar y limpiar'!J41</f>
        <v/>
      </c>
      <c r="K27">
        <f>'2 transformar y limpiar'!K41</f>
        <v/>
      </c>
      <c r="L27">
        <f>'2 transformar y limpiar'!L41</f>
        <v/>
      </c>
      <c r="M27">
        <f>'2 transformar y limpiar'!M41</f>
        <v/>
      </c>
      <c r="N27">
        <f>'2 transformar y limpiar'!N41</f>
        <v/>
      </c>
      <c r="O27">
        <f>'2 transformar y limpiar'!O41</f>
        <v/>
      </c>
      <c r="P27">
        <f>'2 transformar y limpiar'!P41</f>
        <v/>
      </c>
      <c r="Q27">
        <f>'2 transformar y limpiar'!Q41</f>
        <v/>
      </c>
      <c r="R27">
        <f>'2 transformar y limpiar'!R41</f>
        <v/>
      </c>
      <c r="S27">
        <f>'2 transformar y limpiar'!S41</f>
        <v/>
      </c>
      <c r="T27">
        <f>'2 transformar y limpiar'!T41</f>
        <v/>
      </c>
      <c r="U27" s="5">
        <f>'2 transformar y limpiar'!U41</f>
        <v/>
      </c>
    </row>
    <row r="28">
      <c r="A28">
        <f>'2 transformar y limpiar'!A42</f>
        <v/>
      </c>
      <c r="B28">
        <f>'2 transformar y limpiar'!B42</f>
        <v/>
      </c>
      <c r="C28" s="6">
        <f>('2 transformar y limpiar'!C42-$B$6)/$C$6</f>
        <v/>
      </c>
      <c r="D28" s="6">
        <f>('2 transformar y limpiar'!D42-$B$7)/$C$7</f>
        <v/>
      </c>
      <c r="E28" s="6">
        <f>('2 transformar y limpiar'!E42-$B$8)/$C$8</f>
        <v/>
      </c>
      <c r="F28" s="6">
        <f>('2 transformar y limpiar'!F42-$B$9)/$C$9</f>
        <v/>
      </c>
      <c r="G28">
        <f>'2 transformar y limpiar'!G42</f>
        <v/>
      </c>
      <c r="H28">
        <f>'2 transformar y limpiar'!H42</f>
        <v/>
      </c>
      <c r="I28">
        <f>'2 transformar y limpiar'!I42</f>
        <v/>
      </c>
      <c r="J28">
        <f>'2 transformar y limpiar'!J42</f>
        <v/>
      </c>
      <c r="K28">
        <f>'2 transformar y limpiar'!K42</f>
        <v/>
      </c>
      <c r="L28">
        <f>'2 transformar y limpiar'!L42</f>
        <v/>
      </c>
      <c r="M28">
        <f>'2 transformar y limpiar'!M42</f>
        <v/>
      </c>
      <c r="N28">
        <f>'2 transformar y limpiar'!N42</f>
        <v/>
      </c>
      <c r="O28">
        <f>'2 transformar y limpiar'!O42</f>
        <v/>
      </c>
      <c r="P28">
        <f>'2 transformar y limpiar'!P42</f>
        <v/>
      </c>
      <c r="Q28">
        <f>'2 transformar y limpiar'!Q42</f>
        <v/>
      </c>
      <c r="R28">
        <f>'2 transformar y limpiar'!R42</f>
        <v/>
      </c>
      <c r="S28">
        <f>'2 transformar y limpiar'!S42</f>
        <v/>
      </c>
      <c r="T28">
        <f>'2 transformar y limpiar'!T42</f>
        <v/>
      </c>
      <c r="U28" s="5">
        <f>'2 transformar y limpiar'!U42</f>
        <v/>
      </c>
    </row>
    <row r="29">
      <c r="A29">
        <f>'2 transformar y limpiar'!A43</f>
        <v/>
      </c>
      <c r="B29">
        <f>'2 transformar y limpiar'!B43</f>
        <v/>
      </c>
      <c r="C29" s="6">
        <f>('2 transformar y limpiar'!C43-$B$6)/$C$6</f>
        <v/>
      </c>
      <c r="D29" s="6">
        <f>('2 transformar y limpiar'!D43-$B$7)/$C$7</f>
        <v/>
      </c>
      <c r="E29" s="6">
        <f>('2 transformar y limpiar'!E43-$B$8)/$C$8</f>
        <v/>
      </c>
      <c r="F29" s="6">
        <f>('2 transformar y limpiar'!F43-$B$9)/$C$9</f>
        <v/>
      </c>
      <c r="G29">
        <f>'2 transformar y limpiar'!G43</f>
        <v/>
      </c>
      <c r="H29">
        <f>'2 transformar y limpiar'!H43</f>
        <v/>
      </c>
      <c r="I29">
        <f>'2 transformar y limpiar'!I43</f>
        <v/>
      </c>
      <c r="J29">
        <f>'2 transformar y limpiar'!J43</f>
        <v/>
      </c>
      <c r="K29">
        <f>'2 transformar y limpiar'!K43</f>
        <v/>
      </c>
      <c r="L29">
        <f>'2 transformar y limpiar'!L43</f>
        <v/>
      </c>
      <c r="M29">
        <f>'2 transformar y limpiar'!M43</f>
        <v/>
      </c>
      <c r="N29">
        <f>'2 transformar y limpiar'!N43</f>
        <v/>
      </c>
      <c r="O29">
        <f>'2 transformar y limpiar'!O43</f>
        <v/>
      </c>
      <c r="P29">
        <f>'2 transformar y limpiar'!P43</f>
        <v/>
      </c>
      <c r="Q29">
        <f>'2 transformar y limpiar'!Q43</f>
        <v/>
      </c>
      <c r="R29">
        <f>'2 transformar y limpiar'!R43</f>
        <v/>
      </c>
      <c r="S29">
        <f>'2 transformar y limpiar'!S43</f>
        <v/>
      </c>
      <c r="T29">
        <f>'2 transformar y limpiar'!T43</f>
        <v/>
      </c>
      <c r="U29" s="5">
        <f>'2 transformar y limpiar'!U43</f>
        <v/>
      </c>
    </row>
    <row r="30">
      <c r="A30">
        <f>'2 transformar y limpiar'!A44</f>
        <v/>
      </c>
      <c r="B30">
        <f>'2 transformar y limpiar'!B44</f>
        <v/>
      </c>
      <c r="C30" s="6">
        <f>('2 transformar y limpiar'!C44-$B$6)/$C$6</f>
        <v/>
      </c>
      <c r="D30" s="6">
        <f>('2 transformar y limpiar'!D44-$B$7)/$C$7</f>
        <v/>
      </c>
      <c r="E30" s="6">
        <f>('2 transformar y limpiar'!E44-$B$8)/$C$8</f>
        <v/>
      </c>
      <c r="F30" s="6">
        <f>('2 transformar y limpiar'!F44-$B$9)/$C$9</f>
        <v/>
      </c>
      <c r="G30">
        <f>'2 transformar y limpiar'!G44</f>
        <v/>
      </c>
      <c r="H30">
        <f>'2 transformar y limpiar'!H44</f>
        <v/>
      </c>
      <c r="I30">
        <f>'2 transformar y limpiar'!I44</f>
        <v/>
      </c>
      <c r="J30">
        <f>'2 transformar y limpiar'!J44</f>
        <v/>
      </c>
      <c r="K30">
        <f>'2 transformar y limpiar'!K44</f>
        <v/>
      </c>
      <c r="L30">
        <f>'2 transformar y limpiar'!L44</f>
        <v/>
      </c>
      <c r="M30">
        <f>'2 transformar y limpiar'!M44</f>
        <v/>
      </c>
      <c r="N30">
        <f>'2 transformar y limpiar'!N44</f>
        <v/>
      </c>
      <c r="O30">
        <f>'2 transformar y limpiar'!O44</f>
        <v/>
      </c>
      <c r="P30">
        <f>'2 transformar y limpiar'!P44</f>
        <v/>
      </c>
      <c r="Q30">
        <f>'2 transformar y limpiar'!Q44</f>
        <v/>
      </c>
      <c r="R30">
        <f>'2 transformar y limpiar'!R44</f>
        <v/>
      </c>
      <c r="S30">
        <f>'2 transformar y limpiar'!S44</f>
        <v/>
      </c>
      <c r="T30">
        <f>'2 transformar y limpiar'!T44</f>
        <v/>
      </c>
      <c r="U30" s="5">
        <f>'2 transformar y limpiar'!U44</f>
        <v/>
      </c>
    </row>
    <row r="31">
      <c r="A31">
        <f>'2 transformar y limpiar'!A45</f>
        <v/>
      </c>
      <c r="B31">
        <f>'2 transformar y limpiar'!B45</f>
        <v/>
      </c>
      <c r="C31" s="6">
        <f>('2 transformar y limpiar'!C45-$B$6)/$C$6</f>
        <v/>
      </c>
      <c r="D31" s="6">
        <f>('2 transformar y limpiar'!D45-$B$7)/$C$7</f>
        <v/>
      </c>
      <c r="E31" s="6">
        <f>('2 transformar y limpiar'!E45-$B$8)/$C$8</f>
        <v/>
      </c>
      <c r="F31" s="6">
        <f>('2 transformar y limpiar'!F45-$B$9)/$C$9</f>
        <v/>
      </c>
      <c r="G31">
        <f>'2 transformar y limpiar'!G45</f>
        <v/>
      </c>
      <c r="H31">
        <f>'2 transformar y limpiar'!H45</f>
        <v/>
      </c>
      <c r="I31">
        <f>'2 transformar y limpiar'!I45</f>
        <v/>
      </c>
      <c r="J31">
        <f>'2 transformar y limpiar'!J45</f>
        <v/>
      </c>
      <c r="K31">
        <f>'2 transformar y limpiar'!K45</f>
        <v/>
      </c>
      <c r="L31">
        <f>'2 transformar y limpiar'!L45</f>
        <v/>
      </c>
      <c r="M31">
        <f>'2 transformar y limpiar'!M45</f>
        <v/>
      </c>
      <c r="N31">
        <f>'2 transformar y limpiar'!N45</f>
        <v/>
      </c>
      <c r="O31">
        <f>'2 transformar y limpiar'!O45</f>
        <v/>
      </c>
      <c r="P31">
        <f>'2 transformar y limpiar'!P45</f>
        <v/>
      </c>
      <c r="Q31">
        <f>'2 transformar y limpiar'!Q45</f>
        <v/>
      </c>
      <c r="R31">
        <f>'2 transformar y limpiar'!R45</f>
        <v/>
      </c>
      <c r="S31">
        <f>'2 transformar y limpiar'!S45</f>
        <v/>
      </c>
      <c r="T31">
        <f>'2 transformar y limpiar'!T45</f>
        <v/>
      </c>
      <c r="U31" s="5">
        <f>'2 transformar y limpiar'!U45</f>
        <v/>
      </c>
    </row>
    <row r="32">
      <c r="A32">
        <f>'2 transformar y limpiar'!A46</f>
        <v/>
      </c>
      <c r="B32">
        <f>'2 transformar y limpiar'!B46</f>
        <v/>
      </c>
      <c r="C32" s="6">
        <f>('2 transformar y limpiar'!C46-$B$6)/$C$6</f>
        <v/>
      </c>
      <c r="D32" s="6">
        <f>('2 transformar y limpiar'!D46-$B$7)/$C$7</f>
        <v/>
      </c>
      <c r="E32" s="6">
        <f>('2 transformar y limpiar'!E46-$B$8)/$C$8</f>
        <v/>
      </c>
      <c r="F32" s="6">
        <f>('2 transformar y limpiar'!F46-$B$9)/$C$9</f>
        <v/>
      </c>
      <c r="G32">
        <f>'2 transformar y limpiar'!G46</f>
        <v/>
      </c>
      <c r="H32">
        <f>'2 transformar y limpiar'!H46</f>
        <v/>
      </c>
      <c r="I32">
        <f>'2 transformar y limpiar'!I46</f>
        <v/>
      </c>
      <c r="J32">
        <f>'2 transformar y limpiar'!J46</f>
        <v/>
      </c>
      <c r="K32">
        <f>'2 transformar y limpiar'!K46</f>
        <v/>
      </c>
      <c r="L32">
        <f>'2 transformar y limpiar'!L46</f>
        <v/>
      </c>
      <c r="M32">
        <f>'2 transformar y limpiar'!M46</f>
        <v/>
      </c>
      <c r="N32">
        <f>'2 transformar y limpiar'!N46</f>
        <v/>
      </c>
      <c r="O32">
        <f>'2 transformar y limpiar'!O46</f>
        <v/>
      </c>
      <c r="P32">
        <f>'2 transformar y limpiar'!P46</f>
        <v/>
      </c>
      <c r="Q32">
        <f>'2 transformar y limpiar'!Q46</f>
        <v/>
      </c>
      <c r="R32">
        <f>'2 transformar y limpiar'!R46</f>
        <v/>
      </c>
      <c r="S32">
        <f>'2 transformar y limpiar'!S46</f>
        <v/>
      </c>
      <c r="T32">
        <f>'2 transformar y limpiar'!T46</f>
        <v/>
      </c>
      <c r="U32" s="5">
        <f>'2 transformar y limpiar'!U46</f>
        <v/>
      </c>
    </row>
    <row r="33">
      <c r="A33">
        <f>'2 transformar y limpiar'!A47</f>
        <v/>
      </c>
      <c r="B33">
        <f>'2 transformar y limpiar'!B47</f>
        <v/>
      </c>
      <c r="C33" s="6">
        <f>('2 transformar y limpiar'!C47-$B$6)/$C$6</f>
        <v/>
      </c>
      <c r="D33" s="6">
        <f>('2 transformar y limpiar'!D47-$B$7)/$C$7</f>
        <v/>
      </c>
      <c r="E33" s="6">
        <f>('2 transformar y limpiar'!E47-$B$8)/$C$8</f>
        <v/>
      </c>
      <c r="F33" s="6">
        <f>('2 transformar y limpiar'!F47-$B$9)/$C$9</f>
        <v/>
      </c>
      <c r="G33">
        <f>'2 transformar y limpiar'!G47</f>
        <v/>
      </c>
      <c r="H33">
        <f>'2 transformar y limpiar'!H47</f>
        <v/>
      </c>
      <c r="I33">
        <f>'2 transformar y limpiar'!I47</f>
        <v/>
      </c>
      <c r="J33">
        <f>'2 transformar y limpiar'!J47</f>
        <v/>
      </c>
      <c r="K33">
        <f>'2 transformar y limpiar'!K47</f>
        <v/>
      </c>
      <c r="L33">
        <f>'2 transformar y limpiar'!L47</f>
        <v/>
      </c>
      <c r="M33">
        <f>'2 transformar y limpiar'!M47</f>
        <v/>
      </c>
      <c r="N33">
        <f>'2 transformar y limpiar'!N47</f>
        <v/>
      </c>
      <c r="O33">
        <f>'2 transformar y limpiar'!O47</f>
        <v/>
      </c>
      <c r="P33">
        <f>'2 transformar y limpiar'!P47</f>
        <v/>
      </c>
      <c r="Q33">
        <f>'2 transformar y limpiar'!Q47</f>
        <v/>
      </c>
      <c r="R33">
        <f>'2 transformar y limpiar'!R47</f>
        <v/>
      </c>
      <c r="S33">
        <f>'2 transformar y limpiar'!S47</f>
        <v/>
      </c>
      <c r="T33">
        <f>'2 transformar y limpiar'!T47</f>
        <v/>
      </c>
      <c r="U33" s="5">
        <f>'2 transformar y limpiar'!U47</f>
        <v/>
      </c>
    </row>
    <row r="34">
      <c r="A34">
        <f>'2 transformar y limpiar'!A48</f>
        <v/>
      </c>
      <c r="B34">
        <f>'2 transformar y limpiar'!B48</f>
        <v/>
      </c>
      <c r="C34" s="6">
        <f>('2 transformar y limpiar'!C48-$B$6)/$C$6</f>
        <v/>
      </c>
      <c r="D34" s="6">
        <f>('2 transformar y limpiar'!D48-$B$7)/$C$7</f>
        <v/>
      </c>
      <c r="E34" s="6">
        <f>('2 transformar y limpiar'!E48-$B$8)/$C$8</f>
        <v/>
      </c>
      <c r="F34" s="6">
        <f>('2 transformar y limpiar'!F48-$B$9)/$C$9</f>
        <v/>
      </c>
      <c r="G34">
        <f>'2 transformar y limpiar'!G48</f>
        <v/>
      </c>
      <c r="H34">
        <f>'2 transformar y limpiar'!H48</f>
        <v/>
      </c>
      <c r="I34">
        <f>'2 transformar y limpiar'!I48</f>
        <v/>
      </c>
      <c r="J34">
        <f>'2 transformar y limpiar'!J48</f>
        <v/>
      </c>
      <c r="K34">
        <f>'2 transformar y limpiar'!K48</f>
        <v/>
      </c>
      <c r="L34">
        <f>'2 transformar y limpiar'!L48</f>
        <v/>
      </c>
      <c r="M34">
        <f>'2 transformar y limpiar'!M48</f>
        <v/>
      </c>
      <c r="N34">
        <f>'2 transformar y limpiar'!N48</f>
        <v/>
      </c>
      <c r="O34">
        <f>'2 transformar y limpiar'!O48</f>
        <v/>
      </c>
      <c r="P34">
        <f>'2 transformar y limpiar'!P48</f>
        <v/>
      </c>
      <c r="Q34">
        <f>'2 transformar y limpiar'!Q48</f>
        <v/>
      </c>
      <c r="R34">
        <f>'2 transformar y limpiar'!R48</f>
        <v/>
      </c>
      <c r="S34">
        <f>'2 transformar y limpiar'!S48</f>
        <v/>
      </c>
      <c r="T34">
        <f>'2 transformar y limpiar'!T48</f>
        <v/>
      </c>
      <c r="U34" s="5">
        <f>'2 transformar y limpiar'!U48</f>
        <v/>
      </c>
    </row>
    <row r="35">
      <c r="A35">
        <f>'2 transformar y limpiar'!A49</f>
        <v/>
      </c>
      <c r="B35">
        <f>'2 transformar y limpiar'!B49</f>
        <v/>
      </c>
      <c r="C35" s="6">
        <f>('2 transformar y limpiar'!C49-$B$6)/$C$6</f>
        <v/>
      </c>
      <c r="D35" s="6">
        <f>('2 transformar y limpiar'!D49-$B$7)/$C$7</f>
        <v/>
      </c>
      <c r="E35" s="6">
        <f>('2 transformar y limpiar'!E49-$B$8)/$C$8</f>
        <v/>
      </c>
      <c r="F35" s="6">
        <f>('2 transformar y limpiar'!F49-$B$9)/$C$9</f>
        <v/>
      </c>
      <c r="G35">
        <f>'2 transformar y limpiar'!G49</f>
        <v/>
      </c>
      <c r="H35">
        <f>'2 transformar y limpiar'!H49</f>
        <v/>
      </c>
      <c r="I35">
        <f>'2 transformar y limpiar'!I49</f>
        <v/>
      </c>
      <c r="J35">
        <f>'2 transformar y limpiar'!J49</f>
        <v/>
      </c>
      <c r="K35">
        <f>'2 transformar y limpiar'!K49</f>
        <v/>
      </c>
      <c r="L35">
        <f>'2 transformar y limpiar'!L49</f>
        <v/>
      </c>
      <c r="M35">
        <f>'2 transformar y limpiar'!M49</f>
        <v/>
      </c>
      <c r="N35">
        <f>'2 transformar y limpiar'!N49</f>
        <v/>
      </c>
      <c r="O35">
        <f>'2 transformar y limpiar'!O49</f>
        <v/>
      </c>
      <c r="P35">
        <f>'2 transformar y limpiar'!P49</f>
        <v/>
      </c>
      <c r="Q35">
        <f>'2 transformar y limpiar'!Q49</f>
        <v/>
      </c>
      <c r="R35">
        <f>'2 transformar y limpiar'!R49</f>
        <v/>
      </c>
      <c r="S35">
        <f>'2 transformar y limpiar'!S49</f>
        <v/>
      </c>
      <c r="T35">
        <f>'2 transformar y limpiar'!T49</f>
        <v/>
      </c>
      <c r="U35" s="5">
        <f>'2 transformar y limpiar'!U49</f>
        <v/>
      </c>
    </row>
    <row r="36">
      <c r="A36">
        <f>'2 transformar y limpiar'!A50</f>
        <v/>
      </c>
      <c r="B36">
        <f>'2 transformar y limpiar'!B50</f>
        <v/>
      </c>
      <c r="C36" s="6">
        <f>('2 transformar y limpiar'!C50-$B$6)/$C$6</f>
        <v/>
      </c>
      <c r="D36" s="6">
        <f>('2 transformar y limpiar'!D50-$B$7)/$C$7</f>
        <v/>
      </c>
      <c r="E36" s="6">
        <f>('2 transformar y limpiar'!E50-$B$8)/$C$8</f>
        <v/>
      </c>
      <c r="F36" s="6">
        <f>('2 transformar y limpiar'!F50-$B$9)/$C$9</f>
        <v/>
      </c>
      <c r="G36">
        <f>'2 transformar y limpiar'!G50</f>
        <v/>
      </c>
      <c r="H36">
        <f>'2 transformar y limpiar'!H50</f>
        <v/>
      </c>
      <c r="I36">
        <f>'2 transformar y limpiar'!I50</f>
        <v/>
      </c>
      <c r="J36">
        <f>'2 transformar y limpiar'!J50</f>
        <v/>
      </c>
      <c r="K36">
        <f>'2 transformar y limpiar'!K50</f>
        <v/>
      </c>
      <c r="L36">
        <f>'2 transformar y limpiar'!L50</f>
        <v/>
      </c>
      <c r="M36">
        <f>'2 transformar y limpiar'!M50</f>
        <v/>
      </c>
      <c r="N36">
        <f>'2 transformar y limpiar'!N50</f>
        <v/>
      </c>
      <c r="O36">
        <f>'2 transformar y limpiar'!O50</f>
        <v/>
      </c>
      <c r="P36">
        <f>'2 transformar y limpiar'!P50</f>
        <v/>
      </c>
      <c r="Q36">
        <f>'2 transformar y limpiar'!Q50</f>
        <v/>
      </c>
      <c r="R36">
        <f>'2 transformar y limpiar'!R50</f>
        <v/>
      </c>
      <c r="S36">
        <f>'2 transformar y limpiar'!S50</f>
        <v/>
      </c>
      <c r="T36">
        <f>'2 transformar y limpiar'!T50</f>
        <v/>
      </c>
      <c r="U36" s="5">
        <f>'2 transformar y limpiar'!U50</f>
        <v/>
      </c>
    </row>
    <row r="37">
      <c r="A37">
        <f>'2 transformar y limpiar'!A51</f>
        <v/>
      </c>
      <c r="B37">
        <f>'2 transformar y limpiar'!B51</f>
        <v/>
      </c>
      <c r="C37" s="6">
        <f>('2 transformar y limpiar'!C51-$B$6)/$C$6</f>
        <v/>
      </c>
      <c r="D37" s="6">
        <f>('2 transformar y limpiar'!D51-$B$7)/$C$7</f>
        <v/>
      </c>
      <c r="E37" s="6">
        <f>('2 transformar y limpiar'!E51-$B$8)/$C$8</f>
        <v/>
      </c>
      <c r="F37" s="6">
        <f>('2 transformar y limpiar'!F51-$B$9)/$C$9</f>
        <v/>
      </c>
      <c r="G37">
        <f>'2 transformar y limpiar'!G51</f>
        <v/>
      </c>
      <c r="H37">
        <f>'2 transformar y limpiar'!H51</f>
        <v/>
      </c>
      <c r="I37">
        <f>'2 transformar y limpiar'!I51</f>
        <v/>
      </c>
      <c r="J37">
        <f>'2 transformar y limpiar'!J51</f>
        <v/>
      </c>
      <c r="K37">
        <f>'2 transformar y limpiar'!K51</f>
        <v/>
      </c>
      <c r="L37">
        <f>'2 transformar y limpiar'!L51</f>
        <v/>
      </c>
      <c r="M37">
        <f>'2 transformar y limpiar'!M51</f>
        <v/>
      </c>
      <c r="N37">
        <f>'2 transformar y limpiar'!N51</f>
        <v/>
      </c>
      <c r="O37">
        <f>'2 transformar y limpiar'!O51</f>
        <v/>
      </c>
      <c r="P37">
        <f>'2 transformar y limpiar'!P51</f>
        <v/>
      </c>
      <c r="Q37">
        <f>'2 transformar y limpiar'!Q51</f>
        <v/>
      </c>
      <c r="R37">
        <f>'2 transformar y limpiar'!R51</f>
        <v/>
      </c>
      <c r="S37">
        <f>'2 transformar y limpiar'!S51</f>
        <v/>
      </c>
      <c r="T37">
        <f>'2 transformar y limpiar'!T51</f>
        <v/>
      </c>
      <c r="U37" s="5">
        <f>'2 transformar y limpiar'!U51</f>
        <v/>
      </c>
    </row>
    <row r="38">
      <c r="A38">
        <f>'2 transformar y limpiar'!A52</f>
        <v/>
      </c>
      <c r="B38">
        <f>'2 transformar y limpiar'!B52</f>
        <v/>
      </c>
      <c r="C38" s="6">
        <f>('2 transformar y limpiar'!C52-$B$6)/$C$6</f>
        <v/>
      </c>
      <c r="D38" s="6">
        <f>('2 transformar y limpiar'!D52-$B$7)/$C$7</f>
        <v/>
      </c>
      <c r="E38" s="6">
        <f>('2 transformar y limpiar'!E52-$B$8)/$C$8</f>
        <v/>
      </c>
      <c r="F38" s="6">
        <f>('2 transformar y limpiar'!F52-$B$9)/$C$9</f>
        <v/>
      </c>
      <c r="G38">
        <f>'2 transformar y limpiar'!G52</f>
        <v/>
      </c>
      <c r="H38">
        <f>'2 transformar y limpiar'!H52</f>
        <v/>
      </c>
      <c r="I38">
        <f>'2 transformar y limpiar'!I52</f>
        <v/>
      </c>
      <c r="J38">
        <f>'2 transformar y limpiar'!J52</f>
        <v/>
      </c>
      <c r="K38">
        <f>'2 transformar y limpiar'!K52</f>
        <v/>
      </c>
      <c r="L38">
        <f>'2 transformar y limpiar'!L52</f>
        <v/>
      </c>
      <c r="M38">
        <f>'2 transformar y limpiar'!M52</f>
        <v/>
      </c>
      <c r="N38">
        <f>'2 transformar y limpiar'!N52</f>
        <v/>
      </c>
      <c r="O38">
        <f>'2 transformar y limpiar'!O52</f>
        <v/>
      </c>
      <c r="P38">
        <f>'2 transformar y limpiar'!P52</f>
        <v/>
      </c>
      <c r="Q38">
        <f>'2 transformar y limpiar'!Q52</f>
        <v/>
      </c>
      <c r="R38">
        <f>'2 transformar y limpiar'!R52</f>
        <v/>
      </c>
      <c r="S38">
        <f>'2 transformar y limpiar'!S52</f>
        <v/>
      </c>
      <c r="T38">
        <f>'2 transformar y limpiar'!T52</f>
        <v/>
      </c>
      <c r="U38" s="5">
        <f>'2 transformar y limpiar'!U52</f>
        <v/>
      </c>
    </row>
    <row r="39">
      <c r="A39">
        <f>'2 transformar y limpiar'!A53</f>
        <v/>
      </c>
      <c r="B39">
        <f>'2 transformar y limpiar'!B53</f>
        <v/>
      </c>
      <c r="C39" s="6">
        <f>('2 transformar y limpiar'!C53-$B$6)/$C$6</f>
        <v/>
      </c>
      <c r="D39" s="6">
        <f>('2 transformar y limpiar'!D53-$B$7)/$C$7</f>
        <v/>
      </c>
      <c r="E39" s="6">
        <f>('2 transformar y limpiar'!E53-$B$8)/$C$8</f>
        <v/>
      </c>
      <c r="F39" s="6">
        <f>('2 transformar y limpiar'!F53-$B$9)/$C$9</f>
        <v/>
      </c>
      <c r="G39">
        <f>'2 transformar y limpiar'!G53</f>
        <v/>
      </c>
      <c r="H39">
        <f>'2 transformar y limpiar'!H53</f>
        <v/>
      </c>
      <c r="I39">
        <f>'2 transformar y limpiar'!I53</f>
        <v/>
      </c>
      <c r="J39">
        <f>'2 transformar y limpiar'!J53</f>
        <v/>
      </c>
      <c r="K39">
        <f>'2 transformar y limpiar'!K53</f>
        <v/>
      </c>
      <c r="L39">
        <f>'2 transformar y limpiar'!L53</f>
        <v/>
      </c>
      <c r="M39">
        <f>'2 transformar y limpiar'!M53</f>
        <v/>
      </c>
      <c r="N39">
        <f>'2 transformar y limpiar'!N53</f>
        <v/>
      </c>
      <c r="O39">
        <f>'2 transformar y limpiar'!O53</f>
        <v/>
      </c>
      <c r="P39">
        <f>'2 transformar y limpiar'!P53</f>
        <v/>
      </c>
      <c r="Q39">
        <f>'2 transformar y limpiar'!Q53</f>
        <v/>
      </c>
      <c r="R39">
        <f>'2 transformar y limpiar'!R53</f>
        <v/>
      </c>
      <c r="S39">
        <f>'2 transformar y limpiar'!S53</f>
        <v/>
      </c>
      <c r="T39">
        <f>'2 transformar y limpiar'!T53</f>
        <v/>
      </c>
      <c r="U39" s="5">
        <f>'2 transformar y limpiar'!U53</f>
        <v/>
      </c>
    </row>
    <row r="40">
      <c r="A40">
        <f>'2 transformar y limpiar'!A54</f>
        <v/>
      </c>
      <c r="B40">
        <f>'2 transformar y limpiar'!B54</f>
        <v/>
      </c>
      <c r="C40" s="6">
        <f>('2 transformar y limpiar'!C54-$B$6)/$C$6</f>
        <v/>
      </c>
      <c r="D40" s="6">
        <f>('2 transformar y limpiar'!D54-$B$7)/$C$7</f>
        <v/>
      </c>
      <c r="E40" s="6">
        <f>('2 transformar y limpiar'!E54-$B$8)/$C$8</f>
        <v/>
      </c>
      <c r="F40" s="6">
        <f>('2 transformar y limpiar'!F54-$B$9)/$C$9</f>
        <v/>
      </c>
      <c r="G40">
        <f>'2 transformar y limpiar'!G54</f>
        <v/>
      </c>
      <c r="H40">
        <f>'2 transformar y limpiar'!H54</f>
        <v/>
      </c>
      <c r="I40">
        <f>'2 transformar y limpiar'!I54</f>
        <v/>
      </c>
      <c r="J40">
        <f>'2 transformar y limpiar'!J54</f>
        <v/>
      </c>
      <c r="K40">
        <f>'2 transformar y limpiar'!K54</f>
        <v/>
      </c>
      <c r="L40">
        <f>'2 transformar y limpiar'!L54</f>
        <v/>
      </c>
      <c r="M40">
        <f>'2 transformar y limpiar'!M54</f>
        <v/>
      </c>
      <c r="N40">
        <f>'2 transformar y limpiar'!N54</f>
        <v/>
      </c>
      <c r="O40">
        <f>'2 transformar y limpiar'!O54</f>
        <v/>
      </c>
      <c r="P40">
        <f>'2 transformar y limpiar'!P54</f>
        <v/>
      </c>
      <c r="Q40">
        <f>'2 transformar y limpiar'!Q54</f>
        <v/>
      </c>
      <c r="R40">
        <f>'2 transformar y limpiar'!R54</f>
        <v/>
      </c>
      <c r="S40">
        <f>'2 transformar y limpiar'!S54</f>
        <v/>
      </c>
      <c r="T40">
        <f>'2 transformar y limpiar'!T54</f>
        <v/>
      </c>
      <c r="U40" s="5">
        <f>'2 transformar y limpiar'!U54</f>
        <v/>
      </c>
    </row>
    <row r="41">
      <c r="A41">
        <f>'2 transformar y limpiar'!A55</f>
        <v/>
      </c>
      <c r="B41">
        <f>'2 transformar y limpiar'!B55</f>
        <v/>
      </c>
      <c r="C41" s="6">
        <f>('2 transformar y limpiar'!C55-$B$6)/$C$6</f>
        <v/>
      </c>
      <c r="D41" s="6">
        <f>('2 transformar y limpiar'!D55-$B$7)/$C$7</f>
        <v/>
      </c>
      <c r="E41" s="6">
        <f>('2 transformar y limpiar'!E55-$B$8)/$C$8</f>
        <v/>
      </c>
      <c r="F41" s="6">
        <f>('2 transformar y limpiar'!F55-$B$9)/$C$9</f>
        <v/>
      </c>
      <c r="G41">
        <f>'2 transformar y limpiar'!G55</f>
        <v/>
      </c>
      <c r="H41">
        <f>'2 transformar y limpiar'!H55</f>
        <v/>
      </c>
      <c r="I41">
        <f>'2 transformar y limpiar'!I55</f>
        <v/>
      </c>
      <c r="J41">
        <f>'2 transformar y limpiar'!J55</f>
        <v/>
      </c>
      <c r="K41">
        <f>'2 transformar y limpiar'!K55</f>
        <v/>
      </c>
      <c r="L41">
        <f>'2 transformar y limpiar'!L55</f>
        <v/>
      </c>
      <c r="M41">
        <f>'2 transformar y limpiar'!M55</f>
        <v/>
      </c>
      <c r="N41">
        <f>'2 transformar y limpiar'!N55</f>
        <v/>
      </c>
      <c r="O41">
        <f>'2 transformar y limpiar'!O55</f>
        <v/>
      </c>
      <c r="P41">
        <f>'2 transformar y limpiar'!P55</f>
        <v/>
      </c>
      <c r="Q41">
        <f>'2 transformar y limpiar'!Q55</f>
        <v/>
      </c>
      <c r="R41">
        <f>'2 transformar y limpiar'!R55</f>
        <v/>
      </c>
      <c r="S41">
        <f>'2 transformar y limpiar'!S55</f>
        <v/>
      </c>
      <c r="T41">
        <f>'2 transformar y limpiar'!T55</f>
        <v/>
      </c>
      <c r="U41" s="5">
        <f>'2 transformar y limpiar'!U55</f>
        <v/>
      </c>
    </row>
    <row r="42">
      <c r="A42">
        <f>'2 transformar y limpiar'!A56</f>
        <v/>
      </c>
      <c r="B42">
        <f>'2 transformar y limpiar'!B56</f>
        <v/>
      </c>
      <c r="C42" s="6">
        <f>('2 transformar y limpiar'!C56-$B$6)/$C$6</f>
        <v/>
      </c>
      <c r="D42" s="6">
        <f>('2 transformar y limpiar'!D56-$B$7)/$C$7</f>
        <v/>
      </c>
      <c r="E42" s="6">
        <f>('2 transformar y limpiar'!E56-$B$8)/$C$8</f>
        <v/>
      </c>
      <c r="F42" s="6">
        <f>('2 transformar y limpiar'!F56-$B$9)/$C$9</f>
        <v/>
      </c>
      <c r="G42">
        <f>'2 transformar y limpiar'!G56</f>
        <v/>
      </c>
      <c r="H42">
        <f>'2 transformar y limpiar'!H56</f>
        <v/>
      </c>
      <c r="I42">
        <f>'2 transformar y limpiar'!I56</f>
        <v/>
      </c>
      <c r="J42">
        <f>'2 transformar y limpiar'!J56</f>
        <v/>
      </c>
      <c r="K42">
        <f>'2 transformar y limpiar'!K56</f>
        <v/>
      </c>
      <c r="L42">
        <f>'2 transformar y limpiar'!L56</f>
        <v/>
      </c>
      <c r="M42">
        <f>'2 transformar y limpiar'!M56</f>
        <v/>
      </c>
      <c r="N42">
        <f>'2 transformar y limpiar'!N56</f>
        <v/>
      </c>
      <c r="O42">
        <f>'2 transformar y limpiar'!O56</f>
        <v/>
      </c>
      <c r="P42">
        <f>'2 transformar y limpiar'!P56</f>
        <v/>
      </c>
      <c r="Q42">
        <f>'2 transformar y limpiar'!Q56</f>
        <v/>
      </c>
      <c r="R42">
        <f>'2 transformar y limpiar'!R56</f>
        <v/>
      </c>
      <c r="S42">
        <f>'2 transformar y limpiar'!S56</f>
        <v/>
      </c>
      <c r="T42">
        <f>'2 transformar y limpiar'!T56</f>
        <v/>
      </c>
      <c r="U42" s="5">
        <f>'2 transformar y limpiar'!U56</f>
        <v/>
      </c>
    </row>
    <row r="43">
      <c r="A43">
        <f>'2 transformar y limpiar'!A57</f>
        <v/>
      </c>
      <c r="B43">
        <f>'2 transformar y limpiar'!B57</f>
        <v/>
      </c>
      <c r="C43" s="6">
        <f>('2 transformar y limpiar'!C57-$B$6)/$C$6</f>
        <v/>
      </c>
      <c r="D43" s="6">
        <f>('2 transformar y limpiar'!D57-$B$7)/$C$7</f>
        <v/>
      </c>
      <c r="E43" s="6">
        <f>('2 transformar y limpiar'!E57-$B$8)/$C$8</f>
        <v/>
      </c>
      <c r="F43" s="6">
        <f>('2 transformar y limpiar'!F57-$B$9)/$C$9</f>
        <v/>
      </c>
      <c r="G43">
        <f>'2 transformar y limpiar'!G57</f>
        <v/>
      </c>
      <c r="H43">
        <f>'2 transformar y limpiar'!H57</f>
        <v/>
      </c>
      <c r="I43">
        <f>'2 transformar y limpiar'!I57</f>
        <v/>
      </c>
      <c r="J43">
        <f>'2 transformar y limpiar'!J57</f>
        <v/>
      </c>
      <c r="K43">
        <f>'2 transformar y limpiar'!K57</f>
        <v/>
      </c>
      <c r="L43">
        <f>'2 transformar y limpiar'!L57</f>
        <v/>
      </c>
      <c r="M43">
        <f>'2 transformar y limpiar'!M57</f>
        <v/>
      </c>
      <c r="N43">
        <f>'2 transformar y limpiar'!N57</f>
        <v/>
      </c>
      <c r="O43">
        <f>'2 transformar y limpiar'!O57</f>
        <v/>
      </c>
      <c r="P43">
        <f>'2 transformar y limpiar'!P57</f>
        <v/>
      </c>
      <c r="Q43">
        <f>'2 transformar y limpiar'!Q57</f>
        <v/>
      </c>
      <c r="R43">
        <f>'2 transformar y limpiar'!R57</f>
        <v/>
      </c>
      <c r="S43">
        <f>'2 transformar y limpiar'!S57</f>
        <v/>
      </c>
      <c r="T43">
        <f>'2 transformar y limpiar'!T57</f>
        <v/>
      </c>
      <c r="U43" s="5">
        <f>'2 transformar y limpiar'!U57</f>
        <v/>
      </c>
    </row>
    <row r="44">
      <c r="A44">
        <f>'2 transformar y limpiar'!A58</f>
        <v/>
      </c>
      <c r="B44">
        <f>'2 transformar y limpiar'!B58</f>
        <v/>
      </c>
      <c r="C44" s="6">
        <f>('2 transformar y limpiar'!C58-$B$6)/$C$6</f>
        <v/>
      </c>
      <c r="D44" s="6">
        <f>('2 transformar y limpiar'!D58-$B$7)/$C$7</f>
        <v/>
      </c>
      <c r="E44" s="6">
        <f>('2 transformar y limpiar'!E58-$B$8)/$C$8</f>
        <v/>
      </c>
      <c r="F44" s="6">
        <f>('2 transformar y limpiar'!F58-$B$9)/$C$9</f>
        <v/>
      </c>
      <c r="G44">
        <f>'2 transformar y limpiar'!G58</f>
        <v/>
      </c>
      <c r="H44">
        <f>'2 transformar y limpiar'!H58</f>
        <v/>
      </c>
      <c r="I44">
        <f>'2 transformar y limpiar'!I58</f>
        <v/>
      </c>
      <c r="J44">
        <f>'2 transformar y limpiar'!J58</f>
        <v/>
      </c>
      <c r="K44">
        <f>'2 transformar y limpiar'!K58</f>
        <v/>
      </c>
      <c r="L44">
        <f>'2 transformar y limpiar'!L58</f>
        <v/>
      </c>
      <c r="M44">
        <f>'2 transformar y limpiar'!M58</f>
        <v/>
      </c>
      <c r="N44">
        <f>'2 transformar y limpiar'!N58</f>
        <v/>
      </c>
      <c r="O44">
        <f>'2 transformar y limpiar'!O58</f>
        <v/>
      </c>
      <c r="P44">
        <f>'2 transformar y limpiar'!P58</f>
        <v/>
      </c>
      <c r="Q44">
        <f>'2 transformar y limpiar'!Q58</f>
        <v/>
      </c>
      <c r="R44">
        <f>'2 transformar y limpiar'!R58</f>
        <v/>
      </c>
      <c r="S44">
        <f>'2 transformar y limpiar'!S58</f>
        <v/>
      </c>
      <c r="T44">
        <f>'2 transformar y limpiar'!T58</f>
        <v/>
      </c>
      <c r="U44" s="5">
        <f>'2 transformar y limpiar'!U58</f>
        <v/>
      </c>
    </row>
    <row r="45">
      <c r="A45">
        <f>'2 transformar y limpiar'!A59</f>
        <v/>
      </c>
      <c r="B45">
        <f>'2 transformar y limpiar'!B59</f>
        <v/>
      </c>
      <c r="C45" s="6">
        <f>('2 transformar y limpiar'!C59-$B$6)/$C$6</f>
        <v/>
      </c>
      <c r="D45" s="6">
        <f>('2 transformar y limpiar'!D59-$B$7)/$C$7</f>
        <v/>
      </c>
      <c r="E45" s="6">
        <f>('2 transformar y limpiar'!E59-$B$8)/$C$8</f>
        <v/>
      </c>
      <c r="F45" s="6">
        <f>('2 transformar y limpiar'!F59-$B$9)/$C$9</f>
        <v/>
      </c>
      <c r="G45">
        <f>'2 transformar y limpiar'!G59</f>
        <v/>
      </c>
      <c r="H45">
        <f>'2 transformar y limpiar'!H59</f>
        <v/>
      </c>
      <c r="I45">
        <f>'2 transformar y limpiar'!I59</f>
        <v/>
      </c>
      <c r="J45">
        <f>'2 transformar y limpiar'!J59</f>
        <v/>
      </c>
      <c r="K45">
        <f>'2 transformar y limpiar'!K59</f>
        <v/>
      </c>
      <c r="L45">
        <f>'2 transformar y limpiar'!L59</f>
        <v/>
      </c>
      <c r="M45">
        <f>'2 transformar y limpiar'!M59</f>
        <v/>
      </c>
      <c r="N45">
        <f>'2 transformar y limpiar'!N59</f>
        <v/>
      </c>
      <c r="O45">
        <f>'2 transformar y limpiar'!O59</f>
        <v/>
      </c>
      <c r="P45">
        <f>'2 transformar y limpiar'!P59</f>
        <v/>
      </c>
      <c r="Q45">
        <f>'2 transformar y limpiar'!Q59</f>
        <v/>
      </c>
      <c r="R45">
        <f>'2 transformar y limpiar'!R59</f>
        <v/>
      </c>
      <c r="S45">
        <f>'2 transformar y limpiar'!S59</f>
        <v/>
      </c>
      <c r="T45">
        <f>'2 transformar y limpiar'!T59</f>
        <v/>
      </c>
      <c r="U45" s="5">
        <f>'2 transformar y limpiar'!U59</f>
        <v/>
      </c>
    </row>
    <row r="46">
      <c r="A46">
        <f>'2 transformar y limpiar'!A60</f>
        <v/>
      </c>
      <c r="B46">
        <f>'2 transformar y limpiar'!B60</f>
        <v/>
      </c>
      <c r="C46" s="6">
        <f>('2 transformar y limpiar'!C60-$B$6)/$C$6</f>
        <v/>
      </c>
      <c r="D46" s="6">
        <f>('2 transformar y limpiar'!D60-$B$7)/$C$7</f>
        <v/>
      </c>
      <c r="E46" s="6">
        <f>('2 transformar y limpiar'!E60-$B$8)/$C$8</f>
        <v/>
      </c>
      <c r="F46" s="6">
        <f>('2 transformar y limpiar'!F60-$B$9)/$C$9</f>
        <v/>
      </c>
      <c r="G46">
        <f>'2 transformar y limpiar'!G60</f>
        <v/>
      </c>
      <c r="H46">
        <f>'2 transformar y limpiar'!H60</f>
        <v/>
      </c>
      <c r="I46">
        <f>'2 transformar y limpiar'!I60</f>
        <v/>
      </c>
      <c r="J46">
        <f>'2 transformar y limpiar'!J60</f>
        <v/>
      </c>
      <c r="K46">
        <f>'2 transformar y limpiar'!K60</f>
        <v/>
      </c>
      <c r="L46">
        <f>'2 transformar y limpiar'!L60</f>
        <v/>
      </c>
      <c r="M46">
        <f>'2 transformar y limpiar'!M60</f>
        <v/>
      </c>
      <c r="N46">
        <f>'2 transformar y limpiar'!N60</f>
        <v/>
      </c>
      <c r="O46">
        <f>'2 transformar y limpiar'!O60</f>
        <v/>
      </c>
      <c r="P46">
        <f>'2 transformar y limpiar'!P60</f>
        <v/>
      </c>
      <c r="Q46">
        <f>'2 transformar y limpiar'!Q60</f>
        <v/>
      </c>
      <c r="R46">
        <f>'2 transformar y limpiar'!R60</f>
        <v/>
      </c>
      <c r="S46">
        <f>'2 transformar y limpiar'!S60</f>
        <v/>
      </c>
      <c r="T46">
        <f>'2 transformar y limpiar'!T60</f>
        <v/>
      </c>
      <c r="U46" s="5">
        <f>'2 transformar y limpiar'!U60</f>
        <v/>
      </c>
    </row>
    <row r="47">
      <c r="A47">
        <f>'2 transformar y limpiar'!A61</f>
        <v/>
      </c>
      <c r="B47">
        <f>'2 transformar y limpiar'!B61</f>
        <v/>
      </c>
      <c r="C47" s="6">
        <f>('2 transformar y limpiar'!C61-$B$6)/$C$6</f>
        <v/>
      </c>
      <c r="D47" s="6">
        <f>('2 transformar y limpiar'!D61-$B$7)/$C$7</f>
        <v/>
      </c>
      <c r="E47" s="6">
        <f>('2 transformar y limpiar'!E61-$B$8)/$C$8</f>
        <v/>
      </c>
      <c r="F47" s="6">
        <f>('2 transformar y limpiar'!F61-$B$9)/$C$9</f>
        <v/>
      </c>
      <c r="G47">
        <f>'2 transformar y limpiar'!G61</f>
        <v/>
      </c>
      <c r="H47">
        <f>'2 transformar y limpiar'!H61</f>
        <v/>
      </c>
      <c r="I47">
        <f>'2 transformar y limpiar'!I61</f>
        <v/>
      </c>
      <c r="J47">
        <f>'2 transformar y limpiar'!J61</f>
        <v/>
      </c>
      <c r="K47">
        <f>'2 transformar y limpiar'!K61</f>
        <v/>
      </c>
      <c r="L47">
        <f>'2 transformar y limpiar'!L61</f>
        <v/>
      </c>
      <c r="M47">
        <f>'2 transformar y limpiar'!M61</f>
        <v/>
      </c>
      <c r="N47">
        <f>'2 transformar y limpiar'!N61</f>
        <v/>
      </c>
      <c r="O47">
        <f>'2 transformar y limpiar'!O61</f>
        <v/>
      </c>
      <c r="P47">
        <f>'2 transformar y limpiar'!P61</f>
        <v/>
      </c>
      <c r="Q47">
        <f>'2 transformar y limpiar'!Q61</f>
        <v/>
      </c>
      <c r="R47">
        <f>'2 transformar y limpiar'!R61</f>
        <v/>
      </c>
      <c r="S47">
        <f>'2 transformar y limpiar'!S61</f>
        <v/>
      </c>
      <c r="T47">
        <f>'2 transformar y limpiar'!T61</f>
        <v/>
      </c>
      <c r="U47" s="5">
        <f>'2 transformar y limpiar'!U61</f>
        <v/>
      </c>
    </row>
    <row r="48">
      <c r="A48">
        <f>'2 transformar y limpiar'!A62</f>
        <v/>
      </c>
      <c r="B48">
        <f>'2 transformar y limpiar'!B62</f>
        <v/>
      </c>
      <c r="C48" s="6">
        <f>('2 transformar y limpiar'!C62-$B$6)/$C$6</f>
        <v/>
      </c>
      <c r="D48" s="6">
        <f>('2 transformar y limpiar'!D62-$B$7)/$C$7</f>
        <v/>
      </c>
      <c r="E48" s="6">
        <f>('2 transformar y limpiar'!E62-$B$8)/$C$8</f>
        <v/>
      </c>
      <c r="F48" s="6">
        <f>('2 transformar y limpiar'!F62-$B$9)/$C$9</f>
        <v/>
      </c>
      <c r="G48">
        <f>'2 transformar y limpiar'!G62</f>
        <v/>
      </c>
      <c r="H48">
        <f>'2 transformar y limpiar'!H62</f>
        <v/>
      </c>
      <c r="I48">
        <f>'2 transformar y limpiar'!I62</f>
        <v/>
      </c>
      <c r="J48">
        <f>'2 transformar y limpiar'!J62</f>
        <v/>
      </c>
      <c r="K48">
        <f>'2 transformar y limpiar'!K62</f>
        <v/>
      </c>
      <c r="L48">
        <f>'2 transformar y limpiar'!L62</f>
        <v/>
      </c>
      <c r="M48">
        <f>'2 transformar y limpiar'!M62</f>
        <v/>
      </c>
      <c r="N48">
        <f>'2 transformar y limpiar'!N62</f>
        <v/>
      </c>
      <c r="O48">
        <f>'2 transformar y limpiar'!O62</f>
        <v/>
      </c>
      <c r="P48">
        <f>'2 transformar y limpiar'!P62</f>
        <v/>
      </c>
      <c r="Q48">
        <f>'2 transformar y limpiar'!Q62</f>
        <v/>
      </c>
      <c r="R48">
        <f>'2 transformar y limpiar'!R62</f>
        <v/>
      </c>
      <c r="S48">
        <f>'2 transformar y limpiar'!S62</f>
        <v/>
      </c>
      <c r="T48">
        <f>'2 transformar y limpiar'!T62</f>
        <v/>
      </c>
      <c r="U48" s="5">
        <f>'2 transformar y limpiar'!U62</f>
        <v/>
      </c>
    </row>
    <row r="49">
      <c r="A49">
        <f>'2 transformar y limpiar'!A63</f>
        <v/>
      </c>
      <c r="B49">
        <f>'2 transformar y limpiar'!B63</f>
        <v/>
      </c>
      <c r="C49" s="6">
        <f>('2 transformar y limpiar'!C63-$B$6)/$C$6</f>
        <v/>
      </c>
      <c r="D49" s="6">
        <f>('2 transformar y limpiar'!D63-$B$7)/$C$7</f>
        <v/>
      </c>
      <c r="E49" s="6">
        <f>('2 transformar y limpiar'!E63-$B$8)/$C$8</f>
        <v/>
      </c>
      <c r="F49" s="6">
        <f>('2 transformar y limpiar'!F63-$B$9)/$C$9</f>
        <v/>
      </c>
      <c r="G49">
        <f>'2 transformar y limpiar'!G63</f>
        <v/>
      </c>
      <c r="H49">
        <f>'2 transformar y limpiar'!H63</f>
        <v/>
      </c>
      <c r="I49">
        <f>'2 transformar y limpiar'!I63</f>
        <v/>
      </c>
      <c r="J49">
        <f>'2 transformar y limpiar'!J63</f>
        <v/>
      </c>
      <c r="K49">
        <f>'2 transformar y limpiar'!K63</f>
        <v/>
      </c>
      <c r="L49">
        <f>'2 transformar y limpiar'!L63</f>
        <v/>
      </c>
      <c r="M49">
        <f>'2 transformar y limpiar'!M63</f>
        <v/>
      </c>
      <c r="N49">
        <f>'2 transformar y limpiar'!N63</f>
        <v/>
      </c>
      <c r="O49">
        <f>'2 transformar y limpiar'!O63</f>
        <v/>
      </c>
      <c r="P49">
        <f>'2 transformar y limpiar'!P63</f>
        <v/>
      </c>
      <c r="Q49">
        <f>'2 transformar y limpiar'!Q63</f>
        <v/>
      </c>
      <c r="R49">
        <f>'2 transformar y limpiar'!R63</f>
        <v/>
      </c>
      <c r="S49">
        <f>'2 transformar y limpiar'!S63</f>
        <v/>
      </c>
      <c r="T49">
        <f>'2 transformar y limpiar'!T63</f>
        <v/>
      </c>
      <c r="U49" s="5">
        <f>'2 transformar y limpiar'!U63</f>
        <v/>
      </c>
    </row>
    <row r="50">
      <c r="A50">
        <f>'2 transformar y limpiar'!A64</f>
        <v/>
      </c>
      <c r="B50">
        <f>'2 transformar y limpiar'!B64</f>
        <v/>
      </c>
      <c r="C50" s="6">
        <f>('2 transformar y limpiar'!C64-$B$6)/$C$6</f>
        <v/>
      </c>
      <c r="D50" s="6">
        <f>('2 transformar y limpiar'!D64-$B$7)/$C$7</f>
        <v/>
      </c>
      <c r="E50" s="6">
        <f>('2 transformar y limpiar'!E64-$B$8)/$C$8</f>
        <v/>
      </c>
      <c r="F50" s="6">
        <f>('2 transformar y limpiar'!F64-$B$9)/$C$9</f>
        <v/>
      </c>
      <c r="G50">
        <f>'2 transformar y limpiar'!G64</f>
        <v/>
      </c>
      <c r="H50">
        <f>'2 transformar y limpiar'!H64</f>
        <v/>
      </c>
      <c r="I50">
        <f>'2 transformar y limpiar'!I64</f>
        <v/>
      </c>
      <c r="J50">
        <f>'2 transformar y limpiar'!J64</f>
        <v/>
      </c>
      <c r="K50">
        <f>'2 transformar y limpiar'!K64</f>
        <v/>
      </c>
      <c r="L50">
        <f>'2 transformar y limpiar'!L64</f>
        <v/>
      </c>
      <c r="M50">
        <f>'2 transformar y limpiar'!M64</f>
        <v/>
      </c>
      <c r="N50">
        <f>'2 transformar y limpiar'!N64</f>
        <v/>
      </c>
      <c r="O50">
        <f>'2 transformar y limpiar'!O64</f>
        <v/>
      </c>
      <c r="P50">
        <f>'2 transformar y limpiar'!P64</f>
        <v/>
      </c>
      <c r="Q50">
        <f>'2 transformar y limpiar'!Q64</f>
        <v/>
      </c>
      <c r="R50">
        <f>'2 transformar y limpiar'!R64</f>
        <v/>
      </c>
      <c r="S50">
        <f>'2 transformar y limpiar'!S64</f>
        <v/>
      </c>
      <c r="T50">
        <f>'2 transformar y limpiar'!T64</f>
        <v/>
      </c>
      <c r="U50" s="5">
        <f>'2 transformar y limpiar'!U64</f>
        <v/>
      </c>
    </row>
    <row r="51">
      <c r="A51">
        <f>'2 transformar y limpiar'!A65</f>
        <v/>
      </c>
      <c r="B51">
        <f>'2 transformar y limpiar'!B65</f>
        <v/>
      </c>
      <c r="C51" s="6">
        <f>('2 transformar y limpiar'!C65-$B$6)/$C$6</f>
        <v/>
      </c>
      <c r="D51" s="6">
        <f>('2 transformar y limpiar'!D65-$B$7)/$C$7</f>
        <v/>
      </c>
      <c r="E51" s="6">
        <f>('2 transformar y limpiar'!E65-$B$8)/$C$8</f>
        <v/>
      </c>
      <c r="F51" s="6">
        <f>('2 transformar y limpiar'!F65-$B$9)/$C$9</f>
        <v/>
      </c>
      <c r="G51">
        <f>'2 transformar y limpiar'!G65</f>
        <v/>
      </c>
      <c r="H51">
        <f>'2 transformar y limpiar'!H65</f>
        <v/>
      </c>
      <c r="I51">
        <f>'2 transformar y limpiar'!I65</f>
        <v/>
      </c>
      <c r="J51">
        <f>'2 transformar y limpiar'!J65</f>
        <v/>
      </c>
      <c r="K51">
        <f>'2 transformar y limpiar'!K65</f>
        <v/>
      </c>
      <c r="L51">
        <f>'2 transformar y limpiar'!L65</f>
        <v/>
      </c>
      <c r="M51">
        <f>'2 transformar y limpiar'!M65</f>
        <v/>
      </c>
      <c r="N51">
        <f>'2 transformar y limpiar'!N65</f>
        <v/>
      </c>
      <c r="O51">
        <f>'2 transformar y limpiar'!O65</f>
        <v/>
      </c>
      <c r="P51">
        <f>'2 transformar y limpiar'!P65</f>
        <v/>
      </c>
      <c r="Q51">
        <f>'2 transformar y limpiar'!Q65</f>
        <v/>
      </c>
      <c r="R51">
        <f>'2 transformar y limpiar'!R65</f>
        <v/>
      </c>
      <c r="S51">
        <f>'2 transformar y limpiar'!S65</f>
        <v/>
      </c>
      <c r="T51">
        <f>'2 transformar y limpiar'!T65</f>
        <v/>
      </c>
      <c r="U51" s="5">
        <f>'2 transformar y limpiar'!U65</f>
        <v/>
      </c>
    </row>
    <row r="52">
      <c r="A52">
        <f>'2 transformar y limpiar'!A66</f>
        <v/>
      </c>
      <c r="B52">
        <f>'2 transformar y limpiar'!B66</f>
        <v/>
      </c>
      <c r="C52" s="6">
        <f>('2 transformar y limpiar'!C66-$B$6)/$C$6</f>
        <v/>
      </c>
      <c r="D52" s="6">
        <f>('2 transformar y limpiar'!D66-$B$7)/$C$7</f>
        <v/>
      </c>
      <c r="E52" s="6">
        <f>('2 transformar y limpiar'!E66-$B$8)/$C$8</f>
        <v/>
      </c>
      <c r="F52" s="6">
        <f>('2 transformar y limpiar'!F66-$B$9)/$C$9</f>
        <v/>
      </c>
      <c r="G52">
        <f>'2 transformar y limpiar'!G66</f>
        <v/>
      </c>
      <c r="H52">
        <f>'2 transformar y limpiar'!H66</f>
        <v/>
      </c>
      <c r="I52">
        <f>'2 transformar y limpiar'!I66</f>
        <v/>
      </c>
      <c r="J52">
        <f>'2 transformar y limpiar'!J66</f>
        <v/>
      </c>
      <c r="K52">
        <f>'2 transformar y limpiar'!K66</f>
        <v/>
      </c>
      <c r="L52">
        <f>'2 transformar y limpiar'!L66</f>
        <v/>
      </c>
      <c r="M52">
        <f>'2 transformar y limpiar'!M66</f>
        <v/>
      </c>
      <c r="N52">
        <f>'2 transformar y limpiar'!N66</f>
        <v/>
      </c>
      <c r="O52">
        <f>'2 transformar y limpiar'!O66</f>
        <v/>
      </c>
      <c r="P52">
        <f>'2 transformar y limpiar'!P66</f>
        <v/>
      </c>
      <c r="Q52">
        <f>'2 transformar y limpiar'!Q66</f>
        <v/>
      </c>
      <c r="R52">
        <f>'2 transformar y limpiar'!R66</f>
        <v/>
      </c>
      <c r="S52">
        <f>'2 transformar y limpiar'!S66</f>
        <v/>
      </c>
      <c r="T52">
        <f>'2 transformar y limpiar'!T66</f>
        <v/>
      </c>
      <c r="U52" s="5">
        <f>'2 transformar y limpiar'!U66</f>
        <v/>
      </c>
    </row>
    <row r="53">
      <c r="A53">
        <f>'2 transformar y limpiar'!A67</f>
        <v/>
      </c>
      <c r="B53">
        <f>'2 transformar y limpiar'!B67</f>
        <v/>
      </c>
      <c r="C53" s="6">
        <f>('2 transformar y limpiar'!C67-$B$6)/$C$6</f>
        <v/>
      </c>
      <c r="D53" s="6">
        <f>('2 transformar y limpiar'!D67-$B$7)/$C$7</f>
        <v/>
      </c>
      <c r="E53" s="6">
        <f>('2 transformar y limpiar'!E67-$B$8)/$C$8</f>
        <v/>
      </c>
      <c r="F53" s="6">
        <f>('2 transformar y limpiar'!F67-$B$9)/$C$9</f>
        <v/>
      </c>
      <c r="G53">
        <f>'2 transformar y limpiar'!G67</f>
        <v/>
      </c>
      <c r="H53">
        <f>'2 transformar y limpiar'!H67</f>
        <v/>
      </c>
      <c r="I53">
        <f>'2 transformar y limpiar'!I67</f>
        <v/>
      </c>
      <c r="J53">
        <f>'2 transformar y limpiar'!J67</f>
        <v/>
      </c>
      <c r="K53">
        <f>'2 transformar y limpiar'!K67</f>
        <v/>
      </c>
      <c r="L53">
        <f>'2 transformar y limpiar'!L67</f>
        <v/>
      </c>
      <c r="M53">
        <f>'2 transformar y limpiar'!M67</f>
        <v/>
      </c>
      <c r="N53">
        <f>'2 transformar y limpiar'!N67</f>
        <v/>
      </c>
      <c r="O53">
        <f>'2 transformar y limpiar'!O67</f>
        <v/>
      </c>
      <c r="P53">
        <f>'2 transformar y limpiar'!P67</f>
        <v/>
      </c>
      <c r="Q53">
        <f>'2 transformar y limpiar'!Q67</f>
        <v/>
      </c>
      <c r="R53">
        <f>'2 transformar y limpiar'!R67</f>
        <v/>
      </c>
      <c r="S53">
        <f>'2 transformar y limpiar'!S67</f>
        <v/>
      </c>
      <c r="T53">
        <f>'2 transformar y limpiar'!T67</f>
        <v/>
      </c>
      <c r="U53" s="5">
        <f>'2 transformar y limpiar'!U67</f>
        <v/>
      </c>
    </row>
    <row r="54">
      <c r="A54">
        <f>'2 transformar y limpiar'!A68</f>
        <v/>
      </c>
      <c r="B54">
        <f>'2 transformar y limpiar'!B68</f>
        <v/>
      </c>
      <c r="C54" s="6">
        <f>('2 transformar y limpiar'!C68-$B$6)/$C$6</f>
        <v/>
      </c>
      <c r="D54" s="6">
        <f>('2 transformar y limpiar'!D68-$B$7)/$C$7</f>
        <v/>
      </c>
      <c r="E54" s="6">
        <f>('2 transformar y limpiar'!E68-$B$8)/$C$8</f>
        <v/>
      </c>
      <c r="F54" s="6">
        <f>('2 transformar y limpiar'!F68-$B$9)/$C$9</f>
        <v/>
      </c>
      <c r="G54">
        <f>'2 transformar y limpiar'!G68</f>
        <v/>
      </c>
      <c r="H54">
        <f>'2 transformar y limpiar'!H68</f>
        <v/>
      </c>
      <c r="I54">
        <f>'2 transformar y limpiar'!I68</f>
        <v/>
      </c>
      <c r="J54">
        <f>'2 transformar y limpiar'!J68</f>
        <v/>
      </c>
      <c r="K54">
        <f>'2 transformar y limpiar'!K68</f>
        <v/>
      </c>
      <c r="L54">
        <f>'2 transformar y limpiar'!L68</f>
        <v/>
      </c>
      <c r="M54">
        <f>'2 transformar y limpiar'!M68</f>
        <v/>
      </c>
      <c r="N54">
        <f>'2 transformar y limpiar'!N68</f>
        <v/>
      </c>
      <c r="O54">
        <f>'2 transformar y limpiar'!O68</f>
        <v/>
      </c>
      <c r="P54">
        <f>'2 transformar y limpiar'!P68</f>
        <v/>
      </c>
      <c r="Q54">
        <f>'2 transformar y limpiar'!Q68</f>
        <v/>
      </c>
      <c r="R54">
        <f>'2 transformar y limpiar'!R68</f>
        <v/>
      </c>
      <c r="S54">
        <f>'2 transformar y limpiar'!S68</f>
        <v/>
      </c>
      <c r="T54">
        <f>'2 transformar y limpiar'!T68</f>
        <v/>
      </c>
      <c r="U54" s="5">
        <f>'2 transformar y limpiar'!U68</f>
        <v/>
      </c>
    </row>
    <row r="55">
      <c r="A55">
        <f>'2 transformar y limpiar'!A69</f>
        <v/>
      </c>
      <c r="B55">
        <f>'2 transformar y limpiar'!B69</f>
        <v/>
      </c>
      <c r="C55" s="6">
        <f>('2 transformar y limpiar'!C69-$B$6)/$C$6</f>
        <v/>
      </c>
      <c r="D55" s="6">
        <f>('2 transformar y limpiar'!D69-$B$7)/$C$7</f>
        <v/>
      </c>
      <c r="E55" s="6">
        <f>('2 transformar y limpiar'!E69-$B$8)/$C$8</f>
        <v/>
      </c>
      <c r="F55" s="6">
        <f>('2 transformar y limpiar'!F69-$B$9)/$C$9</f>
        <v/>
      </c>
      <c r="G55">
        <f>'2 transformar y limpiar'!G69</f>
        <v/>
      </c>
      <c r="H55">
        <f>'2 transformar y limpiar'!H69</f>
        <v/>
      </c>
      <c r="I55">
        <f>'2 transformar y limpiar'!I69</f>
        <v/>
      </c>
      <c r="J55">
        <f>'2 transformar y limpiar'!J69</f>
        <v/>
      </c>
      <c r="K55">
        <f>'2 transformar y limpiar'!K69</f>
        <v/>
      </c>
      <c r="L55">
        <f>'2 transformar y limpiar'!L69</f>
        <v/>
      </c>
      <c r="M55">
        <f>'2 transformar y limpiar'!M69</f>
        <v/>
      </c>
      <c r="N55">
        <f>'2 transformar y limpiar'!N69</f>
        <v/>
      </c>
      <c r="O55">
        <f>'2 transformar y limpiar'!O69</f>
        <v/>
      </c>
      <c r="P55">
        <f>'2 transformar y limpiar'!P69</f>
        <v/>
      </c>
      <c r="Q55">
        <f>'2 transformar y limpiar'!Q69</f>
        <v/>
      </c>
      <c r="R55">
        <f>'2 transformar y limpiar'!R69</f>
        <v/>
      </c>
      <c r="S55">
        <f>'2 transformar y limpiar'!S69</f>
        <v/>
      </c>
      <c r="T55">
        <f>'2 transformar y limpiar'!T69</f>
        <v/>
      </c>
      <c r="U55" s="5">
        <f>'2 transformar y limpiar'!U69</f>
        <v/>
      </c>
    </row>
    <row r="56">
      <c r="A56">
        <f>'2 transformar y limpiar'!A70</f>
        <v/>
      </c>
      <c r="B56">
        <f>'2 transformar y limpiar'!B70</f>
        <v/>
      </c>
      <c r="C56" s="6">
        <f>('2 transformar y limpiar'!C70-$B$6)/$C$6</f>
        <v/>
      </c>
      <c r="D56" s="6">
        <f>('2 transformar y limpiar'!D70-$B$7)/$C$7</f>
        <v/>
      </c>
      <c r="E56" s="6">
        <f>('2 transformar y limpiar'!E70-$B$8)/$C$8</f>
        <v/>
      </c>
      <c r="F56" s="6">
        <f>('2 transformar y limpiar'!F70-$B$9)/$C$9</f>
        <v/>
      </c>
      <c r="G56">
        <f>'2 transformar y limpiar'!G70</f>
        <v/>
      </c>
      <c r="H56">
        <f>'2 transformar y limpiar'!H70</f>
        <v/>
      </c>
      <c r="I56">
        <f>'2 transformar y limpiar'!I70</f>
        <v/>
      </c>
      <c r="J56">
        <f>'2 transformar y limpiar'!J70</f>
        <v/>
      </c>
      <c r="K56">
        <f>'2 transformar y limpiar'!K70</f>
        <v/>
      </c>
      <c r="L56">
        <f>'2 transformar y limpiar'!L70</f>
        <v/>
      </c>
      <c r="M56">
        <f>'2 transformar y limpiar'!M70</f>
        <v/>
      </c>
      <c r="N56">
        <f>'2 transformar y limpiar'!N70</f>
        <v/>
      </c>
      <c r="O56">
        <f>'2 transformar y limpiar'!O70</f>
        <v/>
      </c>
      <c r="P56">
        <f>'2 transformar y limpiar'!P70</f>
        <v/>
      </c>
      <c r="Q56">
        <f>'2 transformar y limpiar'!Q70</f>
        <v/>
      </c>
      <c r="R56">
        <f>'2 transformar y limpiar'!R70</f>
        <v/>
      </c>
      <c r="S56">
        <f>'2 transformar y limpiar'!S70</f>
        <v/>
      </c>
      <c r="T56">
        <f>'2 transformar y limpiar'!T70</f>
        <v/>
      </c>
      <c r="U56" s="5">
        <f>'2 transformar y limpiar'!U70</f>
        <v/>
      </c>
    </row>
    <row r="57">
      <c r="A57">
        <f>'2 transformar y limpiar'!A71</f>
        <v/>
      </c>
      <c r="B57">
        <f>'2 transformar y limpiar'!B71</f>
        <v/>
      </c>
      <c r="C57" s="6">
        <f>('2 transformar y limpiar'!C71-$B$6)/$C$6</f>
        <v/>
      </c>
      <c r="D57" s="6">
        <f>('2 transformar y limpiar'!D71-$B$7)/$C$7</f>
        <v/>
      </c>
      <c r="E57" s="6">
        <f>('2 transformar y limpiar'!E71-$B$8)/$C$8</f>
        <v/>
      </c>
      <c r="F57" s="6">
        <f>('2 transformar y limpiar'!F71-$B$9)/$C$9</f>
        <v/>
      </c>
      <c r="G57">
        <f>'2 transformar y limpiar'!G71</f>
        <v/>
      </c>
      <c r="H57">
        <f>'2 transformar y limpiar'!H71</f>
        <v/>
      </c>
      <c r="I57">
        <f>'2 transformar y limpiar'!I71</f>
        <v/>
      </c>
      <c r="J57">
        <f>'2 transformar y limpiar'!J71</f>
        <v/>
      </c>
      <c r="K57">
        <f>'2 transformar y limpiar'!K71</f>
        <v/>
      </c>
      <c r="L57">
        <f>'2 transformar y limpiar'!L71</f>
        <v/>
      </c>
      <c r="M57">
        <f>'2 transformar y limpiar'!M71</f>
        <v/>
      </c>
      <c r="N57">
        <f>'2 transformar y limpiar'!N71</f>
        <v/>
      </c>
      <c r="O57">
        <f>'2 transformar y limpiar'!O71</f>
        <v/>
      </c>
      <c r="P57">
        <f>'2 transformar y limpiar'!P71</f>
        <v/>
      </c>
      <c r="Q57">
        <f>'2 transformar y limpiar'!Q71</f>
        <v/>
      </c>
      <c r="R57">
        <f>'2 transformar y limpiar'!R71</f>
        <v/>
      </c>
      <c r="S57">
        <f>'2 transformar y limpiar'!S71</f>
        <v/>
      </c>
      <c r="T57">
        <f>'2 transformar y limpiar'!T71</f>
        <v/>
      </c>
      <c r="U57" s="5">
        <f>'2 transformar y limpiar'!U71</f>
        <v/>
      </c>
    </row>
    <row r="58">
      <c r="A58">
        <f>'2 transformar y limpiar'!A72</f>
        <v/>
      </c>
      <c r="B58">
        <f>'2 transformar y limpiar'!B72</f>
        <v/>
      </c>
      <c r="C58" s="6">
        <f>('2 transformar y limpiar'!C72-$B$6)/$C$6</f>
        <v/>
      </c>
      <c r="D58" s="6">
        <f>('2 transformar y limpiar'!D72-$B$7)/$C$7</f>
        <v/>
      </c>
      <c r="E58" s="6">
        <f>('2 transformar y limpiar'!E72-$B$8)/$C$8</f>
        <v/>
      </c>
      <c r="F58" s="6">
        <f>('2 transformar y limpiar'!F72-$B$9)/$C$9</f>
        <v/>
      </c>
      <c r="G58">
        <f>'2 transformar y limpiar'!G72</f>
        <v/>
      </c>
      <c r="H58">
        <f>'2 transformar y limpiar'!H72</f>
        <v/>
      </c>
      <c r="I58">
        <f>'2 transformar y limpiar'!I72</f>
        <v/>
      </c>
      <c r="J58">
        <f>'2 transformar y limpiar'!J72</f>
        <v/>
      </c>
      <c r="K58">
        <f>'2 transformar y limpiar'!K72</f>
        <v/>
      </c>
      <c r="L58">
        <f>'2 transformar y limpiar'!L72</f>
        <v/>
      </c>
      <c r="M58">
        <f>'2 transformar y limpiar'!M72</f>
        <v/>
      </c>
      <c r="N58">
        <f>'2 transformar y limpiar'!N72</f>
        <v/>
      </c>
      <c r="O58">
        <f>'2 transformar y limpiar'!O72</f>
        <v/>
      </c>
      <c r="P58">
        <f>'2 transformar y limpiar'!P72</f>
        <v/>
      </c>
      <c r="Q58">
        <f>'2 transformar y limpiar'!Q72</f>
        <v/>
      </c>
      <c r="R58">
        <f>'2 transformar y limpiar'!R72</f>
        <v/>
      </c>
      <c r="S58">
        <f>'2 transformar y limpiar'!S72</f>
        <v/>
      </c>
      <c r="T58">
        <f>'2 transformar y limpiar'!T72</f>
        <v/>
      </c>
      <c r="U58" s="5">
        <f>'2 transformar y limpiar'!U72</f>
        <v/>
      </c>
    </row>
    <row r="59">
      <c r="A59">
        <f>'2 transformar y limpiar'!A73</f>
        <v/>
      </c>
      <c r="B59">
        <f>'2 transformar y limpiar'!B73</f>
        <v/>
      </c>
      <c r="C59" s="6">
        <f>('2 transformar y limpiar'!C73-$B$6)/$C$6</f>
        <v/>
      </c>
      <c r="D59" s="6">
        <f>('2 transformar y limpiar'!D73-$B$7)/$C$7</f>
        <v/>
      </c>
      <c r="E59" s="6">
        <f>('2 transformar y limpiar'!E73-$B$8)/$C$8</f>
        <v/>
      </c>
      <c r="F59" s="6">
        <f>('2 transformar y limpiar'!F73-$B$9)/$C$9</f>
        <v/>
      </c>
      <c r="G59">
        <f>'2 transformar y limpiar'!G73</f>
        <v/>
      </c>
      <c r="H59">
        <f>'2 transformar y limpiar'!H73</f>
        <v/>
      </c>
      <c r="I59">
        <f>'2 transformar y limpiar'!I73</f>
        <v/>
      </c>
      <c r="J59">
        <f>'2 transformar y limpiar'!J73</f>
        <v/>
      </c>
      <c r="K59">
        <f>'2 transformar y limpiar'!K73</f>
        <v/>
      </c>
      <c r="L59">
        <f>'2 transformar y limpiar'!L73</f>
        <v/>
      </c>
      <c r="M59">
        <f>'2 transformar y limpiar'!M73</f>
        <v/>
      </c>
      <c r="N59">
        <f>'2 transformar y limpiar'!N73</f>
        <v/>
      </c>
      <c r="O59">
        <f>'2 transformar y limpiar'!O73</f>
        <v/>
      </c>
      <c r="P59">
        <f>'2 transformar y limpiar'!P73</f>
        <v/>
      </c>
      <c r="Q59">
        <f>'2 transformar y limpiar'!Q73</f>
        <v/>
      </c>
      <c r="R59">
        <f>'2 transformar y limpiar'!R73</f>
        <v/>
      </c>
      <c r="S59">
        <f>'2 transformar y limpiar'!S73</f>
        <v/>
      </c>
      <c r="T59">
        <f>'2 transformar y limpiar'!T73</f>
        <v/>
      </c>
      <c r="U59" s="5">
        <f>'2 transformar y limpiar'!U73</f>
        <v/>
      </c>
    </row>
    <row r="60">
      <c r="A60">
        <f>'2 transformar y limpiar'!A74</f>
        <v/>
      </c>
      <c r="B60">
        <f>'2 transformar y limpiar'!B74</f>
        <v/>
      </c>
      <c r="C60" s="6">
        <f>('2 transformar y limpiar'!C74-$B$6)/$C$6</f>
        <v/>
      </c>
      <c r="D60" s="6">
        <f>('2 transformar y limpiar'!D74-$B$7)/$C$7</f>
        <v/>
      </c>
      <c r="E60" s="6">
        <f>('2 transformar y limpiar'!E74-$B$8)/$C$8</f>
        <v/>
      </c>
      <c r="F60" s="6">
        <f>('2 transformar y limpiar'!F74-$B$9)/$C$9</f>
        <v/>
      </c>
      <c r="G60">
        <f>'2 transformar y limpiar'!G74</f>
        <v/>
      </c>
      <c r="H60">
        <f>'2 transformar y limpiar'!H74</f>
        <v/>
      </c>
      <c r="I60">
        <f>'2 transformar y limpiar'!I74</f>
        <v/>
      </c>
      <c r="J60">
        <f>'2 transformar y limpiar'!J74</f>
        <v/>
      </c>
      <c r="K60">
        <f>'2 transformar y limpiar'!K74</f>
        <v/>
      </c>
      <c r="L60">
        <f>'2 transformar y limpiar'!L74</f>
        <v/>
      </c>
      <c r="M60">
        <f>'2 transformar y limpiar'!M74</f>
        <v/>
      </c>
      <c r="N60">
        <f>'2 transformar y limpiar'!N74</f>
        <v/>
      </c>
      <c r="O60">
        <f>'2 transformar y limpiar'!O74</f>
        <v/>
      </c>
      <c r="P60">
        <f>'2 transformar y limpiar'!P74</f>
        <v/>
      </c>
      <c r="Q60">
        <f>'2 transformar y limpiar'!Q74</f>
        <v/>
      </c>
      <c r="R60">
        <f>'2 transformar y limpiar'!R74</f>
        <v/>
      </c>
      <c r="S60">
        <f>'2 transformar y limpiar'!S74</f>
        <v/>
      </c>
      <c r="T60">
        <f>'2 transformar y limpiar'!T74</f>
        <v/>
      </c>
      <c r="U60" s="5">
        <f>'2 transformar y limpiar'!U74</f>
        <v/>
      </c>
    </row>
    <row r="61">
      <c r="A61">
        <f>'2 transformar y limpiar'!A75</f>
        <v/>
      </c>
      <c r="B61">
        <f>'2 transformar y limpiar'!B75</f>
        <v/>
      </c>
      <c r="C61" s="6">
        <f>('2 transformar y limpiar'!C75-$B$6)/$C$6</f>
        <v/>
      </c>
      <c r="D61" s="6">
        <f>('2 transformar y limpiar'!D75-$B$7)/$C$7</f>
        <v/>
      </c>
      <c r="E61" s="6">
        <f>('2 transformar y limpiar'!E75-$B$8)/$C$8</f>
        <v/>
      </c>
      <c r="F61" s="6">
        <f>('2 transformar y limpiar'!F75-$B$9)/$C$9</f>
        <v/>
      </c>
      <c r="G61">
        <f>'2 transformar y limpiar'!G75</f>
        <v/>
      </c>
      <c r="H61">
        <f>'2 transformar y limpiar'!H75</f>
        <v/>
      </c>
      <c r="I61">
        <f>'2 transformar y limpiar'!I75</f>
        <v/>
      </c>
      <c r="J61">
        <f>'2 transformar y limpiar'!J75</f>
        <v/>
      </c>
      <c r="K61">
        <f>'2 transformar y limpiar'!K75</f>
        <v/>
      </c>
      <c r="L61">
        <f>'2 transformar y limpiar'!L75</f>
        <v/>
      </c>
      <c r="M61">
        <f>'2 transformar y limpiar'!M75</f>
        <v/>
      </c>
      <c r="N61">
        <f>'2 transformar y limpiar'!N75</f>
        <v/>
      </c>
      <c r="O61">
        <f>'2 transformar y limpiar'!O75</f>
        <v/>
      </c>
      <c r="P61">
        <f>'2 transformar y limpiar'!P75</f>
        <v/>
      </c>
      <c r="Q61">
        <f>'2 transformar y limpiar'!Q75</f>
        <v/>
      </c>
      <c r="R61">
        <f>'2 transformar y limpiar'!R75</f>
        <v/>
      </c>
      <c r="S61">
        <f>'2 transformar y limpiar'!S75</f>
        <v/>
      </c>
      <c r="T61">
        <f>'2 transformar y limpiar'!T75</f>
        <v/>
      </c>
      <c r="U61" s="5">
        <f>'2 transformar y limpiar'!U75</f>
        <v/>
      </c>
    </row>
    <row r="62">
      <c r="A62">
        <f>'2 transformar y limpiar'!A76</f>
        <v/>
      </c>
      <c r="B62">
        <f>'2 transformar y limpiar'!B76</f>
        <v/>
      </c>
      <c r="C62" s="6">
        <f>('2 transformar y limpiar'!C76-$B$6)/$C$6</f>
        <v/>
      </c>
      <c r="D62" s="6">
        <f>('2 transformar y limpiar'!D76-$B$7)/$C$7</f>
        <v/>
      </c>
      <c r="E62" s="6">
        <f>('2 transformar y limpiar'!E76-$B$8)/$C$8</f>
        <v/>
      </c>
      <c r="F62" s="6">
        <f>('2 transformar y limpiar'!F76-$B$9)/$C$9</f>
        <v/>
      </c>
      <c r="G62">
        <f>'2 transformar y limpiar'!G76</f>
        <v/>
      </c>
      <c r="H62">
        <f>'2 transformar y limpiar'!H76</f>
        <v/>
      </c>
      <c r="I62">
        <f>'2 transformar y limpiar'!I76</f>
        <v/>
      </c>
      <c r="J62">
        <f>'2 transformar y limpiar'!J76</f>
        <v/>
      </c>
      <c r="K62">
        <f>'2 transformar y limpiar'!K76</f>
        <v/>
      </c>
      <c r="L62">
        <f>'2 transformar y limpiar'!L76</f>
        <v/>
      </c>
      <c r="M62">
        <f>'2 transformar y limpiar'!M76</f>
        <v/>
      </c>
      <c r="N62">
        <f>'2 transformar y limpiar'!N76</f>
        <v/>
      </c>
      <c r="O62">
        <f>'2 transformar y limpiar'!O76</f>
        <v/>
      </c>
      <c r="P62">
        <f>'2 transformar y limpiar'!P76</f>
        <v/>
      </c>
      <c r="Q62">
        <f>'2 transformar y limpiar'!Q76</f>
        <v/>
      </c>
      <c r="R62">
        <f>'2 transformar y limpiar'!R76</f>
        <v/>
      </c>
      <c r="S62">
        <f>'2 transformar y limpiar'!S76</f>
        <v/>
      </c>
      <c r="T62">
        <f>'2 transformar y limpiar'!T76</f>
        <v/>
      </c>
      <c r="U62" s="5">
        <f>'2 transformar y limpiar'!U76</f>
        <v/>
      </c>
    </row>
    <row r="63">
      <c r="A63">
        <f>'2 transformar y limpiar'!A77</f>
        <v/>
      </c>
      <c r="B63">
        <f>'2 transformar y limpiar'!B77</f>
        <v/>
      </c>
      <c r="C63" s="6">
        <f>('2 transformar y limpiar'!C77-$B$6)/$C$6</f>
        <v/>
      </c>
      <c r="D63" s="6">
        <f>('2 transformar y limpiar'!D77-$B$7)/$C$7</f>
        <v/>
      </c>
      <c r="E63" s="6">
        <f>('2 transformar y limpiar'!E77-$B$8)/$C$8</f>
        <v/>
      </c>
      <c r="F63" s="6">
        <f>('2 transformar y limpiar'!F77-$B$9)/$C$9</f>
        <v/>
      </c>
      <c r="G63">
        <f>'2 transformar y limpiar'!G77</f>
        <v/>
      </c>
      <c r="H63">
        <f>'2 transformar y limpiar'!H77</f>
        <v/>
      </c>
      <c r="I63">
        <f>'2 transformar y limpiar'!I77</f>
        <v/>
      </c>
      <c r="J63">
        <f>'2 transformar y limpiar'!J77</f>
        <v/>
      </c>
      <c r="K63">
        <f>'2 transformar y limpiar'!K77</f>
        <v/>
      </c>
      <c r="L63">
        <f>'2 transformar y limpiar'!L77</f>
        <v/>
      </c>
      <c r="M63">
        <f>'2 transformar y limpiar'!M77</f>
        <v/>
      </c>
      <c r="N63">
        <f>'2 transformar y limpiar'!N77</f>
        <v/>
      </c>
      <c r="O63">
        <f>'2 transformar y limpiar'!O77</f>
        <v/>
      </c>
      <c r="P63">
        <f>'2 transformar y limpiar'!P77</f>
        <v/>
      </c>
      <c r="Q63">
        <f>'2 transformar y limpiar'!Q77</f>
        <v/>
      </c>
      <c r="R63">
        <f>'2 transformar y limpiar'!R77</f>
        <v/>
      </c>
      <c r="S63">
        <f>'2 transformar y limpiar'!S77</f>
        <v/>
      </c>
      <c r="T63">
        <f>'2 transformar y limpiar'!T77</f>
        <v/>
      </c>
      <c r="U63" s="5">
        <f>'2 transformar y limpiar'!U77</f>
        <v/>
      </c>
    </row>
    <row r="64">
      <c r="A64">
        <f>'2 transformar y limpiar'!A78</f>
        <v/>
      </c>
      <c r="B64">
        <f>'2 transformar y limpiar'!B78</f>
        <v/>
      </c>
      <c r="C64" s="6">
        <f>('2 transformar y limpiar'!C78-$B$6)/$C$6</f>
        <v/>
      </c>
      <c r="D64" s="6">
        <f>('2 transformar y limpiar'!D78-$B$7)/$C$7</f>
        <v/>
      </c>
      <c r="E64" s="6">
        <f>('2 transformar y limpiar'!E78-$B$8)/$C$8</f>
        <v/>
      </c>
      <c r="F64" s="6">
        <f>('2 transformar y limpiar'!F78-$B$9)/$C$9</f>
        <v/>
      </c>
      <c r="G64">
        <f>'2 transformar y limpiar'!G78</f>
        <v/>
      </c>
      <c r="H64">
        <f>'2 transformar y limpiar'!H78</f>
        <v/>
      </c>
      <c r="I64">
        <f>'2 transformar y limpiar'!I78</f>
        <v/>
      </c>
      <c r="J64">
        <f>'2 transformar y limpiar'!J78</f>
        <v/>
      </c>
      <c r="K64">
        <f>'2 transformar y limpiar'!K78</f>
        <v/>
      </c>
      <c r="L64">
        <f>'2 transformar y limpiar'!L78</f>
        <v/>
      </c>
      <c r="M64">
        <f>'2 transformar y limpiar'!M78</f>
        <v/>
      </c>
      <c r="N64">
        <f>'2 transformar y limpiar'!N78</f>
        <v/>
      </c>
      <c r="O64">
        <f>'2 transformar y limpiar'!O78</f>
        <v/>
      </c>
      <c r="P64">
        <f>'2 transformar y limpiar'!P78</f>
        <v/>
      </c>
      <c r="Q64">
        <f>'2 transformar y limpiar'!Q78</f>
        <v/>
      </c>
      <c r="R64">
        <f>'2 transformar y limpiar'!R78</f>
        <v/>
      </c>
      <c r="S64">
        <f>'2 transformar y limpiar'!S78</f>
        <v/>
      </c>
      <c r="T64">
        <f>'2 transformar y limpiar'!T78</f>
        <v/>
      </c>
      <c r="U64" s="5">
        <f>'2 transformar y limpiar'!U78</f>
        <v/>
      </c>
    </row>
    <row r="65">
      <c r="A65">
        <f>'2 transformar y limpiar'!A79</f>
        <v/>
      </c>
      <c r="B65">
        <f>'2 transformar y limpiar'!B79</f>
        <v/>
      </c>
      <c r="C65" s="6">
        <f>('2 transformar y limpiar'!C79-$B$6)/$C$6</f>
        <v/>
      </c>
      <c r="D65" s="6">
        <f>('2 transformar y limpiar'!D79-$B$7)/$C$7</f>
        <v/>
      </c>
      <c r="E65" s="6">
        <f>('2 transformar y limpiar'!E79-$B$8)/$C$8</f>
        <v/>
      </c>
      <c r="F65" s="6">
        <f>('2 transformar y limpiar'!F79-$B$9)/$C$9</f>
        <v/>
      </c>
      <c r="G65">
        <f>'2 transformar y limpiar'!G79</f>
        <v/>
      </c>
      <c r="H65">
        <f>'2 transformar y limpiar'!H79</f>
        <v/>
      </c>
      <c r="I65">
        <f>'2 transformar y limpiar'!I79</f>
        <v/>
      </c>
      <c r="J65">
        <f>'2 transformar y limpiar'!J79</f>
        <v/>
      </c>
      <c r="K65">
        <f>'2 transformar y limpiar'!K79</f>
        <v/>
      </c>
      <c r="L65">
        <f>'2 transformar y limpiar'!L79</f>
        <v/>
      </c>
      <c r="M65">
        <f>'2 transformar y limpiar'!M79</f>
        <v/>
      </c>
      <c r="N65">
        <f>'2 transformar y limpiar'!N79</f>
        <v/>
      </c>
      <c r="O65">
        <f>'2 transformar y limpiar'!O79</f>
        <v/>
      </c>
      <c r="P65">
        <f>'2 transformar y limpiar'!P79</f>
        <v/>
      </c>
      <c r="Q65">
        <f>'2 transformar y limpiar'!Q79</f>
        <v/>
      </c>
      <c r="R65">
        <f>'2 transformar y limpiar'!R79</f>
        <v/>
      </c>
      <c r="S65">
        <f>'2 transformar y limpiar'!S79</f>
        <v/>
      </c>
      <c r="T65">
        <f>'2 transformar y limpiar'!T79</f>
        <v/>
      </c>
      <c r="U65" s="5">
        <f>'2 transformar y limpiar'!U79</f>
        <v/>
      </c>
    </row>
    <row r="66">
      <c r="A66">
        <f>'2 transformar y limpiar'!A80</f>
        <v/>
      </c>
      <c r="B66">
        <f>'2 transformar y limpiar'!B80</f>
        <v/>
      </c>
      <c r="C66" s="6">
        <f>('2 transformar y limpiar'!C80-$B$6)/$C$6</f>
        <v/>
      </c>
      <c r="D66" s="6">
        <f>('2 transformar y limpiar'!D80-$B$7)/$C$7</f>
        <v/>
      </c>
      <c r="E66" s="6">
        <f>('2 transformar y limpiar'!E80-$B$8)/$C$8</f>
        <v/>
      </c>
      <c r="F66" s="6">
        <f>('2 transformar y limpiar'!F80-$B$9)/$C$9</f>
        <v/>
      </c>
      <c r="G66">
        <f>'2 transformar y limpiar'!G80</f>
        <v/>
      </c>
      <c r="H66">
        <f>'2 transformar y limpiar'!H80</f>
        <v/>
      </c>
      <c r="I66">
        <f>'2 transformar y limpiar'!I80</f>
        <v/>
      </c>
      <c r="J66">
        <f>'2 transformar y limpiar'!J80</f>
        <v/>
      </c>
      <c r="K66">
        <f>'2 transformar y limpiar'!K80</f>
        <v/>
      </c>
      <c r="L66">
        <f>'2 transformar y limpiar'!L80</f>
        <v/>
      </c>
      <c r="M66">
        <f>'2 transformar y limpiar'!M80</f>
        <v/>
      </c>
      <c r="N66">
        <f>'2 transformar y limpiar'!N80</f>
        <v/>
      </c>
      <c r="O66">
        <f>'2 transformar y limpiar'!O80</f>
        <v/>
      </c>
      <c r="P66">
        <f>'2 transformar y limpiar'!P80</f>
        <v/>
      </c>
      <c r="Q66">
        <f>'2 transformar y limpiar'!Q80</f>
        <v/>
      </c>
      <c r="R66">
        <f>'2 transformar y limpiar'!R80</f>
        <v/>
      </c>
      <c r="S66">
        <f>'2 transformar y limpiar'!S80</f>
        <v/>
      </c>
      <c r="T66">
        <f>'2 transformar y limpiar'!T80</f>
        <v/>
      </c>
      <c r="U66" s="5">
        <f>'2 transformar y limpiar'!U80</f>
        <v/>
      </c>
    </row>
    <row r="67">
      <c r="A67">
        <f>'2 transformar y limpiar'!A81</f>
        <v/>
      </c>
      <c r="B67">
        <f>'2 transformar y limpiar'!B81</f>
        <v/>
      </c>
      <c r="C67" s="6">
        <f>('2 transformar y limpiar'!C81-$B$6)/$C$6</f>
        <v/>
      </c>
      <c r="D67" s="6">
        <f>('2 transformar y limpiar'!D81-$B$7)/$C$7</f>
        <v/>
      </c>
      <c r="E67" s="6">
        <f>('2 transformar y limpiar'!E81-$B$8)/$C$8</f>
        <v/>
      </c>
      <c r="F67" s="6">
        <f>('2 transformar y limpiar'!F81-$B$9)/$C$9</f>
        <v/>
      </c>
      <c r="G67">
        <f>'2 transformar y limpiar'!G81</f>
        <v/>
      </c>
      <c r="H67">
        <f>'2 transformar y limpiar'!H81</f>
        <v/>
      </c>
      <c r="I67">
        <f>'2 transformar y limpiar'!I81</f>
        <v/>
      </c>
      <c r="J67">
        <f>'2 transformar y limpiar'!J81</f>
        <v/>
      </c>
      <c r="K67">
        <f>'2 transformar y limpiar'!K81</f>
        <v/>
      </c>
      <c r="L67">
        <f>'2 transformar y limpiar'!L81</f>
        <v/>
      </c>
      <c r="M67">
        <f>'2 transformar y limpiar'!M81</f>
        <v/>
      </c>
      <c r="N67">
        <f>'2 transformar y limpiar'!N81</f>
        <v/>
      </c>
      <c r="O67">
        <f>'2 transformar y limpiar'!O81</f>
        <v/>
      </c>
      <c r="P67">
        <f>'2 transformar y limpiar'!P81</f>
        <v/>
      </c>
      <c r="Q67">
        <f>'2 transformar y limpiar'!Q81</f>
        <v/>
      </c>
      <c r="R67">
        <f>'2 transformar y limpiar'!R81</f>
        <v/>
      </c>
      <c r="S67">
        <f>'2 transformar y limpiar'!S81</f>
        <v/>
      </c>
      <c r="T67">
        <f>'2 transformar y limpiar'!T81</f>
        <v/>
      </c>
      <c r="U67" s="5">
        <f>'2 transformar y limpiar'!U81</f>
        <v/>
      </c>
    </row>
    <row r="68">
      <c r="A68">
        <f>'2 transformar y limpiar'!A82</f>
        <v/>
      </c>
      <c r="B68">
        <f>'2 transformar y limpiar'!B82</f>
        <v/>
      </c>
      <c r="C68" s="6">
        <f>('2 transformar y limpiar'!C82-$B$6)/$C$6</f>
        <v/>
      </c>
      <c r="D68" s="6">
        <f>('2 transformar y limpiar'!D82-$B$7)/$C$7</f>
        <v/>
      </c>
      <c r="E68" s="6">
        <f>('2 transformar y limpiar'!E82-$B$8)/$C$8</f>
        <v/>
      </c>
      <c r="F68" s="6">
        <f>('2 transformar y limpiar'!F82-$B$9)/$C$9</f>
        <v/>
      </c>
      <c r="G68">
        <f>'2 transformar y limpiar'!G82</f>
        <v/>
      </c>
      <c r="H68">
        <f>'2 transformar y limpiar'!H82</f>
        <v/>
      </c>
      <c r="I68">
        <f>'2 transformar y limpiar'!I82</f>
        <v/>
      </c>
      <c r="J68">
        <f>'2 transformar y limpiar'!J82</f>
        <v/>
      </c>
      <c r="K68">
        <f>'2 transformar y limpiar'!K82</f>
        <v/>
      </c>
      <c r="L68">
        <f>'2 transformar y limpiar'!L82</f>
        <v/>
      </c>
      <c r="M68">
        <f>'2 transformar y limpiar'!M82</f>
        <v/>
      </c>
      <c r="N68">
        <f>'2 transformar y limpiar'!N82</f>
        <v/>
      </c>
      <c r="O68">
        <f>'2 transformar y limpiar'!O82</f>
        <v/>
      </c>
      <c r="P68">
        <f>'2 transformar y limpiar'!P82</f>
        <v/>
      </c>
      <c r="Q68">
        <f>'2 transformar y limpiar'!Q82</f>
        <v/>
      </c>
      <c r="R68">
        <f>'2 transformar y limpiar'!R82</f>
        <v/>
      </c>
      <c r="S68">
        <f>'2 transformar y limpiar'!S82</f>
        <v/>
      </c>
      <c r="T68">
        <f>'2 transformar y limpiar'!T82</f>
        <v/>
      </c>
      <c r="U68" s="5">
        <f>'2 transformar y limpiar'!U82</f>
        <v/>
      </c>
    </row>
    <row r="69">
      <c r="A69">
        <f>'2 transformar y limpiar'!A83</f>
        <v/>
      </c>
      <c r="B69">
        <f>'2 transformar y limpiar'!B83</f>
        <v/>
      </c>
      <c r="C69" s="6">
        <f>('2 transformar y limpiar'!C83-$B$6)/$C$6</f>
        <v/>
      </c>
      <c r="D69" s="6">
        <f>('2 transformar y limpiar'!D83-$B$7)/$C$7</f>
        <v/>
      </c>
      <c r="E69" s="6">
        <f>('2 transformar y limpiar'!E83-$B$8)/$C$8</f>
        <v/>
      </c>
      <c r="F69" s="6">
        <f>('2 transformar y limpiar'!F83-$B$9)/$C$9</f>
        <v/>
      </c>
      <c r="G69">
        <f>'2 transformar y limpiar'!G83</f>
        <v/>
      </c>
      <c r="H69">
        <f>'2 transformar y limpiar'!H83</f>
        <v/>
      </c>
      <c r="I69">
        <f>'2 transformar y limpiar'!I83</f>
        <v/>
      </c>
      <c r="J69">
        <f>'2 transformar y limpiar'!J83</f>
        <v/>
      </c>
      <c r="K69">
        <f>'2 transformar y limpiar'!K83</f>
        <v/>
      </c>
      <c r="L69">
        <f>'2 transformar y limpiar'!L83</f>
        <v/>
      </c>
      <c r="M69">
        <f>'2 transformar y limpiar'!M83</f>
        <v/>
      </c>
      <c r="N69">
        <f>'2 transformar y limpiar'!N83</f>
        <v/>
      </c>
      <c r="O69">
        <f>'2 transformar y limpiar'!O83</f>
        <v/>
      </c>
      <c r="P69">
        <f>'2 transformar y limpiar'!P83</f>
        <v/>
      </c>
      <c r="Q69">
        <f>'2 transformar y limpiar'!Q83</f>
        <v/>
      </c>
      <c r="R69">
        <f>'2 transformar y limpiar'!R83</f>
        <v/>
      </c>
      <c r="S69">
        <f>'2 transformar y limpiar'!S83</f>
        <v/>
      </c>
      <c r="T69">
        <f>'2 transformar y limpiar'!T83</f>
        <v/>
      </c>
      <c r="U69" s="5">
        <f>'2 transformar y limpiar'!U83</f>
        <v/>
      </c>
    </row>
    <row r="70">
      <c r="A70">
        <f>'2 transformar y limpiar'!A84</f>
        <v/>
      </c>
      <c r="B70">
        <f>'2 transformar y limpiar'!B84</f>
        <v/>
      </c>
      <c r="C70" s="6">
        <f>('2 transformar y limpiar'!C84-$B$6)/$C$6</f>
        <v/>
      </c>
      <c r="D70" s="6">
        <f>('2 transformar y limpiar'!D84-$B$7)/$C$7</f>
        <v/>
      </c>
      <c r="E70" s="6">
        <f>('2 transformar y limpiar'!E84-$B$8)/$C$8</f>
        <v/>
      </c>
      <c r="F70" s="6">
        <f>('2 transformar y limpiar'!F84-$B$9)/$C$9</f>
        <v/>
      </c>
      <c r="G70">
        <f>'2 transformar y limpiar'!G84</f>
        <v/>
      </c>
      <c r="H70">
        <f>'2 transformar y limpiar'!H84</f>
        <v/>
      </c>
      <c r="I70">
        <f>'2 transformar y limpiar'!I84</f>
        <v/>
      </c>
      <c r="J70">
        <f>'2 transformar y limpiar'!J84</f>
        <v/>
      </c>
      <c r="K70">
        <f>'2 transformar y limpiar'!K84</f>
        <v/>
      </c>
      <c r="L70">
        <f>'2 transformar y limpiar'!L84</f>
        <v/>
      </c>
      <c r="M70">
        <f>'2 transformar y limpiar'!M84</f>
        <v/>
      </c>
      <c r="N70">
        <f>'2 transformar y limpiar'!N84</f>
        <v/>
      </c>
      <c r="O70">
        <f>'2 transformar y limpiar'!O84</f>
        <v/>
      </c>
      <c r="P70">
        <f>'2 transformar y limpiar'!P84</f>
        <v/>
      </c>
      <c r="Q70">
        <f>'2 transformar y limpiar'!Q84</f>
        <v/>
      </c>
      <c r="R70">
        <f>'2 transformar y limpiar'!R84</f>
        <v/>
      </c>
      <c r="S70">
        <f>'2 transformar y limpiar'!S84</f>
        <v/>
      </c>
      <c r="T70">
        <f>'2 transformar y limpiar'!T84</f>
        <v/>
      </c>
      <c r="U70" s="5">
        <f>'2 transformar y limpiar'!U84</f>
        <v/>
      </c>
    </row>
    <row r="71">
      <c r="A71">
        <f>'2 transformar y limpiar'!A85</f>
        <v/>
      </c>
      <c r="B71">
        <f>'2 transformar y limpiar'!B85</f>
        <v/>
      </c>
      <c r="C71" s="6">
        <f>('2 transformar y limpiar'!C85-$B$6)/$C$6</f>
        <v/>
      </c>
      <c r="D71" s="6">
        <f>('2 transformar y limpiar'!D85-$B$7)/$C$7</f>
        <v/>
      </c>
      <c r="E71" s="6">
        <f>('2 transformar y limpiar'!E85-$B$8)/$C$8</f>
        <v/>
      </c>
      <c r="F71" s="6">
        <f>('2 transformar y limpiar'!F85-$B$9)/$C$9</f>
        <v/>
      </c>
      <c r="G71">
        <f>'2 transformar y limpiar'!G85</f>
        <v/>
      </c>
      <c r="H71">
        <f>'2 transformar y limpiar'!H85</f>
        <v/>
      </c>
      <c r="I71">
        <f>'2 transformar y limpiar'!I85</f>
        <v/>
      </c>
      <c r="J71">
        <f>'2 transformar y limpiar'!J85</f>
        <v/>
      </c>
      <c r="K71">
        <f>'2 transformar y limpiar'!K85</f>
        <v/>
      </c>
      <c r="L71">
        <f>'2 transformar y limpiar'!L85</f>
        <v/>
      </c>
      <c r="M71">
        <f>'2 transformar y limpiar'!M85</f>
        <v/>
      </c>
      <c r="N71">
        <f>'2 transformar y limpiar'!N85</f>
        <v/>
      </c>
      <c r="O71">
        <f>'2 transformar y limpiar'!O85</f>
        <v/>
      </c>
      <c r="P71">
        <f>'2 transformar y limpiar'!P85</f>
        <v/>
      </c>
      <c r="Q71">
        <f>'2 transformar y limpiar'!Q85</f>
        <v/>
      </c>
      <c r="R71">
        <f>'2 transformar y limpiar'!R85</f>
        <v/>
      </c>
      <c r="S71">
        <f>'2 transformar y limpiar'!S85</f>
        <v/>
      </c>
      <c r="T71">
        <f>'2 transformar y limpiar'!T85</f>
        <v/>
      </c>
      <c r="U71" s="5">
        <f>'2 transformar y limpiar'!U85</f>
        <v/>
      </c>
    </row>
    <row r="72">
      <c r="A72">
        <f>'2 transformar y limpiar'!A86</f>
        <v/>
      </c>
      <c r="B72">
        <f>'2 transformar y limpiar'!B86</f>
        <v/>
      </c>
      <c r="C72" s="6">
        <f>('2 transformar y limpiar'!C86-$B$6)/$C$6</f>
        <v/>
      </c>
      <c r="D72" s="6">
        <f>('2 transformar y limpiar'!D86-$B$7)/$C$7</f>
        <v/>
      </c>
      <c r="E72" s="6">
        <f>('2 transformar y limpiar'!E86-$B$8)/$C$8</f>
        <v/>
      </c>
      <c r="F72" s="6">
        <f>('2 transformar y limpiar'!F86-$B$9)/$C$9</f>
        <v/>
      </c>
      <c r="G72">
        <f>'2 transformar y limpiar'!G86</f>
        <v/>
      </c>
      <c r="H72">
        <f>'2 transformar y limpiar'!H86</f>
        <v/>
      </c>
      <c r="I72">
        <f>'2 transformar y limpiar'!I86</f>
        <v/>
      </c>
      <c r="J72">
        <f>'2 transformar y limpiar'!J86</f>
        <v/>
      </c>
      <c r="K72">
        <f>'2 transformar y limpiar'!K86</f>
        <v/>
      </c>
      <c r="L72">
        <f>'2 transformar y limpiar'!L86</f>
        <v/>
      </c>
      <c r="M72">
        <f>'2 transformar y limpiar'!M86</f>
        <v/>
      </c>
      <c r="N72">
        <f>'2 transformar y limpiar'!N86</f>
        <v/>
      </c>
      <c r="O72">
        <f>'2 transformar y limpiar'!O86</f>
        <v/>
      </c>
      <c r="P72">
        <f>'2 transformar y limpiar'!P86</f>
        <v/>
      </c>
      <c r="Q72">
        <f>'2 transformar y limpiar'!Q86</f>
        <v/>
      </c>
      <c r="R72">
        <f>'2 transformar y limpiar'!R86</f>
        <v/>
      </c>
      <c r="S72">
        <f>'2 transformar y limpiar'!S86</f>
        <v/>
      </c>
      <c r="T72">
        <f>'2 transformar y limpiar'!T86</f>
        <v/>
      </c>
      <c r="U72" s="5">
        <f>'2 transformar y limpiar'!U86</f>
        <v/>
      </c>
    </row>
    <row r="73">
      <c r="A73">
        <f>'2 transformar y limpiar'!A87</f>
        <v/>
      </c>
      <c r="B73">
        <f>'2 transformar y limpiar'!B87</f>
        <v/>
      </c>
      <c r="C73" s="6">
        <f>('2 transformar y limpiar'!C87-$B$6)/$C$6</f>
        <v/>
      </c>
      <c r="D73" s="6">
        <f>('2 transformar y limpiar'!D87-$B$7)/$C$7</f>
        <v/>
      </c>
      <c r="E73" s="6">
        <f>('2 transformar y limpiar'!E87-$B$8)/$C$8</f>
        <v/>
      </c>
      <c r="F73" s="6">
        <f>('2 transformar y limpiar'!F87-$B$9)/$C$9</f>
        <v/>
      </c>
      <c r="G73">
        <f>'2 transformar y limpiar'!G87</f>
        <v/>
      </c>
      <c r="H73">
        <f>'2 transformar y limpiar'!H87</f>
        <v/>
      </c>
      <c r="I73">
        <f>'2 transformar y limpiar'!I87</f>
        <v/>
      </c>
      <c r="J73">
        <f>'2 transformar y limpiar'!J87</f>
        <v/>
      </c>
      <c r="K73">
        <f>'2 transformar y limpiar'!K87</f>
        <v/>
      </c>
      <c r="L73">
        <f>'2 transformar y limpiar'!L87</f>
        <v/>
      </c>
      <c r="M73">
        <f>'2 transformar y limpiar'!M87</f>
        <v/>
      </c>
      <c r="N73">
        <f>'2 transformar y limpiar'!N87</f>
        <v/>
      </c>
      <c r="O73">
        <f>'2 transformar y limpiar'!O87</f>
        <v/>
      </c>
      <c r="P73">
        <f>'2 transformar y limpiar'!P87</f>
        <v/>
      </c>
      <c r="Q73">
        <f>'2 transformar y limpiar'!Q87</f>
        <v/>
      </c>
      <c r="R73">
        <f>'2 transformar y limpiar'!R87</f>
        <v/>
      </c>
      <c r="S73">
        <f>'2 transformar y limpiar'!S87</f>
        <v/>
      </c>
      <c r="T73">
        <f>'2 transformar y limpiar'!T87</f>
        <v/>
      </c>
      <c r="U73" s="5">
        <f>'2 transformar y limpiar'!U87</f>
        <v/>
      </c>
    </row>
    <row r="74">
      <c r="A74">
        <f>'2 transformar y limpiar'!A88</f>
        <v/>
      </c>
      <c r="B74">
        <f>'2 transformar y limpiar'!B88</f>
        <v/>
      </c>
      <c r="C74" s="6">
        <f>('2 transformar y limpiar'!C88-$B$6)/$C$6</f>
        <v/>
      </c>
      <c r="D74" s="6">
        <f>('2 transformar y limpiar'!D88-$B$7)/$C$7</f>
        <v/>
      </c>
      <c r="E74" s="6">
        <f>('2 transformar y limpiar'!E88-$B$8)/$C$8</f>
        <v/>
      </c>
      <c r="F74" s="6">
        <f>('2 transformar y limpiar'!F88-$B$9)/$C$9</f>
        <v/>
      </c>
      <c r="G74">
        <f>'2 transformar y limpiar'!G88</f>
        <v/>
      </c>
      <c r="H74">
        <f>'2 transformar y limpiar'!H88</f>
        <v/>
      </c>
      <c r="I74">
        <f>'2 transformar y limpiar'!I88</f>
        <v/>
      </c>
      <c r="J74">
        <f>'2 transformar y limpiar'!J88</f>
        <v/>
      </c>
      <c r="K74">
        <f>'2 transformar y limpiar'!K88</f>
        <v/>
      </c>
      <c r="L74">
        <f>'2 transformar y limpiar'!L88</f>
        <v/>
      </c>
      <c r="M74">
        <f>'2 transformar y limpiar'!M88</f>
        <v/>
      </c>
      <c r="N74">
        <f>'2 transformar y limpiar'!N88</f>
        <v/>
      </c>
      <c r="O74">
        <f>'2 transformar y limpiar'!O88</f>
        <v/>
      </c>
      <c r="P74">
        <f>'2 transformar y limpiar'!P88</f>
        <v/>
      </c>
      <c r="Q74">
        <f>'2 transformar y limpiar'!Q88</f>
        <v/>
      </c>
      <c r="R74">
        <f>'2 transformar y limpiar'!R88</f>
        <v/>
      </c>
      <c r="S74">
        <f>'2 transformar y limpiar'!S88</f>
        <v/>
      </c>
      <c r="T74">
        <f>'2 transformar y limpiar'!T88</f>
        <v/>
      </c>
      <c r="U74" s="5">
        <f>'2 transformar y limpiar'!U88</f>
        <v/>
      </c>
    </row>
    <row r="75">
      <c r="A75">
        <f>'2 transformar y limpiar'!A89</f>
        <v/>
      </c>
      <c r="B75">
        <f>'2 transformar y limpiar'!B89</f>
        <v/>
      </c>
      <c r="C75" s="6">
        <f>('2 transformar y limpiar'!C89-$B$6)/$C$6</f>
        <v/>
      </c>
      <c r="D75" s="6">
        <f>('2 transformar y limpiar'!D89-$B$7)/$C$7</f>
        <v/>
      </c>
      <c r="E75" s="6">
        <f>('2 transformar y limpiar'!E89-$B$8)/$C$8</f>
        <v/>
      </c>
      <c r="F75" s="6">
        <f>('2 transformar y limpiar'!F89-$B$9)/$C$9</f>
        <v/>
      </c>
      <c r="G75">
        <f>'2 transformar y limpiar'!G89</f>
        <v/>
      </c>
      <c r="H75">
        <f>'2 transformar y limpiar'!H89</f>
        <v/>
      </c>
      <c r="I75">
        <f>'2 transformar y limpiar'!I89</f>
        <v/>
      </c>
      <c r="J75">
        <f>'2 transformar y limpiar'!J89</f>
        <v/>
      </c>
      <c r="K75">
        <f>'2 transformar y limpiar'!K89</f>
        <v/>
      </c>
      <c r="L75">
        <f>'2 transformar y limpiar'!L89</f>
        <v/>
      </c>
      <c r="M75">
        <f>'2 transformar y limpiar'!M89</f>
        <v/>
      </c>
      <c r="N75">
        <f>'2 transformar y limpiar'!N89</f>
        <v/>
      </c>
      <c r="O75">
        <f>'2 transformar y limpiar'!O89</f>
        <v/>
      </c>
      <c r="P75">
        <f>'2 transformar y limpiar'!P89</f>
        <v/>
      </c>
      <c r="Q75">
        <f>'2 transformar y limpiar'!Q89</f>
        <v/>
      </c>
      <c r="R75">
        <f>'2 transformar y limpiar'!R89</f>
        <v/>
      </c>
      <c r="S75">
        <f>'2 transformar y limpiar'!S89</f>
        <v/>
      </c>
      <c r="T75">
        <f>'2 transformar y limpiar'!T89</f>
        <v/>
      </c>
      <c r="U75" s="5">
        <f>'2 transformar y limpiar'!U89</f>
        <v/>
      </c>
    </row>
    <row r="76">
      <c r="A76">
        <f>'2 transformar y limpiar'!A90</f>
        <v/>
      </c>
      <c r="B76">
        <f>'2 transformar y limpiar'!B90</f>
        <v/>
      </c>
      <c r="C76" s="6">
        <f>('2 transformar y limpiar'!C90-$B$6)/$C$6</f>
        <v/>
      </c>
      <c r="D76" s="6">
        <f>('2 transformar y limpiar'!D90-$B$7)/$C$7</f>
        <v/>
      </c>
      <c r="E76" s="6">
        <f>('2 transformar y limpiar'!E90-$B$8)/$C$8</f>
        <v/>
      </c>
      <c r="F76" s="6">
        <f>('2 transformar y limpiar'!F90-$B$9)/$C$9</f>
        <v/>
      </c>
      <c r="G76">
        <f>'2 transformar y limpiar'!G90</f>
        <v/>
      </c>
      <c r="H76">
        <f>'2 transformar y limpiar'!H90</f>
        <v/>
      </c>
      <c r="I76">
        <f>'2 transformar y limpiar'!I90</f>
        <v/>
      </c>
      <c r="J76">
        <f>'2 transformar y limpiar'!J90</f>
        <v/>
      </c>
      <c r="K76">
        <f>'2 transformar y limpiar'!K90</f>
        <v/>
      </c>
      <c r="L76">
        <f>'2 transformar y limpiar'!L90</f>
        <v/>
      </c>
      <c r="M76">
        <f>'2 transformar y limpiar'!M90</f>
        <v/>
      </c>
      <c r="N76">
        <f>'2 transformar y limpiar'!N90</f>
        <v/>
      </c>
      <c r="O76">
        <f>'2 transformar y limpiar'!O90</f>
        <v/>
      </c>
      <c r="P76">
        <f>'2 transformar y limpiar'!P90</f>
        <v/>
      </c>
      <c r="Q76">
        <f>'2 transformar y limpiar'!Q90</f>
        <v/>
      </c>
      <c r="R76">
        <f>'2 transformar y limpiar'!R90</f>
        <v/>
      </c>
      <c r="S76">
        <f>'2 transformar y limpiar'!S90</f>
        <v/>
      </c>
      <c r="T76">
        <f>'2 transformar y limpiar'!T90</f>
        <v/>
      </c>
      <c r="U76" s="5">
        <f>'2 transformar y limpiar'!U90</f>
        <v/>
      </c>
    </row>
    <row r="77">
      <c r="A77">
        <f>'2 transformar y limpiar'!A91</f>
        <v/>
      </c>
      <c r="B77">
        <f>'2 transformar y limpiar'!B91</f>
        <v/>
      </c>
      <c r="C77" s="6">
        <f>('2 transformar y limpiar'!C91-$B$6)/$C$6</f>
        <v/>
      </c>
      <c r="D77" s="6">
        <f>('2 transformar y limpiar'!D91-$B$7)/$C$7</f>
        <v/>
      </c>
      <c r="E77" s="6">
        <f>('2 transformar y limpiar'!E91-$B$8)/$C$8</f>
        <v/>
      </c>
      <c r="F77" s="6">
        <f>('2 transformar y limpiar'!F91-$B$9)/$C$9</f>
        <v/>
      </c>
      <c r="G77">
        <f>'2 transformar y limpiar'!G91</f>
        <v/>
      </c>
      <c r="H77">
        <f>'2 transformar y limpiar'!H91</f>
        <v/>
      </c>
      <c r="I77">
        <f>'2 transformar y limpiar'!I91</f>
        <v/>
      </c>
      <c r="J77">
        <f>'2 transformar y limpiar'!J91</f>
        <v/>
      </c>
      <c r="K77">
        <f>'2 transformar y limpiar'!K91</f>
        <v/>
      </c>
      <c r="L77">
        <f>'2 transformar y limpiar'!L91</f>
        <v/>
      </c>
      <c r="M77">
        <f>'2 transformar y limpiar'!M91</f>
        <v/>
      </c>
      <c r="N77">
        <f>'2 transformar y limpiar'!N91</f>
        <v/>
      </c>
      <c r="O77">
        <f>'2 transformar y limpiar'!O91</f>
        <v/>
      </c>
      <c r="P77">
        <f>'2 transformar y limpiar'!P91</f>
        <v/>
      </c>
      <c r="Q77">
        <f>'2 transformar y limpiar'!Q91</f>
        <v/>
      </c>
      <c r="R77">
        <f>'2 transformar y limpiar'!R91</f>
        <v/>
      </c>
      <c r="S77">
        <f>'2 transformar y limpiar'!S91</f>
        <v/>
      </c>
      <c r="T77">
        <f>'2 transformar y limpiar'!T91</f>
        <v/>
      </c>
      <c r="U77" s="5">
        <f>'2 transformar y limpiar'!U91</f>
        <v/>
      </c>
    </row>
    <row r="78">
      <c r="A78">
        <f>'2 transformar y limpiar'!A92</f>
        <v/>
      </c>
      <c r="B78">
        <f>'2 transformar y limpiar'!B92</f>
        <v/>
      </c>
      <c r="C78" s="6">
        <f>('2 transformar y limpiar'!C92-$B$6)/$C$6</f>
        <v/>
      </c>
      <c r="D78" s="6">
        <f>('2 transformar y limpiar'!D92-$B$7)/$C$7</f>
        <v/>
      </c>
      <c r="E78" s="6">
        <f>('2 transformar y limpiar'!E92-$B$8)/$C$8</f>
        <v/>
      </c>
      <c r="F78" s="6">
        <f>('2 transformar y limpiar'!F92-$B$9)/$C$9</f>
        <v/>
      </c>
      <c r="G78">
        <f>'2 transformar y limpiar'!G92</f>
        <v/>
      </c>
      <c r="H78">
        <f>'2 transformar y limpiar'!H92</f>
        <v/>
      </c>
      <c r="I78">
        <f>'2 transformar y limpiar'!I92</f>
        <v/>
      </c>
      <c r="J78">
        <f>'2 transformar y limpiar'!J92</f>
        <v/>
      </c>
      <c r="K78">
        <f>'2 transformar y limpiar'!K92</f>
        <v/>
      </c>
      <c r="L78">
        <f>'2 transformar y limpiar'!L92</f>
        <v/>
      </c>
      <c r="M78">
        <f>'2 transformar y limpiar'!M92</f>
        <v/>
      </c>
      <c r="N78">
        <f>'2 transformar y limpiar'!N92</f>
        <v/>
      </c>
      <c r="O78">
        <f>'2 transformar y limpiar'!O92</f>
        <v/>
      </c>
      <c r="P78">
        <f>'2 transformar y limpiar'!P92</f>
        <v/>
      </c>
      <c r="Q78">
        <f>'2 transformar y limpiar'!Q92</f>
        <v/>
      </c>
      <c r="R78">
        <f>'2 transformar y limpiar'!R92</f>
        <v/>
      </c>
      <c r="S78">
        <f>'2 transformar y limpiar'!S92</f>
        <v/>
      </c>
      <c r="T78">
        <f>'2 transformar y limpiar'!T92</f>
        <v/>
      </c>
      <c r="U78" s="5">
        <f>'2 transformar y limpiar'!U92</f>
        <v/>
      </c>
    </row>
    <row r="79">
      <c r="A79">
        <f>'2 transformar y limpiar'!A93</f>
        <v/>
      </c>
      <c r="B79">
        <f>'2 transformar y limpiar'!B93</f>
        <v/>
      </c>
      <c r="C79" s="6">
        <f>('2 transformar y limpiar'!C93-$B$6)/$C$6</f>
        <v/>
      </c>
      <c r="D79" s="6">
        <f>('2 transformar y limpiar'!D93-$B$7)/$C$7</f>
        <v/>
      </c>
      <c r="E79" s="6">
        <f>('2 transformar y limpiar'!E93-$B$8)/$C$8</f>
        <v/>
      </c>
      <c r="F79" s="6">
        <f>('2 transformar y limpiar'!F93-$B$9)/$C$9</f>
        <v/>
      </c>
      <c r="G79">
        <f>'2 transformar y limpiar'!G93</f>
        <v/>
      </c>
      <c r="H79">
        <f>'2 transformar y limpiar'!H93</f>
        <v/>
      </c>
      <c r="I79">
        <f>'2 transformar y limpiar'!I93</f>
        <v/>
      </c>
      <c r="J79">
        <f>'2 transformar y limpiar'!J93</f>
        <v/>
      </c>
      <c r="K79">
        <f>'2 transformar y limpiar'!K93</f>
        <v/>
      </c>
      <c r="L79">
        <f>'2 transformar y limpiar'!L93</f>
        <v/>
      </c>
      <c r="M79">
        <f>'2 transformar y limpiar'!M93</f>
        <v/>
      </c>
      <c r="N79">
        <f>'2 transformar y limpiar'!N93</f>
        <v/>
      </c>
      <c r="O79">
        <f>'2 transformar y limpiar'!O93</f>
        <v/>
      </c>
      <c r="P79">
        <f>'2 transformar y limpiar'!P93</f>
        <v/>
      </c>
      <c r="Q79">
        <f>'2 transformar y limpiar'!Q93</f>
        <v/>
      </c>
      <c r="R79">
        <f>'2 transformar y limpiar'!R93</f>
        <v/>
      </c>
      <c r="S79">
        <f>'2 transformar y limpiar'!S93</f>
        <v/>
      </c>
      <c r="T79">
        <f>'2 transformar y limpiar'!T93</f>
        <v/>
      </c>
      <c r="U79" s="5">
        <f>'2 transformar y limpiar'!U93</f>
        <v/>
      </c>
    </row>
    <row r="80">
      <c r="A80">
        <f>'2 transformar y limpiar'!A94</f>
        <v/>
      </c>
      <c r="B80">
        <f>'2 transformar y limpiar'!B94</f>
        <v/>
      </c>
      <c r="C80" s="6">
        <f>('2 transformar y limpiar'!C94-$B$6)/$C$6</f>
        <v/>
      </c>
      <c r="D80" s="6">
        <f>('2 transformar y limpiar'!D94-$B$7)/$C$7</f>
        <v/>
      </c>
      <c r="E80" s="6">
        <f>('2 transformar y limpiar'!E94-$B$8)/$C$8</f>
        <v/>
      </c>
      <c r="F80" s="6">
        <f>('2 transformar y limpiar'!F94-$B$9)/$C$9</f>
        <v/>
      </c>
      <c r="G80">
        <f>'2 transformar y limpiar'!G94</f>
        <v/>
      </c>
      <c r="H80">
        <f>'2 transformar y limpiar'!H94</f>
        <v/>
      </c>
      <c r="I80">
        <f>'2 transformar y limpiar'!I94</f>
        <v/>
      </c>
      <c r="J80">
        <f>'2 transformar y limpiar'!J94</f>
        <v/>
      </c>
      <c r="K80">
        <f>'2 transformar y limpiar'!K94</f>
        <v/>
      </c>
      <c r="L80">
        <f>'2 transformar y limpiar'!L94</f>
        <v/>
      </c>
      <c r="M80">
        <f>'2 transformar y limpiar'!M94</f>
        <v/>
      </c>
      <c r="N80">
        <f>'2 transformar y limpiar'!N94</f>
        <v/>
      </c>
      <c r="O80">
        <f>'2 transformar y limpiar'!O94</f>
        <v/>
      </c>
      <c r="P80">
        <f>'2 transformar y limpiar'!P94</f>
        <v/>
      </c>
      <c r="Q80">
        <f>'2 transformar y limpiar'!Q94</f>
        <v/>
      </c>
      <c r="R80">
        <f>'2 transformar y limpiar'!R94</f>
        <v/>
      </c>
      <c r="S80">
        <f>'2 transformar y limpiar'!S94</f>
        <v/>
      </c>
      <c r="T80">
        <f>'2 transformar y limpiar'!T94</f>
        <v/>
      </c>
      <c r="U80" s="5">
        <f>'2 transformar y limpiar'!U94</f>
        <v/>
      </c>
    </row>
    <row r="81">
      <c r="A81">
        <f>'2 transformar y limpiar'!A95</f>
        <v/>
      </c>
      <c r="B81">
        <f>'2 transformar y limpiar'!B95</f>
        <v/>
      </c>
      <c r="C81" s="6">
        <f>('2 transformar y limpiar'!C95-$B$6)/$C$6</f>
        <v/>
      </c>
      <c r="D81" s="6">
        <f>('2 transformar y limpiar'!D95-$B$7)/$C$7</f>
        <v/>
      </c>
      <c r="E81" s="6">
        <f>('2 transformar y limpiar'!E95-$B$8)/$C$8</f>
        <v/>
      </c>
      <c r="F81" s="6">
        <f>('2 transformar y limpiar'!F95-$B$9)/$C$9</f>
        <v/>
      </c>
      <c r="G81">
        <f>'2 transformar y limpiar'!G95</f>
        <v/>
      </c>
      <c r="H81">
        <f>'2 transformar y limpiar'!H95</f>
        <v/>
      </c>
      <c r="I81">
        <f>'2 transformar y limpiar'!I95</f>
        <v/>
      </c>
      <c r="J81">
        <f>'2 transformar y limpiar'!J95</f>
        <v/>
      </c>
      <c r="K81">
        <f>'2 transformar y limpiar'!K95</f>
        <v/>
      </c>
      <c r="L81">
        <f>'2 transformar y limpiar'!L95</f>
        <v/>
      </c>
      <c r="M81">
        <f>'2 transformar y limpiar'!M95</f>
        <v/>
      </c>
      <c r="N81">
        <f>'2 transformar y limpiar'!N95</f>
        <v/>
      </c>
      <c r="O81">
        <f>'2 transformar y limpiar'!O95</f>
        <v/>
      </c>
      <c r="P81">
        <f>'2 transformar y limpiar'!P95</f>
        <v/>
      </c>
      <c r="Q81">
        <f>'2 transformar y limpiar'!Q95</f>
        <v/>
      </c>
      <c r="R81">
        <f>'2 transformar y limpiar'!R95</f>
        <v/>
      </c>
      <c r="S81">
        <f>'2 transformar y limpiar'!S95</f>
        <v/>
      </c>
      <c r="T81">
        <f>'2 transformar y limpiar'!T95</f>
        <v/>
      </c>
      <c r="U81" s="5">
        <f>'2 transformar y limpiar'!U95</f>
        <v/>
      </c>
    </row>
    <row r="82">
      <c r="A82">
        <f>'2 transformar y limpiar'!A96</f>
        <v/>
      </c>
      <c r="B82">
        <f>'2 transformar y limpiar'!B96</f>
        <v/>
      </c>
      <c r="C82" s="6">
        <f>('2 transformar y limpiar'!C96-$B$6)/$C$6</f>
        <v/>
      </c>
      <c r="D82" s="6">
        <f>('2 transformar y limpiar'!D96-$B$7)/$C$7</f>
        <v/>
      </c>
      <c r="E82" s="6">
        <f>('2 transformar y limpiar'!E96-$B$8)/$C$8</f>
        <v/>
      </c>
      <c r="F82" s="6">
        <f>('2 transformar y limpiar'!F96-$B$9)/$C$9</f>
        <v/>
      </c>
      <c r="G82">
        <f>'2 transformar y limpiar'!G96</f>
        <v/>
      </c>
      <c r="H82">
        <f>'2 transformar y limpiar'!H96</f>
        <v/>
      </c>
      <c r="I82">
        <f>'2 transformar y limpiar'!I96</f>
        <v/>
      </c>
      <c r="J82">
        <f>'2 transformar y limpiar'!J96</f>
        <v/>
      </c>
      <c r="K82">
        <f>'2 transformar y limpiar'!K96</f>
        <v/>
      </c>
      <c r="L82">
        <f>'2 transformar y limpiar'!L96</f>
        <v/>
      </c>
      <c r="M82">
        <f>'2 transformar y limpiar'!M96</f>
        <v/>
      </c>
      <c r="N82">
        <f>'2 transformar y limpiar'!N96</f>
        <v/>
      </c>
      <c r="O82">
        <f>'2 transformar y limpiar'!O96</f>
        <v/>
      </c>
      <c r="P82">
        <f>'2 transformar y limpiar'!P96</f>
        <v/>
      </c>
      <c r="Q82">
        <f>'2 transformar y limpiar'!Q96</f>
        <v/>
      </c>
      <c r="R82">
        <f>'2 transformar y limpiar'!R96</f>
        <v/>
      </c>
      <c r="S82">
        <f>'2 transformar y limpiar'!S96</f>
        <v/>
      </c>
      <c r="T82">
        <f>'2 transformar y limpiar'!T96</f>
        <v/>
      </c>
      <c r="U82" s="5">
        <f>'2 transformar y limpiar'!U96</f>
        <v/>
      </c>
    </row>
    <row r="83">
      <c r="A83">
        <f>'2 transformar y limpiar'!A97</f>
        <v/>
      </c>
      <c r="B83">
        <f>'2 transformar y limpiar'!B97</f>
        <v/>
      </c>
      <c r="C83" s="6">
        <f>('2 transformar y limpiar'!C97-$B$6)/$C$6</f>
        <v/>
      </c>
      <c r="D83" s="6">
        <f>('2 transformar y limpiar'!D97-$B$7)/$C$7</f>
        <v/>
      </c>
      <c r="E83" s="6">
        <f>('2 transformar y limpiar'!E97-$B$8)/$C$8</f>
        <v/>
      </c>
      <c r="F83" s="6">
        <f>('2 transformar y limpiar'!F97-$B$9)/$C$9</f>
        <v/>
      </c>
      <c r="G83">
        <f>'2 transformar y limpiar'!G97</f>
        <v/>
      </c>
      <c r="H83">
        <f>'2 transformar y limpiar'!H97</f>
        <v/>
      </c>
      <c r="I83">
        <f>'2 transformar y limpiar'!I97</f>
        <v/>
      </c>
      <c r="J83">
        <f>'2 transformar y limpiar'!J97</f>
        <v/>
      </c>
      <c r="K83">
        <f>'2 transformar y limpiar'!K97</f>
        <v/>
      </c>
      <c r="L83">
        <f>'2 transformar y limpiar'!L97</f>
        <v/>
      </c>
      <c r="M83">
        <f>'2 transformar y limpiar'!M97</f>
        <v/>
      </c>
      <c r="N83">
        <f>'2 transformar y limpiar'!N97</f>
        <v/>
      </c>
      <c r="O83">
        <f>'2 transformar y limpiar'!O97</f>
        <v/>
      </c>
      <c r="P83">
        <f>'2 transformar y limpiar'!P97</f>
        <v/>
      </c>
      <c r="Q83">
        <f>'2 transformar y limpiar'!Q97</f>
        <v/>
      </c>
      <c r="R83">
        <f>'2 transformar y limpiar'!R97</f>
        <v/>
      </c>
      <c r="S83">
        <f>'2 transformar y limpiar'!S97</f>
        <v/>
      </c>
      <c r="T83">
        <f>'2 transformar y limpiar'!T97</f>
        <v/>
      </c>
      <c r="U83" s="5">
        <f>'2 transformar y limpiar'!U97</f>
        <v/>
      </c>
    </row>
    <row r="84">
      <c r="A84">
        <f>'2 transformar y limpiar'!A98</f>
        <v/>
      </c>
      <c r="B84">
        <f>'2 transformar y limpiar'!B98</f>
        <v/>
      </c>
      <c r="C84" s="6">
        <f>('2 transformar y limpiar'!C98-$B$6)/$C$6</f>
        <v/>
      </c>
      <c r="D84" s="6">
        <f>('2 transformar y limpiar'!D98-$B$7)/$C$7</f>
        <v/>
      </c>
      <c r="E84" s="6">
        <f>('2 transformar y limpiar'!E98-$B$8)/$C$8</f>
        <v/>
      </c>
      <c r="F84" s="6">
        <f>('2 transformar y limpiar'!F98-$B$9)/$C$9</f>
        <v/>
      </c>
      <c r="G84">
        <f>'2 transformar y limpiar'!G98</f>
        <v/>
      </c>
      <c r="H84">
        <f>'2 transformar y limpiar'!H98</f>
        <v/>
      </c>
      <c r="I84">
        <f>'2 transformar y limpiar'!I98</f>
        <v/>
      </c>
      <c r="J84">
        <f>'2 transformar y limpiar'!J98</f>
        <v/>
      </c>
      <c r="K84">
        <f>'2 transformar y limpiar'!K98</f>
        <v/>
      </c>
      <c r="L84">
        <f>'2 transformar y limpiar'!L98</f>
        <v/>
      </c>
      <c r="M84">
        <f>'2 transformar y limpiar'!M98</f>
        <v/>
      </c>
      <c r="N84">
        <f>'2 transformar y limpiar'!N98</f>
        <v/>
      </c>
      <c r="O84">
        <f>'2 transformar y limpiar'!O98</f>
        <v/>
      </c>
      <c r="P84">
        <f>'2 transformar y limpiar'!P98</f>
        <v/>
      </c>
      <c r="Q84">
        <f>'2 transformar y limpiar'!Q98</f>
        <v/>
      </c>
      <c r="R84">
        <f>'2 transformar y limpiar'!R98</f>
        <v/>
      </c>
      <c r="S84">
        <f>'2 transformar y limpiar'!S98</f>
        <v/>
      </c>
      <c r="T84">
        <f>'2 transformar y limpiar'!T98</f>
        <v/>
      </c>
      <c r="U84" s="5">
        <f>'2 transformar y limpiar'!U98</f>
        <v/>
      </c>
    </row>
    <row r="85">
      <c r="A85">
        <f>'2 transformar y limpiar'!A99</f>
        <v/>
      </c>
      <c r="B85">
        <f>'2 transformar y limpiar'!B99</f>
        <v/>
      </c>
      <c r="C85" s="6">
        <f>('2 transformar y limpiar'!C99-$B$6)/$C$6</f>
        <v/>
      </c>
      <c r="D85" s="6">
        <f>('2 transformar y limpiar'!D99-$B$7)/$C$7</f>
        <v/>
      </c>
      <c r="E85" s="6">
        <f>('2 transformar y limpiar'!E99-$B$8)/$C$8</f>
        <v/>
      </c>
      <c r="F85" s="6">
        <f>('2 transformar y limpiar'!F99-$B$9)/$C$9</f>
        <v/>
      </c>
      <c r="G85">
        <f>'2 transformar y limpiar'!G99</f>
        <v/>
      </c>
      <c r="H85">
        <f>'2 transformar y limpiar'!H99</f>
        <v/>
      </c>
      <c r="I85">
        <f>'2 transformar y limpiar'!I99</f>
        <v/>
      </c>
      <c r="J85">
        <f>'2 transformar y limpiar'!J99</f>
        <v/>
      </c>
      <c r="K85">
        <f>'2 transformar y limpiar'!K99</f>
        <v/>
      </c>
      <c r="L85">
        <f>'2 transformar y limpiar'!L99</f>
        <v/>
      </c>
      <c r="M85">
        <f>'2 transformar y limpiar'!M99</f>
        <v/>
      </c>
      <c r="N85">
        <f>'2 transformar y limpiar'!N99</f>
        <v/>
      </c>
      <c r="O85">
        <f>'2 transformar y limpiar'!O99</f>
        <v/>
      </c>
      <c r="P85">
        <f>'2 transformar y limpiar'!P99</f>
        <v/>
      </c>
      <c r="Q85">
        <f>'2 transformar y limpiar'!Q99</f>
        <v/>
      </c>
      <c r="R85">
        <f>'2 transformar y limpiar'!R99</f>
        <v/>
      </c>
      <c r="S85">
        <f>'2 transformar y limpiar'!S99</f>
        <v/>
      </c>
      <c r="T85">
        <f>'2 transformar y limpiar'!T99</f>
        <v/>
      </c>
      <c r="U85" s="5">
        <f>'2 transformar y limpiar'!U99</f>
        <v/>
      </c>
    </row>
    <row r="86">
      <c r="A86">
        <f>'2 transformar y limpiar'!A100</f>
        <v/>
      </c>
      <c r="B86">
        <f>'2 transformar y limpiar'!B100</f>
        <v/>
      </c>
      <c r="C86" s="6">
        <f>('2 transformar y limpiar'!C100-$B$6)/$C$6</f>
        <v/>
      </c>
      <c r="D86" s="6">
        <f>('2 transformar y limpiar'!D100-$B$7)/$C$7</f>
        <v/>
      </c>
      <c r="E86" s="6">
        <f>('2 transformar y limpiar'!E100-$B$8)/$C$8</f>
        <v/>
      </c>
      <c r="F86" s="6">
        <f>('2 transformar y limpiar'!F100-$B$9)/$C$9</f>
        <v/>
      </c>
      <c r="G86">
        <f>'2 transformar y limpiar'!G100</f>
        <v/>
      </c>
      <c r="H86">
        <f>'2 transformar y limpiar'!H100</f>
        <v/>
      </c>
      <c r="I86">
        <f>'2 transformar y limpiar'!I100</f>
        <v/>
      </c>
      <c r="J86">
        <f>'2 transformar y limpiar'!J100</f>
        <v/>
      </c>
      <c r="K86">
        <f>'2 transformar y limpiar'!K100</f>
        <v/>
      </c>
      <c r="L86">
        <f>'2 transformar y limpiar'!L100</f>
        <v/>
      </c>
      <c r="M86">
        <f>'2 transformar y limpiar'!M100</f>
        <v/>
      </c>
      <c r="N86">
        <f>'2 transformar y limpiar'!N100</f>
        <v/>
      </c>
      <c r="O86">
        <f>'2 transformar y limpiar'!O100</f>
        <v/>
      </c>
      <c r="P86">
        <f>'2 transformar y limpiar'!P100</f>
        <v/>
      </c>
      <c r="Q86">
        <f>'2 transformar y limpiar'!Q100</f>
        <v/>
      </c>
      <c r="R86">
        <f>'2 transformar y limpiar'!R100</f>
        <v/>
      </c>
      <c r="S86">
        <f>'2 transformar y limpiar'!S100</f>
        <v/>
      </c>
      <c r="T86">
        <f>'2 transformar y limpiar'!T100</f>
        <v/>
      </c>
      <c r="U86" s="5">
        <f>'2 transformar y limpiar'!U100</f>
        <v/>
      </c>
    </row>
    <row r="87">
      <c r="A87">
        <f>'2 transformar y limpiar'!A101</f>
        <v/>
      </c>
      <c r="B87">
        <f>'2 transformar y limpiar'!B101</f>
        <v/>
      </c>
      <c r="C87" s="6">
        <f>('2 transformar y limpiar'!C101-$B$6)/$C$6</f>
        <v/>
      </c>
      <c r="D87" s="6">
        <f>('2 transformar y limpiar'!D101-$B$7)/$C$7</f>
        <v/>
      </c>
      <c r="E87" s="6">
        <f>('2 transformar y limpiar'!E101-$B$8)/$C$8</f>
        <v/>
      </c>
      <c r="F87" s="6">
        <f>('2 transformar y limpiar'!F101-$B$9)/$C$9</f>
        <v/>
      </c>
      <c r="G87">
        <f>'2 transformar y limpiar'!G101</f>
        <v/>
      </c>
      <c r="H87">
        <f>'2 transformar y limpiar'!H101</f>
        <v/>
      </c>
      <c r="I87">
        <f>'2 transformar y limpiar'!I101</f>
        <v/>
      </c>
      <c r="J87">
        <f>'2 transformar y limpiar'!J101</f>
        <v/>
      </c>
      <c r="K87">
        <f>'2 transformar y limpiar'!K101</f>
        <v/>
      </c>
      <c r="L87">
        <f>'2 transformar y limpiar'!L101</f>
        <v/>
      </c>
      <c r="M87">
        <f>'2 transformar y limpiar'!M101</f>
        <v/>
      </c>
      <c r="N87">
        <f>'2 transformar y limpiar'!N101</f>
        <v/>
      </c>
      <c r="O87">
        <f>'2 transformar y limpiar'!O101</f>
        <v/>
      </c>
      <c r="P87">
        <f>'2 transformar y limpiar'!P101</f>
        <v/>
      </c>
      <c r="Q87">
        <f>'2 transformar y limpiar'!Q101</f>
        <v/>
      </c>
      <c r="R87">
        <f>'2 transformar y limpiar'!R101</f>
        <v/>
      </c>
      <c r="S87">
        <f>'2 transformar y limpiar'!S101</f>
        <v/>
      </c>
      <c r="T87">
        <f>'2 transformar y limpiar'!T101</f>
        <v/>
      </c>
      <c r="U87" s="5">
        <f>'2 transformar y limpiar'!U101</f>
        <v/>
      </c>
    </row>
    <row r="88">
      <c r="A88">
        <f>'2 transformar y limpiar'!A102</f>
        <v/>
      </c>
      <c r="B88">
        <f>'2 transformar y limpiar'!B102</f>
        <v/>
      </c>
      <c r="C88" s="6">
        <f>('2 transformar y limpiar'!C102-$B$6)/$C$6</f>
        <v/>
      </c>
      <c r="D88" s="6">
        <f>('2 transformar y limpiar'!D102-$B$7)/$C$7</f>
        <v/>
      </c>
      <c r="E88" s="6">
        <f>('2 transformar y limpiar'!E102-$B$8)/$C$8</f>
        <v/>
      </c>
      <c r="F88" s="6">
        <f>('2 transformar y limpiar'!F102-$B$9)/$C$9</f>
        <v/>
      </c>
      <c r="G88">
        <f>'2 transformar y limpiar'!G102</f>
        <v/>
      </c>
      <c r="H88">
        <f>'2 transformar y limpiar'!H102</f>
        <v/>
      </c>
      <c r="I88">
        <f>'2 transformar y limpiar'!I102</f>
        <v/>
      </c>
      <c r="J88">
        <f>'2 transformar y limpiar'!J102</f>
        <v/>
      </c>
      <c r="K88">
        <f>'2 transformar y limpiar'!K102</f>
        <v/>
      </c>
      <c r="L88">
        <f>'2 transformar y limpiar'!L102</f>
        <v/>
      </c>
      <c r="M88">
        <f>'2 transformar y limpiar'!M102</f>
        <v/>
      </c>
      <c r="N88">
        <f>'2 transformar y limpiar'!N102</f>
        <v/>
      </c>
      <c r="O88">
        <f>'2 transformar y limpiar'!O102</f>
        <v/>
      </c>
      <c r="P88">
        <f>'2 transformar y limpiar'!P102</f>
        <v/>
      </c>
      <c r="Q88">
        <f>'2 transformar y limpiar'!Q102</f>
        <v/>
      </c>
      <c r="R88">
        <f>'2 transformar y limpiar'!R102</f>
        <v/>
      </c>
      <c r="S88">
        <f>'2 transformar y limpiar'!S102</f>
        <v/>
      </c>
      <c r="T88">
        <f>'2 transformar y limpiar'!T102</f>
        <v/>
      </c>
      <c r="U88" s="5">
        <f>'2 transformar y limpiar'!U102</f>
        <v/>
      </c>
    </row>
    <row r="89">
      <c r="A89">
        <f>'2 transformar y limpiar'!A103</f>
        <v/>
      </c>
      <c r="B89">
        <f>'2 transformar y limpiar'!B103</f>
        <v/>
      </c>
      <c r="C89" s="6">
        <f>('2 transformar y limpiar'!C103-$B$6)/$C$6</f>
        <v/>
      </c>
      <c r="D89" s="6">
        <f>('2 transformar y limpiar'!D103-$B$7)/$C$7</f>
        <v/>
      </c>
      <c r="E89" s="6">
        <f>('2 transformar y limpiar'!E103-$B$8)/$C$8</f>
        <v/>
      </c>
      <c r="F89" s="6">
        <f>('2 transformar y limpiar'!F103-$B$9)/$C$9</f>
        <v/>
      </c>
      <c r="G89">
        <f>'2 transformar y limpiar'!G103</f>
        <v/>
      </c>
      <c r="H89">
        <f>'2 transformar y limpiar'!H103</f>
        <v/>
      </c>
      <c r="I89">
        <f>'2 transformar y limpiar'!I103</f>
        <v/>
      </c>
      <c r="J89">
        <f>'2 transformar y limpiar'!J103</f>
        <v/>
      </c>
      <c r="K89">
        <f>'2 transformar y limpiar'!K103</f>
        <v/>
      </c>
      <c r="L89">
        <f>'2 transformar y limpiar'!L103</f>
        <v/>
      </c>
      <c r="M89">
        <f>'2 transformar y limpiar'!M103</f>
        <v/>
      </c>
      <c r="N89">
        <f>'2 transformar y limpiar'!N103</f>
        <v/>
      </c>
      <c r="O89">
        <f>'2 transformar y limpiar'!O103</f>
        <v/>
      </c>
      <c r="P89">
        <f>'2 transformar y limpiar'!P103</f>
        <v/>
      </c>
      <c r="Q89">
        <f>'2 transformar y limpiar'!Q103</f>
        <v/>
      </c>
      <c r="R89">
        <f>'2 transformar y limpiar'!R103</f>
        <v/>
      </c>
      <c r="S89">
        <f>'2 transformar y limpiar'!S103</f>
        <v/>
      </c>
      <c r="T89">
        <f>'2 transformar y limpiar'!T103</f>
        <v/>
      </c>
      <c r="U89" s="5">
        <f>'2 transformar y limpiar'!U103</f>
        <v/>
      </c>
    </row>
    <row r="90">
      <c r="A90">
        <f>'2 transformar y limpiar'!A104</f>
        <v/>
      </c>
      <c r="B90">
        <f>'2 transformar y limpiar'!B104</f>
        <v/>
      </c>
      <c r="C90" s="6">
        <f>('2 transformar y limpiar'!C104-$B$6)/$C$6</f>
        <v/>
      </c>
      <c r="D90" s="6">
        <f>('2 transformar y limpiar'!D104-$B$7)/$C$7</f>
        <v/>
      </c>
      <c r="E90" s="6">
        <f>('2 transformar y limpiar'!E104-$B$8)/$C$8</f>
        <v/>
      </c>
      <c r="F90" s="6">
        <f>('2 transformar y limpiar'!F104-$B$9)/$C$9</f>
        <v/>
      </c>
      <c r="G90">
        <f>'2 transformar y limpiar'!G104</f>
        <v/>
      </c>
      <c r="H90">
        <f>'2 transformar y limpiar'!H104</f>
        <v/>
      </c>
      <c r="I90">
        <f>'2 transformar y limpiar'!I104</f>
        <v/>
      </c>
      <c r="J90">
        <f>'2 transformar y limpiar'!J104</f>
        <v/>
      </c>
      <c r="K90">
        <f>'2 transformar y limpiar'!K104</f>
        <v/>
      </c>
      <c r="L90">
        <f>'2 transformar y limpiar'!L104</f>
        <v/>
      </c>
      <c r="M90">
        <f>'2 transformar y limpiar'!M104</f>
        <v/>
      </c>
      <c r="N90">
        <f>'2 transformar y limpiar'!N104</f>
        <v/>
      </c>
      <c r="O90">
        <f>'2 transformar y limpiar'!O104</f>
        <v/>
      </c>
      <c r="P90">
        <f>'2 transformar y limpiar'!P104</f>
        <v/>
      </c>
      <c r="Q90">
        <f>'2 transformar y limpiar'!Q104</f>
        <v/>
      </c>
      <c r="R90">
        <f>'2 transformar y limpiar'!R104</f>
        <v/>
      </c>
      <c r="S90">
        <f>'2 transformar y limpiar'!S104</f>
        <v/>
      </c>
      <c r="T90">
        <f>'2 transformar y limpiar'!T104</f>
        <v/>
      </c>
      <c r="U90" s="5">
        <f>'2 transformar y limpiar'!U104</f>
        <v/>
      </c>
    </row>
    <row r="91">
      <c r="A91">
        <f>'2 transformar y limpiar'!A105</f>
        <v/>
      </c>
      <c r="B91">
        <f>'2 transformar y limpiar'!B105</f>
        <v/>
      </c>
      <c r="C91" s="6">
        <f>('2 transformar y limpiar'!C105-$B$6)/$C$6</f>
        <v/>
      </c>
      <c r="D91" s="6">
        <f>('2 transformar y limpiar'!D105-$B$7)/$C$7</f>
        <v/>
      </c>
      <c r="E91" s="6">
        <f>('2 transformar y limpiar'!E105-$B$8)/$C$8</f>
        <v/>
      </c>
      <c r="F91" s="6">
        <f>('2 transformar y limpiar'!F105-$B$9)/$C$9</f>
        <v/>
      </c>
      <c r="G91">
        <f>'2 transformar y limpiar'!G105</f>
        <v/>
      </c>
      <c r="H91">
        <f>'2 transformar y limpiar'!H105</f>
        <v/>
      </c>
      <c r="I91">
        <f>'2 transformar y limpiar'!I105</f>
        <v/>
      </c>
      <c r="J91">
        <f>'2 transformar y limpiar'!J105</f>
        <v/>
      </c>
      <c r="K91">
        <f>'2 transformar y limpiar'!K105</f>
        <v/>
      </c>
      <c r="L91">
        <f>'2 transformar y limpiar'!L105</f>
        <v/>
      </c>
      <c r="M91">
        <f>'2 transformar y limpiar'!M105</f>
        <v/>
      </c>
      <c r="N91">
        <f>'2 transformar y limpiar'!N105</f>
        <v/>
      </c>
      <c r="O91">
        <f>'2 transformar y limpiar'!O105</f>
        <v/>
      </c>
      <c r="P91">
        <f>'2 transformar y limpiar'!P105</f>
        <v/>
      </c>
      <c r="Q91">
        <f>'2 transformar y limpiar'!Q105</f>
        <v/>
      </c>
      <c r="R91">
        <f>'2 transformar y limpiar'!R105</f>
        <v/>
      </c>
      <c r="S91">
        <f>'2 transformar y limpiar'!S105</f>
        <v/>
      </c>
      <c r="T91">
        <f>'2 transformar y limpiar'!T105</f>
        <v/>
      </c>
      <c r="U91" s="5">
        <f>'2 transformar y limpiar'!U105</f>
        <v/>
      </c>
    </row>
    <row r="92">
      <c r="A92">
        <f>'2 transformar y limpiar'!A106</f>
        <v/>
      </c>
      <c r="B92">
        <f>'2 transformar y limpiar'!B106</f>
        <v/>
      </c>
      <c r="C92" s="6">
        <f>('2 transformar y limpiar'!C106-$B$6)/$C$6</f>
        <v/>
      </c>
      <c r="D92" s="6">
        <f>('2 transformar y limpiar'!D106-$B$7)/$C$7</f>
        <v/>
      </c>
      <c r="E92" s="6">
        <f>('2 transformar y limpiar'!E106-$B$8)/$C$8</f>
        <v/>
      </c>
      <c r="F92" s="6">
        <f>('2 transformar y limpiar'!F106-$B$9)/$C$9</f>
        <v/>
      </c>
      <c r="G92">
        <f>'2 transformar y limpiar'!G106</f>
        <v/>
      </c>
      <c r="H92">
        <f>'2 transformar y limpiar'!H106</f>
        <v/>
      </c>
      <c r="I92">
        <f>'2 transformar y limpiar'!I106</f>
        <v/>
      </c>
      <c r="J92">
        <f>'2 transformar y limpiar'!J106</f>
        <v/>
      </c>
      <c r="K92">
        <f>'2 transformar y limpiar'!K106</f>
        <v/>
      </c>
      <c r="L92">
        <f>'2 transformar y limpiar'!L106</f>
        <v/>
      </c>
      <c r="M92">
        <f>'2 transformar y limpiar'!M106</f>
        <v/>
      </c>
      <c r="N92">
        <f>'2 transformar y limpiar'!N106</f>
        <v/>
      </c>
      <c r="O92">
        <f>'2 transformar y limpiar'!O106</f>
        <v/>
      </c>
      <c r="P92">
        <f>'2 transformar y limpiar'!P106</f>
        <v/>
      </c>
      <c r="Q92">
        <f>'2 transformar y limpiar'!Q106</f>
        <v/>
      </c>
      <c r="R92">
        <f>'2 transformar y limpiar'!R106</f>
        <v/>
      </c>
      <c r="S92">
        <f>'2 transformar y limpiar'!S106</f>
        <v/>
      </c>
      <c r="T92">
        <f>'2 transformar y limpiar'!T106</f>
        <v/>
      </c>
      <c r="U92" s="5">
        <f>'2 transformar y limpiar'!U106</f>
        <v/>
      </c>
    </row>
    <row r="93">
      <c r="A93">
        <f>'2 transformar y limpiar'!A107</f>
        <v/>
      </c>
      <c r="B93">
        <f>'2 transformar y limpiar'!B107</f>
        <v/>
      </c>
      <c r="C93" s="6">
        <f>('2 transformar y limpiar'!C107-$B$6)/$C$6</f>
        <v/>
      </c>
      <c r="D93" s="6">
        <f>('2 transformar y limpiar'!D107-$B$7)/$C$7</f>
        <v/>
      </c>
      <c r="E93" s="6">
        <f>('2 transformar y limpiar'!E107-$B$8)/$C$8</f>
        <v/>
      </c>
      <c r="F93" s="6">
        <f>('2 transformar y limpiar'!F107-$B$9)/$C$9</f>
        <v/>
      </c>
      <c r="G93">
        <f>'2 transformar y limpiar'!G107</f>
        <v/>
      </c>
      <c r="H93">
        <f>'2 transformar y limpiar'!H107</f>
        <v/>
      </c>
      <c r="I93">
        <f>'2 transformar y limpiar'!I107</f>
        <v/>
      </c>
      <c r="J93">
        <f>'2 transformar y limpiar'!J107</f>
        <v/>
      </c>
      <c r="K93">
        <f>'2 transformar y limpiar'!K107</f>
        <v/>
      </c>
      <c r="L93">
        <f>'2 transformar y limpiar'!L107</f>
        <v/>
      </c>
      <c r="M93">
        <f>'2 transformar y limpiar'!M107</f>
        <v/>
      </c>
      <c r="N93">
        <f>'2 transformar y limpiar'!N107</f>
        <v/>
      </c>
      <c r="O93">
        <f>'2 transformar y limpiar'!O107</f>
        <v/>
      </c>
      <c r="P93">
        <f>'2 transformar y limpiar'!P107</f>
        <v/>
      </c>
      <c r="Q93">
        <f>'2 transformar y limpiar'!Q107</f>
        <v/>
      </c>
      <c r="R93">
        <f>'2 transformar y limpiar'!R107</f>
        <v/>
      </c>
      <c r="S93">
        <f>'2 transformar y limpiar'!S107</f>
        <v/>
      </c>
      <c r="T93">
        <f>'2 transformar y limpiar'!T107</f>
        <v/>
      </c>
      <c r="U93" s="5">
        <f>'2 transformar y limpiar'!U107</f>
        <v/>
      </c>
    </row>
    <row r="94">
      <c r="A94">
        <f>'2 transformar y limpiar'!A108</f>
        <v/>
      </c>
      <c r="B94">
        <f>'2 transformar y limpiar'!B108</f>
        <v/>
      </c>
      <c r="C94" s="6">
        <f>('2 transformar y limpiar'!C108-$B$6)/$C$6</f>
        <v/>
      </c>
      <c r="D94" s="6">
        <f>('2 transformar y limpiar'!D108-$B$7)/$C$7</f>
        <v/>
      </c>
      <c r="E94" s="6">
        <f>('2 transformar y limpiar'!E108-$B$8)/$C$8</f>
        <v/>
      </c>
      <c r="F94" s="6">
        <f>('2 transformar y limpiar'!F108-$B$9)/$C$9</f>
        <v/>
      </c>
      <c r="G94">
        <f>'2 transformar y limpiar'!G108</f>
        <v/>
      </c>
      <c r="H94">
        <f>'2 transformar y limpiar'!H108</f>
        <v/>
      </c>
      <c r="I94">
        <f>'2 transformar y limpiar'!I108</f>
        <v/>
      </c>
      <c r="J94">
        <f>'2 transformar y limpiar'!J108</f>
        <v/>
      </c>
      <c r="K94">
        <f>'2 transformar y limpiar'!K108</f>
        <v/>
      </c>
      <c r="L94">
        <f>'2 transformar y limpiar'!L108</f>
        <v/>
      </c>
      <c r="M94">
        <f>'2 transformar y limpiar'!M108</f>
        <v/>
      </c>
      <c r="N94">
        <f>'2 transformar y limpiar'!N108</f>
        <v/>
      </c>
      <c r="O94">
        <f>'2 transformar y limpiar'!O108</f>
        <v/>
      </c>
      <c r="P94">
        <f>'2 transformar y limpiar'!P108</f>
        <v/>
      </c>
      <c r="Q94">
        <f>'2 transformar y limpiar'!Q108</f>
        <v/>
      </c>
      <c r="R94">
        <f>'2 transformar y limpiar'!R108</f>
        <v/>
      </c>
      <c r="S94">
        <f>'2 transformar y limpiar'!S108</f>
        <v/>
      </c>
      <c r="T94">
        <f>'2 transformar y limpiar'!T108</f>
        <v/>
      </c>
      <c r="U94" s="5">
        <f>'2 transformar y limpiar'!U108</f>
        <v/>
      </c>
    </row>
    <row r="95">
      <c r="A95">
        <f>'2 transformar y limpiar'!A109</f>
        <v/>
      </c>
      <c r="B95">
        <f>'2 transformar y limpiar'!B109</f>
        <v/>
      </c>
      <c r="C95" s="6">
        <f>('2 transformar y limpiar'!C109-$B$6)/$C$6</f>
        <v/>
      </c>
      <c r="D95" s="6">
        <f>('2 transformar y limpiar'!D109-$B$7)/$C$7</f>
        <v/>
      </c>
      <c r="E95" s="6">
        <f>('2 transformar y limpiar'!E109-$B$8)/$C$8</f>
        <v/>
      </c>
      <c r="F95" s="6">
        <f>('2 transformar y limpiar'!F109-$B$9)/$C$9</f>
        <v/>
      </c>
      <c r="G95">
        <f>'2 transformar y limpiar'!G109</f>
        <v/>
      </c>
      <c r="H95">
        <f>'2 transformar y limpiar'!H109</f>
        <v/>
      </c>
      <c r="I95">
        <f>'2 transformar y limpiar'!I109</f>
        <v/>
      </c>
      <c r="J95">
        <f>'2 transformar y limpiar'!J109</f>
        <v/>
      </c>
      <c r="K95">
        <f>'2 transformar y limpiar'!K109</f>
        <v/>
      </c>
      <c r="L95">
        <f>'2 transformar y limpiar'!L109</f>
        <v/>
      </c>
      <c r="M95">
        <f>'2 transformar y limpiar'!M109</f>
        <v/>
      </c>
      <c r="N95">
        <f>'2 transformar y limpiar'!N109</f>
        <v/>
      </c>
      <c r="O95">
        <f>'2 transformar y limpiar'!O109</f>
        <v/>
      </c>
      <c r="P95">
        <f>'2 transformar y limpiar'!P109</f>
        <v/>
      </c>
      <c r="Q95">
        <f>'2 transformar y limpiar'!Q109</f>
        <v/>
      </c>
      <c r="R95">
        <f>'2 transformar y limpiar'!R109</f>
        <v/>
      </c>
      <c r="S95">
        <f>'2 transformar y limpiar'!S109</f>
        <v/>
      </c>
      <c r="T95">
        <f>'2 transformar y limpiar'!T109</f>
        <v/>
      </c>
      <c r="U95" s="5">
        <f>'2 transformar y limpiar'!U109</f>
        <v/>
      </c>
    </row>
    <row r="96">
      <c r="A96">
        <f>'2 transformar y limpiar'!A110</f>
        <v/>
      </c>
      <c r="B96">
        <f>'2 transformar y limpiar'!B110</f>
        <v/>
      </c>
      <c r="C96" s="6">
        <f>('2 transformar y limpiar'!C110-$B$6)/$C$6</f>
        <v/>
      </c>
      <c r="D96" s="6">
        <f>('2 transformar y limpiar'!D110-$B$7)/$C$7</f>
        <v/>
      </c>
      <c r="E96" s="6">
        <f>('2 transformar y limpiar'!E110-$B$8)/$C$8</f>
        <v/>
      </c>
      <c r="F96" s="6">
        <f>('2 transformar y limpiar'!F110-$B$9)/$C$9</f>
        <v/>
      </c>
      <c r="G96">
        <f>'2 transformar y limpiar'!G110</f>
        <v/>
      </c>
      <c r="H96">
        <f>'2 transformar y limpiar'!H110</f>
        <v/>
      </c>
      <c r="I96">
        <f>'2 transformar y limpiar'!I110</f>
        <v/>
      </c>
      <c r="J96">
        <f>'2 transformar y limpiar'!J110</f>
        <v/>
      </c>
      <c r="K96">
        <f>'2 transformar y limpiar'!K110</f>
        <v/>
      </c>
      <c r="L96">
        <f>'2 transformar y limpiar'!L110</f>
        <v/>
      </c>
      <c r="M96">
        <f>'2 transformar y limpiar'!M110</f>
        <v/>
      </c>
      <c r="N96">
        <f>'2 transformar y limpiar'!N110</f>
        <v/>
      </c>
      <c r="O96">
        <f>'2 transformar y limpiar'!O110</f>
        <v/>
      </c>
      <c r="P96">
        <f>'2 transformar y limpiar'!P110</f>
        <v/>
      </c>
      <c r="Q96">
        <f>'2 transformar y limpiar'!Q110</f>
        <v/>
      </c>
      <c r="R96">
        <f>'2 transformar y limpiar'!R110</f>
        <v/>
      </c>
      <c r="S96">
        <f>'2 transformar y limpiar'!S110</f>
        <v/>
      </c>
      <c r="T96">
        <f>'2 transformar y limpiar'!T110</f>
        <v/>
      </c>
      <c r="U96" s="5">
        <f>'2 transformar y limpiar'!U110</f>
        <v/>
      </c>
    </row>
    <row r="97">
      <c r="A97">
        <f>'2 transformar y limpiar'!A111</f>
        <v/>
      </c>
      <c r="B97">
        <f>'2 transformar y limpiar'!B111</f>
        <v/>
      </c>
      <c r="C97" s="6">
        <f>('2 transformar y limpiar'!C111-$B$6)/$C$6</f>
        <v/>
      </c>
      <c r="D97" s="6">
        <f>('2 transformar y limpiar'!D111-$B$7)/$C$7</f>
        <v/>
      </c>
      <c r="E97" s="6">
        <f>('2 transformar y limpiar'!E111-$B$8)/$C$8</f>
        <v/>
      </c>
      <c r="F97" s="6">
        <f>('2 transformar y limpiar'!F111-$B$9)/$C$9</f>
        <v/>
      </c>
      <c r="G97">
        <f>'2 transformar y limpiar'!G111</f>
        <v/>
      </c>
      <c r="H97">
        <f>'2 transformar y limpiar'!H111</f>
        <v/>
      </c>
      <c r="I97">
        <f>'2 transformar y limpiar'!I111</f>
        <v/>
      </c>
      <c r="J97">
        <f>'2 transformar y limpiar'!J111</f>
        <v/>
      </c>
      <c r="K97">
        <f>'2 transformar y limpiar'!K111</f>
        <v/>
      </c>
      <c r="L97">
        <f>'2 transformar y limpiar'!L111</f>
        <v/>
      </c>
      <c r="M97">
        <f>'2 transformar y limpiar'!M111</f>
        <v/>
      </c>
      <c r="N97">
        <f>'2 transformar y limpiar'!N111</f>
        <v/>
      </c>
      <c r="O97">
        <f>'2 transformar y limpiar'!O111</f>
        <v/>
      </c>
      <c r="P97">
        <f>'2 transformar y limpiar'!P111</f>
        <v/>
      </c>
      <c r="Q97">
        <f>'2 transformar y limpiar'!Q111</f>
        <v/>
      </c>
      <c r="R97">
        <f>'2 transformar y limpiar'!R111</f>
        <v/>
      </c>
      <c r="S97">
        <f>'2 transformar y limpiar'!S111</f>
        <v/>
      </c>
      <c r="T97">
        <f>'2 transformar y limpiar'!T111</f>
        <v/>
      </c>
      <c r="U97" s="5">
        <f>'2 transformar y limpiar'!U111</f>
        <v/>
      </c>
    </row>
    <row r="98">
      <c r="A98">
        <f>'2 transformar y limpiar'!A112</f>
        <v/>
      </c>
      <c r="B98">
        <f>'2 transformar y limpiar'!B112</f>
        <v/>
      </c>
      <c r="C98" s="6">
        <f>('2 transformar y limpiar'!C112-$B$6)/$C$6</f>
        <v/>
      </c>
      <c r="D98" s="6">
        <f>('2 transformar y limpiar'!D112-$B$7)/$C$7</f>
        <v/>
      </c>
      <c r="E98" s="6">
        <f>('2 transformar y limpiar'!E112-$B$8)/$C$8</f>
        <v/>
      </c>
      <c r="F98" s="6">
        <f>('2 transformar y limpiar'!F112-$B$9)/$C$9</f>
        <v/>
      </c>
      <c r="G98">
        <f>'2 transformar y limpiar'!G112</f>
        <v/>
      </c>
      <c r="H98">
        <f>'2 transformar y limpiar'!H112</f>
        <v/>
      </c>
      <c r="I98">
        <f>'2 transformar y limpiar'!I112</f>
        <v/>
      </c>
      <c r="J98">
        <f>'2 transformar y limpiar'!J112</f>
        <v/>
      </c>
      <c r="K98">
        <f>'2 transformar y limpiar'!K112</f>
        <v/>
      </c>
      <c r="L98">
        <f>'2 transformar y limpiar'!L112</f>
        <v/>
      </c>
      <c r="M98">
        <f>'2 transformar y limpiar'!M112</f>
        <v/>
      </c>
      <c r="N98">
        <f>'2 transformar y limpiar'!N112</f>
        <v/>
      </c>
      <c r="O98">
        <f>'2 transformar y limpiar'!O112</f>
        <v/>
      </c>
      <c r="P98">
        <f>'2 transformar y limpiar'!P112</f>
        <v/>
      </c>
      <c r="Q98">
        <f>'2 transformar y limpiar'!Q112</f>
        <v/>
      </c>
      <c r="R98">
        <f>'2 transformar y limpiar'!R112</f>
        <v/>
      </c>
      <c r="S98">
        <f>'2 transformar y limpiar'!S112</f>
        <v/>
      </c>
      <c r="T98">
        <f>'2 transformar y limpiar'!T112</f>
        <v/>
      </c>
      <c r="U98" s="5">
        <f>'2 transformar y limpiar'!U112</f>
        <v/>
      </c>
    </row>
    <row r="99">
      <c r="A99">
        <f>'2 transformar y limpiar'!A113</f>
        <v/>
      </c>
      <c r="B99">
        <f>'2 transformar y limpiar'!B113</f>
        <v/>
      </c>
      <c r="C99" s="6">
        <f>('2 transformar y limpiar'!C113-$B$6)/$C$6</f>
        <v/>
      </c>
      <c r="D99" s="6">
        <f>('2 transformar y limpiar'!D113-$B$7)/$C$7</f>
        <v/>
      </c>
      <c r="E99" s="6">
        <f>('2 transformar y limpiar'!E113-$B$8)/$C$8</f>
        <v/>
      </c>
      <c r="F99" s="6">
        <f>('2 transformar y limpiar'!F113-$B$9)/$C$9</f>
        <v/>
      </c>
      <c r="G99">
        <f>'2 transformar y limpiar'!G113</f>
        <v/>
      </c>
      <c r="H99">
        <f>'2 transformar y limpiar'!H113</f>
        <v/>
      </c>
      <c r="I99">
        <f>'2 transformar y limpiar'!I113</f>
        <v/>
      </c>
      <c r="J99">
        <f>'2 transformar y limpiar'!J113</f>
        <v/>
      </c>
      <c r="K99">
        <f>'2 transformar y limpiar'!K113</f>
        <v/>
      </c>
      <c r="L99">
        <f>'2 transformar y limpiar'!L113</f>
        <v/>
      </c>
      <c r="M99">
        <f>'2 transformar y limpiar'!M113</f>
        <v/>
      </c>
      <c r="N99">
        <f>'2 transformar y limpiar'!N113</f>
        <v/>
      </c>
      <c r="O99">
        <f>'2 transformar y limpiar'!O113</f>
        <v/>
      </c>
      <c r="P99">
        <f>'2 transformar y limpiar'!P113</f>
        <v/>
      </c>
      <c r="Q99">
        <f>'2 transformar y limpiar'!Q113</f>
        <v/>
      </c>
      <c r="R99">
        <f>'2 transformar y limpiar'!R113</f>
        <v/>
      </c>
      <c r="S99">
        <f>'2 transformar y limpiar'!S113</f>
        <v/>
      </c>
      <c r="T99">
        <f>'2 transformar y limpiar'!T113</f>
        <v/>
      </c>
      <c r="U99" s="5">
        <f>'2 transformar y limpiar'!U113</f>
        <v/>
      </c>
    </row>
    <row r="100">
      <c r="A100">
        <f>'2 transformar y limpiar'!A114</f>
        <v/>
      </c>
      <c r="B100">
        <f>'2 transformar y limpiar'!B114</f>
        <v/>
      </c>
      <c r="C100" s="6">
        <f>('2 transformar y limpiar'!C114-$B$6)/$C$6</f>
        <v/>
      </c>
      <c r="D100" s="6">
        <f>('2 transformar y limpiar'!D114-$B$7)/$C$7</f>
        <v/>
      </c>
      <c r="E100" s="6">
        <f>('2 transformar y limpiar'!E114-$B$8)/$C$8</f>
        <v/>
      </c>
      <c r="F100" s="6">
        <f>('2 transformar y limpiar'!F114-$B$9)/$C$9</f>
        <v/>
      </c>
      <c r="G100">
        <f>'2 transformar y limpiar'!G114</f>
        <v/>
      </c>
      <c r="H100">
        <f>'2 transformar y limpiar'!H114</f>
        <v/>
      </c>
      <c r="I100">
        <f>'2 transformar y limpiar'!I114</f>
        <v/>
      </c>
      <c r="J100">
        <f>'2 transformar y limpiar'!J114</f>
        <v/>
      </c>
      <c r="K100">
        <f>'2 transformar y limpiar'!K114</f>
        <v/>
      </c>
      <c r="L100">
        <f>'2 transformar y limpiar'!L114</f>
        <v/>
      </c>
      <c r="M100">
        <f>'2 transformar y limpiar'!M114</f>
        <v/>
      </c>
      <c r="N100">
        <f>'2 transformar y limpiar'!N114</f>
        <v/>
      </c>
      <c r="O100">
        <f>'2 transformar y limpiar'!O114</f>
        <v/>
      </c>
      <c r="P100">
        <f>'2 transformar y limpiar'!P114</f>
        <v/>
      </c>
      <c r="Q100">
        <f>'2 transformar y limpiar'!Q114</f>
        <v/>
      </c>
      <c r="R100">
        <f>'2 transformar y limpiar'!R114</f>
        <v/>
      </c>
      <c r="S100">
        <f>'2 transformar y limpiar'!S114</f>
        <v/>
      </c>
      <c r="T100">
        <f>'2 transformar y limpiar'!T114</f>
        <v/>
      </c>
      <c r="U100" s="5">
        <f>'2 transformar y limpiar'!U114</f>
        <v/>
      </c>
    </row>
    <row r="101">
      <c r="A101">
        <f>'2 transformar y limpiar'!A115</f>
        <v/>
      </c>
      <c r="B101">
        <f>'2 transformar y limpiar'!B115</f>
        <v/>
      </c>
      <c r="C101" s="6">
        <f>('2 transformar y limpiar'!C115-$B$6)/$C$6</f>
        <v/>
      </c>
      <c r="D101" s="6">
        <f>('2 transformar y limpiar'!D115-$B$7)/$C$7</f>
        <v/>
      </c>
      <c r="E101" s="6">
        <f>('2 transformar y limpiar'!E115-$B$8)/$C$8</f>
        <v/>
      </c>
      <c r="F101" s="6">
        <f>('2 transformar y limpiar'!F115-$B$9)/$C$9</f>
        <v/>
      </c>
      <c r="G101">
        <f>'2 transformar y limpiar'!G115</f>
        <v/>
      </c>
      <c r="H101">
        <f>'2 transformar y limpiar'!H115</f>
        <v/>
      </c>
      <c r="I101">
        <f>'2 transformar y limpiar'!I115</f>
        <v/>
      </c>
      <c r="J101">
        <f>'2 transformar y limpiar'!J115</f>
        <v/>
      </c>
      <c r="K101">
        <f>'2 transformar y limpiar'!K115</f>
        <v/>
      </c>
      <c r="L101">
        <f>'2 transformar y limpiar'!L115</f>
        <v/>
      </c>
      <c r="M101">
        <f>'2 transformar y limpiar'!M115</f>
        <v/>
      </c>
      <c r="N101">
        <f>'2 transformar y limpiar'!N115</f>
        <v/>
      </c>
      <c r="O101">
        <f>'2 transformar y limpiar'!O115</f>
        <v/>
      </c>
      <c r="P101">
        <f>'2 transformar y limpiar'!P115</f>
        <v/>
      </c>
      <c r="Q101">
        <f>'2 transformar y limpiar'!Q115</f>
        <v/>
      </c>
      <c r="R101">
        <f>'2 transformar y limpiar'!R115</f>
        <v/>
      </c>
      <c r="S101">
        <f>'2 transformar y limpiar'!S115</f>
        <v/>
      </c>
      <c r="T101">
        <f>'2 transformar y limpiar'!T115</f>
        <v/>
      </c>
      <c r="U101" s="5">
        <f>'2 transformar y limpiar'!U115</f>
        <v/>
      </c>
    </row>
    <row r="102">
      <c r="A102">
        <f>'2 transformar y limpiar'!A116</f>
        <v/>
      </c>
      <c r="B102">
        <f>'2 transformar y limpiar'!B116</f>
        <v/>
      </c>
      <c r="C102" s="6">
        <f>('2 transformar y limpiar'!C116-$B$6)/$C$6</f>
        <v/>
      </c>
      <c r="D102" s="6">
        <f>('2 transformar y limpiar'!D116-$B$7)/$C$7</f>
        <v/>
      </c>
      <c r="E102" s="6">
        <f>('2 transformar y limpiar'!E116-$B$8)/$C$8</f>
        <v/>
      </c>
      <c r="F102" s="6">
        <f>('2 transformar y limpiar'!F116-$B$9)/$C$9</f>
        <v/>
      </c>
      <c r="G102">
        <f>'2 transformar y limpiar'!G116</f>
        <v/>
      </c>
      <c r="H102">
        <f>'2 transformar y limpiar'!H116</f>
        <v/>
      </c>
      <c r="I102">
        <f>'2 transformar y limpiar'!I116</f>
        <v/>
      </c>
      <c r="J102">
        <f>'2 transformar y limpiar'!J116</f>
        <v/>
      </c>
      <c r="K102">
        <f>'2 transformar y limpiar'!K116</f>
        <v/>
      </c>
      <c r="L102">
        <f>'2 transformar y limpiar'!L116</f>
        <v/>
      </c>
      <c r="M102">
        <f>'2 transformar y limpiar'!M116</f>
        <v/>
      </c>
      <c r="N102">
        <f>'2 transformar y limpiar'!N116</f>
        <v/>
      </c>
      <c r="O102">
        <f>'2 transformar y limpiar'!O116</f>
        <v/>
      </c>
      <c r="P102">
        <f>'2 transformar y limpiar'!P116</f>
        <v/>
      </c>
      <c r="Q102">
        <f>'2 transformar y limpiar'!Q116</f>
        <v/>
      </c>
      <c r="R102">
        <f>'2 transformar y limpiar'!R116</f>
        <v/>
      </c>
      <c r="S102">
        <f>'2 transformar y limpiar'!S116</f>
        <v/>
      </c>
      <c r="T102">
        <f>'2 transformar y limpiar'!T116</f>
        <v/>
      </c>
      <c r="U102" s="5">
        <f>'2 transformar y limpiar'!U116</f>
        <v/>
      </c>
    </row>
    <row r="103">
      <c r="A103">
        <f>'2 transformar y limpiar'!A117</f>
        <v/>
      </c>
      <c r="B103">
        <f>'2 transformar y limpiar'!B117</f>
        <v/>
      </c>
      <c r="C103" s="6">
        <f>('2 transformar y limpiar'!C117-$B$6)/$C$6</f>
        <v/>
      </c>
      <c r="D103" s="6">
        <f>('2 transformar y limpiar'!D117-$B$7)/$C$7</f>
        <v/>
      </c>
      <c r="E103" s="6">
        <f>('2 transformar y limpiar'!E117-$B$8)/$C$8</f>
        <v/>
      </c>
      <c r="F103" s="6">
        <f>('2 transformar y limpiar'!F117-$B$9)/$C$9</f>
        <v/>
      </c>
      <c r="G103">
        <f>'2 transformar y limpiar'!G117</f>
        <v/>
      </c>
      <c r="H103">
        <f>'2 transformar y limpiar'!H117</f>
        <v/>
      </c>
      <c r="I103">
        <f>'2 transformar y limpiar'!I117</f>
        <v/>
      </c>
      <c r="J103">
        <f>'2 transformar y limpiar'!J117</f>
        <v/>
      </c>
      <c r="K103">
        <f>'2 transformar y limpiar'!K117</f>
        <v/>
      </c>
      <c r="L103">
        <f>'2 transformar y limpiar'!L117</f>
        <v/>
      </c>
      <c r="M103">
        <f>'2 transformar y limpiar'!M117</f>
        <v/>
      </c>
      <c r="N103">
        <f>'2 transformar y limpiar'!N117</f>
        <v/>
      </c>
      <c r="O103">
        <f>'2 transformar y limpiar'!O117</f>
        <v/>
      </c>
      <c r="P103">
        <f>'2 transformar y limpiar'!P117</f>
        <v/>
      </c>
      <c r="Q103">
        <f>'2 transformar y limpiar'!Q117</f>
        <v/>
      </c>
      <c r="R103">
        <f>'2 transformar y limpiar'!R117</f>
        <v/>
      </c>
      <c r="S103">
        <f>'2 transformar y limpiar'!S117</f>
        <v/>
      </c>
      <c r="T103">
        <f>'2 transformar y limpiar'!T117</f>
        <v/>
      </c>
      <c r="U103" s="5">
        <f>'2 transformar y limpiar'!U117</f>
        <v/>
      </c>
    </row>
    <row r="104">
      <c r="A104">
        <f>'2 transformar y limpiar'!A118</f>
        <v/>
      </c>
      <c r="B104">
        <f>'2 transformar y limpiar'!B118</f>
        <v/>
      </c>
      <c r="C104" s="6">
        <f>('2 transformar y limpiar'!C118-$B$6)/$C$6</f>
        <v/>
      </c>
      <c r="D104" s="6">
        <f>('2 transformar y limpiar'!D118-$B$7)/$C$7</f>
        <v/>
      </c>
      <c r="E104" s="6">
        <f>('2 transformar y limpiar'!E118-$B$8)/$C$8</f>
        <v/>
      </c>
      <c r="F104" s="6">
        <f>('2 transformar y limpiar'!F118-$B$9)/$C$9</f>
        <v/>
      </c>
      <c r="G104">
        <f>'2 transformar y limpiar'!G118</f>
        <v/>
      </c>
      <c r="H104">
        <f>'2 transformar y limpiar'!H118</f>
        <v/>
      </c>
      <c r="I104">
        <f>'2 transformar y limpiar'!I118</f>
        <v/>
      </c>
      <c r="J104">
        <f>'2 transformar y limpiar'!J118</f>
        <v/>
      </c>
      <c r="K104">
        <f>'2 transformar y limpiar'!K118</f>
        <v/>
      </c>
      <c r="L104">
        <f>'2 transformar y limpiar'!L118</f>
        <v/>
      </c>
      <c r="M104">
        <f>'2 transformar y limpiar'!M118</f>
        <v/>
      </c>
      <c r="N104">
        <f>'2 transformar y limpiar'!N118</f>
        <v/>
      </c>
      <c r="O104">
        <f>'2 transformar y limpiar'!O118</f>
        <v/>
      </c>
      <c r="P104">
        <f>'2 transformar y limpiar'!P118</f>
        <v/>
      </c>
      <c r="Q104">
        <f>'2 transformar y limpiar'!Q118</f>
        <v/>
      </c>
      <c r="R104">
        <f>'2 transformar y limpiar'!R118</f>
        <v/>
      </c>
      <c r="S104">
        <f>'2 transformar y limpiar'!S118</f>
        <v/>
      </c>
      <c r="T104">
        <f>'2 transformar y limpiar'!T118</f>
        <v/>
      </c>
      <c r="U104" s="5">
        <f>'2 transformar y limpiar'!U118</f>
        <v/>
      </c>
    </row>
    <row r="105">
      <c r="A105">
        <f>'2 transformar y limpiar'!A119</f>
        <v/>
      </c>
      <c r="B105">
        <f>'2 transformar y limpiar'!B119</f>
        <v/>
      </c>
      <c r="C105" s="6">
        <f>('2 transformar y limpiar'!C119-$B$6)/$C$6</f>
        <v/>
      </c>
      <c r="D105" s="6">
        <f>('2 transformar y limpiar'!D119-$B$7)/$C$7</f>
        <v/>
      </c>
      <c r="E105" s="6">
        <f>('2 transformar y limpiar'!E119-$B$8)/$C$8</f>
        <v/>
      </c>
      <c r="F105" s="6">
        <f>('2 transformar y limpiar'!F119-$B$9)/$C$9</f>
        <v/>
      </c>
      <c r="G105">
        <f>'2 transformar y limpiar'!G119</f>
        <v/>
      </c>
      <c r="H105">
        <f>'2 transformar y limpiar'!H119</f>
        <v/>
      </c>
      <c r="I105">
        <f>'2 transformar y limpiar'!I119</f>
        <v/>
      </c>
      <c r="J105">
        <f>'2 transformar y limpiar'!J119</f>
        <v/>
      </c>
      <c r="K105">
        <f>'2 transformar y limpiar'!K119</f>
        <v/>
      </c>
      <c r="L105">
        <f>'2 transformar y limpiar'!L119</f>
        <v/>
      </c>
      <c r="M105">
        <f>'2 transformar y limpiar'!M119</f>
        <v/>
      </c>
      <c r="N105">
        <f>'2 transformar y limpiar'!N119</f>
        <v/>
      </c>
      <c r="O105">
        <f>'2 transformar y limpiar'!O119</f>
        <v/>
      </c>
      <c r="P105">
        <f>'2 transformar y limpiar'!P119</f>
        <v/>
      </c>
      <c r="Q105">
        <f>'2 transformar y limpiar'!Q119</f>
        <v/>
      </c>
      <c r="R105">
        <f>'2 transformar y limpiar'!R119</f>
        <v/>
      </c>
      <c r="S105">
        <f>'2 transformar y limpiar'!S119</f>
        <v/>
      </c>
      <c r="T105">
        <f>'2 transformar y limpiar'!T119</f>
        <v/>
      </c>
      <c r="U105" s="5">
        <f>'2 transformar y limpiar'!U119</f>
        <v/>
      </c>
    </row>
    <row r="106">
      <c r="A106">
        <f>'2 transformar y limpiar'!A120</f>
        <v/>
      </c>
      <c r="B106">
        <f>'2 transformar y limpiar'!B120</f>
        <v/>
      </c>
      <c r="C106" s="6">
        <f>('2 transformar y limpiar'!C120-$B$6)/$C$6</f>
        <v/>
      </c>
      <c r="D106" s="6">
        <f>('2 transformar y limpiar'!D120-$B$7)/$C$7</f>
        <v/>
      </c>
      <c r="E106" s="6">
        <f>('2 transformar y limpiar'!E120-$B$8)/$C$8</f>
        <v/>
      </c>
      <c r="F106" s="6">
        <f>('2 transformar y limpiar'!F120-$B$9)/$C$9</f>
        <v/>
      </c>
      <c r="G106">
        <f>'2 transformar y limpiar'!G120</f>
        <v/>
      </c>
      <c r="H106">
        <f>'2 transformar y limpiar'!H120</f>
        <v/>
      </c>
      <c r="I106">
        <f>'2 transformar y limpiar'!I120</f>
        <v/>
      </c>
      <c r="J106">
        <f>'2 transformar y limpiar'!J120</f>
        <v/>
      </c>
      <c r="K106">
        <f>'2 transformar y limpiar'!K120</f>
        <v/>
      </c>
      <c r="L106">
        <f>'2 transformar y limpiar'!L120</f>
        <v/>
      </c>
      <c r="M106">
        <f>'2 transformar y limpiar'!M120</f>
        <v/>
      </c>
      <c r="N106">
        <f>'2 transformar y limpiar'!N120</f>
        <v/>
      </c>
      <c r="O106">
        <f>'2 transformar y limpiar'!O120</f>
        <v/>
      </c>
      <c r="P106">
        <f>'2 transformar y limpiar'!P120</f>
        <v/>
      </c>
      <c r="Q106">
        <f>'2 transformar y limpiar'!Q120</f>
        <v/>
      </c>
      <c r="R106">
        <f>'2 transformar y limpiar'!R120</f>
        <v/>
      </c>
      <c r="S106">
        <f>'2 transformar y limpiar'!S120</f>
        <v/>
      </c>
      <c r="T106">
        <f>'2 transformar y limpiar'!T120</f>
        <v/>
      </c>
      <c r="U106" s="5">
        <f>'2 transformar y limpiar'!U120</f>
        <v/>
      </c>
    </row>
    <row r="107">
      <c r="A107">
        <f>'2 transformar y limpiar'!A121</f>
        <v/>
      </c>
      <c r="B107">
        <f>'2 transformar y limpiar'!B121</f>
        <v/>
      </c>
      <c r="C107" s="6">
        <f>('2 transformar y limpiar'!C121-$B$6)/$C$6</f>
        <v/>
      </c>
      <c r="D107" s="6">
        <f>('2 transformar y limpiar'!D121-$B$7)/$C$7</f>
        <v/>
      </c>
      <c r="E107" s="6">
        <f>('2 transformar y limpiar'!E121-$B$8)/$C$8</f>
        <v/>
      </c>
      <c r="F107" s="6">
        <f>('2 transformar y limpiar'!F121-$B$9)/$C$9</f>
        <v/>
      </c>
      <c r="G107">
        <f>'2 transformar y limpiar'!G121</f>
        <v/>
      </c>
      <c r="H107">
        <f>'2 transformar y limpiar'!H121</f>
        <v/>
      </c>
      <c r="I107">
        <f>'2 transformar y limpiar'!I121</f>
        <v/>
      </c>
      <c r="J107">
        <f>'2 transformar y limpiar'!J121</f>
        <v/>
      </c>
      <c r="K107">
        <f>'2 transformar y limpiar'!K121</f>
        <v/>
      </c>
      <c r="L107">
        <f>'2 transformar y limpiar'!L121</f>
        <v/>
      </c>
      <c r="M107">
        <f>'2 transformar y limpiar'!M121</f>
        <v/>
      </c>
      <c r="N107">
        <f>'2 transformar y limpiar'!N121</f>
        <v/>
      </c>
      <c r="O107">
        <f>'2 transformar y limpiar'!O121</f>
        <v/>
      </c>
      <c r="P107">
        <f>'2 transformar y limpiar'!P121</f>
        <v/>
      </c>
      <c r="Q107">
        <f>'2 transformar y limpiar'!Q121</f>
        <v/>
      </c>
      <c r="R107">
        <f>'2 transformar y limpiar'!R121</f>
        <v/>
      </c>
      <c r="S107">
        <f>'2 transformar y limpiar'!S121</f>
        <v/>
      </c>
      <c r="T107">
        <f>'2 transformar y limpiar'!T121</f>
        <v/>
      </c>
      <c r="U107" s="5">
        <f>'2 transformar y limpiar'!U121</f>
        <v/>
      </c>
    </row>
    <row r="108">
      <c r="A108">
        <f>'2 transformar y limpiar'!A122</f>
        <v/>
      </c>
      <c r="B108">
        <f>'2 transformar y limpiar'!B122</f>
        <v/>
      </c>
      <c r="C108" s="6">
        <f>('2 transformar y limpiar'!C122-$B$6)/$C$6</f>
        <v/>
      </c>
      <c r="D108" s="6">
        <f>('2 transformar y limpiar'!D122-$B$7)/$C$7</f>
        <v/>
      </c>
      <c r="E108" s="6">
        <f>('2 transformar y limpiar'!E122-$B$8)/$C$8</f>
        <v/>
      </c>
      <c r="F108" s="6">
        <f>('2 transformar y limpiar'!F122-$B$9)/$C$9</f>
        <v/>
      </c>
      <c r="G108">
        <f>'2 transformar y limpiar'!G122</f>
        <v/>
      </c>
      <c r="H108">
        <f>'2 transformar y limpiar'!H122</f>
        <v/>
      </c>
      <c r="I108">
        <f>'2 transformar y limpiar'!I122</f>
        <v/>
      </c>
      <c r="J108">
        <f>'2 transformar y limpiar'!J122</f>
        <v/>
      </c>
      <c r="K108">
        <f>'2 transformar y limpiar'!K122</f>
        <v/>
      </c>
      <c r="L108">
        <f>'2 transformar y limpiar'!L122</f>
        <v/>
      </c>
      <c r="M108">
        <f>'2 transformar y limpiar'!M122</f>
        <v/>
      </c>
      <c r="N108">
        <f>'2 transformar y limpiar'!N122</f>
        <v/>
      </c>
      <c r="O108">
        <f>'2 transformar y limpiar'!O122</f>
        <v/>
      </c>
      <c r="P108">
        <f>'2 transformar y limpiar'!P122</f>
        <v/>
      </c>
      <c r="Q108">
        <f>'2 transformar y limpiar'!Q122</f>
        <v/>
      </c>
      <c r="R108">
        <f>'2 transformar y limpiar'!R122</f>
        <v/>
      </c>
      <c r="S108">
        <f>'2 transformar y limpiar'!S122</f>
        <v/>
      </c>
      <c r="T108">
        <f>'2 transformar y limpiar'!T122</f>
        <v/>
      </c>
      <c r="U108" s="5">
        <f>'2 transformar y limpiar'!U122</f>
        <v/>
      </c>
    </row>
    <row r="109">
      <c r="A109">
        <f>'2 transformar y limpiar'!A123</f>
        <v/>
      </c>
      <c r="B109">
        <f>'2 transformar y limpiar'!B123</f>
        <v/>
      </c>
      <c r="C109" s="6">
        <f>('2 transformar y limpiar'!C123-$B$6)/$C$6</f>
        <v/>
      </c>
      <c r="D109" s="6">
        <f>('2 transformar y limpiar'!D123-$B$7)/$C$7</f>
        <v/>
      </c>
      <c r="E109" s="6">
        <f>('2 transformar y limpiar'!E123-$B$8)/$C$8</f>
        <v/>
      </c>
      <c r="F109" s="6">
        <f>('2 transformar y limpiar'!F123-$B$9)/$C$9</f>
        <v/>
      </c>
      <c r="G109">
        <f>'2 transformar y limpiar'!G123</f>
        <v/>
      </c>
      <c r="H109">
        <f>'2 transformar y limpiar'!H123</f>
        <v/>
      </c>
      <c r="I109">
        <f>'2 transformar y limpiar'!I123</f>
        <v/>
      </c>
      <c r="J109">
        <f>'2 transformar y limpiar'!J123</f>
        <v/>
      </c>
      <c r="K109">
        <f>'2 transformar y limpiar'!K123</f>
        <v/>
      </c>
      <c r="L109">
        <f>'2 transformar y limpiar'!L123</f>
        <v/>
      </c>
      <c r="M109">
        <f>'2 transformar y limpiar'!M123</f>
        <v/>
      </c>
      <c r="N109">
        <f>'2 transformar y limpiar'!N123</f>
        <v/>
      </c>
      <c r="O109">
        <f>'2 transformar y limpiar'!O123</f>
        <v/>
      </c>
      <c r="P109">
        <f>'2 transformar y limpiar'!P123</f>
        <v/>
      </c>
      <c r="Q109">
        <f>'2 transformar y limpiar'!Q123</f>
        <v/>
      </c>
      <c r="R109">
        <f>'2 transformar y limpiar'!R123</f>
        <v/>
      </c>
      <c r="S109">
        <f>'2 transformar y limpiar'!S123</f>
        <v/>
      </c>
      <c r="T109">
        <f>'2 transformar y limpiar'!T123</f>
        <v/>
      </c>
      <c r="U109" s="5">
        <f>'2 transformar y limpiar'!U123</f>
        <v/>
      </c>
    </row>
    <row r="110">
      <c r="A110">
        <f>'2 transformar y limpiar'!A124</f>
        <v/>
      </c>
      <c r="B110">
        <f>'2 transformar y limpiar'!B124</f>
        <v/>
      </c>
      <c r="C110" s="6">
        <f>('2 transformar y limpiar'!C124-$B$6)/$C$6</f>
        <v/>
      </c>
      <c r="D110" s="6">
        <f>('2 transformar y limpiar'!D124-$B$7)/$C$7</f>
        <v/>
      </c>
      <c r="E110" s="6">
        <f>('2 transformar y limpiar'!E124-$B$8)/$C$8</f>
        <v/>
      </c>
      <c r="F110" s="6">
        <f>('2 transformar y limpiar'!F124-$B$9)/$C$9</f>
        <v/>
      </c>
      <c r="G110">
        <f>'2 transformar y limpiar'!G124</f>
        <v/>
      </c>
      <c r="H110">
        <f>'2 transformar y limpiar'!H124</f>
        <v/>
      </c>
      <c r="I110">
        <f>'2 transformar y limpiar'!I124</f>
        <v/>
      </c>
      <c r="J110">
        <f>'2 transformar y limpiar'!J124</f>
        <v/>
      </c>
      <c r="K110">
        <f>'2 transformar y limpiar'!K124</f>
        <v/>
      </c>
      <c r="L110">
        <f>'2 transformar y limpiar'!L124</f>
        <v/>
      </c>
      <c r="M110">
        <f>'2 transformar y limpiar'!M124</f>
        <v/>
      </c>
      <c r="N110">
        <f>'2 transformar y limpiar'!N124</f>
        <v/>
      </c>
      <c r="O110">
        <f>'2 transformar y limpiar'!O124</f>
        <v/>
      </c>
      <c r="P110">
        <f>'2 transformar y limpiar'!P124</f>
        <v/>
      </c>
      <c r="Q110">
        <f>'2 transformar y limpiar'!Q124</f>
        <v/>
      </c>
      <c r="R110">
        <f>'2 transformar y limpiar'!R124</f>
        <v/>
      </c>
      <c r="S110">
        <f>'2 transformar y limpiar'!S124</f>
        <v/>
      </c>
      <c r="T110">
        <f>'2 transformar y limpiar'!T124</f>
        <v/>
      </c>
      <c r="U110" s="5">
        <f>'2 transformar y limpiar'!U124</f>
        <v/>
      </c>
    </row>
    <row r="111">
      <c r="A111">
        <f>'2 transformar y limpiar'!A125</f>
        <v/>
      </c>
      <c r="B111">
        <f>'2 transformar y limpiar'!B125</f>
        <v/>
      </c>
      <c r="C111" s="6">
        <f>('2 transformar y limpiar'!C125-$B$6)/$C$6</f>
        <v/>
      </c>
      <c r="D111" s="6">
        <f>('2 transformar y limpiar'!D125-$B$7)/$C$7</f>
        <v/>
      </c>
      <c r="E111" s="6">
        <f>('2 transformar y limpiar'!E125-$B$8)/$C$8</f>
        <v/>
      </c>
      <c r="F111" s="6">
        <f>('2 transformar y limpiar'!F125-$B$9)/$C$9</f>
        <v/>
      </c>
      <c r="G111">
        <f>'2 transformar y limpiar'!G125</f>
        <v/>
      </c>
      <c r="H111">
        <f>'2 transformar y limpiar'!H125</f>
        <v/>
      </c>
      <c r="I111">
        <f>'2 transformar y limpiar'!I125</f>
        <v/>
      </c>
      <c r="J111">
        <f>'2 transformar y limpiar'!J125</f>
        <v/>
      </c>
      <c r="K111">
        <f>'2 transformar y limpiar'!K125</f>
        <v/>
      </c>
      <c r="L111">
        <f>'2 transformar y limpiar'!L125</f>
        <v/>
      </c>
      <c r="M111">
        <f>'2 transformar y limpiar'!M125</f>
        <v/>
      </c>
      <c r="N111">
        <f>'2 transformar y limpiar'!N125</f>
        <v/>
      </c>
      <c r="O111">
        <f>'2 transformar y limpiar'!O125</f>
        <v/>
      </c>
      <c r="P111">
        <f>'2 transformar y limpiar'!P125</f>
        <v/>
      </c>
      <c r="Q111">
        <f>'2 transformar y limpiar'!Q125</f>
        <v/>
      </c>
      <c r="R111">
        <f>'2 transformar y limpiar'!R125</f>
        <v/>
      </c>
      <c r="S111">
        <f>'2 transformar y limpiar'!S125</f>
        <v/>
      </c>
      <c r="T111">
        <f>'2 transformar y limpiar'!T125</f>
        <v/>
      </c>
      <c r="U111" s="5">
        <f>'2 transformar y limpiar'!U125</f>
        <v/>
      </c>
    </row>
    <row r="112">
      <c r="A112">
        <f>'2 transformar y limpiar'!A126</f>
        <v/>
      </c>
      <c r="B112">
        <f>'2 transformar y limpiar'!B126</f>
        <v/>
      </c>
      <c r="C112" s="6">
        <f>('2 transformar y limpiar'!C126-$B$6)/$C$6</f>
        <v/>
      </c>
      <c r="D112" s="6">
        <f>('2 transformar y limpiar'!D126-$B$7)/$C$7</f>
        <v/>
      </c>
      <c r="E112" s="6">
        <f>('2 transformar y limpiar'!E126-$B$8)/$C$8</f>
        <v/>
      </c>
      <c r="F112" s="6">
        <f>('2 transformar y limpiar'!F126-$B$9)/$C$9</f>
        <v/>
      </c>
      <c r="G112">
        <f>'2 transformar y limpiar'!G126</f>
        <v/>
      </c>
      <c r="H112">
        <f>'2 transformar y limpiar'!H126</f>
        <v/>
      </c>
      <c r="I112">
        <f>'2 transformar y limpiar'!I126</f>
        <v/>
      </c>
      <c r="J112">
        <f>'2 transformar y limpiar'!J126</f>
        <v/>
      </c>
      <c r="K112">
        <f>'2 transformar y limpiar'!K126</f>
        <v/>
      </c>
      <c r="L112">
        <f>'2 transformar y limpiar'!L126</f>
        <v/>
      </c>
      <c r="M112">
        <f>'2 transformar y limpiar'!M126</f>
        <v/>
      </c>
      <c r="N112">
        <f>'2 transformar y limpiar'!N126</f>
        <v/>
      </c>
      <c r="O112">
        <f>'2 transformar y limpiar'!O126</f>
        <v/>
      </c>
      <c r="P112">
        <f>'2 transformar y limpiar'!P126</f>
        <v/>
      </c>
      <c r="Q112">
        <f>'2 transformar y limpiar'!Q126</f>
        <v/>
      </c>
      <c r="R112">
        <f>'2 transformar y limpiar'!R126</f>
        <v/>
      </c>
      <c r="S112">
        <f>'2 transformar y limpiar'!S126</f>
        <v/>
      </c>
      <c r="T112">
        <f>'2 transformar y limpiar'!T126</f>
        <v/>
      </c>
      <c r="U112" s="5">
        <f>'2 transformar y limpiar'!U126</f>
        <v/>
      </c>
    </row>
    <row r="113">
      <c r="A113">
        <f>'2 transformar y limpiar'!A127</f>
        <v/>
      </c>
      <c r="B113">
        <f>'2 transformar y limpiar'!B127</f>
        <v/>
      </c>
      <c r="C113" s="6">
        <f>('2 transformar y limpiar'!C127-$B$6)/$C$6</f>
        <v/>
      </c>
      <c r="D113" s="6">
        <f>('2 transformar y limpiar'!D127-$B$7)/$C$7</f>
        <v/>
      </c>
      <c r="E113" s="6">
        <f>('2 transformar y limpiar'!E127-$B$8)/$C$8</f>
        <v/>
      </c>
      <c r="F113" s="6">
        <f>('2 transformar y limpiar'!F127-$B$9)/$C$9</f>
        <v/>
      </c>
      <c r="G113">
        <f>'2 transformar y limpiar'!G127</f>
        <v/>
      </c>
      <c r="H113">
        <f>'2 transformar y limpiar'!H127</f>
        <v/>
      </c>
      <c r="I113">
        <f>'2 transformar y limpiar'!I127</f>
        <v/>
      </c>
      <c r="J113">
        <f>'2 transformar y limpiar'!J127</f>
        <v/>
      </c>
      <c r="K113">
        <f>'2 transformar y limpiar'!K127</f>
        <v/>
      </c>
      <c r="L113">
        <f>'2 transformar y limpiar'!L127</f>
        <v/>
      </c>
      <c r="M113">
        <f>'2 transformar y limpiar'!M127</f>
        <v/>
      </c>
      <c r="N113">
        <f>'2 transformar y limpiar'!N127</f>
        <v/>
      </c>
      <c r="O113">
        <f>'2 transformar y limpiar'!O127</f>
        <v/>
      </c>
      <c r="P113">
        <f>'2 transformar y limpiar'!P127</f>
        <v/>
      </c>
      <c r="Q113">
        <f>'2 transformar y limpiar'!Q127</f>
        <v/>
      </c>
      <c r="R113">
        <f>'2 transformar y limpiar'!R127</f>
        <v/>
      </c>
      <c r="S113">
        <f>'2 transformar y limpiar'!S127</f>
        <v/>
      </c>
      <c r="T113">
        <f>'2 transformar y limpiar'!T127</f>
        <v/>
      </c>
      <c r="U113" s="5">
        <f>'2 transformar y limpiar'!U127</f>
        <v/>
      </c>
    </row>
    <row r="114">
      <c r="A114">
        <f>'2 transformar y limpiar'!A128</f>
        <v/>
      </c>
      <c r="B114">
        <f>'2 transformar y limpiar'!B128</f>
        <v/>
      </c>
      <c r="C114" s="6">
        <f>('2 transformar y limpiar'!C128-$B$6)/$C$6</f>
        <v/>
      </c>
      <c r="D114" s="6">
        <f>('2 transformar y limpiar'!D128-$B$7)/$C$7</f>
        <v/>
      </c>
      <c r="E114" s="6">
        <f>('2 transformar y limpiar'!E128-$B$8)/$C$8</f>
        <v/>
      </c>
      <c r="F114" s="6">
        <f>('2 transformar y limpiar'!F128-$B$9)/$C$9</f>
        <v/>
      </c>
      <c r="G114">
        <f>'2 transformar y limpiar'!G128</f>
        <v/>
      </c>
      <c r="H114">
        <f>'2 transformar y limpiar'!H128</f>
        <v/>
      </c>
      <c r="I114">
        <f>'2 transformar y limpiar'!I128</f>
        <v/>
      </c>
      <c r="J114">
        <f>'2 transformar y limpiar'!J128</f>
        <v/>
      </c>
      <c r="K114">
        <f>'2 transformar y limpiar'!K128</f>
        <v/>
      </c>
      <c r="L114">
        <f>'2 transformar y limpiar'!L128</f>
        <v/>
      </c>
      <c r="M114">
        <f>'2 transformar y limpiar'!M128</f>
        <v/>
      </c>
      <c r="N114">
        <f>'2 transformar y limpiar'!N128</f>
        <v/>
      </c>
      <c r="O114">
        <f>'2 transformar y limpiar'!O128</f>
        <v/>
      </c>
      <c r="P114">
        <f>'2 transformar y limpiar'!P128</f>
        <v/>
      </c>
      <c r="Q114">
        <f>'2 transformar y limpiar'!Q128</f>
        <v/>
      </c>
      <c r="R114">
        <f>'2 transformar y limpiar'!R128</f>
        <v/>
      </c>
      <c r="S114">
        <f>'2 transformar y limpiar'!S128</f>
        <v/>
      </c>
      <c r="T114">
        <f>'2 transformar y limpiar'!T128</f>
        <v/>
      </c>
      <c r="U114" s="5">
        <f>'2 transformar y limpiar'!U128</f>
        <v/>
      </c>
    </row>
    <row r="115">
      <c r="A115">
        <f>'2 transformar y limpiar'!A129</f>
        <v/>
      </c>
      <c r="B115">
        <f>'2 transformar y limpiar'!B129</f>
        <v/>
      </c>
      <c r="C115" s="6">
        <f>('2 transformar y limpiar'!C129-$B$6)/$C$6</f>
        <v/>
      </c>
      <c r="D115" s="6">
        <f>('2 transformar y limpiar'!D129-$B$7)/$C$7</f>
        <v/>
      </c>
      <c r="E115" s="6">
        <f>('2 transformar y limpiar'!E129-$B$8)/$C$8</f>
        <v/>
      </c>
      <c r="F115" s="6">
        <f>('2 transformar y limpiar'!F129-$B$9)/$C$9</f>
        <v/>
      </c>
      <c r="G115">
        <f>'2 transformar y limpiar'!G129</f>
        <v/>
      </c>
      <c r="H115">
        <f>'2 transformar y limpiar'!H129</f>
        <v/>
      </c>
      <c r="I115">
        <f>'2 transformar y limpiar'!I129</f>
        <v/>
      </c>
      <c r="J115">
        <f>'2 transformar y limpiar'!J129</f>
        <v/>
      </c>
      <c r="K115">
        <f>'2 transformar y limpiar'!K129</f>
        <v/>
      </c>
      <c r="L115">
        <f>'2 transformar y limpiar'!L129</f>
        <v/>
      </c>
      <c r="M115">
        <f>'2 transformar y limpiar'!M129</f>
        <v/>
      </c>
      <c r="N115">
        <f>'2 transformar y limpiar'!N129</f>
        <v/>
      </c>
      <c r="O115">
        <f>'2 transformar y limpiar'!O129</f>
        <v/>
      </c>
      <c r="P115">
        <f>'2 transformar y limpiar'!P129</f>
        <v/>
      </c>
      <c r="Q115">
        <f>'2 transformar y limpiar'!Q129</f>
        <v/>
      </c>
      <c r="R115">
        <f>'2 transformar y limpiar'!R129</f>
        <v/>
      </c>
      <c r="S115">
        <f>'2 transformar y limpiar'!S129</f>
        <v/>
      </c>
      <c r="T115">
        <f>'2 transformar y limpiar'!T129</f>
        <v/>
      </c>
      <c r="U115" s="5">
        <f>'2 transformar y limpiar'!U129</f>
        <v/>
      </c>
    </row>
    <row r="116">
      <c r="A116">
        <f>'2 transformar y limpiar'!A130</f>
        <v/>
      </c>
      <c r="B116">
        <f>'2 transformar y limpiar'!B130</f>
        <v/>
      </c>
      <c r="C116" s="6">
        <f>('2 transformar y limpiar'!C130-$B$6)/$C$6</f>
        <v/>
      </c>
      <c r="D116" s="6">
        <f>('2 transformar y limpiar'!D130-$B$7)/$C$7</f>
        <v/>
      </c>
      <c r="E116" s="6">
        <f>('2 transformar y limpiar'!E130-$B$8)/$C$8</f>
        <v/>
      </c>
      <c r="F116" s="6">
        <f>('2 transformar y limpiar'!F130-$B$9)/$C$9</f>
        <v/>
      </c>
      <c r="G116">
        <f>'2 transformar y limpiar'!G130</f>
        <v/>
      </c>
      <c r="H116">
        <f>'2 transformar y limpiar'!H130</f>
        <v/>
      </c>
      <c r="I116">
        <f>'2 transformar y limpiar'!I130</f>
        <v/>
      </c>
      <c r="J116">
        <f>'2 transformar y limpiar'!J130</f>
        <v/>
      </c>
      <c r="K116">
        <f>'2 transformar y limpiar'!K130</f>
        <v/>
      </c>
      <c r="L116">
        <f>'2 transformar y limpiar'!L130</f>
        <v/>
      </c>
      <c r="M116">
        <f>'2 transformar y limpiar'!M130</f>
        <v/>
      </c>
      <c r="N116">
        <f>'2 transformar y limpiar'!N130</f>
        <v/>
      </c>
      <c r="O116">
        <f>'2 transformar y limpiar'!O130</f>
        <v/>
      </c>
      <c r="P116">
        <f>'2 transformar y limpiar'!P130</f>
        <v/>
      </c>
      <c r="Q116">
        <f>'2 transformar y limpiar'!Q130</f>
        <v/>
      </c>
      <c r="R116">
        <f>'2 transformar y limpiar'!R130</f>
        <v/>
      </c>
      <c r="S116">
        <f>'2 transformar y limpiar'!S130</f>
        <v/>
      </c>
      <c r="T116">
        <f>'2 transformar y limpiar'!T130</f>
        <v/>
      </c>
      <c r="U116" s="5">
        <f>'2 transformar y limpiar'!U130</f>
        <v/>
      </c>
    </row>
    <row r="117">
      <c r="A117">
        <f>'2 transformar y limpiar'!A131</f>
        <v/>
      </c>
      <c r="B117">
        <f>'2 transformar y limpiar'!B131</f>
        <v/>
      </c>
      <c r="C117" s="6">
        <f>('2 transformar y limpiar'!C131-$B$6)/$C$6</f>
        <v/>
      </c>
      <c r="D117" s="6">
        <f>('2 transformar y limpiar'!D131-$B$7)/$C$7</f>
        <v/>
      </c>
      <c r="E117" s="6">
        <f>('2 transformar y limpiar'!E131-$B$8)/$C$8</f>
        <v/>
      </c>
      <c r="F117" s="6">
        <f>('2 transformar y limpiar'!F131-$B$9)/$C$9</f>
        <v/>
      </c>
      <c r="G117">
        <f>'2 transformar y limpiar'!G131</f>
        <v/>
      </c>
      <c r="H117">
        <f>'2 transformar y limpiar'!H131</f>
        <v/>
      </c>
      <c r="I117">
        <f>'2 transformar y limpiar'!I131</f>
        <v/>
      </c>
      <c r="J117">
        <f>'2 transformar y limpiar'!J131</f>
        <v/>
      </c>
      <c r="K117">
        <f>'2 transformar y limpiar'!K131</f>
        <v/>
      </c>
      <c r="L117">
        <f>'2 transformar y limpiar'!L131</f>
        <v/>
      </c>
      <c r="M117">
        <f>'2 transformar y limpiar'!M131</f>
        <v/>
      </c>
      <c r="N117">
        <f>'2 transformar y limpiar'!N131</f>
        <v/>
      </c>
      <c r="O117">
        <f>'2 transformar y limpiar'!O131</f>
        <v/>
      </c>
      <c r="P117">
        <f>'2 transformar y limpiar'!P131</f>
        <v/>
      </c>
      <c r="Q117">
        <f>'2 transformar y limpiar'!Q131</f>
        <v/>
      </c>
      <c r="R117">
        <f>'2 transformar y limpiar'!R131</f>
        <v/>
      </c>
      <c r="S117">
        <f>'2 transformar y limpiar'!S131</f>
        <v/>
      </c>
      <c r="T117">
        <f>'2 transformar y limpiar'!T131</f>
        <v/>
      </c>
      <c r="U117" s="5">
        <f>'2 transformar y limpiar'!U131</f>
        <v/>
      </c>
    </row>
    <row r="118">
      <c r="A118">
        <f>'2 transformar y limpiar'!A132</f>
        <v/>
      </c>
      <c r="B118">
        <f>'2 transformar y limpiar'!B132</f>
        <v/>
      </c>
      <c r="C118" s="6">
        <f>('2 transformar y limpiar'!C132-$B$6)/$C$6</f>
        <v/>
      </c>
      <c r="D118" s="6">
        <f>('2 transformar y limpiar'!D132-$B$7)/$C$7</f>
        <v/>
      </c>
      <c r="E118" s="6">
        <f>('2 transformar y limpiar'!E132-$B$8)/$C$8</f>
        <v/>
      </c>
      <c r="F118" s="6">
        <f>('2 transformar y limpiar'!F132-$B$9)/$C$9</f>
        <v/>
      </c>
      <c r="G118">
        <f>'2 transformar y limpiar'!G132</f>
        <v/>
      </c>
      <c r="H118">
        <f>'2 transformar y limpiar'!H132</f>
        <v/>
      </c>
      <c r="I118">
        <f>'2 transformar y limpiar'!I132</f>
        <v/>
      </c>
      <c r="J118">
        <f>'2 transformar y limpiar'!J132</f>
        <v/>
      </c>
      <c r="K118">
        <f>'2 transformar y limpiar'!K132</f>
        <v/>
      </c>
      <c r="L118">
        <f>'2 transformar y limpiar'!L132</f>
        <v/>
      </c>
      <c r="M118">
        <f>'2 transformar y limpiar'!M132</f>
        <v/>
      </c>
      <c r="N118">
        <f>'2 transformar y limpiar'!N132</f>
        <v/>
      </c>
      <c r="O118">
        <f>'2 transformar y limpiar'!O132</f>
        <v/>
      </c>
      <c r="P118">
        <f>'2 transformar y limpiar'!P132</f>
        <v/>
      </c>
      <c r="Q118">
        <f>'2 transformar y limpiar'!Q132</f>
        <v/>
      </c>
      <c r="R118">
        <f>'2 transformar y limpiar'!R132</f>
        <v/>
      </c>
      <c r="S118">
        <f>'2 transformar y limpiar'!S132</f>
        <v/>
      </c>
      <c r="T118">
        <f>'2 transformar y limpiar'!T132</f>
        <v/>
      </c>
      <c r="U118" s="5">
        <f>'2 transformar y limpiar'!U132</f>
        <v/>
      </c>
    </row>
    <row r="119">
      <c r="A119">
        <f>'2 transformar y limpiar'!A133</f>
        <v/>
      </c>
      <c r="B119">
        <f>'2 transformar y limpiar'!B133</f>
        <v/>
      </c>
      <c r="C119" s="6">
        <f>('2 transformar y limpiar'!C133-$B$6)/$C$6</f>
        <v/>
      </c>
      <c r="D119" s="6">
        <f>('2 transformar y limpiar'!D133-$B$7)/$C$7</f>
        <v/>
      </c>
      <c r="E119" s="6">
        <f>('2 transformar y limpiar'!E133-$B$8)/$C$8</f>
        <v/>
      </c>
      <c r="F119" s="6">
        <f>('2 transformar y limpiar'!F133-$B$9)/$C$9</f>
        <v/>
      </c>
      <c r="G119">
        <f>'2 transformar y limpiar'!G133</f>
        <v/>
      </c>
      <c r="H119">
        <f>'2 transformar y limpiar'!H133</f>
        <v/>
      </c>
      <c r="I119">
        <f>'2 transformar y limpiar'!I133</f>
        <v/>
      </c>
      <c r="J119">
        <f>'2 transformar y limpiar'!J133</f>
        <v/>
      </c>
      <c r="K119">
        <f>'2 transformar y limpiar'!K133</f>
        <v/>
      </c>
      <c r="L119">
        <f>'2 transformar y limpiar'!L133</f>
        <v/>
      </c>
      <c r="M119">
        <f>'2 transformar y limpiar'!M133</f>
        <v/>
      </c>
      <c r="N119">
        <f>'2 transformar y limpiar'!N133</f>
        <v/>
      </c>
      <c r="O119">
        <f>'2 transformar y limpiar'!O133</f>
        <v/>
      </c>
      <c r="P119">
        <f>'2 transformar y limpiar'!P133</f>
        <v/>
      </c>
      <c r="Q119">
        <f>'2 transformar y limpiar'!Q133</f>
        <v/>
      </c>
      <c r="R119">
        <f>'2 transformar y limpiar'!R133</f>
        <v/>
      </c>
      <c r="S119">
        <f>'2 transformar y limpiar'!S133</f>
        <v/>
      </c>
      <c r="T119">
        <f>'2 transformar y limpiar'!T133</f>
        <v/>
      </c>
      <c r="U119" s="5">
        <f>'2 transformar y limpiar'!U133</f>
        <v/>
      </c>
    </row>
    <row r="120">
      <c r="A120">
        <f>'2 transformar y limpiar'!A134</f>
        <v/>
      </c>
      <c r="B120">
        <f>'2 transformar y limpiar'!B134</f>
        <v/>
      </c>
      <c r="C120" s="6">
        <f>('2 transformar y limpiar'!C134-$B$6)/$C$6</f>
        <v/>
      </c>
      <c r="D120" s="6">
        <f>('2 transformar y limpiar'!D134-$B$7)/$C$7</f>
        <v/>
      </c>
      <c r="E120" s="6">
        <f>('2 transformar y limpiar'!E134-$B$8)/$C$8</f>
        <v/>
      </c>
      <c r="F120" s="6">
        <f>('2 transformar y limpiar'!F134-$B$9)/$C$9</f>
        <v/>
      </c>
      <c r="G120">
        <f>'2 transformar y limpiar'!G134</f>
        <v/>
      </c>
      <c r="H120">
        <f>'2 transformar y limpiar'!H134</f>
        <v/>
      </c>
      <c r="I120">
        <f>'2 transformar y limpiar'!I134</f>
        <v/>
      </c>
      <c r="J120">
        <f>'2 transformar y limpiar'!J134</f>
        <v/>
      </c>
      <c r="K120">
        <f>'2 transformar y limpiar'!K134</f>
        <v/>
      </c>
      <c r="L120">
        <f>'2 transformar y limpiar'!L134</f>
        <v/>
      </c>
      <c r="M120">
        <f>'2 transformar y limpiar'!M134</f>
        <v/>
      </c>
      <c r="N120">
        <f>'2 transformar y limpiar'!N134</f>
        <v/>
      </c>
      <c r="O120">
        <f>'2 transformar y limpiar'!O134</f>
        <v/>
      </c>
      <c r="P120">
        <f>'2 transformar y limpiar'!P134</f>
        <v/>
      </c>
      <c r="Q120">
        <f>'2 transformar y limpiar'!Q134</f>
        <v/>
      </c>
      <c r="R120">
        <f>'2 transformar y limpiar'!R134</f>
        <v/>
      </c>
      <c r="S120">
        <f>'2 transformar y limpiar'!S134</f>
        <v/>
      </c>
      <c r="T120">
        <f>'2 transformar y limpiar'!T134</f>
        <v/>
      </c>
      <c r="U120" s="5">
        <f>'2 transformar y limpiar'!U134</f>
        <v/>
      </c>
    </row>
    <row r="121">
      <c r="A121">
        <f>'2 transformar y limpiar'!A135</f>
        <v/>
      </c>
      <c r="B121">
        <f>'2 transformar y limpiar'!B135</f>
        <v/>
      </c>
      <c r="C121" s="6">
        <f>('2 transformar y limpiar'!C135-$B$6)/$C$6</f>
        <v/>
      </c>
      <c r="D121" s="6">
        <f>('2 transformar y limpiar'!D135-$B$7)/$C$7</f>
        <v/>
      </c>
      <c r="E121" s="6">
        <f>('2 transformar y limpiar'!E135-$B$8)/$C$8</f>
        <v/>
      </c>
      <c r="F121" s="6">
        <f>('2 transformar y limpiar'!F135-$B$9)/$C$9</f>
        <v/>
      </c>
      <c r="G121">
        <f>'2 transformar y limpiar'!G135</f>
        <v/>
      </c>
      <c r="H121">
        <f>'2 transformar y limpiar'!H135</f>
        <v/>
      </c>
      <c r="I121">
        <f>'2 transformar y limpiar'!I135</f>
        <v/>
      </c>
      <c r="J121">
        <f>'2 transformar y limpiar'!J135</f>
        <v/>
      </c>
      <c r="K121">
        <f>'2 transformar y limpiar'!K135</f>
        <v/>
      </c>
      <c r="L121">
        <f>'2 transformar y limpiar'!L135</f>
        <v/>
      </c>
      <c r="M121">
        <f>'2 transformar y limpiar'!M135</f>
        <v/>
      </c>
      <c r="N121">
        <f>'2 transformar y limpiar'!N135</f>
        <v/>
      </c>
      <c r="O121">
        <f>'2 transformar y limpiar'!O135</f>
        <v/>
      </c>
      <c r="P121">
        <f>'2 transformar y limpiar'!P135</f>
        <v/>
      </c>
      <c r="Q121">
        <f>'2 transformar y limpiar'!Q135</f>
        <v/>
      </c>
      <c r="R121">
        <f>'2 transformar y limpiar'!R135</f>
        <v/>
      </c>
      <c r="S121">
        <f>'2 transformar y limpiar'!S135</f>
        <v/>
      </c>
      <c r="T121">
        <f>'2 transformar y limpiar'!T135</f>
        <v/>
      </c>
      <c r="U121" s="5">
        <f>'2 transformar y limpiar'!U135</f>
        <v/>
      </c>
    </row>
    <row r="122">
      <c r="A122">
        <f>'2 transformar y limpiar'!A136</f>
        <v/>
      </c>
      <c r="B122">
        <f>'2 transformar y limpiar'!B136</f>
        <v/>
      </c>
      <c r="C122" s="6">
        <f>('2 transformar y limpiar'!C136-$B$6)/$C$6</f>
        <v/>
      </c>
      <c r="D122" s="6">
        <f>('2 transformar y limpiar'!D136-$B$7)/$C$7</f>
        <v/>
      </c>
      <c r="E122" s="6">
        <f>('2 transformar y limpiar'!E136-$B$8)/$C$8</f>
        <v/>
      </c>
      <c r="F122" s="6">
        <f>('2 transformar y limpiar'!F136-$B$9)/$C$9</f>
        <v/>
      </c>
      <c r="G122">
        <f>'2 transformar y limpiar'!G136</f>
        <v/>
      </c>
      <c r="H122">
        <f>'2 transformar y limpiar'!H136</f>
        <v/>
      </c>
      <c r="I122">
        <f>'2 transformar y limpiar'!I136</f>
        <v/>
      </c>
      <c r="J122">
        <f>'2 transformar y limpiar'!J136</f>
        <v/>
      </c>
      <c r="K122">
        <f>'2 transformar y limpiar'!K136</f>
        <v/>
      </c>
      <c r="L122">
        <f>'2 transformar y limpiar'!L136</f>
        <v/>
      </c>
      <c r="M122">
        <f>'2 transformar y limpiar'!M136</f>
        <v/>
      </c>
      <c r="N122">
        <f>'2 transformar y limpiar'!N136</f>
        <v/>
      </c>
      <c r="O122">
        <f>'2 transformar y limpiar'!O136</f>
        <v/>
      </c>
      <c r="P122">
        <f>'2 transformar y limpiar'!P136</f>
        <v/>
      </c>
      <c r="Q122">
        <f>'2 transformar y limpiar'!Q136</f>
        <v/>
      </c>
      <c r="R122">
        <f>'2 transformar y limpiar'!R136</f>
        <v/>
      </c>
      <c r="S122">
        <f>'2 transformar y limpiar'!S136</f>
        <v/>
      </c>
      <c r="T122">
        <f>'2 transformar y limpiar'!T136</f>
        <v/>
      </c>
      <c r="U122" s="5">
        <f>'2 transformar y limpiar'!U136</f>
        <v/>
      </c>
    </row>
    <row r="123">
      <c r="A123">
        <f>'2 transformar y limpiar'!A137</f>
        <v/>
      </c>
      <c r="B123">
        <f>'2 transformar y limpiar'!B137</f>
        <v/>
      </c>
      <c r="C123" s="6">
        <f>('2 transformar y limpiar'!C137-$B$6)/$C$6</f>
        <v/>
      </c>
      <c r="D123" s="6">
        <f>('2 transformar y limpiar'!D137-$B$7)/$C$7</f>
        <v/>
      </c>
      <c r="E123" s="6">
        <f>('2 transformar y limpiar'!E137-$B$8)/$C$8</f>
        <v/>
      </c>
      <c r="F123" s="6">
        <f>('2 transformar y limpiar'!F137-$B$9)/$C$9</f>
        <v/>
      </c>
      <c r="G123">
        <f>'2 transformar y limpiar'!G137</f>
        <v/>
      </c>
      <c r="H123">
        <f>'2 transformar y limpiar'!H137</f>
        <v/>
      </c>
      <c r="I123">
        <f>'2 transformar y limpiar'!I137</f>
        <v/>
      </c>
      <c r="J123">
        <f>'2 transformar y limpiar'!J137</f>
        <v/>
      </c>
      <c r="K123">
        <f>'2 transformar y limpiar'!K137</f>
        <v/>
      </c>
      <c r="L123">
        <f>'2 transformar y limpiar'!L137</f>
        <v/>
      </c>
      <c r="M123">
        <f>'2 transformar y limpiar'!M137</f>
        <v/>
      </c>
      <c r="N123">
        <f>'2 transformar y limpiar'!N137</f>
        <v/>
      </c>
      <c r="O123">
        <f>'2 transformar y limpiar'!O137</f>
        <v/>
      </c>
      <c r="P123">
        <f>'2 transformar y limpiar'!P137</f>
        <v/>
      </c>
      <c r="Q123">
        <f>'2 transformar y limpiar'!Q137</f>
        <v/>
      </c>
      <c r="R123">
        <f>'2 transformar y limpiar'!R137</f>
        <v/>
      </c>
      <c r="S123">
        <f>'2 transformar y limpiar'!S137</f>
        <v/>
      </c>
      <c r="T123">
        <f>'2 transformar y limpiar'!T137</f>
        <v/>
      </c>
      <c r="U123" s="5">
        <f>'2 transformar y limpiar'!U137</f>
        <v/>
      </c>
    </row>
    <row r="124">
      <c r="A124">
        <f>'2 transformar y limpiar'!A138</f>
        <v/>
      </c>
      <c r="B124">
        <f>'2 transformar y limpiar'!B138</f>
        <v/>
      </c>
      <c r="C124" s="6">
        <f>('2 transformar y limpiar'!C138-$B$6)/$C$6</f>
        <v/>
      </c>
      <c r="D124" s="6">
        <f>('2 transformar y limpiar'!D138-$B$7)/$C$7</f>
        <v/>
      </c>
      <c r="E124" s="6">
        <f>('2 transformar y limpiar'!E138-$B$8)/$C$8</f>
        <v/>
      </c>
      <c r="F124" s="6">
        <f>('2 transformar y limpiar'!F138-$B$9)/$C$9</f>
        <v/>
      </c>
      <c r="G124">
        <f>'2 transformar y limpiar'!G138</f>
        <v/>
      </c>
      <c r="H124">
        <f>'2 transformar y limpiar'!H138</f>
        <v/>
      </c>
      <c r="I124">
        <f>'2 transformar y limpiar'!I138</f>
        <v/>
      </c>
      <c r="J124">
        <f>'2 transformar y limpiar'!J138</f>
        <v/>
      </c>
      <c r="K124">
        <f>'2 transformar y limpiar'!K138</f>
        <v/>
      </c>
      <c r="L124">
        <f>'2 transformar y limpiar'!L138</f>
        <v/>
      </c>
      <c r="M124">
        <f>'2 transformar y limpiar'!M138</f>
        <v/>
      </c>
      <c r="N124">
        <f>'2 transformar y limpiar'!N138</f>
        <v/>
      </c>
      <c r="O124">
        <f>'2 transformar y limpiar'!O138</f>
        <v/>
      </c>
      <c r="P124">
        <f>'2 transformar y limpiar'!P138</f>
        <v/>
      </c>
      <c r="Q124">
        <f>'2 transformar y limpiar'!Q138</f>
        <v/>
      </c>
      <c r="R124">
        <f>'2 transformar y limpiar'!R138</f>
        <v/>
      </c>
      <c r="S124">
        <f>'2 transformar y limpiar'!S138</f>
        <v/>
      </c>
      <c r="T124">
        <f>'2 transformar y limpiar'!T138</f>
        <v/>
      </c>
      <c r="U124" s="5">
        <f>'2 transformar y limpiar'!U138</f>
        <v/>
      </c>
    </row>
    <row r="125">
      <c r="A125">
        <f>'2 transformar y limpiar'!A139</f>
        <v/>
      </c>
      <c r="B125">
        <f>'2 transformar y limpiar'!B139</f>
        <v/>
      </c>
      <c r="C125" s="6">
        <f>('2 transformar y limpiar'!C139-$B$6)/$C$6</f>
        <v/>
      </c>
      <c r="D125" s="6">
        <f>('2 transformar y limpiar'!D139-$B$7)/$C$7</f>
        <v/>
      </c>
      <c r="E125" s="6">
        <f>('2 transformar y limpiar'!E139-$B$8)/$C$8</f>
        <v/>
      </c>
      <c r="F125" s="6">
        <f>('2 transformar y limpiar'!F139-$B$9)/$C$9</f>
        <v/>
      </c>
      <c r="G125">
        <f>'2 transformar y limpiar'!G139</f>
        <v/>
      </c>
      <c r="H125">
        <f>'2 transformar y limpiar'!H139</f>
        <v/>
      </c>
      <c r="I125">
        <f>'2 transformar y limpiar'!I139</f>
        <v/>
      </c>
      <c r="J125">
        <f>'2 transformar y limpiar'!J139</f>
        <v/>
      </c>
      <c r="K125">
        <f>'2 transformar y limpiar'!K139</f>
        <v/>
      </c>
      <c r="L125">
        <f>'2 transformar y limpiar'!L139</f>
        <v/>
      </c>
      <c r="M125">
        <f>'2 transformar y limpiar'!M139</f>
        <v/>
      </c>
      <c r="N125">
        <f>'2 transformar y limpiar'!N139</f>
        <v/>
      </c>
      <c r="O125">
        <f>'2 transformar y limpiar'!O139</f>
        <v/>
      </c>
      <c r="P125">
        <f>'2 transformar y limpiar'!P139</f>
        <v/>
      </c>
      <c r="Q125">
        <f>'2 transformar y limpiar'!Q139</f>
        <v/>
      </c>
      <c r="R125">
        <f>'2 transformar y limpiar'!R139</f>
        <v/>
      </c>
      <c r="S125">
        <f>'2 transformar y limpiar'!S139</f>
        <v/>
      </c>
      <c r="T125">
        <f>'2 transformar y limpiar'!T139</f>
        <v/>
      </c>
      <c r="U125" s="5">
        <f>'2 transformar y limpiar'!U139</f>
        <v/>
      </c>
    </row>
    <row r="126">
      <c r="A126">
        <f>'2 transformar y limpiar'!A140</f>
        <v/>
      </c>
      <c r="B126">
        <f>'2 transformar y limpiar'!B140</f>
        <v/>
      </c>
      <c r="C126" s="6">
        <f>('2 transformar y limpiar'!C140-$B$6)/$C$6</f>
        <v/>
      </c>
      <c r="D126" s="6">
        <f>('2 transformar y limpiar'!D140-$B$7)/$C$7</f>
        <v/>
      </c>
      <c r="E126" s="6">
        <f>('2 transformar y limpiar'!E140-$B$8)/$C$8</f>
        <v/>
      </c>
      <c r="F126" s="6">
        <f>('2 transformar y limpiar'!F140-$B$9)/$C$9</f>
        <v/>
      </c>
      <c r="G126">
        <f>'2 transformar y limpiar'!G140</f>
        <v/>
      </c>
      <c r="H126">
        <f>'2 transformar y limpiar'!H140</f>
        <v/>
      </c>
      <c r="I126">
        <f>'2 transformar y limpiar'!I140</f>
        <v/>
      </c>
      <c r="J126">
        <f>'2 transformar y limpiar'!J140</f>
        <v/>
      </c>
      <c r="K126">
        <f>'2 transformar y limpiar'!K140</f>
        <v/>
      </c>
      <c r="L126">
        <f>'2 transformar y limpiar'!L140</f>
        <v/>
      </c>
      <c r="M126">
        <f>'2 transformar y limpiar'!M140</f>
        <v/>
      </c>
      <c r="N126">
        <f>'2 transformar y limpiar'!N140</f>
        <v/>
      </c>
      <c r="O126">
        <f>'2 transformar y limpiar'!O140</f>
        <v/>
      </c>
      <c r="P126">
        <f>'2 transformar y limpiar'!P140</f>
        <v/>
      </c>
      <c r="Q126">
        <f>'2 transformar y limpiar'!Q140</f>
        <v/>
      </c>
      <c r="R126">
        <f>'2 transformar y limpiar'!R140</f>
        <v/>
      </c>
      <c r="S126">
        <f>'2 transformar y limpiar'!S140</f>
        <v/>
      </c>
      <c r="T126">
        <f>'2 transformar y limpiar'!T140</f>
        <v/>
      </c>
      <c r="U126" s="5">
        <f>'2 transformar y limpiar'!U140</f>
        <v/>
      </c>
    </row>
    <row r="127">
      <c r="A127">
        <f>'2 transformar y limpiar'!A141</f>
        <v/>
      </c>
      <c r="B127">
        <f>'2 transformar y limpiar'!B141</f>
        <v/>
      </c>
      <c r="C127" s="6">
        <f>('2 transformar y limpiar'!C141-$B$6)/$C$6</f>
        <v/>
      </c>
      <c r="D127" s="6">
        <f>('2 transformar y limpiar'!D141-$B$7)/$C$7</f>
        <v/>
      </c>
      <c r="E127" s="6">
        <f>('2 transformar y limpiar'!E141-$B$8)/$C$8</f>
        <v/>
      </c>
      <c r="F127" s="6">
        <f>('2 transformar y limpiar'!F141-$B$9)/$C$9</f>
        <v/>
      </c>
      <c r="G127">
        <f>'2 transformar y limpiar'!G141</f>
        <v/>
      </c>
      <c r="H127">
        <f>'2 transformar y limpiar'!H141</f>
        <v/>
      </c>
      <c r="I127">
        <f>'2 transformar y limpiar'!I141</f>
        <v/>
      </c>
      <c r="J127">
        <f>'2 transformar y limpiar'!J141</f>
        <v/>
      </c>
      <c r="K127">
        <f>'2 transformar y limpiar'!K141</f>
        <v/>
      </c>
      <c r="L127">
        <f>'2 transformar y limpiar'!L141</f>
        <v/>
      </c>
      <c r="M127">
        <f>'2 transformar y limpiar'!M141</f>
        <v/>
      </c>
      <c r="N127">
        <f>'2 transformar y limpiar'!N141</f>
        <v/>
      </c>
      <c r="O127">
        <f>'2 transformar y limpiar'!O141</f>
        <v/>
      </c>
      <c r="P127">
        <f>'2 transformar y limpiar'!P141</f>
        <v/>
      </c>
      <c r="Q127">
        <f>'2 transformar y limpiar'!Q141</f>
        <v/>
      </c>
      <c r="R127">
        <f>'2 transformar y limpiar'!R141</f>
        <v/>
      </c>
      <c r="S127">
        <f>'2 transformar y limpiar'!S141</f>
        <v/>
      </c>
      <c r="T127">
        <f>'2 transformar y limpiar'!T141</f>
        <v/>
      </c>
      <c r="U127" s="5">
        <f>'2 transformar y limpiar'!U141</f>
        <v/>
      </c>
    </row>
    <row r="128">
      <c r="A128">
        <f>'2 transformar y limpiar'!A142</f>
        <v/>
      </c>
      <c r="B128">
        <f>'2 transformar y limpiar'!B142</f>
        <v/>
      </c>
      <c r="C128" s="6">
        <f>('2 transformar y limpiar'!C142-$B$6)/$C$6</f>
        <v/>
      </c>
      <c r="D128" s="6">
        <f>('2 transformar y limpiar'!D142-$B$7)/$C$7</f>
        <v/>
      </c>
      <c r="E128" s="6">
        <f>('2 transformar y limpiar'!E142-$B$8)/$C$8</f>
        <v/>
      </c>
      <c r="F128" s="6">
        <f>('2 transformar y limpiar'!F142-$B$9)/$C$9</f>
        <v/>
      </c>
      <c r="G128">
        <f>'2 transformar y limpiar'!G142</f>
        <v/>
      </c>
      <c r="H128">
        <f>'2 transformar y limpiar'!H142</f>
        <v/>
      </c>
      <c r="I128">
        <f>'2 transformar y limpiar'!I142</f>
        <v/>
      </c>
      <c r="J128">
        <f>'2 transformar y limpiar'!J142</f>
        <v/>
      </c>
      <c r="K128">
        <f>'2 transformar y limpiar'!K142</f>
        <v/>
      </c>
      <c r="L128">
        <f>'2 transformar y limpiar'!L142</f>
        <v/>
      </c>
      <c r="M128">
        <f>'2 transformar y limpiar'!M142</f>
        <v/>
      </c>
      <c r="N128">
        <f>'2 transformar y limpiar'!N142</f>
        <v/>
      </c>
      <c r="O128">
        <f>'2 transformar y limpiar'!O142</f>
        <v/>
      </c>
      <c r="P128">
        <f>'2 transformar y limpiar'!P142</f>
        <v/>
      </c>
      <c r="Q128">
        <f>'2 transformar y limpiar'!Q142</f>
        <v/>
      </c>
      <c r="R128">
        <f>'2 transformar y limpiar'!R142</f>
        <v/>
      </c>
      <c r="S128">
        <f>'2 transformar y limpiar'!S142</f>
        <v/>
      </c>
      <c r="T128">
        <f>'2 transformar y limpiar'!T142</f>
        <v/>
      </c>
      <c r="U128" s="5">
        <f>'2 transformar y limpiar'!U142</f>
        <v/>
      </c>
    </row>
    <row r="129">
      <c r="A129">
        <f>'2 transformar y limpiar'!A143</f>
        <v/>
      </c>
      <c r="B129">
        <f>'2 transformar y limpiar'!B143</f>
        <v/>
      </c>
      <c r="C129" s="6">
        <f>('2 transformar y limpiar'!C143-$B$6)/$C$6</f>
        <v/>
      </c>
      <c r="D129" s="6">
        <f>('2 transformar y limpiar'!D143-$B$7)/$C$7</f>
        <v/>
      </c>
      <c r="E129" s="6">
        <f>('2 transformar y limpiar'!E143-$B$8)/$C$8</f>
        <v/>
      </c>
      <c r="F129" s="6">
        <f>('2 transformar y limpiar'!F143-$B$9)/$C$9</f>
        <v/>
      </c>
      <c r="G129">
        <f>'2 transformar y limpiar'!G143</f>
        <v/>
      </c>
      <c r="H129">
        <f>'2 transformar y limpiar'!H143</f>
        <v/>
      </c>
      <c r="I129">
        <f>'2 transformar y limpiar'!I143</f>
        <v/>
      </c>
      <c r="J129">
        <f>'2 transformar y limpiar'!J143</f>
        <v/>
      </c>
      <c r="K129">
        <f>'2 transformar y limpiar'!K143</f>
        <v/>
      </c>
      <c r="L129">
        <f>'2 transformar y limpiar'!L143</f>
        <v/>
      </c>
      <c r="M129">
        <f>'2 transformar y limpiar'!M143</f>
        <v/>
      </c>
      <c r="N129">
        <f>'2 transformar y limpiar'!N143</f>
        <v/>
      </c>
      <c r="O129">
        <f>'2 transformar y limpiar'!O143</f>
        <v/>
      </c>
      <c r="P129">
        <f>'2 transformar y limpiar'!P143</f>
        <v/>
      </c>
      <c r="Q129">
        <f>'2 transformar y limpiar'!Q143</f>
        <v/>
      </c>
      <c r="R129">
        <f>'2 transformar y limpiar'!R143</f>
        <v/>
      </c>
      <c r="S129">
        <f>'2 transformar y limpiar'!S143</f>
        <v/>
      </c>
      <c r="T129">
        <f>'2 transformar y limpiar'!T143</f>
        <v/>
      </c>
      <c r="U129" s="5">
        <f>'2 transformar y limpiar'!U143</f>
        <v/>
      </c>
    </row>
    <row r="130">
      <c r="A130">
        <f>'2 transformar y limpiar'!A144</f>
        <v/>
      </c>
      <c r="B130">
        <f>'2 transformar y limpiar'!B144</f>
        <v/>
      </c>
      <c r="C130" s="6">
        <f>('2 transformar y limpiar'!C144-$B$6)/$C$6</f>
        <v/>
      </c>
      <c r="D130" s="6">
        <f>('2 transformar y limpiar'!D144-$B$7)/$C$7</f>
        <v/>
      </c>
      <c r="E130" s="6">
        <f>('2 transformar y limpiar'!E144-$B$8)/$C$8</f>
        <v/>
      </c>
      <c r="F130" s="6">
        <f>('2 transformar y limpiar'!F144-$B$9)/$C$9</f>
        <v/>
      </c>
      <c r="G130">
        <f>'2 transformar y limpiar'!G144</f>
        <v/>
      </c>
      <c r="H130">
        <f>'2 transformar y limpiar'!H144</f>
        <v/>
      </c>
      <c r="I130">
        <f>'2 transformar y limpiar'!I144</f>
        <v/>
      </c>
      <c r="J130">
        <f>'2 transformar y limpiar'!J144</f>
        <v/>
      </c>
      <c r="K130">
        <f>'2 transformar y limpiar'!K144</f>
        <v/>
      </c>
      <c r="L130">
        <f>'2 transformar y limpiar'!L144</f>
        <v/>
      </c>
      <c r="M130">
        <f>'2 transformar y limpiar'!M144</f>
        <v/>
      </c>
      <c r="N130">
        <f>'2 transformar y limpiar'!N144</f>
        <v/>
      </c>
      <c r="O130">
        <f>'2 transformar y limpiar'!O144</f>
        <v/>
      </c>
      <c r="P130">
        <f>'2 transformar y limpiar'!P144</f>
        <v/>
      </c>
      <c r="Q130">
        <f>'2 transformar y limpiar'!Q144</f>
        <v/>
      </c>
      <c r="R130">
        <f>'2 transformar y limpiar'!R144</f>
        <v/>
      </c>
      <c r="S130">
        <f>'2 transformar y limpiar'!S144</f>
        <v/>
      </c>
      <c r="T130">
        <f>'2 transformar y limpiar'!T144</f>
        <v/>
      </c>
      <c r="U130" s="5">
        <f>'2 transformar y limpiar'!U144</f>
        <v/>
      </c>
    </row>
    <row r="131">
      <c r="A131">
        <f>'2 transformar y limpiar'!A145</f>
        <v/>
      </c>
      <c r="B131">
        <f>'2 transformar y limpiar'!B145</f>
        <v/>
      </c>
      <c r="C131" s="6">
        <f>('2 transformar y limpiar'!C145-$B$6)/$C$6</f>
        <v/>
      </c>
      <c r="D131" s="6">
        <f>('2 transformar y limpiar'!D145-$B$7)/$C$7</f>
        <v/>
      </c>
      <c r="E131" s="6">
        <f>('2 transformar y limpiar'!E145-$B$8)/$C$8</f>
        <v/>
      </c>
      <c r="F131" s="6">
        <f>('2 transformar y limpiar'!F145-$B$9)/$C$9</f>
        <v/>
      </c>
      <c r="G131">
        <f>'2 transformar y limpiar'!G145</f>
        <v/>
      </c>
      <c r="H131">
        <f>'2 transformar y limpiar'!H145</f>
        <v/>
      </c>
      <c r="I131">
        <f>'2 transformar y limpiar'!I145</f>
        <v/>
      </c>
      <c r="J131">
        <f>'2 transformar y limpiar'!J145</f>
        <v/>
      </c>
      <c r="K131">
        <f>'2 transformar y limpiar'!K145</f>
        <v/>
      </c>
      <c r="L131">
        <f>'2 transformar y limpiar'!L145</f>
        <v/>
      </c>
      <c r="M131">
        <f>'2 transformar y limpiar'!M145</f>
        <v/>
      </c>
      <c r="N131">
        <f>'2 transformar y limpiar'!N145</f>
        <v/>
      </c>
      <c r="O131">
        <f>'2 transformar y limpiar'!O145</f>
        <v/>
      </c>
      <c r="P131">
        <f>'2 transformar y limpiar'!P145</f>
        <v/>
      </c>
      <c r="Q131">
        <f>'2 transformar y limpiar'!Q145</f>
        <v/>
      </c>
      <c r="R131">
        <f>'2 transformar y limpiar'!R145</f>
        <v/>
      </c>
      <c r="S131">
        <f>'2 transformar y limpiar'!S145</f>
        <v/>
      </c>
      <c r="T131">
        <f>'2 transformar y limpiar'!T145</f>
        <v/>
      </c>
      <c r="U131" s="5">
        <f>'2 transformar y limpiar'!U145</f>
        <v/>
      </c>
    </row>
    <row r="132">
      <c r="A132">
        <f>'2 transformar y limpiar'!A146</f>
        <v/>
      </c>
      <c r="B132">
        <f>'2 transformar y limpiar'!B146</f>
        <v/>
      </c>
      <c r="C132" s="6">
        <f>('2 transformar y limpiar'!C146-$B$6)/$C$6</f>
        <v/>
      </c>
      <c r="D132" s="6">
        <f>('2 transformar y limpiar'!D146-$B$7)/$C$7</f>
        <v/>
      </c>
      <c r="E132" s="6">
        <f>('2 transformar y limpiar'!E146-$B$8)/$C$8</f>
        <v/>
      </c>
      <c r="F132" s="6">
        <f>('2 transformar y limpiar'!F146-$B$9)/$C$9</f>
        <v/>
      </c>
      <c r="G132">
        <f>'2 transformar y limpiar'!G146</f>
        <v/>
      </c>
      <c r="H132">
        <f>'2 transformar y limpiar'!H146</f>
        <v/>
      </c>
      <c r="I132">
        <f>'2 transformar y limpiar'!I146</f>
        <v/>
      </c>
      <c r="J132">
        <f>'2 transformar y limpiar'!J146</f>
        <v/>
      </c>
      <c r="K132">
        <f>'2 transformar y limpiar'!K146</f>
        <v/>
      </c>
      <c r="L132">
        <f>'2 transformar y limpiar'!L146</f>
        <v/>
      </c>
      <c r="M132">
        <f>'2 transformar y limpiar'!M146</f>
        <v/>
      </c>
      <c r="N132">
        <f>'2 transformar y limpiar'!N146</f>
        <v/>
      </c>
      <c r="O132">
        <f>'2 transformar y limpiar'!O146</f>
        <v/>
      </c>
      <c r="P132">
        <f>'2 transformar y limpiar'!P146</f>
        <v/>
      </c>
      <c r="Q132">
        <f>'2 transformar y limpiar'!Q146</f>
        <v/>
      </c>
      <c r="R132">
        <f>'2 transformar y limpiar'!R146</f>
        <v/>
      </c>
      <c r="S132">
        <f>'2 transformar y limpiar'!S146</f>
        <v/>
      </c>
      <c r="T132">
        <f>'2 transformar y limpiar'!T146</f>
        <v/>
      </c>
      <c r="U132" s="5">
        <f>'2 transformar y limpiar'!U146</f>
        <v/>
      </c>
    </row>
    <row r="133">
      <c r="A133">
        <f>'2 transformar y limpiar'!A147</f>
        <v/>
      </c>
      <c r="B133">
        <f>'2 transformar y limpiar'!B147</f>
        <v/>
      </c>
      <c r="C133" s="6">
        <f>('2 transformar y limpiar'!C147-$B$6)/$C$6</f>
        <v/>
      </c>
      <c r="D133" s="6">
        <f>('2 transformar y limpiar'!D147-$B$7)/$C$7</f>
        <v/>
      </c>
      <c r="E133" s="6">
        <f>('2 transformar y limpiar'!E147-$B$8)/$C$8</f>
        <v/>
      </c>
      <c r="F133" s="6">
        <f>('2 transformar y limpiar'!F147-$B$9)/$C$9</f>
        <v/>
      </c>
      <c r="G133">
        <f>'2 transformar y limpiar'!G147</f>
        <v/>
      </c>
      <c r="H133">
        <f>'2 transformar y limpiar'!H147</f>
        <v/>
      </c>
      <c r="I133">
        <f>'2 transformar y limpiar'!I147</f>
        <v/>
      </c>
      <c r="J133">
        <f>'2 transformar y limpiar'!J147</f>
        <v/>
      </c>
      <c r="K133">
        <f>'2 transformar y limpiar'!K147</f>
        <v/>
      </c>
      <c r="L133">
        <f>'2 transformar y limpiar'!L147</f>
        <v/>
      </c>
      <c r="M133">
        <f>'2 transformar y limpiar'!M147</f>
        <v/>
      </c>
      <c r="N133">
        <f>'2 transformar y limpiar'!N147</f>
        <v/>
      </c>
      <c r="O133">
        <f>'2 transformar y limpiar'!O147</f>
        <v/>
      </c>
      <c r="P133">
        <f>'2 transformar y limpiar'!P147</f>
        <v/>
      </c>
      <c r="Q133">
        <f>'2 transformar y limpiar'!Q147</f>
        <v/>
      </c>
      <c r="R133">
        <f>'2 transformar y limpiar'!R147</f>
        <v/>
      </c>
      <c r="S133">
        <f>'2 transformar y limpiar'!S147</f>
        <v/>
      </c>
      <c r="T133">
        <f>'2 transformar y limpiar'!T147</f>
        <v/>
      </c>
      <c r="U133" s="5">
        <f>'2 transformar y limpiar'!U147</f>
        <v/>
      </c>
    </row>
    <row r="134">
      <c r="A134">
        <f>'2 transformar y limpiar'!A148</f>
        <v/>
      </c>
      <c r="B134">
        <f>'2 transformar y limpiar'!B148</f>
        <v/>
      </c>
      <c r="C134" s="6">
        <f>('2 transformar y limpiar'!C148-$B$6)/$C$6</f>
        <v/>
      </c>
      <c r="D134" s="6">
        <f>('2 transformar y limpiar'!D148-$B$7)/$C$7</f>
        <v/>
      </c>
      <c r="E134" s="6">
        <f>('2 transformar y limpiar'!E148-$B$8)/$C$8</f>
        <v/>
      </c>
      <c r="F134" s="6">
        <f>('2 transformar y limpiar'!F148-$B$9)/$C$9</f>
        <v/>
      </c>
      <c r="G134">
        <f>'2 transformar y limpiar'!G148</f>
        <v/>
      </c>
      <c r="H134">
        <f>'2 transformar y limpiar'!H148</f>
        <v/>
      </c>
      <c r="I134">
        <f>'2 transformar y limpiar'!I148</f>
        <v/>
      </c>
      <c r="J134">
        <f>'2 transformar y limpiar'!J148</f>
        <v/>
      </c>
      <c r="K134">
        <f>'2 transformar y limpiar'!K148</f>
        <v/>
      </c>
      <c r="L134">
        <f>'2 transformar y limpiar'!L148</f>
        <v/>
      </c>
      <c r="M134">
        <f>'2 transformar y limpiar'!M148</f>
        <v/>
      </c>
      <c r="N134">
        <f>'2 transformar y limpiar'!N148</f>
        <v/>
      </c>
      <c r="O134">
        <f>'2 transformar y limpiar'!O148</f>
        <v/>
      </c>
      <c r="P134">
        <f>'2 transformar y limpiar'!P148</f>
        <v/>
      </c>
      <c r="Q134">
        <f>'2 transformar y limpiar'!Q148</f>
        <v/>
      </c>
      <c r="R134">
        <f>'2 transformar y limpiar'!R148</f>
        <v/>
      </c>
      <c r="S134">
        <f>'2 transformar y limpiar'!S148</f>
        <v/>
      </c>
      <c r="T134">
        <f>'2 transformar y limpiar'!T148</f>
        <v/>
      </c>
      <c r="U134" s="5">
        <f>'2 transformar y limpiar'!U148</f>
        <v/>
      </c>
    </row>
    <row r="135">
      <c r="A135">
        <f>'2 transformar y limpiar'!A149</f>
        <v/>
      </c>
      <c r="B135">
        <f>'2 transformar y limpiar'!B149</f>
        <v/>
      </c>
      <c r="C135" s="6">
        <f>('2 transformar y limpiar'!C149-$B$6)/$C$6</f>
        <v/>
      </c>
      <c r="D135" s="6">
        <f>('2 transformar y limpiar'!D149-$B$7)/$C$7</f>
        <v/>
      </c>
      <c r="E135" s="6">
        <f>('2 transformar y limpiar'!E149-$B$8)/$C$8</f>
        <v/>
      </c>
      <c r="F135" s="6">
        <f>('2 transformar y limpiar'!F149-$B$9)/$C$9</f>
        <v/>
      </c>
      <c r="G135">
        <f>'2 transformar y limpiar'!G149</f>
        <v/>
      </c>
      <c r="H135">
        <f>'2 transformar y limpiar'!H149</f>
        <v/>
      </c>
      <c r="I135">
        <f>'2 transformar y limpiar'!I149</f>
        <v/>
      </c>
      <c r="J135">
        <f>'2 transformar y limpiar'!J149</f>
        <v/>
      </c>
      <c r="K135">
        <f>'2 transformar y limpiar'!K149</f>
        <v/>
      </c>
      <c r="L135">
        <f>'2 transformar y limpiar'!L149</f>
        <v/>
      </c>
      <c r="M135">
        <f>'2 transformar y limpiar'!M149</f>
        <v/>
      </c>
      <c r="N135">
        <f>'2 transformar y limpiar'!N149</f>
        <v/>
      </c>
      <c r="O135">
        <f>'2 transformar y limpiar'!O149</f>
        <v/>
      </c>
      <c r="P135">
        <f>'2 transformar y limpiar'!P149</f>
        <v/>
      </c>
      <c r="Q135">
        <f>'2 transformar y limpiar'!Q149</f>
        <v/>
      </c>
      <c r="R135">
        <f>'2 transformar y limpiar'!R149</f>
        <v/>
      </c>
      <c r="S135">
        <f>'2 transformar y limpiar'!S149</f>
        <v/>
      </c>
      <c r="T135">
        <f>'2 transformar y limpiar'!T149</f>
        <v/>
      </c>
      <c r="U135" s="5">
        <f>'2 transformar y limpiar'!U149</f>
        <v/>
      </c>
    </row>
    <row r="136">
      <c r="A136">
        <f>'2 transformar y limpiar'!A150</f>
        <v/>
      </c>
      <c r="B136">
        <f>'2 transformar y limpiar'!B150</f>
        <v/>
      </c>
      <c r="C136" s="6">
        <f>('2 transformar y limpiar'!C150-$B$6)/$C$6</f>
        <v/>
      </c>
      <c r="D136" s="6">
        <f>('2 transformar y limpiar'!D150-$B$7)/$C$7</f>
        <v/>
      </c>
      <c r="E136" s="6">
        <f>('2 transformar y limpiar'!E150-$B$8)/$C$8</f>
        <v/>
      </c>
      <c r="F136" s="6">
        <f>('2 transformar y limpiar'!F150-$B$9)/$C$9</f>
        <v/>
      </c>
      <c r="G136">
        <f>'2 transformar y limpiar'!G150</f>
        <v/>
      </c>
      <c r="H136">
        <f>'2 transformar y limpiar'!H150</f>
        <v/>
      </c>
      <c r="I136">
        <f>'2 transformar y limpiar'!I150</f>
        <v/>
      </c>
      <c r="J136">
        <f>'2 transformar y limpiar'!J150</f>
        <v/>
      </c>
      <c r="K136">
        <f>'2 transformar y limpiar'!K150</f>
        <v/>
      </c>
      <c r="L136">
        <f>'2 transformar y limpiar'!L150</f>
        <v/>
      </c>
      <c r="M136">
        <f>'2 transformar y limpiar'!M150</f>
        <v/>
      </c>
      <c r="N136">
        <f>'2 transformar y limpiar'!N150</f>
        <v/>
      </c>
      <c r="O136">
        <f>'2 transformar y limpiar'!O150</f>
        <v/>
      </c>
      <c r="P136">
        <f>'2 transformar y limpiar'!P150</f>
        <v/>
      </c>
      <c r="Q136">
        <f>'2 transformar y limpiar'!Q150</f>
        <v/>
      </c>
      <c r="R136">
        <f>'2 transformar y limpiar'!R150</f>
        <v/>
      </c>
      <c r="S136">
        <f>'2 transformar y limpiar'!S150</f>
        <v/>
      </c>
      <c r="T136">
        <f>'2 transformar y limpiar'!T150</f>
        <v/>
      </c>
      <c r="U136" s="5">
        <f>'2 transformar y limpiar'!U150</f>
        <v/>
      </c>
    </row>
    <row r="137">
      <c r="A137">
        <f>'2 transformar y limpiar'!A151</f>
        <v/>
      </c>
      <c r="B137">
        <f>'2 transformar y limpiar'!B151</f>
        <v/>
      </c>
      <c r="C137" s="6">
        <f>('2 transformar y limpiar'!C151-$B$6)/$C$6</f>
        <v/>
      </c>
      <c r="D137" s="6">
        <f>('2 transformar y limpiar'!D151-$B$7)/$C$7</f>
        <v/>
      </c>
      <c r="E137" s="6">
        <f>('2 transformar y limpiar'!E151-$B$8)/$C$8</f>
        <v/>
      </c>
      <c r="F137" s="6">
        <f>('2 transformar y limpiar'!F151-$B$9)/$C$9</f>
        <v/>
      </c>
      <c r="G137">
        <f>'2 transformar y limpiar'!G151</f>
        <v/>
      </c>
      <c r="H137">
        <f>'2 transformar y limpiar'!H151</f>
        <v/>
      </c>
      <c r="I137">
        <f>'2 transformar y limpiar'!I151</f>
        <v/>
      </c>
      <c r="J137">
        <f>'2 transformar y limpiar'!J151</f>
        <v/>
      </c>
      <c r="K137">
        <f>'2 transformar y limpiar'!K151</f>
        <v/>
      </c>
      <c r="L137">
        <f>'2 transformar y limpiar'!L151</f>
        <v/>
      </c>
      <c r="M137">
        <f>'2 transformar y limpiar'!M151</f>
        <v/>
      </c>
      <c r="N137">
        <f>'2 transformar y limpiar'!N151</f>
        <v/>
      </c>
      <c r="O137">
        <f>'2 transformar y limpiar'!O151</f>
        <v/>
      </c>
      <c r="P137">
        <f>'2 transformar y limpiar'!P151</f>
        <v/>
      </c>
      <c r="Q137">
        <f>'2 transformar y limpiar'!Q151</f>
        <v/>
      </c>
      <c r="R137">
        <f>'2 transformar y limpiar'!R151</f>
        <v/>
      </c>
      <c r="S137">
        <f>'2 transformar y limpiar'!S151</f>
        <v/>
      </c>
      <c r="T137">
        <f>'2 transformar y limpiar'!T151</f>
        <v/>
      </c>
      <c r="U137" s="5">
        <f>'2 transformar y limpiar'!U151</f>
        <v/>
      </c>
    </row>
    <row r="138">
      <c r="A138">
        <f>'2 transformar y limpiar'!A152</f>
        <v/>
      </c>
      <c r="B138">
        <f>'2 transformar y limpiar'!B152</f>
        <v/>
      </c>
      <c r="C138" s="6">
        <f>('2 transformar y limpiar'!C152-$B$6)/$C$6</f>
        <v/>
      </c>
      <c r="D138" s="6">
        <f>('2 transformar y limpiar'!D152-$B$7)/$C$7</f>
        <v/>
      </c>
      <c r="E138" s="6">
        <f>('2 transformar y limpiar'!E152-$B$8)/$C$8</f>
        <v/>
      </c>
      <c r="F138" s="6">
        <f>('2 transformar y limpiar'!F152-$B$9)/$C$9</f>
        <v/>
      </c>
      <c r="G138">
        <f>'2 transformar y limpiar'!G152</f>
        <v/>
      </c>
      <c r="H138">
        <f>'2 transformar y limpiar'!H152</f>
        <v/>
      </c>
      <c r="I138">
        <f>'2 transformar y limpiar'!I152</f>
        <v/>
      </c>
      <c r="J138">
        <f>'2 transformar y limpiar'!J152</f>
        <v/>
      </c>
      <c r="K138">
        <f>'2 transformar y limpiar'!K152</f>
        <v/>
      </c>
      <c r="L138">
        <f>'2 transformar y limpiar'!L152</f>
        <v/>
      </c>
      <c r="M138">
        <f>'2 transformar y limpiar'!M152</f>
        <v/>
      </c>
      <c r="N138">
        <f>'2 transformar y limpiar'!N152</f>
        <v/>
      </c>
      <c r="O138">
        <f>'2 transformar y limpiar'!O152</f>
        <v/>
      </c>
      <c r="P138">
        <f>'2 transformar y limpiar'!P152</f>
        <v/>
      </c>
      <c r="Q138">
        <f>'2 transformar y limpiar'!Q152</f>
        <v/>
      </c>
      <c r="R138">
        <f>'2 transformar y limpiar'!R152</f>
        <v/>
      </c>
      <c r="S138">
        <f>'2 transformar y limpiar'!S152</f>
        <v/>
      </c>
      <c r="T138">
        <f>'2 transformar y limpiar'!T152</f>
        <v/>
      </c>
      <c r="U138" s="5">
        <f>'2 transformar y limpiar'!U152</f>
        <v/>
      </c>
    </row>
    <row r="139">
      <c r="A139">
        <f>'2 transformar y limpiar'!A153</f>
        <v/>
      </c>
      <c r="B139">
        <f>'2 transformar y limpiar'!B153</f>
        <v/>
      </c>
      <c r="C139" s="6">
        <f>('2 transformar y limpiar'!C153-$B$6)/$C$6</f>
        <v/>
      </c>
      <c r="D139" s="6">
        <f>('2 transformar y limpiar'!D153-$B$7)/$C$7</f>
        <v/>
      </c>
      <c r="E139" s="6">
        <f>('2 transformar y limpiar'!E153-$B$8)/$C$8</f>
        <v/>
      </c>
      <c r="F139" s="6">
        <f>('2 transformar y limpiar'!F153-$B$9)/$C$9</f>
        <v/>
      </c>
      <c r="G139">
        <f>'2 transformar y limpiar'!G153</f>
        <v/>
      </c>
      <c r="H139">
        <f>'2 transformar y limpiar'!H153</f>
        <v/>
      </c>
      <c r="I139">
        <f>'2 transformar y limpiar'!I153</f>
        <v/>
      </c>
      <c r="J139">
        <f>'2 transformar y limpiar'!J153</f>
        <v/>
      </c>
      <c r="K139">
        <f>'2 transformar y limpiar'!K153</f>
        <v/>
      </c>
      <c r="L139">
        <f>'2 transformar y limpiar'!L153</f>
        <v/>
      </c>
      <c r="M139">
        <f>'2 transformar y limpiar'!M153</f>
        <v/>
      </c>
      <c r="N139">
        <f>'2 transformar y limpiar'!N153</f>
        <v/>
      </c>
      <c r="O139">
        <f>'2 transformar y limpiar'!O153</f>
        <v/>
      </c>
      <c r="P139">
        <f>'2 transformar y limpiar'!P153</f>
        <v/>
      </c>
      <c r="Q139">
        <f>'2 transformar y limpiar'!Q153</f>
        <v/>
      </c>
      <c r="R139">
        <f>'2 transformar y limpiar'!R153</f>
        <v/>
      </c>
      <c r="S139">
        <f>'2 transformar y limpiar'!S153</f>
        <v/>
      </c>
      <c r="T139">
        <f>'2 transformar y limpiar'!T153</f>
        <v/>
      </c>
      <c r="U139" s="5">
        <f>'2 transformar y limpiar'!U153</f>
        <v/>
      </c>
    </row>
    <row r="140">
      <c r="A140">
        <f>'2 transformar y limpiar'!A154</f>
        <v/>
      </c>
      <c r="B140">
        <f>'2 transformar y limpiar'!B154</f>
        <v/>
      </c>
      <c r="C140" s="6">
        <f>('2 transformar y limpiar'!C154-$B$6)/$C$6</f>
        <v/>
      </c>
      <c r="D140" s="6">
        <f>('2 transformar y limpiar'!D154-$B$7)/$C$7</f>
        <v/>
      </c>
      <c r="E140" s="6">
        <f>('2 transformar y limpiar'!E154-$B$8)/$C$8</f>
        <v/>
      </c>
      <c r="F140" s="6">
        <f>('2 transformar y limpiar'!F154-$B$9)/$C$9</f>
        <v/>
      </c>
      <c r="G140">
        <f>'2 transformar y limpiar'!G154</f>
        <v/>
      </c>
      <c r="H140">
        <f>'2 transformar y limpiar'!H154</f>
        <v/>
      </c>
      <c r="I140">
        <f>'2 transformar y limpiar'!I154</f>
        <v/>
      </c>
      <c r="J140">
        <f>'2 transformar y limpiar'!J154</f>
        <v/>
      </c>
      <c r="K140">
        <f>'2 transformar y limpiar'!K154</f>
        <v/>
      </c>
      <c r="L140">
        <f>'2 transformar y limpiar'!L154</f>
        <v/>
      </c>
      <c r="M140">
        <f>'2 transformar y limpiar'!M154</f>
        <v/>
      </c>
      <c r="N140">
        <f>'2 transformar y limpiar'!N154</f>
        <v/>
      </c>
      <c r="O140">
        <f>'2 transformar y limpiar'!O154</f>
        <v/>
      </c>
      <c r="P140">
        <f>'2 transformar y limpiar'!P154</f>
        <v/>
      </c>
      <c r="Q140">
        <f>'2 transformar y limpiar'!Q154</f>
        <v/>
      </c>
      <c r="R140">
        <f>'2 transformar y limpiar'!R154</f>
        <v/>
      </c>
      <c r="S140">
        <f>'2 transformar y limpiar'!S154</f>
        <v/>
      </c>
      <c r="T140">
        <f>'2 transformar y limpiar'!T154</f>
        <v/>
      </c>
      <c r="U140" s="5">
        <f>'2 transformar y limpiar'!U154</f>
        <v/>
      </c>
    </row>
    <row r="141">
      <c r="A141">
        <f>'2 transformar y limpiar'!A155</f>
        <v/>
      </c>
      <c r="B141">
        <f>'2 transformar y limpiar'!B155</f>
        <v/>
      </c>
      <c r="C141" s="6">
        <f>('2 transformar y limpiar'!C155-$B$6)/$C$6</f>
        <v/>
      </c>
      <c r="D141" s="6">
        <f>('2 transformar y limpiar'!D155-$B$7)/$C$7</f>
        <v/>
      </c>
      <c r="E141" s="6">
        <f>('2 transformar y limpiar'!E155-$B$8)/$C$8</f>
        <v/>
      </c>
      <c r="F141" s="6">
        <f>('2 transformar y limpiar'!F155-$B$9)/$C$9</f>
        <v/>
      </c>
      <c r="G141">
        <f>'2 transformar y limpiar'!G155</f>
        <v/>
      </c>
      <c r="H141">
        <f>'2 transformar y limpiar'!H155</f>
        <v/>
      </c>
      <c r="I141">
        <f>'2 transformar y limpiar'!I155</f>
        <v/>
      </c>
      <c r="J141">
        <f>'2 transformar y limpiar'!J155</f>
        <v/>
      </c>
      <c r="K141">
        <f>'2 transformar y limpiar'!K155</f>
        <v/>
      </c>
      <c r="L141">
        <f>'2 transformar y limpiar'!L155</f>
        <v/>
      </c>
      <c r="M141">
        <f>'2 transformar y limpiar'!M155</f>
        <v/>
      </c>
      <c r="N141">
        <f>'2 transformar y limpiar'!N155</f>
        <v/>
      </c>
      <c r="O141">
        <f>'2 transformar y limpiar'!O155</f>
        <v/>
      </c>
      <c r="P141">
        <f>'2 transformar y limpiar'!P155</f>
        <v/>
      </c>
      <c r="Q141">
        <f>'2 transformar y limpiar'!Q155</f>
        <v/>
      </c>
      <c r="R141">
        <f>'2 transformar y limpiar'!R155</f>
        <v/>
      </c>
      <c r="S141">
        <f>'2 transformar y limpiar'!S155</f>
        <v/>
      </c>
      <c r="T141">
        <f>'2 transformar y limpiar'!T155</f>
        <v/>
      </c>
      <c r="U141" s="5">
        <f>'2 transformar y limpiar'!U155</f>
        <v/>
      </c>
    </row>
    <row r="142">
      <c r="A142">
        <f>'2 transformar y limpiar'!A156</f>
        <v/>
      </c>
      <c r="B142">
        <f>'2 transformar y limpiar'!B156</f>
        <v/>
      </c>
      <c r="C142" s="6">
        <f>('2 transformar y limpiar'!C156-$B$6)/$C$6</f>
        <v/>
      </c>
      <c r="D142" s="6">
        <f>('2 transformar y limpiar'!D156-$B$7)/$C$7</f>
        <v/>
      </c>
      <c r="E142" s="6">
        <f>('2 transformar y limpiar'!E156-$B$8)/$C$8</f>
        <v/>
      </c>
      <c r="F142" s="6">
        <f>('2 transformar y limpiar'!F156-$B$9)/$C$9</f>
        <v/>
      </c>
      <c r="G142">
        <f>'2 transformar y limpiar'!G156</f>
        <v/>
      </c>
      <c r="H142">
        <f>'2 transformar y limpiar'!H156</f>
        <v/>
      </c>
      <c r="I142">
        <f>'2 transformar y limpiar'!I156</f>
        <v/>
      </c>
      <c r="J142">
        <f>'2 transformar y limpiar'!J156</f>
        <v/>
      </c>
      <c r="K142">
        <f>'2 transformar y limpiar'!K156</f>
        <v/>
      </c>
      <c r="L142">
        <f>'2 transformar y limpiar'!L156</f>
        <v/>
      </c>
      <c r="M142">
        <f>'2 transformar y limpiar'!M156</f>
        <v/>
      </c>
      <c r="N142">
        <f>'2 transformar y limpiar'!N156</f>
        <v/>
      </c>
      <c r="O142">
        <f>'2 transformar y limpiar'!O156</f>
        <v/>
      </c>
      <c r="P142">
        <f>'2 transformar y limpiar'!P156</f>
        <v/>
      </c>
      <c r="Q142">
        <f>'2 transformar y limpiar'!Q156</f>
        <v/>
      </c>
      <c r="R142">
        <f>'2 transformar y limpiar'!R156</f>
        <v/>
      </c>
      <c r="S142">
        <f>'2 transformar y limpiar'!S156</f>
        <v/>
      </c>
      <c r="T142">
        <f>'2 transformar y limpiar'!T156</f>
        <v/>
      </c>
      <c r="U142" s="5">
        <f>'2 transformar y limpiar'!U156</f>
        <v/>
      </c>
    </row>
    <row r="143">
      <c r="A143">
        <f>'2 transformar y limpiar'!A157</f>
        <v/>
      </c>
      <c r="B143">
        <f>'2 transformar y limpiar'!B157</f>
        <v/>
      </c>
      <c r="C143" s="6">
        <f>('2 transformar y limpiar'!C157-$B$6)/$C$6</f>
        <v/>
      </c>
      <c r="D143" s="6">
        <f>('2 transformar y limpiar'!D157-$B$7)/$C$7</f>
        <v/>
      </c>
      <c r="E143" s="6">
        <f>('2 transformar y limpiar'!E157-$B$8)/$C$8</f>
        <v/>
      </c>
      <c r="F143" s="6">
        <f>('2 transformar y limpiar'!F157-$B$9)/$C$9</f>
        <v/>
      </c>
      <c r="G143">
        <f>'2 transformar y limpiar'!G157</f>
        <v/>
      </c>
      <c r="H143">
        <f>'2 transformar y limpiar'!H157</f>
        <v/>
      </c>
      <c r="I143">
        <f>'2 transformar y limpiar'!I157</f>
        <v/>
      </c>
      <c r="J143">
        <f>'2 transformar y limpiar'!J157</f>
        <v/>
      </c>
      <c r="K143">
        <f>'2 transformar y limpiar'!K157</f>
        <v/>
      </c>
      <c r="L143">
        <f>'2 transformar y limpiar'!L157</f>
        <v/>
      </c>
      <c r="M143">
        <f>'2 transformar y limpiar'!M157</f>
        <v/>
      </c>
      <c r="N143">
        <f>'2 transformar y limpiar'!N157</f>
        <v/>
      </c>
      <c r="O143">
        <f>'2 transformar y limpiar'!O157</f>
        <v/>
      </c>
      <c r="P143">
        <f>'2 transformar y limpiar'!P157</f>
        <v/>
      </c>
      <c r="Q143">
        <f>'2 transformar y limpiar'!Q157</f>
        <v/>
      </c>
      <c r="R143">
        <f>'2 transformar y limpiar'!R157</f>
        <v/>
      </c>
      <c r="S143">
        <f>'2 transformar y limpiar'!S157</f>
        <v/>
      </c>
      <c r="T143">
        <f>'2 transformar y limpiar'!T157</f>
        <v/>
      </c>
      <c r="U143" s="5">
        <f>'2 transformar y limpiar'!U157</f>
        <v/>
      </c>
    </row>
    <row r="144">
      <c r="A144">
        <f>'2 transformar y limpiar'!A158</f>
        <v/>
      </c>
      <c r="B144">
        <f>'2 transformar y limpiar'!B158</f>
        <v/>
      </c>
      <c r="C144" s="6">
        <f>('2 transformar y limpiar'!C158-$B$6)/$C$6</f>
        <v/>
      </c>
      <c r="D144" s="6">
        <f>('2 transformar y limpiar'!D158-$B$7)/$C$7</f>
        <v/>
      </c>
      <c r="E144" s="6">
        <f>('2 transformar y limpiar'!E158-$B$8)/$C$8</f>
        <v/>
      </c>
      <c r="F144" s="6">
        <f>('2 transformar y limpiar'!F158-$B$9)/$C$9</f>
        <v/>
      </c>
      <c r="G144">
        <f>'2 transformar y limpiar'!G158</f>
        <v/>
      </c>
      <c r="H144">
        <f>'2 transformar y limpiar'!H158</f>
        <v/>
      </c>
      <c r="I144">
        <f>'2 transformar y limpiar'!I158</f>
        <v/>
      </c>
      <c r="J144">
        <f>'2 transformar y limpiar'!J158</f>
        <v/>
      </c>
      <c r="K144">
        <f>'2 transformar y limpiar'!K158</f>
        <v/>
      </c>
      <c r="L144">
        <f>'2 transformar y limpiar'!L158</f>
        <v/>
      </c>
      <c r="M144">
        <f>'2 transformar y limpiar'!M158</f>
        <v/>
      </c>
      <c r="N144">
        <f>'2 transformar y limpiar'!N158</f>
        <v/>
      </c>
      <c r="O144">
        <f>'2 transformar y limpiar'!O158</f>
        <v/>
      </c>
      <c r="P144">
        <f>'2 transformar y limpiar'!P158</f>
        <v/>
      </c>
      <c r="Q144">
        <f>'2 transformar y limpiar'!Q158</f>
        <v/>
      </c>
      <c r="R144">
        <f>'2 transformar y limpiar'!R158</f>
        <v/>
      </c>
      <c r="S144">
        <f>'2 transformar y limpiar'!S158</f>
        <v/>
      </c>
      <c r="T144">
        <f>'2 transformar y limpiar'!T158</f>
        <v/>
      </c>
      <c r="U144" s="5">
        <f>'2 transformar y limpiar'!U158</f>
        <v/>
      </c>
    </row>
    <row r="145">
      <c r="A145">
        <f>'2 transformar y limpiar'!A159</f>
        <v/>
      </c>
      <c r="B145">
        <f>'2 transformar y limpiar'!B159</f>
        <v/>
      </c>
      <c r="C145" s="6">
        <f>('2 transformar y limpiar'!C159-$B$6)/$C$6</f>
        <v/>
      </c>
      <c r="D145" s="6">
        <f>('2 transformar y limpiar'!D159-$B$7)/$C$7</f>
        <v/>
      </c>
      <c r="E145" s="6">
        <f>('2 transformar y limpiar'!E159-$B$8)/$C$8</f>
        <v/>
      </c>
      <c r="F145" s="6">
        <f>('2 transformar y limpiar'!F159-$B$9)/$C$9</f>
        <v/>
      </c>
      <c r="G145">
        <f>'2 transformar y limpiar'!G159</f>
        <v/>
      </c>
      <c r="H145">
        <f>'2 transformar y limpiar'!H159</f>
        <v/>
      </c>
      <c r="I145">
        <f>'2 transformar y limpiar'!I159</f>
        <v/>
      </c>
      <c r="J145">
        <f>'2 transformar y limpiar'!J159</f>
        <v/>
      </c>
      <c r="K145">
        <f>'2 transformar y limpiar'!K159</f>
        <v/>
      </c>
      <c r="L145">
        <f>'2 transformar y limpiar'!L159</f>
        <v/>
      </c>
      <c r="M145">
        <f>'2 transformar y limpiar'!M159</f>
        <v/>
      </c>
      <c r="N145">
        <f>'2 transformar y limpiar'!N159</f>
        <v/>
      </c>
      <c r="O145">
        <f>'2 transformar y limpiar'!O159</f>
        <v/>
      </c>
      <c r="P145">
        <f>'2 transformar y limpiar'!P159</f>
        <v/>
      </c>
      <c r="Q145">
        <f>'2 transformar y limpiar'!Q159</f>
        <v/>
      </c>
      <c r="R145">
        <f>'2 transformar y limpiar'!R159</f>
        <v/>
      </c>
      <c r="S145">
        <f>'2 transformar y limpiar'!S159</f>
        <v/>
      </c>
      <c r="T145">
        <f>'2 transformar y limpiar'!T159</f>
        <v/>
      </c>
      <c r="U145" s="5">
        <f>'2 transformar y limpiar'!U159</f>
        <v/>
      </c>
    </row>
    <row r="146">
      <c r="A146">
        <f>'2 transformar y limpiar'!A160</f>
        <v/>
      </c>
      <c r="B146">
        <f>'2 transformar y limpiar'!B160</f>
        <v/>
      </c>
      <c r="C146" s="6">
        <f>('2 transformar y limpiar'!C160-$B$6)/$C$6</f>
        <v/>
      </c>
      <c r="D146" s="6">
        <f>('2 transformar y limpiar'!D160-$B$7)/$C$7</f>
        <v/>
      </c>
      <c r="E146" s="6">
        <f>('2 transformar y limpiar'!E160-$B$8)/$C$8</f>
        <v/>
      </c>
      <c r="F146" s="6">
        <f>('2 transformar y limpiar'!F160-$B$9)/$C$9</f>
        <v/>
      </c>
      <c r="G146">
        <f>'2 transformar y limpiar'!G160</f>
        <v/>
      </c>
      <c r="H146">
        <f>'2 transformar y limpiar'!H160</f>
        <v/>
      </c>
      <c r="I146">
        <f>'2 transformar y limpiar'!I160</f>
        <v/>
      </c>
      <c r="J146">
        <f>'2 transformar y limpiar'!J160</f>
        <v/>
      </c>
      <c r="K146">
        <f>'2 transformar y limpiar'!K160</f>
        <v/>
      </c>
      <c r="L146">
        <f>'2 transformar y limpiar'!L160</f>
        <v/>
      </c>
      <c r="M146">
        <f>'2 transformar y limpiar'!M160</f>
        <v/>
      </c>
      <c r="N146">
        <f>'2 transformar y limpiar'!N160</f>
        <v/>
      </c>
      <c r="O146">
        <f>'2 transformar y limpiar'!O160</f>
        <v/>
      </c>
      <c r="P146">
        <f>'2 transformar y limpiar'!P160</f>
        <v/>
      </c>
      <c r="Q146">
        <f>'2 transformar y limpiar'!Q160</f>
        <v/>
      </c>
      <c r="R146">
        <f>'2 transformar y limpiar'!R160</f>
        <v/>
      </c>
      <c r="S146">
        <f>'2 transformar y limpiar'!S160</f>
        <v/>
      </c>
      <c r="T146">
        <f>'2 transformar y limpiar'!T160</f>
        <v/>
      </c>
      <c r="U146" s="5">
        <f>'2 transformar y limpiar'!U160</f>
        <v/>
      </c>
    </row>
    <row r="147">
      <c r="A147">
        <f>'2 transformar y limpiar'!A161</f>
        <v/>
      </c>
      <c r="B147">
        <f>'2 transformar y limpiar'!B161</f>
        <v/>
      </c>
      <c r="C147" s="6">
        <f>('2 transformar y limpiar'!C161-$B$6)/$C$6</f>
        <v/>
      </c>
      <c r="D147" s="6">
        <f>('2 transformar y limpiar'!D161-$B$7)/$C$7</f>
        <v/>
      </c>
      <c r="E147" s="6">
        <f>('2 transformar y limpiar'!E161-$B$8)/$C$8</f>
        <v/>
      </c>
      <c r="F147" s="6">
        <f>('2 transformar y limpiar'!F161-$B$9)/$C$9</f>
        <v/>
      </c>
      <c r="G147">
        <f>'2 transformar y limpiar'!G161</f>
        <v/>
      </c>
      <c r="H147">
        <f>'2 transformar y limpiar'!H161</f>
        <v/>
      </c>
      <c r="I147">
        <f>'2 transformar y limpiar'!I161</f>
        <v/>
      </c>
      <c r="J147">
        <f>'2 transformar y limpiar'!J161</f>
        <v/>
      </c>
      <c r="K147">
        <f>'2 transformar y limpiar'!K161</f>
        <v/>
      </c>
      <c r="L147">
        <f>'2 transformar y limpiar'!L161</f>
        <v/>
      </c>
      <c r="M147">
        <f>'2 transformar y limpiar'!M161</f>
        <v/>
      </c>
      <c r="N147">
        <f>'2 transformar y limpiar'!N161</f>
        <v/>
      </c>
      <c r="O147">
        <f>'2 transformar y limpiar'!O161</f>
        <v/>
      </c>
      <c r="P147">
        <f>'2 transformar y limpiar'!P161</f>
        <v/>
      </c>
      <c r="Q147">
        <f>'2 transformar y limpiar'!Q161</f>
        <v/>
      </c>
      <c r="R147">
        <f>'2 transformar y limpiar'!R161</f>
        <v/>
      </c>
      <c r="S147">
        <f>'2 transformar y limpiar'!S161</f>
        <v/>
      </c>
      <c r="T147">
        <f>'2 transformar y limpiar'!T161</f>
        <v/>
      </c>
      <c r="U147" s="5">
        <f>'2 transformar y limpiar'!U161</f>
        <v/>
      </c>
    </row>
    <row r="148">
      <c r="A148">
        <f>'2 transformar y limpiar'!A162</f>
        <v/>
      </c>
      <c r="B148">
        <f>'2 transformar y limpiar'!B162</f>
        <v/>
      </c>
      <c r="C148" s="6">
        <f>('2 transformar y limpiar'!C162-$B$6)/$C$6</f>
        <v/>
      </c>
      <c r="D148" s="6">
        <f>('2 transformar y limpiar'!D162-$B$7)/$C$7</f>
        <v/>
      </c>
      <c r="E148" s="6">
        <f>('2 transformar y limpiar'!E162-$B$8)/$C$8</f>
        <v/>
      </c>
      <c r="F148" s="6">
        <f>('2 transformar y limpiar'!F162-$B$9)/$C$9</f>
        <v/>
      </c>
      <c r="G148">
        <f>'2 transformar y limpiar'!G162</f>
        <v/>
      </c>
      <c r="H148">
        <f>'2 transformar y limpiar'!H162</f>
        <v/>
      </c>
      <c r="I148">
        <f>'2 transformar y limpiar'!I162</f>
        <v/>
      </c>
      <c r="J148">
        <f>'2 transformar y limpiar'!J162</f>
        <v/>
      </c>
      <c r="K148">
        <f>'2 transformar y limpiar'!K162</f>
        <v/>
      </c>
      <c r="L148">
        <f>'2 transformar y limpiar'!L162</f>
        <v/>
      </c>
      <c r="M148">
        <f>'2 transformar y limpiar'!M162</f>
        <v/>
      </c>
      <c r="N148">
        <f>'2 transformar y limpiar'!N162</f>
        <v/>
      </c>
      <c r="O148">
        <f>'2 transformar y limpiar'!O162</f>
        <v/>
      </c>
      <c r="P148">
        <f>'2 transformar y limpiar'!P162</f>
        <v/>
      </c>
      <c r="Q148">
        <f>'2 transformar y limpiar'!Q162</f>
        <v/>
      </c>
      <c r="R148">
        <f>'2 transformar y limpiar'!R162</f>
        <v/>
      </c>
      <c r="S148">
        <f>'2 transformar y limpiar'!S162</f>
        <v/>
      </c>
      <c r="T148">
        <f>'2 transformar y limpiar'!T162</f>
        <v/>
      </c>
      <c r="U148" s="5">
        <f>'2 transformar y limpiar'!U162</f>
        <v/>
      </c>
    </row>
    <row r="149">
      <c r="A149">
        <f>'2 transformar y limpiar'!A163</f>
        <v/>
      </c>
      <c r="B149">
        <f>'2 transformar y limpiar'!B163</f>
        <v/>
      </c>
      <c r="C149" s="6">
        <f>('2 transformar y limpiar'!C163-$B$6)/$C$6</f>
        <v/>
      </c>
      <c r="D149" s="6">
        <f>('2 transformar y limpiar'!D163-$B$7)/$C$7</f>
        <v/>
      </c>
      <c r="E149" s="6">
        <f>('2 transformar y limpiar'!E163-$B$8)/$C$8</f>
        <v/>
      </c>
      <c r="F149" s="6">
        <f>('2 transformar y limpiar'!F163-$B$9)/$C$9</f>
        <v/>
      </c>
      <c r="G149">
        <f>'2 transformar y limpiar'!G163</f>
        <v/>
      </c>
      <c r="H149">
        <f>'2 transformar y limpiar'!H163</f>
        <v/>
      </c>
      <c r="I149">
        <f>'2 transformar y limpiar'!I163</f>
        <v/>
      </c>
      <c r="J149">
        <f>'2 transformar y limpiar'!J163</f>
        <v/>
      </c>
      <c r="K149">
        <f>'2 transformar y limpiar'!K163</f>
        <v/>
      </c>
      <c r="L149">
        <f>'2 transformar y limpiar'!L163</f>
        <v/>
      </c>
      <c r="M149">
        <f>'2 transformar y limpiar'!M163</f>
        <v/>
      </c>
      <c r="N149">
        <f>'2 transformar y limpiar'!N163</f>
        <v/>
      </c>
      <c r="O149">
        <f>'2 transformar y limpiar'!O163</f>
        <v/>
      </c>
      <c r="P149">
        <f>'2 transformar y limpiar'!P163</f>
        <v/>
      </c>
      <c r="Q149">
        <f>'2 transformar y limpiar'!Q163</f>
        <v/>
      </c>
      <c r="R149">
        <f>'2 transformar y limpiar'!R163</f>
        <v/>
      </c>
      <c r="S149">
        <f>'2 transformar y limpiar'!S163</f>
        <v/>
      </c>
      <c r="T149">
        <f>'2 transformar y limpiar'!T163</f>
        <v/>
      </c>
      <c r="U149" s="5">
        <f>'2 transformar y limpiar'!U163</f>
        <v/>
      </c>
    </row>
    <row r="150">
      <c r="A150">
        <f>'2 transformar y limpiar'!A164</f>
        <v/>
      </c>
      <c r="B150">
        <f>'2 transformar y limpiar'!B164</f>
        <v/>
      </c>
      <c r="C150" s="6">
        <f>('2 transformar y limpiar'!C164-$B$6)/$C$6</f>
        <v/>
      </c>
      <c r="D150" s="6">
        <f>('2 transformar y limpiar'!D164-$B$7)/$C$7</f>
        <v/>
      </c>
      <c r="E150" s="6">
        <f>('2 transformar y limpiar'!E164-$B$8)/$C$8</f>
        <v/>
      </c>
      <c r="F150" s="6">
        <f>('2 transformar y limpiar'!F164-$B$9)/$C$9</f>
        <v/>
      </c>
      <c r="G150">
        <f>'2 transformar y limpiar'!G164</f>
        <v/>
      </c>
      <c r="H150">
        <f>'2 transformar y limpiar'!H164</f>
        <v/>
      </c>
      <c r="I150">
        <f>'2 transformar y limpiar'!I164</f>
        <v/>
      </c>
      <c r="J150">
        <f>'2 transformar y limpiar'!J164</f>
        <v/>
      </c>
      <c r="K150">
        <f>'2 transformar y limpiar'!K164</f>
        <v/>
      </c>
      <c r="L150">
        <f>'2 transformar y limpiar'!L164</f>
        <v/>
      </c>
      <c r="M150">
        <f>'2 transformar y limpiar'!M164</f>
        <v/>
      </c>
      <c r="N150">
        <f>'2 transformar y limpiar'!N164</f>
        <v/>
      </c>
      <c r="O150">
        <f>'2 transformar y limpiar'!O164</f>
        <v/>
      </c>
      <c r="P150">
        <f>'2 transformar y limpiar'!P164</f>
        <v/>
      </c>
      <c r="Q150">
        <f>'2 transformar y limpiar'!Q164</f>
        <v/>
      </c>
      <c r="R150">
        <f>'2 transformar y limpiar'!R164</f>
        <v/>
      </c>
      <c r="S150">
        <f>'2 transformar y limpiar'!S164</f>
        <v/>
      </c>
      <c r="T150">
        <f>'2 transformar y limpiar'!T164</f>
        <v/>
      </c>
      <c r="U150" s="5">
        <f>'2 transformar y limpiar'!U164</f>
        <v/>
      </c>
    </row>
    <row r="151">
      <c r="A151">
        <f>'2 transformar y limpiar'!A165</f>
        <v/>
      </c>
      <c r="B151">
        <f>'2 transformar y limpiar'!B165</f>
        <v/>
      </c>
      <c r="C151" s="6">
        <f>('2 transformar y limpiar'!C165-$B$6)/$C$6</f>
        <v/>
      </c>
      <c r="D151" s="6">
        <f>('2 transformar y limpiar'!D165-$B$7)/$C$7</f>
        <v/>
      </c>
      <c r="E151" s="6">
        <f>('2 transformar y limpiar'!E165-$B$8)/$C$8</f>
        <v/>
      </c>
      <c r="F151" s="6">
        <f>('2 transformar y limpiar'!F165-$B$9)/$C$9</f>
        <v/>
      </c>
      <c r="G151">
        <f>'2 transformar y limpiar'!G165</f>
        <v/>
      </c>
      <c r="H151">
        <f>'2 transformar y limpiar'!H165</f>
        <v/>
      </c>
      <c r="I151">
        <f>'2 transformar y limpiar'!I165</f>
        <v/>
      </c>
      <c r="J151">
        <f>'2 transformar y limpiar'!J165</f>
        <v/>
      </c>
      <c r="K151">
        <f>'2 transformar y limpiar'!K165</f>
        <v/>
      </c>
      <c r="L151">
        <f>'2 transformar y limpiar'!L165</f>
        <v/>
      </c>
      <c r="M151">
        <f>'2 transformar y limpiar'!M165</f>
        <v/>
      </c>
      <c r="N151">
        <f>'2 transformar y limpiar'!N165</f>
        <v/>
      </c>
      <c r="O151">
        <f>'2 transformar y limpiar'!O165</f>
        <v/>
      </c>
      <c r="P151">
        <f>'2 transformar y limpiar'!P165</f>
        <v/>
      </c>
      <c r="Q151">
        <f>'2 transformar y limpiar'!Q165</f>
        <v/>
      </c>
      <c r="R151">
        <f>'2 transformar y limpiar'!R165</f>
        <v/>
      </c>
      <c r="S151">
        <f>'2 transformar y limpiar'!S165</f>
        <v/>
      </c>
      <c r="T151">
        <f>'2 transformar y limpiar'!T165</f>
        <v/>
      </c>
      <c r="U151" s="5">
        <f>'2 transformar y limpiar'!U165</f>
        <v/>
      </c>
    </row>
    <row r="152">
      <c r="A152">
        <f>'2 transformar y limpiar'!A166</f>
        <v/>
      </c>
      <c r="B152">
        <f>'2 transformar y limpiar'!B166</f>
        <v/>
      </c>
      <c r="C152" s="6">
        <f>('2 transformar y limpiar'!C166-$B$6)/$C$6</f>
        <v/>
      </c>
      <c r="D152" s="6">
        <f>('2 transformar y limpiar'!D166-$B$7)/$C$7</f>
        <v/>
      </c>
      <c r="E152" s="6">
        <f>('2 transformar y limpiar'!E166-$B$8)/$C$8</f>
        <v/>
      </c>
      <c r="F152" s="6">
        <f>('2 transformar y limpiar'!F166-$B$9)/$C$9</f>
        <v/>
      </c>
      <c r="G152">
        <f>'2 transformar y limpiar'!G166</f>
        <v/>
      </c>
      <c r="H152">
        <f>'2 transformar y limpiar'!H166</f>
        <v/>
      </c>
      <c r="I152">
        <f>'2 transformar y limpiar'!I166</f>
        <v/>
      </c>
      <c r="J152">
        <f>'2 transformar y limpiar'!J166</f>
        <v/>
      </c>
      <c r="K152">
        <f>'2 transformar y limpiar'!K166</f>
        <v/>
      </c>
      <c r="L152">
        <f>'2 transformar y limpiar'!L166</f>
        <v/>
      </c>
      <c r="M152">
        <f>'2 transformar y limpiar'!M166</f>
        <v/>
      </c>
      <c r="N152">
        <f>'2 transformar y limpiar'!N166</f>
        <v/>
      </c>
      <c r="O152">
        <f>'2 transformar y limpiar'!O166</f>
        <v/>
      </c>
      <c r="P152">
        <f>'2 transformar y limpiar'!P166</f>
        <v/>
      </c>
      <c r="Q152">
        <f>'2 transformar y limpiar'!Q166</f>
        <v/>
      </c>
      <c r="R152">
        <f>'2 transformar y limpiar'!R166</f>
        <v/>
      </c>
      <c r="S152">
        <f>'2 transformar y limpiar'!S166</f>
        <v/>
      </c>
      <c r="T152">
        <f>'2 transformar y limpiar'!T166</f>
        <v/>
      </c>
      <c r="U152" s="5">
        <f>'2 transformar y limpiar'!U166</f>
        <v/>
      </c>
    </row>
    <row r="153">
      <c r="A153">
        <f>'2 transformar y limpiar'!A167</f>
        <v/>
      </c>
      <c r="B153">
        <f>'2 transformar y limpiar'!B167</f>
        <v/>
      </c>
      <c r="C153" s="6">
        <f>('2 transformar y limpiar'!C167-$B$6)/$C$6</f>
        <v/>
      </c>
      <c r="D153" s="6">
        <f>('2 transformar y limpiar'!D167-$B$7)/$C$7</f>
        <v/>
      </c>
      <c r="E153" s="6">
        <f>('2 transformar y limpiar'!E167-$B$8)/$C$8</f>
        <v/>
      </c>
      <c r="F153" s="6">
        <f>('2 transformar y limpiar'!F167-$B$9)/$C$9</f>
        <v/>
      </c>
      <c r="G153">
        <f>'2 transformar y limpiar'!G167</f>
        <v/>
      </c>
      <c r="H153">
        <f>'2 transformar y limpiar'!H167</f>
        <v/>
      </c>
      <c r="I153">
        <f>'2 transformar y limpiar'!I167</f>
        <v/>
      </c>
      <c r="J153">
        <f>'2 transformar y limpiar'!J167</f>
        <v/>
      </c>
      <c r="K153">
        <f>'2 transformar y limpiar'!K167</f>
        <v/>
      </c>
      <c r="L153">
        <f>'2 transformar y limpiar'!L167</f>
        <v/>
      </c>
      <c r="M153">
        <f>'2 transformar y limpiar'!M167</f>
        <v/>
      </c>
      <c r="N153">
        <f>'2 transformar y limpiar'!N167</f>
        <v/>
      </c>
      <c r="O153">
        <f>'2 transformar y limpiar'!O167</f>
        <v/>
      </c>
      <c r="P153">
        <f>'2 transformar y limpiar'!P167</f>
        <v/>
      </c>
      <c r="Q153">
        <f>'2 transformar y limpiar'!Q167</f>
        <v/>
      </c>
      <c r="R153">
        <f>'2 transformar y limpiar'!R167</f>
        <v/>
      </c>
      <c r="S153">
        <f>'2 transformar y limpiar'!S167</f>
        <v/>
      </c>
      <c r="T153">
        <f>'2 transformar y limpiar'!T167</f>
        <v/>
      </c>
      <c r="U153" s="5">
        <f>'2 transformar y limpiar'!U167</f>
        <v/>
      </c>
    </row>
    <row r="154">
      <c r="A154">
        <f>'2 transformar y limpiar'!A168</f>
        <v/>
      </c>
      <c r="B154">
        <f>'2 transformar y limpiar'!B168</f>
        <v/>
      </c>
      <c r="C154" s="6">
        <f>('2 transformar y limpiar'!C168-$B$6)/$C$6</f>
        <v/>
      </c>
      <c r="D154" s="6">
        <f>('2 transformar y limpiar'!D168-$B$7)/$C$7</f>
        <v/>
      </c>
      <c r="E154" s="6">
        <f>('2 transformar y limpiar'!E168-$B$8)/$C$8</f>
        <v/>
      </c>
      <c r="F154" s="6">
        <f>('2 transformar y limpiar'!F168-$B$9)/$C$9</f>
        <v/>
      </c>
      <c r="G154">
        <f>'2 transformar y limpiar'!G168</f>
        <v/>
      </c>
      <c r="H154">
        <f>'2 transformar y limpiar'!H168</f>
        <v/>
      </c>
      <c r="I154">
        <f>'2 transformar y limpiar'!I168</f>
        <v/>
      </c>
      <c r="J154">
        <f>'2 transformar y limpiar'!J168</f>
        <v/>
      </c>
      <c r="K154">
        <f>'2 transformar y limpiar'!K168</f>
        <v/>
      </c>
      <c r="L154">
        <f>'2 transformar y limpiar'!L168</f>
        <v/>
      </c>
      <c r="M154">
        <f>'2 transformar y limpiar'!M168</f>
        <v/>
      </c>
      <c r="N154">
        <f>'2 transformar y limpiar'!N168</f>
        <v/>
      </c>
      <c r="O154">
        <f>'2 transformar y limpiar'!O168</f>
        <v/>
      </c>
      <c r="P154">
        <f>'2 transformar y limpiar'!P168</f>
        <v/>
      </c>
      <c r="Q154">
        <f>'2 transformar y limpiar'!Q168</f>
        <v/>
      </c>
      <c r="R154">
        <f>'2 transformar y limpiar'!R168</f>
        <v/>
      </c>
      <c r="S154">
        <f>'2 transformar y limpiar'!S168</f>
        <v/>
      </c>
      <c r="T154">
        <f>'2 transformar y limpiar'!T168</f>
        <v/>
      </c>
      <c r="U154" s="5">
        <f>'2 transformar y limpiar'!U168</f>
        <v/>
      </c>
    </row>
    <row r="155">
      <c r="A155">
        <f>'2 transformar y limpiar'!A169</f>
        <v/>
      </c>
      <c r="B155">
        <f>'2 transformar y limpiar'!B169</f>
        <v/>
      </c>
      <c r="C155" s="6">
        <f>('2 transformar y limpiar'!C169-$B$6)/$C$6</f>
        <v/>
      </c>
      <c r="D155" s="6">
        <f>('2 transformar y limpiar'!D169-$B$7)/$C$7</f>
        <v/>
      </c>
      <c r="E155" s="6">
        <f>('2 transformar y limpiar'!E169-$B$8)/$C$8</f>
        <v/>
      </c>
      <c r="F155" s="6">
        <f>('2 transformar y limpiar'!F169-$B$9)/$C$9</f>
        <v/>
      </c>
      <c r="G155">
        <f>'2 transformar y limpiar'!G169</f>
        <v/>
      </c>
      <c r="H155">
        <f>'2 transformar y limpiar'!H169</f>
        <v/>
      </c>
      <c r="I155">
        <f>'2 transformar y limpiar'!I169</f>
        <v/>
      </c>
      <c r="J155">
        <f>'2 transformar y limpiar'!J169</f>
        <v/>
      </c>
      <c r="K155">
        <f>'2 transformar y limpiar'!K169</f>
        <v/>
      </c>
      <c r="L155">
        <f>'2 transformar y limpiar'!L169</f>
        <v/>
      </c>
      <c r="M155">
        <f>'2 transformar y limpiar'!M169</f>
        <v/>
      </c>
      <c r="N155">
        <f>'2 transformar y limpiar'!N169</f>
        <v/>
      </c>
      <c r="O155">
        <f>'2 transformar y limpiar'!O169</f>
        <v/>
      </c>
      <c r="P155">
        <f>'2 transformar y limpiar'!P169</f>
        <v/>
      </c>
      <c r="Q155">
        <f>'2 transformar y limpiar'!Q169</f>
        <v/>
      </c>
      <c r="R155">
        <f>'2 transformar y limpiar'!R169</f>
        <v/>
      </c>
      <c r="S155">
        <f>'2 transformar y limpiar'!S169</f>
        <v/>
      </c>
      <c r="T155">
        <f>'2 transformar y limpiar'!T169</f>
        <v/>
      </c>
      <c r="U155" s="5">
        <f>'2 transformar y limpiar'!U169</f>
        <v/>
      </c>
    </row>
    <row r="156">
      <c r="A156">
        <f>'2 transformar y limpiar'!A170</f>
        <v/>
      </c>
      <c r="B156">
        <f>'2 transformar y limpiar'!B170</f>
        <v/>
      </c>
      <c r="C156" s="6">
        <f>('2 transformar y limpiar'!C170-$B$6)/$C$6</f>
        <v/>
      </c>
      <c r="D156" s="6">
        <f>('2 transformar y limpiar'!D170-$B$7)/$C$7</f>
        <v/>
      </c>
      <c r="E156" s="6">
        <f>('2 transformar y limpiar'!E170-$B$8)/$C$8</f>
        <v/>
      </c>
      <c r="F156" s="6">
        <f>('2 transformar y limpiar'!F170-$B$9)/$C$9</f>
        <v/>
      </c>
      <c r="G156">
        <f>'2 transformar y limpiar'!G170</f>
        <v/>
      </c>
      <c r="H156">
        <f>'2 transformar y limpiar'!H170</f>
        <v/>
      </c>
      <c r="I156">
        <f>'2 transformar y limpiar'!I170</f>
        <v/>
      </c>
      <c r="J156">
        <f>'2 transformar y limpiar'!J170</f>
        <v/>
      </c>
      <c r="K156">
        <f>'2 transformar y limpiar'!K170</f>
        <v/>
      </c>
      <c r="L156">
        <f>'2 transformar y limpiar'!L170</f>
        <v/>
      </c>
      <c r="M156">
        <f>'2 transformar y limpiar'!M170</f>
        <v/>
      </c>
      <c r="N156">
        <f>'2 transformar y limpiar'!N170</f>
        <v/>
      </c>
      <c r="O156">
        <f>'2 transformar y limpiar'!O170</f>
        <v/>
      </c>
      <c r="P156">
        <f>'2 transformar y limpiar'!P170</f>
        <v/>
      </c>
      <c r="Q156">
        <f>'2 transformar y limpiar'!Q170</f>
        <v/>
      </c>
      <c r="R156">
        <f>'2 transformar y limpiar'!R170</f>
        <v/>
      </c>
      <c r="S156">
        <f>'2 transformar y limpiar'!S170</f>
        <v/>
      </c>
      <c r="T156">
        <f>'2 transformar y limpiar'!T170</f>
        <v/>
      </c>
      <c r="U156" s="5">
        <f>'2 transformar y limpiar'!U170</f>
        <v/>
      </c>
    </row>
    <row r="157">
      <c r="A157">
        <f>'2 transformar y limpiar'!A171</f>
        <v/>
      </c>
      <c r="B157">
        <f>'2 transformar y limpiar'!B171</f>
        <v/>
      </c>
      <c r="C157" s="6">
        <f>('2 transformar y limpiar'!C171-$B$6)/$C$6</f>
        <v/>
      </c>
      <c r="D157" s="6">
        <f>('2 transformar y limpiar'!D171-$B$7)/$C$7</f>
        <v/>
      </c>
      <c r="E157" s="6">
        <f>('2 transformar y limpiar'!E171-$B$8)/$C$8</f>
        <v/>
      </c>
      <c r="F157" s="6">
        <f>('2 transformar y limpiar'!F171-$B$9)/$C$9</f>
        <v/>
      </c>
      <c r="G157">
        <f>'2 transformar y limpiar'!G171</f>
        <v/>
      </c>
      <c r="H157">
        <f>'2 transformar y limpiar'!H171</f>
        <v/>
      </c>
      <c r="I157">
        <f>'2 transformar y limpiar'!I171</f>
        <v/>
      </c>
      <c r="J157">
        <f>'2 transformar y limpiar'!J171</f>
        <v/>
      </c>
      <c r="K157">
        <f>'2 transformar y limpiar'!K171</f>
        <v/>
      </c>
      <c r="L157">
        <f>'2 transformar y limpiar'!L171</f>
        <v/>
      </c>
      <c r="M157">
        <f>'2 transformar y limpiar'!M171</f>
        <v/>
      </c>
      <c r="N157">
        <f>'2 transformar y limpiar'!N171</f>
        <v/>
      </c>
      <c r="O157">
        <f>'2 transformar y limpiar'!O171</f>
        <v/>
      </c>
      <c r="P157">
        <f>'2 transformar y limpiar'!P171</f>
        <v/>
      </c>
      <c r="Q157">
        <f>'2 transformar y limpiar'!Q171</f>
        <v/>
      </c>
      <c r="R157">
        <f>'2 transformar y limpiar'!R171</f>
        <v/>
      </c>
      <c r="S157">
        <f>'2 transformar y limpiar'!S171</f>
        <v/>
      </c>
      <c r="T157">
        <f>'2 transformar y limpiar'!T171</f>
        <v/>
      </c>
      <c r="U157" s="5">
        <f>'2 transformar y limpiar'!U171</f>
        <v/>
      </c>
    </row>
    <row r="158">
      <c r="A158">
        <f>'2 transformar y limpiar'!A172</f>
        <v/>
      </c>
      <c r="B158">
        <f>'2 transformar y limpiar'!B172</f>
        <v/>
      </c>
      <c r="C158" s="6">
        <f>('2 transformar y limpiar'!C172-$B$6)/$C$6</f>
        <v/>
      </c>
      <c r="D158" s="6">
        <f>('2 transformar y limpiar'!D172-$B$7)/$C$7</f>
        <v/>
      </c>
      <c r="E158" s="6">
        <f>('2 transformar y limpiar'!E172-$B$8)/$C$8</f>
        <v/>
      </c>
      <c r="F158" s="6">
        <f>('2 transformar y limpiar'!F172-$B$9)/$C$9</f>
        <v/>
      </c>
      <c r="G158">
        <f>'2 transformar y limpiar'!G172</f>
        <v/>
      </c>
      <c r="H158">
        <f>'2 transformar y limpiar'!H172</f>
        <v/>
      </c>
      <c r="I158">
        <f>'2 transformar y limpiar'!I172</f>
        <v/>
      </c>
      <c r="J158">
        <f>'2 transformar y limpiar'!J172</f>
        <v/>
      </c>
      <c r="K158">
        <f>'2 transformar y limpiar'!K172</f>
        <v/>
      </c>
      <c r="L158">
        <f>'2 transformar y limpiar'!L172</f>
        <v/>
      </c>
      <c r="M158">
        <f>'2 transformar y limpiar'!M172</f>
        <v/>
      </c>
      <c r="N158">
        <f>'2 transformar y limpiar'!N172</f>
        <v/>
      </c>
      <c r="O158">
        <f>'2 transformar y limpiar'!O172</f>
        <v/>
      </c>
      <c r="P158">
        <f>'2 transformar y limpiar'!P172</f>
        <v/>
      </c>
      <c r="Q158">
        <f>'2 transformar y limpiar'!Q172</f>
        <v/>
      </c>
      <c r="R158">
        <f>'2 transformar y limpiar'!R172</f>
        <v/>
      </c>
      <c r="S158">
        <f>'2 transformar y limpiar'!S172</f>
        <v/>
      </c>
      <c r="T158">
        <f>'2 transformar y limpiar'!T172</f>
        <v/>
      </c>
      <c r="U158" s="5">
        <f>'2 transformar y limpiar'!U172</f>
        <v/>
      </c>
    </row>
    <row r="159">
      <c r="A159">
        <f>'2 transformar y limpiar'!A173</f>
        <v/>
      </c>
      <c r="B159">
        <f>'2 transformar y limpiar'!B173</f>
        <v/>
      </c>
      <c r="C159" s="6">
        <f>('2 transformar y limpiar'!C173-$B$6)/$C$6</f>
        <v/>
      </c>
      <c r="D159" s="6">
        <f>('2 transformar y limpiar'!D173-$B$7)/$C$7</f>
        <v/>
      </c>
      <c r="E159" s="6">
        <f>('2 transformar y limpiar'!E173-$B$8)/$C$8</f>
        <v/>
      </c>
      <c r="F159" s="6">
        <f>('2 transformar y limpiar'!F173-$B$9)/$C$9</f>
        <v/>
      </c>
      <c r="G159">
        <f>'2 transformar y limpiar'!G173</f>
        <v/>
      </c>
      <c r="H159">
        <f>'2 transformar y limpiar'!H173</f>
        <v/>
      </c>
      <c r="I159">
        <f>'2 transformar y limpiar'!I173</f>
        <v/>
      </c>
      <c r="J159">
        <f>'2 transformar y limpiar'!J173</f>
        <v/>
      </c>
      <c r="K159">
        <f>'2 transformar y limpiar'!K173</f>
        <v/>
      </c>
      <c r="L159">
        <f>'2 transformar y limpiar'!L173</f>
        <v/>
      </c>
      <c r="M159">
        <f>'2 transformar y limpiar'!M173</f>
        <v/>
      </c>
      <c r="N159">
        <f>'2 transformar y limpiar'!N173</f>
        <v/>
      </c>
      <c r="O159">
        <f>'2 transformar y limpiar'!O173</f>
        <v/>
      </c>
      <c r="P159">
        <f>'2 transformar y limpiar'!P173</f>
        <v/>
      </c>
      <c r="Q159">
        <f>'2 transformar y limpiar'!Q173</f>
        <v/>
      </c>
      <c r="R159">
        <f>'2 transformar y limpiar'!R173</f>
        <v/>
      </c>
      <c r="S159">
        <f>'2 transformar y limpiar'!S173</f>
        <v/>
      </c>
      <c r="T159">
        <f>'2 transformar y limpiar'!T173</f>
        <v/>
      </c>
      <c r="U159" s="5">
        <f>'2 transformar y limpiar'!U173</f>
        <v/>
      </c>
    </row>
    <row r="160">
      <c r="A160">
        <f>'2 transformar y limpiar'!A174</f>
        <v/>
      </c>
      <c r="B160">
        <f>'2 transformar y limpiar'!B174</f>
        <v/>
      </c>
      <c r="C160" s="6">
        <f>('2 transformar y limpiar'!C174-$B$6)/$C$6</f>
        <v/>
      </c>
      <c r="D160" s="6">
        <f>('2 transformar y limpiar'!D174-$B$7)/$C$7</f>
        <v/>
      </c>
      <c r="E160" s="6">
        <f>('2 transformar y limpiar'!E174-$B$8)/$C$8</f>
        <v/>
      </c>
      <c r="F160" s="6">
        <f>('2 transformar y limpiar'!F174-$B$9)/$C$9</f>
        <v/>
      </c>
      <c r="G160">
        <f>'2 transformar y limpiar'!G174</f>
        <v/>
      </c>
      <c r="H160">
        <f>'2 transformar y limpiar'!H174</f>
        <v/>
      </c>
      <c r="I160">
        <f>'2 transformar y limpiar'!I174</f>
        <v/>
      </c>
      <c r="J160">
        <f>'2 transformar y limpiar'!J174</f>
        <v/>
      </c>
      <c r="K160">
        <f>'2 transformar y limpiar'!K174</f>
        <v/>
      </c>
      <c r="L160">
        <f>'2 transformar y limpiar'!L174</f>
        <v/>
      </c>
      <c r="M160">
        <f>'2 transformar y limpiar'!M174</f>
        <v/>
      </c>
      <c r="N160">
        <f>'2 transformar y limpiar'!N174</f>
        <v/>
      </c>
      <c r="O160">
        <f>'2 transformar y limpiar'!O174</f>
        <v/>
      </c>
      <c r="P160">
        <f>'2 transformar y limpiar'!P174</f>
        <v/>
      </c>
      <c r="Q160">
        <f>'2 transformar y limpiar'!Q174</f>
        <v/>
      </c>
      <c r="R160">
        <f>'2 transformar y limpiar'!R174</f>
        <v/>
      </c>
      <c r="S160">
        <f>'2 transformar y limpiar'!S174</f>
        <v/>
      </c>
      <c r="T160">
        <f>'2 transformar y limpiar'!T174</f>
        <v/>
      </c>
      <c r="U160" s="5">
        <f>'2 transformar y limpiar'!U174</f>
        <v/>
      </c>
    </row>
    <row r="161">
      <c r="A161">
        <f>'2 transformar y limpiar'!A175</f>
        <v/>
      </c>
      <c r="B161">
        <f>'2 transformar y limpiar'!B175</f>
        <v/>
      </c>
      <c r="C161" s="6">
        <f>('2 transformar y limpiar'!C175-$B$6)/$C$6</f>
        <v/>
      </c>
      <c r="D161" s="6">
        <f>('2 transformar y limpiar'!D175-$B$7)/$C$7</f>
        <v/>
      </c>
      <c r="E161" s="6">
        <f>('2 transformar y limpiar'!E175-$B$8)/$C$8</f>
        <v/>
      </c>
      <c r="F161" s="6">
        <f>('2 transformar y limpiar'!F175-$B$9)/$C$9</f>
        <v/>
      </c>
      <c r="G161">
        <f>'2 transformar y limpiar'!G175</f>
        <v/>
      </c>
      <c r="H161">
        <f>'2 transformar y limpiar'!H175</f>
        <v/>
      </c>
      <c r="I161">
        <f>'2 transformar y limpiar'!I175</f>
        <v/>
      </c>
      <c r="J161">
        <f>'2 transformar y limpiar'!J175</f>
        <v/>
      </c>
      <c r="K161">
        <f>'2 transformar y limpiar'!K175</f>
        <v/>
      </c>
      <c r="L161">
        <f>'2 transformar y limpiar'!L175</f>
        <v/>
      </c>
      <c r="M161">
        <f>'2 transformar y limpiar'!M175</f>
        <v/>
      </c>
      <c r="N161">
        <f>'2 transformar y limpiar'!N175</f>
        <v/>
      </c>
      <c r="O161">
        <f>'2 transformar y limpiar'!O175</f>
        <v/>
      </c>
      <c r="P161">
        <f>'2 transformar y limpiar'!P175</f>
        <v/>
      </c>
      <c r="Q161">
        <f>'2 transformar y limpiar'!Q175</f>
        <v/>
      </c>
      <c r="R161">
        <f>'2 transformar y limpiar'!R175</f>
        <v/>
      </c>
      <c r="S161">
        <f>'2 transformar y limpiar'!S175</f>
        <v/>
      </c>
      <c r="T161">
        <f>'2 transformar y limpiar'!T175</f>
        <v/>
      </c>
      <c r="U161" s="5">
        <f>'2 transformar y limpiar'!U175</f>
        <v/>
      </c>
    </row>
    <row r="162">
      <c r="A162">
        <f>'2 transformar y limpiar'!A176</f>
        <v/>
      </c>
      <c r="B162">
        <f>'2 transformar y limpiar'!B176</f>
        <v/>
      </c>
      <c r="C162" s="6">
        <f>('2 transformar y limpiar'!C176-$B$6)/$C$6</f>
        <v/>
      </c>
      <c r="D162" s="6">
        <f>('2 transformar y limpiar'!D176-$B$7)/$C$7</f>
        <v/>
      </c>
      <c r="E162" s="6">
        <f>('2 transformar y limpiar'!E176-$B$8)/$C$8</f>
        <v/>
      </c>
      <c r="F162" s="6">
        <f>('2 transformar y limpiar'!F176-$B$9)/$C$9</f>
        <v/>
      </c>
      <c r="G162">
        <f>'2 transformar y limpiar'!G176</f>
        <v/>
      </c>
      <c r="H162">
        <f>'2 transformar y limpiar'!H176</f>
        <v/>
      </c>
      <c r="I162">
        <f>'2 transformar y limpiar'!I176</f>
        <v/>
      </c>
      <c r="J162">
        <f>'2 transformar y limpiar'!J176</f>
        <v/>
      </c>
      <c r="K162">
        <f>'2 transformar y limpiar'!K176</f>
        <v/>
      </c>
      <c r="L162">
        <f>'2 transformar y limpiar'!L176</f>
        <v/>
      </c>
      <c r="M162">
        <f>'2 transformar y limpiar'!M176</f>
        <v/>
      </c>
      <c r="N162">
        <f>'2 transformar y limpiar'!N176</f>
        <v/>
      </c>
      <c r="O162">
        <f>'2 transformar y limpiar'!O176</f>
        <v/>
      </c>
      <c r="P162">
        <f>'2 transformar y limpiar'!P176</f>
        <v/>
      </c>
      <c r="Q162">
        <f>'2 transformar y limpiar'!Q176</f>
        <v/>
      </c>
      <c r="R162">
        <f>'2 transformar y limpiar'!R176</f>
        <v/>
      </c>
      <c r="S162">
        <f>'2 transformar y limpiar'!S176</f>
        <v/>
      </c>
      <c r="T162">
        <f>'2 transformar y limpiar'!T176</f>
        <v/>
      </c>
      <c r="U162" s="5">
        <f>'2 transformar y limpiar'!U176</f>
        <v/>
      </c>
    </row>
    <row r="163">
      <c r="A163">
        <f>'2 transformar y limpiar'!A177</f>
        <v/>
      </c>
      <c r="B163">
        <f>'2 transformar y limpiar'!B177</f>
        <v/>
      </c>
      <c r="C163" s="6">
        <f>('2 transformar y limpiar'!C177-$B$6)/$C$6</f>
        <v/>
      </c>
      <c r="D163" s="6">
        <f>('2 transformar y limpiar'!D177-$B$7)/$C$7</f>
        <v/>
      </c>
      <c r="E163" s="6">
        <f>('2 transformar y limpiar'!E177-$B$8)/$C$8</f>
        <v/>
      </c>
      <c r="F163" s="6">
        <f>('2 transformar y limpiar'!F177-$B$9)/$C$9</f>
        <v/>
      </c>
      <c r="G163">
        <f>'2 transformar y limpiar'!G177</f>
        <v/>
      </c>
      <c r="H163">
        <f>'2 transformar y limpiar'!H177</f>
        <v/>
      </c>
      <c r="I163">
        <f>'2 transformar y limpiar'!I177</f>
        <v/>
      </c>
      <c r="J163">
        <f>'2 transformar y limpiar'!J177</f>
        <v/>
      </c>
      <c r="K163">
        <f>'2 transformar y limpiar'!K177</f>
        <v/>
      </c>
      <c r="L163">
        <f>'2 transformar y limpiar'!L177</f>
        <v/>
      </c>
      <c r="M163">
        <f>'2 transformar y limpiar'!M177</f>
        <v/>
      </c>
      <c r="N163">
        <f>'2 transformar y limpiar'!N177</f>
        <v/>
      </c>
      <c r="O163">
        <f>'2 transformar y limpiar'!O177</f>
        <v/>
      </c>
      <c r="P163">
        <f>'2 transformar y limpiar'!P177</f>
        <v/>
      </c>
      <c r="Q163">
        <f>'2 transformar y limpiar'!Q177</f>
        <v/>
      </c>
      <c r="R163">
        <f>'2 transformar y limpiar'!R177</f>
        <v/>
      </c>
      <c r="S163">
        <f>'2 transformar y limpiar'!S177</f>
        <v/>
      </c>
      <c r="T163">
        <f>'2 transformar y limpiar'!T177</f>
        <v/>
      </c>
      <c r="U163" s="5">
        <f>'2 transformar y limpiar'!U177</f>
        <v/>
      </c>
    </row>
    <row r="164">
      <c r="A164">
        <f>'2 transformar y limpiar'!A178</f>
        <v/>
      </c>
      <c r="B164">
        <f>'2 transformar y limpiar'!B178</f>
        <v/>
      </c>
      <c r="C164" s="6">
        <f>('2 transformar y limpiar'!C178-$B$6)/$C$6</f>
        <v/>
      </c>
      <c r="D164" s="6">
        <f>('2 transformar y limpiar'!D178-$B$7)/$C$7</f>
        <v/>
      </c>
      <c r="E164" s="6">
        <f>('2 transformar y limpiar'!E178-$B$8)/$C$8</f>
        <v/>
      </c>
      <c r="F164" s="6">
        <f>('2 transformar y limpiar'!F178-$B$9)/$C$9</f>
        <v/>
      </c>
      <c r="G164">
        <f>'2 transformar y limpiar'!G178</f>
        <v/>
      </c>
      <c r="H164">
        <f>'2 transformar y limpiar'!H178</f>
        <v/>
      </c>
      <c r="I164">
        <f>'2 transformar y limpiar'!I178</f>
        <v/>
      </c>
      <c r="J164">
        <f>'2 transformar y limpiar'!J178</f>
        <v/>
      </c>
      <c r="K164">
        <f>'2 transformar y limpiar'!K178</f>
        <v/>
      </c>
      <c r="L164">
        <f>'2 transformar y limpiar'!L178</f>
        <v/>
      </c>
      <c r="M164">
        <f>'2 transformar y limpiar'!M178</f>
        <v/>
      </c>
      <c r="N164">
        <f>'2 transformar y limpiar'!N178</f>
        <v/>
      </c>
      <c r="O164">
        <f>'2 transformar y limpiar'!O178</f>
        <v/>
      </c>
      <c r="P164">
        <f>'2 transformar y limpiar'!P178</f>
        <v/>
      </c>
      <c r="Q164">
        <f>'2 transformar y limpiar'!Q178</f>
        <v/>
      </c>
      <c r="R164">
        <f>'2 transformar y limpiar'!R178</f>
        <v/>
      </c>
      <c r="S164">
        <f>'2 transformar y limpiar'!S178</f>
        <v/>
      </c>
      <c r="T164">
        <f>'2 transformar y limpiar'!T178</f>
        <v/>
      </c>
      <c r="U164" s="5">
        <f>'2 transformar y limpiar'!U178</f>
        <v/>
      </c>
    </row>
    <row r="165">
      <c r="A165">
        <f>'2 transformar y limpiar'!A179</f>
        <v/>
      </c>
      <c r="B165">
        <f>'2 transformar y limpiar'!B179</f>
        <v/>
      </c>
      <c r="C165" s="6">
        <f>('2 transformar y limpiar'!C179-$B$6)/$C$6</f>
        <v/>
      </c>
      <c r="D165" s="6">
        <f>('2 transformar y limpiar'!D179-$B$7)/$C$7</f>
        <v/>
      </c>
      <c r="E165" s="6">
        <f>('2 transformar y limpiar'!E179-$B$8)/$C$8</f>
        <v/>
      </c>
      <c r="F165" s="6">
        <f>('2 transformar y limpiar'!F179-$B$9)/$C$9</f>
        <v/>
      </c>
      <c r="G165">
        <f>'2 transformar y limpiar'!G179</f>
        <v/>
      </c>
      <c r="H165">
        <f>'2 transformar y limpiar'!H179</f>
        <v/>
      </c>
      <c r="I165">
        <f>'2 transformar y limpiar'!I179</f>
        <v/>
      </c>
      <c r="J165">
        <f>'2 transformar y limpiar'!J179</f>
        <v/>
      </c>
      <c r="K165">
        <f>'2 transformar y limpiar'!K179</f>
        <v/>
      </c>
      <c r="L165">
        <f>'2 transformar y limpiar'!L179</f>
        <v/>
      </c>
      <c r="M165">
        <f>'2 transformar y limpiar'!M179</f>
        <v/>
      </c>
      <c r="N165">
        <f>'2 transformar y limpiar'!N179</f>
        <v/>
      </c>
      <c r="O165">
        <f>'2 transformar y limpiar'!O179</f>
        <v/>
      </c>
      <c r="P165">
        <f>'2 transformar y limpiar'!P179</f>
        <v/>
      </c>
      <c r="Q165">
        <f>'2 transformar y limpiar'!Q179</f>
        <v/>
      </c>
      <c r="R165">
        <f>'2 transformar y limpiar'!R179</f>
        <v/>
      </c>
      <c r="S165">
        <f>'2 transformar y limpiar'!S179</f>
        <v/>
      </c>
      <c r="T165">
        <f>'2 transformar y limpiar'!T179</f>
        <v/>
      </c>
      <c r="U165" s="5">
        <f>'2 transformar y limpiar'!U179</f>
        <v/>
      </c>
    </row>
    <row r="166">
      <c r="A166">
        <f>'2 transformar y limpiar'!A180</f>
        <v/>
      </c>
      <c r="B166">
        <f>'2 transformar y limpiar'!B180</f>
        <v/>
      </c>
      <c r="C166" s="6">
        <f>('2 transformar y limpiar'!C180-$B$6)/$C$6</f>
        <v/>
      </c>
      <c r="D166" s="6">
        <f>('2 transformar y limpiar'!D180-$B$7)/$C$7</f>
        <v/>
      </c>
      <c r="E166" s="6">
        <f>('2 transformar y limpiar'!E180-$B$8)/$C$8</f>
        <v/>
      </c>
      <c r="F166" s="6">
        <f>('2 transformar y limpiar'!F180-$B$9)/$C$9</f>
        <v/>
      </c>
      <c r="G166">
        <f>'2 transformar y limpiar'!G180</f>
        <v/>
      </c>
      <c r="H166">
        <f>'2 transformar y limpiar'!H180</f>
        <v/>
      </c>
      <c r="I166">
        <f>'2 transformar y limpiar'!I180</f>
        <v/>
      </c>
      <c r="J166">
        <f>'2 transformar y limpiar'!J180</f>
        <v/>
      </c>
      <c r="K166">
        <f>'2 transformar y limpiar'!K180</f>
        <v/>
      </c>
      <c r="L166">
        <f>'2 transformar y limpiar'!L180</f>
        <v/>
      </c>
      <c r="M166">
        <f>'2 transformar y limpiar'!M180</f>
        <v/>
      </c>
      <c r="N166">
        <f>'2 transformar y limpiar'!N180</f>
        <v/>
      </c>
      <c r="O166">
        <f>'2 transformar y limpiar'!O180</f>
        <v/>
      </c>
      <c r="P166">
        <f>'2 transformar y limpiar'!P180</f>
        <v/>
      </c>
      <c r="Q166">
        <f>'2 transformar y limpiar'!Q180</f>
        <v/>
      </c>
      <c r="R166">
        <f>'2 transformar y limpiar'!R180</f>
        <v/>
      </c>
      <c r="S166">
        <f>'2 transformar y limpiar'!S180</f>
        <v/>
      </c>
      <c r="T166">
        <f>'2 transformar y limpiar'!T180</f>
        <v/>
      </c>
      <c r="U166" s="5">
        <f>'2 transformar y limpiar'!U180</f>
        <v/>
      </c>
    </row>
    <row r="167">
      <c r="A167">
        <f>'2 transformar y limpiar'!A181</f>
        <v/>
      </c>
      <c r="B167">
        <f>'2 transformar y limpiar'!B181</f>
        <v/>
      </c>
      <c r="C167" s="6">
        <f>('2 transformar y limpiar'!C181-$B$6)/$C$6</f>
        <v/>
      </c>
      <c r="D167" s="6">
        <f>('2 transformar y limpiar'!D181-$B$7)/$C$7</f>
        <v/>
      </c>
      <c r="E167" s="6">
        <f>('2 transformar y limpiar'!E181-$B$8)/$C$8</f>
        <v/>
      </c>
      <c r="F167" s="6">
        <f>('2 transformar y limpiar'!F181-$B$9)/$C$9</f>
        <v/>
      </c>
      <c r="G167">
        <f>'2 transformar y limpiar'!G181</f>
        <v/>
      </c>
      <c r="H167">
        <f>'2 transformar y limpiar'!H181</f>
        <v/>
      </c>
      <c r="I167">
        <f>'2 transformar y limpiar'!I181</f>
        <v/>
      </c>
      <c r="J167">
        <f>'2 transformar y limpiar'!J181</f>
        <v/>
      </c>
      <c r="K167">
        <f>'2 transformar y limpiar'!K181</f>
        <v/>
      </c>
      <c r="L167">
        <f>'2 transformar y limpiar'!L181</f>
        <v/>
      </c>
      <c r="M167">
        <f>'2 transformar y limpiar'!M181</f>
        <v/>
      </c>
      <c r="N167">
        <f>'2 transformar y limpiar'!N181</f>
        <v/>
      </c>
      <c r="O167">
        <f>'2 transformar y limpiar'!O181</f>
        <v/>
      </c>
      <c r="P167">
        <f>'2 transformar y limpiar'!P181</f>
        <v/>
      </c>
      <c r="Q167">
        <f>'2 transformar y limpiar'!Q181</f>
        <v/>
      </c>
      <c r="R167">
        <f>'2 transformar y limpiar'!R181</f>
        <v/>
      </c>
      <c r="S167">
        <f>'2 transformar y limpiar'!S181</f>
        <v/>
      </c>
      <c r="T167">
        <f>'2 transformar y limpiar'!T181</f>
        <v/>
      </c>
      <c r="U167" s="5">
        <f>'2 transformar y limpiar'!U181</f>
        <v/>
      </c>
    </row>
    <row r="168">
      <c r="A168">
        <f>'2 transformar y limpiar'!A182</f>
        <v/>
      </c>
      <c r="B168">
        <f>'2 transformar y limpiar'!B182</f>
        <v/>
      </c>
      <c r="C168" s="6">
        <f>('2 transformar y limpiar'!C182-$B$6)/$C$6</f>
        <v/>
      </c>
      <c r="D168" s="6">
        <f>('2 transformar y limpiar'!D182-$B$7)/$C$7</f>
        <v/>
      </c>
      <c r="E168" s="6">
        <f>('2 transformar y limpiar'!E182-$B$8)/$C$8</f>
        <v/>
      </c>
      <c r="F168" s="6">
        <f>('2 transformar y limpiar'!F182-$B$9)/$C$9</f>
        <v/>
      </c>
      <c r="G168">
        <f>'2 transformar y limpiar'!G182</f>
        <v/>
      </c>
      <c r="H168">
        <f>'2 transformar y limpiar'!H182</f>
        <v/>
      </c>
      <c r="I168">
        <f>'2 transformar y limpiar'!I182</f>
        <v/>
      </c>
      <c r="J168">
        <f>'2 transformar y limpiar'!J182</f>
        <v/>
      </c>
      <c r="K168">
        <f>'2 transformar y limpiar'!K182</f>
        <v/>
      </c>
      <c r="L168">
        <f>'2 transformar y limpiar'!L182</f>
        <v/>
      </c>
      <c r="M168">
        <f>'2 transformar y limpiar'!M182</f>
        <v/>
      </c>
      <c r="N168">
        <f>'2 transformar y limpiar'!N182</f>
        <v/>
      </c>
      <c r="O168">
        <f>'2 transformar y limpiar'!O182</f>
        <v/>
      </c>
      <c r="P168">
        <f>'2 transformar y limpiar'!P182</f>
        <v/>
      </c>
      <c r="Q168">
        <f>'2 transformar y limpiar'!Q182</f>
        <v/>
      </c>
      <c r="R168">
        <f>'2 transformar y limpiar'!R182</f>
        <v/>
      </c>
      <c r="S168">
        <f>'2 transformar y limpiar'!S182</f>
        <v/>
      </c>
      <c r="T168">
        <f>'2 transformar y limpiar'!T182</f>
        <v/>
      </c>
      <c r="U168" s="5">
        <f>'2 transformar y limpiar'!U182</f>
        <v/>
      </c>
    </row>
    <row r="169">
      <c r="A169">
        <f>'2 transformar y limpiar'!A183</f>
        <v/>
      </c>
      <c r="B169">
        <f>'2 transformar y limpiar'!B183</f>
        <v/>
      </c>
      <c r="C169" s="6">
        <f>('2 transformar y limpiar'!C183-$B$6)/$C$6</f>
        <v/>
      </c>
      <c r="D169" s="6">
        <f>('2 transformar y limpiar'!D183-$B$7)/$C$7</f>
        <v/>
      </c>
      <c r="E169" s="6">
        <f>('2 transformar y limpiar'!E183-$B$8)/$C$8</f>
        <v/>
      </c>
      <c r="F169" s="6">
        <f>('2 transformar y limpiar'!F183-$B$9)/$C$9</f>
        <v/>
      </c>
      <c r="G169">
        <f>'2 transformar y limpiar'!G183</f>
        <v/>
      </c>
      <c r="H169">
        <f>'2 transformar y limpiar'!H183</f>
        <v/>
      </c>
      <c r="I169">
        <f>'2 transformar y limpiar'!I183</f>
        <v/>
      </c>
      <c r="J169">
        <f>'2 transformar y limpiar'!J183</f>
        <v/>
      </c>
      <c r="K169">
        <f>'2 transformar y limpiar'!K183</f>
        <v/>
      </c>
      <c r="L169">
        <f>'2 transformar y limpiar'!L183</f>
        <v/>
      </c>
      <c r="M169">
        <f>'2 transformar y limpiar'!M183</f>
        <v/>
      </c>
      <c r="N169">
        <f>'2 transformar y limpiar'!N183</f>
        <v/>
      </c>
      <c r="O169">
        <f>'2 transformar y limpiar'!O183</f>
        <v/>
      </c>
      <c r="P169">
        <f>'2 transformar y limpiar'!P183</f>
        <v/>
      </c>
      <c r="Q169">
        <f>'2 transformar y limpiar'!Q183</f>
        <v/>
      </c>
      <c r="R169">
        <f>'2 transformar y limpiar'!R183</f>
        <v/>
      </c>
      <c r="S169">
        <f>'2 transformar y limpiar'!S183</f>
        <v/>
      </c>
      <c r="T169">
        <f>'2 transformar y limpiar'!T183</f>
        <v/>
      </c>
      <c r="U169" s="5">
        <f>'2 transformar y limpiar'!U183</f>
        <v/>
      </c>
    </row>
    <row r="170">
      <c r="A170">
        <f>'2 transformar y limpiar'!A184</f>
        <v/>
      </c>
      <c r="B170">
        <f>'2 transformar y limpiar'!B184</f>
        <v/>
      </c>
      <c r="C170" s="6">
        <f>('2 transformar y limpiar'!C184-$B$6)/$C$6</f>
        <v/>
      </c>
      <c r="D170" s="6">
        <f>('2 transformar y limpiar'!D184-$B$7)/$C$7</f>
        <v/>
      </c>
      <c r="E170" s="6">
        <f>('2 transformar y limpiar'!E184-$B$8)/$C$8</f>
        <v/>
      </c>
      <c r="F170" s="6">
        <f>('2 transformar y limpiar'!F184-$B$9)/$C$9</f>
        <v/>
      </c>
      <c r="G170">
        <f>'2 transformar y limpiar'!G184</f>
        <v/>
      </c>
      <c r="H170">
        <f>'2 transformar y limpiar'!H184</f>
        <v/>
      </c>
      <c r="I170">
        <f>'2 transformar y limpiar'!I184</f>
        <v/>
      </c>
      <c r="J170">
        <f>'2 transformar y limpiar'!J184</f>
        <v/>
      </c>
      <c r="K170">
        <f>'2 transformar y limpiar'!K184</f>
        <v/>
      </c>
      <c r="L170">
        <f>'2 transformar y limpiar'!L184</f>
        <v/>
      </c>
      <c r="M170">
        <f>'2 transformar y limpiar'!M184</f>
        <v/>
      </c>
      <c r="N170">
        <f>'2 transformar y limpiar'!N184</f>
        <v/>
      </c>
      <c r="O170">
        <f>'2 transformar y limpiar'!O184</f>
        <v/>
      </c>
      <c r="P170">
        <f>'2 transformar y limpiar'!P184</f>
        <v/>
      </c>
      <c r="Q170">
        <f>'2 transformar y limpiar'!Q184</f>
        <v/>
      </c>
      <c r="R170">
        <f>'2 transformar y limpiar'!R184</f>
        <v/>
      </c>
      <c r="S170">
        <f>'2 transformar y limpiar'!S184</f>
        <v/>
      </c>
      <c r="T170">
        <f>'2 transformar y limpiar'!T184</f>
        <v/>
      </c>
      <c r="U170" s="5">
        <f>'2 transformar y limpiar'!U184</f>
        <v/>
      </c>
    </row>
    <row r="171">
      <c r="A171">
        <f>'2 transformar y limpiar'!A185</f>
        <v/>
      </c>
      <c r="B171">
        <f>'2 transformar y limpiar'!B185</f>
        <v/>
      </c>
      <c r="C171" s="6">
        <f>('2 transformar y limpiar'!C185-$B$6)/$C$6</f>
        <v/>
      </c>
      <c r="D171" s="6">
        <f>('2 transformar y limpiar'!D185-$B$7)/$C$7</f>
        <v/>
      </c>
      <c r="E171" s="6">
        <f>('2 transformar y limpiar'!E185-$B$8)/$C$8</f>
        <v/>
      </c>
      <c r="F171" s="6">
        <f>('2 transformar y limpiar'!F185-$B$9)/$C$9</f>
        <v/>
      </c>
      <c r="G171">
        <f>'2 transformar y limpiar'!G185</f>
        <v/>
      </c>
      <c r="H171">
        <f>'2 transformar y limpiar'!H185</f>
        <v/>
      </c>
      <c r="I171">
        <f>'2 transformar y limpiar'!I185</f>
        <v/>
      </c>
      <c r="J171">
        <f>'2 transformar y limpiar'!J185</f>
        <v/>
      </c>
      <c r="K171">
        <f>'2 transformar y limpiar'!K185</f>
        <v/>
      </c>
      <c r="L171">
        <f>'2 transformar y limpiar'!L185</f>
        <v/>
      </c>
      <c r="M171">
        <f>'2 transformar y limpiar'!M185</f>
        <v/>
      </c>
      <c r="N171">
        <f>'2 transformar y limpiar'!N185</f>
        <v/>
      </c>
      <c r="O171">
        <f>'2 transformar y limpiar'!O185</f>
        <v/>
      </c>
      <c r="P171">
        <f>'2 transformar y limpiar'!P185</f>
        <v/>
      </c>
      <c r="Q171">
        <f>'2 transformar y limpiar'!Q185</f>
        <v/>
      </c>
      <c r="R171">
        <f>'2 transformar y limpiar'!R185</f>
        <v/>
      </c>
      <c r="S171">
        <f>'2 transformar y limpiar'!S185</f>
        <v/>
      </c>
      <c r="T171">
        <f>'2 transformar y limpiar'!T185</f>
        <v/>
      </c>
      <c r="U171" s="5">
        <f>'2 transformar y limpiar'!U185</f>
        <v/>
      </c>
    </row>
    <row r="172">
      <c r="A172">
        <f>'2 transformar y limpiar'!A186</f>
        <v/>
      </c>
      <c r="B172">
        <f>'2 transformar y limpiar'!B186</f>
        <v/>
      </c>
      <c r="C172" s="6">
        <f>('2 transformar y limpiar'!C186-$B$6)/$C$6</f>
        <v/>
      </c>
      <c r="D172" s="6">
        <f>('2 transformar y limpiar'!D186-$B$7)/$C$7</f>
        <v/>
      </c>
      <c r="E172" s="6">
        <f>('2 transformar y limpiar'!E186-$B$8)/$C$8</f>
        <v/>
      </c>
      <c r="F172" s="6">
        <f>('2 transformar y limpiar'!F186-$B$9)/$C$9</f>
        <v/>
      </c>
      <c r="G172">
        <f>'2 transformar y limpiar'!G186</f>
        <v/>
      </c>
      <c r="H172">
        <f>'2 transformar y limpiar'!H186</f>
        <v/>
      </c>
      <c r="I172">
        <f>'2 transformar y limpiar'!I186</f>
        <v/>
      </c>
      <c r="J172">
        <f>'2 transformar y limpiar'!J186</f>
        <v/>
      </c>
      <c r="K172">
        <f>'2 transformar y limpiar'!K186</f>
        <v/>
      </c>
      <c r="L172">
        <f>'2 transformar y limpiar'!L186</f>
        <v/>
      </c>
      <c r="M172">
        <f>'2 transformar y limpiar'!M186</f>
        <v/>
      </c>
      <c r="N172">
        <f>'2 transformar y limpiar'!N186</f>
        <v/>
      </c>
      <c r="O172">
        <f>'2 transformar y limpiar'!O186</f>
        <v/>
      </c>
      <c r="P172">
        <f>'2 transformar y limpiar'!P186</f>
        <v/>
      </c>
      <c r="Q172">
        <f>'2 transformar y limpiar'!Q186</f>
        <v/>
      </c>
      <c r="R172">
        <f>'2 transformar y limpiar'!R186</f>
        <v/>
      </c>
      <c r="S172">
        <f>'2 transformar y limpiar'!S186</f>
        <v/>
      </c>
      <c r="T172">
        <f>'2 transformar y limpiar'!T186</f>
        <v/>
      </c>
      <c r="U172" s="5">
        <f>'2 transformar y limpiar'!U186</f>
        <v/>
      </c>
    </row>
    <row r="173">
      <c r="A173">
        <f>'2 transformar y limpiar'!A187</f>
        <v/>
      </c>
      <c r="B173">
        <f>'2 transformar y limpiar'!B187</f>
        <v/>
      </c>
      <c r="C173" s="6">
        <f>('2 transformar y limpiar'!C187-$B$6)/$C$6</f>
        <v/>
      </c>
      <c r="D173" s="6">
        <f>('2 transformar y limpiar'!D187-$B$7)/$C$7</f>
        <v/>
      </c>
      <c r="E173" s="6">
        <f>('2 transformar y limpiar'!E187-$B$8)/$C$8</f>
        <v/>
      </c>
      <c r="F173" s="6">
        <f>('2 transformar y limpiar'!F187-$B$9)/$C$9</f>
        <v/>
      </c>
      <c r="G173">
        <f>'2 transformar y limpiar'!G187</f>
        <v/>
      </c>
      <c r="H173">
        <f>'2 transformar y limpiar'!H187</f>
        <v/>
      </c>
      <c r="I173">
        <f>'2 transformar y limpiar'!I187</f>
        <v/>
      </c>
      <c r="J173">
        <f>'2 transformar y limpiar'!J187</f>
        <v/>
      </c>
      <c r="K173">
        <f>'2 transformar y limpiar'!K187</f>
        <v/>
      </c>
      <c r="L173">
        <f>'2 transformar y limpiar'!L187</f>
        <v/>
      </c>
      <c r="M173">
        <f>'2 transformar y limpiar'!M187</f>
        <v/>
      </c>
      <c r="N173">
        <f>'2 transformar y limpiar'!N187</f>
        <v/>
      </c>
      <c r="O173">
        <f>'2 transformar y limpiar'!O187</f>
        <v/>
      </c>
      <c r="P173">
        <f>'2 transformar y limpiar'!P187</f>
        <v/>
      </c>
      <c r="Q173">
        <f>'2 transformar y limpiar'!Q187</f>
        <v/>
      </c>
      <c r="R173">
        <f>'2 transformar y limpiar'!R187</f>
        <v/>
      </c>
      <c r="S173">
        <f>'2 transformar y limpiar'!S187</f>
        <v/>
      </c>
      <c r="T173">
        <f>'2 transformar y limpiar'!T187</f>
        <v/>
      </c>
      <c r="U173" s="5">
        <f>'2 transformar y limpiar'!U187</f>
        <v/>
      </c>
    </row>
    <row r="174">
      <c r="A174">
        <f>'2 transformar y limpiar'!A188</f>
        <v/>
      </c>
      <c r="B174">
        <f>'2 transformar y limpiar'!B188</f>
        <v/>
      </c>
      <c r="C174" s="6">
        <f>('2 transformar y limpiar'!C188-$B$6)/$C$6</f>
        <v/>
      </c>
      <c r="D174" s="6">
        <f>('2 transformar y limpiar'!D188-$B$7)/$C$7</f>
        <v/>
      </c>
      <c r="E174" s="6">
        <f>('2 transformar y limpiar'!E188-$B$8)/$C$8</f>
        <v/>
      </c>
      <c r="F174" s="6">
        <f>('2 transformar y limpiar'!F188-$B$9)/$C$9</f>
        <v/>
      </c>
      <c r="G174">
        <f>'2 transformar y limpiar'!G188</f>
        <v/>
      </c>
      <c r="H174">
        <f>'2 transformar y limpiar'!H188</f>
        <v/>
      </c>
      <c r="I174">
        <f>'2 transformar y limpiar'!I188</f>
        <v/>
      </c>
      <c r="J174">
        <f>'2 transformar y limpiar'!J188</f>
        <v/>
      </c>
      <c r="K174">
        <f>'2 transformar y limpiar'!K188</f>
        <v/>
      </c>
      <c r="L174">
        <f>'2 transformar y limpiar'!L188</f>
        <v/>
      </c>
      <c r="M174">
        <f>'2 transformar y limpiar'!M188</f>
        <v/>
      </c>
      <c r="N174">
        <f>'2 transformar y limpiar'!N188</f>
        <v/>
      </c>
      <c r="O174">
        <f>'2 transformar y limpiar'!O188</f>
        <v/>
      </c>
      <c r="P174">
        <f>'2 transformar y limpiar'!P188</f>
        <v/>
      </c>
      <c r="Q174">
        <f>'2 transformar y limpiar'!Q188</f>
        <v/>
      </c>
      <c r="R174">
        <f>'2 transformar y limpiar'!R188</f>
        <v/>
      </c>
      <c r="S174">
        <f>'2 transformar y limpiar'!S188</f>
        <v/>
      </c>
      <c r="T174">
        <f>'2 transformar y limpiar'!T188</f>
        <v/>
      </c>
      <c r="U174" s="5">
        <f>'2 transformar y limpiar'!U188</f>
        <v/>
      </c>
    </row>
    <row r="175">
      <c r="A175">
        <f>'2 transformar y limpiar'!A189</f>
        <v/>
      </c>
      <c r="B175">
        <f>'2 transformar y limpiar'!B189</f>
        <v/>
      </c>
      <c r="C175" s="6">
        <f>('2 transformar y limpiar'!C189-$B$6)/$C$6</f>
        <v/>
      </c>
      <c r="D175" s="6">
        <f>('2 transformar y limpiar'!D189-$B$7)/$C$7</f>
        <v/>
      </c>
      <c r="E175" s="6">
        <f>('2 transformar y limpiar'!E189-$B$8)/$C$8</f>
        <v/>
      </c>
      <c r="F175" s="6">
        <f>('2 transformar y limpiar'!F189-$B$9)/$C$9</f>
        <v/>
      </c>
      <c r="G175">
        <f>'2 transformar y limpiar'!G189</f>
        <v/>
      </c>
      <c r="H175">
        <f>'2 transformar y limpiar'!H189</f>
        <v/>
      </c>
      <c r="I175">
        <f>'2 transformar y limpiar'!I189</f>
        <v/>
      </c>
      <c r="J175">
        <f>'2 transformar y limpiar'!J189</f>
        <v/>
      </c>
      <c r="K175">
        <f>'2 transformar y limpiar'!K189</f>
        <v/>
      </c>
      <c r="L175">
        <f>'2 transformar y limpiar'!L189</f>
        <v/>
      </c>
      <c r="M175">
        <f>'2 transformar y limpiar'!M189</f>
        <v/>
      </c>
      <c r="N175">
        <f>'2 transformar y limpiar'!N189</f>
        <v/>
      </c>
      <c r="O175">
        <f>'2 transformar y limpiar'!O189</f>
        <v/>
      </c>
      <c r="P175">
        <f>'2 transformar y limpiar'!P189</f>
        <v/>
      </c>
      <c r="Q175">
        <f>'2 transformar y limpiar'!Q189</f>
        <v/>
      </c>
      <c r="R175">
        <f>'2 transformar y limpiar'!R189</f>
        <v/>
      </c>
      <c r="S175">
        <f>'2 transformar y limpiar'!S189</f>
        <v/>
      </c>
      <c r="T175">
        <f>'2 transformar y limpiar'!T189</f>
        <v/>
      </c>
      <c r="U175" s="5">
        <f>'2 transformar y limpiar'!U189</f>
        <v/>
      </c>
    </row>
    <row r="176">
      <c r="A176">
        <f>'2 transformar y limpiar'!A190</f>
        <v/>
      </c>
      <c r="B176">
        <f>'2 transformar y limpiar'!B190</f>
        <v/>
      </c>
      <c r="C176" s="6">
        <f>('2 transformar y limpiar'!C190-$B$6)/$C$6</f>
        <v/>
      </c>
      <c r="D176" s="6">
        <f>('2 transformar y limpiar'!D190-$B$7)/$C$7</f>
        <v/>
      </c>
      <c r="E176" s="6">
        <f>('2 transformar y limpiar'!E190-$B$8)/$C$8</f>
        <v/>
      </c>
      <c r="F176" s="6">
        <f>('2 transformar y limpiar'!F190-$B$9)/$C$9</f>
        <v/>
      </c>
      <c r="G176">
        <f>'2 transformar y limpiar'!G190</f>
        <v/>
      </c>
      <c r="H176">
        <f>'2 transformar y limpiar'!H190</f>
        <v/>
      </c>
      <c r="I176">
        <f>'2 transformar y limpiar'!I190</f>
        <v/>
      </c>
      <c r="J176">
        <f>'2 transformar y limpiar'!J190</f>
        <v/>
      </c>
      <c r="K176">
        <f>'2 transformar y limpiar'!K190</f>
        <v/>
      </c>
      <c r="L176">
        <f>'2 transformar y limpiar'!L190</f>
        <v/>
      </c>
      <c r="M176">
        <f>'2 transformar y limpiar'!M190</f>
        <v/>
      </c>
      <c r="N176">
        <f>'2 transformar y limpiar'!N190</f>
        <v/>
      </c>
      <c r="O176">
        <f>'2 transformar y limpiar'!O190</f>
        <v/>
      </c>
      <c r="P176">
        <f>'2 transformar y limpiar'!P190</f>
        <v/>
      </c>
      <c r="Q176">
        <f>'2 transformar y limpiar'!Q190</f>
        <v/>
      </c>
      <c r="R176">
        <f>'2 transformar y limpiar'!R190</f>
        <v/>
      </c>
      <c r="S176">
        <f>'2 transformar y limpiar'!S190</f>
        <v/>
      </c>
      <c r="T176">
        <f>'2 transformar y limpiar'!T190</f>
        <v/>
      </c>
      <c r="U176" s="5">
        <f>'2 transformar y limpiar'!U190</f>
        <v/>
      </c>
    </row>
    <row r="177">
      <c r="A177">
        <f>'2 transformar y limpiar'!A191</f>
        <v/>
      </c>
      <c r="B177">
        <f>'2 transformar y limpiar'!B191</f>
        <v/>
      </c>
      <c r="C177" s="6">
        <f>('2 transformar y limpiar'!C191-$B$6)/$C$6</f>
        <v/>
      </c>
      <c r="D177" s="6">
        <f>('2 transformar y limpiar'!D191-$B$7)/$C$7</f>
        <v/>
      </c>
      <c r="E177" s="6">
        <f>('2 transformar y limpiar'!E191-$B$8)/$C$8</f>
        <v/>
      </c>
      <c r="F177" s="6">
        <f>('2 transformar y limpiar'!F191-$B$9)/$C$9</f>
        <v/>
      </c>
      <c r="G177">
        <f>'2 transformar y limpiar'!G191</f>
        <v/>
      </c>
      <c r="H177">
        <f>'2 transformar y limpiar'!H191</f>
        <v/>
      </c>
      <c r="I177">
        <f>'2 transformar y limpiar'!I191</f>
        <v/>
      </c>
      <c r="J177">
        <f>'2 transformar y limpiar'!J191</f>
        <v/>
      </c>
      <c r="K177">
        <f>'2 transformar y limpiar'!K191</f>
        <v/>
      </c>
      <c r="L177">
        <f>'2 transformar y limpiar'!L191</f>
        <v/>
      </c>
      <c r="M177">
        <f>'2 transformar y limpiar'!M191</f>
        <v/>
      </c>
      <c r="N177">
        <f>'2 transformar y limpiar'!N191</f>
        <v/>
      </c>
      <c r="O177">
        <f>'2 transformar y limpiar'!O191</f>
        <v/>
      </c>
      <c r="P177">
        <f>'2 transformar y limpiar'!P191</f>
        <v/>
      </c>
      <c r="Q177">
        <f>'2 transformar y limpiar'!Q191</f>
        <v/>
      </c>
      <c r="R177">
        <f>'2 transformar y limpiar'!R191</f>
        <v/>
      </c>
      <c r="S177">
        <f>'2 transformar y limpiar'!S191</f>
        <v/>
      </c>
      <c r="T177">
        <f>'2 transformar y limpiar'!T191</f>
        <v/>
      </c>
      <c r="U177" s="5">
        <f>'2 transformar y limpiar'!U191</f>
        <v/>
      </c>
    </row>
    <row r="178">
      <c r="A178">
        <f>'2 transformar y limpiar'!A192</f>
        <v/>
      </c>
      <c r="B178">
        <f>'2 transformar y limpiar'!B192</f>
        <v/>
      </c>
      <c r="C178" s="6">
        <f>('2 transformar y limpiar'!C192-$B$6)/$C$6</f>
        <v/>
      </c>
      <c r="D178" s="6">
        <f>('2 transformar y limpiar'!D192-$B$7)/$C$7</f>
        <v/>
      </c>
      <c r="E178" s="6">
        <f>('2 transformar y limpiar'!E192-$B$8)/$C$8</f>
        <v/>
      </c>
      <c r="F178" s="6">
        <f>('2 transformar y limpiar'!F192-$B$9)/$C$9</f>
        <v/>
      </c>
      <c r="G178">
        <f>'2 transformar y limpiar'!G192</f>
        <v/>
      </c>
      <c r="H178">
        <f>'2 transformar y limpiar'!H192</f>
        <v/>
      </c>
      <c r="I178">
        <f>'2 transformar y limpiar'!I192</f>
        <v/>
      </c>
      <c r="J178">
        <f>'2 transformar y limpiar'!J192</f>
        <v/>
      </c>
      <c r="K178">
        <f>'2 transformar y limpiar'!K192</f>
        <v/>
      </c>
      <c r="L178">
        <f>'2 transformar y limpiar'!L192</f>
        <v/>
      </c>
      <c r="M178">
        <f>'2 transformar y limpiar'!M192</f>
        <v/>
      </c>
      <c r="N178">
        <f>'2 transformar y limpiar'!N192</f>
        <v/>
      </c>
      <c r="O178">
        <f>'2 transformar y limpiar'!O192</f>
        <v/>
      </c>
      <c r="P178">
        <f>'2 transformar y limpiar'!P192</f>
        <v/>
      </c>
      <c r="Q178">
        <f>'2 transformar y limpiar'!Q192</f>
        <v/>
      </c>
      <c r="R178">
        <f>'2 transformar y limpiar'!R192</f>
        <v/>
      </c>
      <c r="S178">
        <f>'2 transformar y limpiar'!S192</f>
        <v/>
      </c>
      <c r="T178">
        <f>'2 transformar y limpiar'!T192</f>
        <v/>
      </c>
      <c r="U178" s="5">
        <f>'2 transformar y limpiar'!U192</f>
        <v/>
      </c>
    </row>
    <row r="179">
      <c r="A179">
        <f>'2 transformar y limpiar'!A193</f>
        <v/>
      </c>
      <c r="B179">
        <f>'2 transformar y limpiar'!B193</f>
        <v/>
      </c>
      <c r="C179" s="6">
        <f>('2 transformar y limpiar'!C193-$B$6)/$C$6</f>
        <v/>
      </c>
      <c r="D179" s="6">
        <f>('2 transformar y limpiar'!D193-$B$7)/$C$7</f>
        <v/>
      </c>
      <c r="E179" s="6">
        <f>('2 transformar y limpiar'!E193-$B$8)/$C$8</f>
        <v/>
      </c>
      <c r="F179" s="6">
        <f>('2 transformar y limpiar'!F193-$B$9)/$C$9</f>
        <v/>
      </c>
      <c r="G179">
        <f>'2 transformar y limpiar'!G193</f>
        <v/>
      </c>
      <c r="H179">
        <f>'2 transformar y limpiar'!H193</f>
        <v/>
      </c>
      <c r="I179">
        <f>'2 transformar y limpiar'!I193</f>
        <v/>
      </c>
      <c r="J179">
        <f>'2 transformar y limpiar'!J193</f>
        <v/>
      </c>
      <c r="K179">
        <f>'2 transformar y limpiar'!K193</f>
        <v/>
      </c>
      <c r="L179">
        <f>'2 transformar y limpiar'!L193</f>
        <v/>
      </c>
      <c r="M179">
        <f>'2 transformar y limpiar'!M193</f>
        <v/>
      </c>
      <c r="N179">
        <f>'2 transformar y limpiar'!N193</f>
        <v/>
      </c>
      <c r="O179">
        <f>'2 transformar y limpiar'!O193</f>
        <v/>
      </c>
      <c r="P179">
        <f>'2 transformar y limpiar'!P193</f>
        <v/>
      </c>
      <c r="Q179">
        <f>'2 transformar y limpiar'!Q193</f>
        <v/>
      </c>
      <c r="R179">
        <f>'2 transformar y limpiar'!R193</f>
        <v/>
      </c>
      <c r="S179">
        <f>'2 transformar y limpiar'!S193</f>
        <v/>
      </c>
      <c r="T179">
        <f>'2 transformar y limpiar'!T193</f>
        <v/>
      </c>
      <c r="U179" s="5">
        <f>'2 transformar y limpiar'!U193</f>
        <v/>
      </c>
    </row>
    <row r="180">
      <c r="A180">
        <f>'2 transformar y limpiar'!A194</f>
        <v/>
      </c>
      <c r="B180">
        <f>'2 transformar y limpiar'!B194</f>
        <v/>
      </c>
      <c r="C180" s="6">
        <f>('2 transformar y limpiar'!C194-$B$6)/$C$6</f>
        <v/>
      </c>
      <c r="D180" s="6">
        <f>('2 transformar y limpiar'!D194-$B$7)/$C$7</f>
        <v/>
      </c>
      <c r="E180" s="6">
        <f>('2 transformar y limpiar'!E194-$B$8)/$C$8</f>
        <v/>
      </c>
      <c r="F180" s="6">
        <f>('2 transformar y limpiar'!F194-$B$9)/$C$9</f>
        <v/>
      </c>
      <c r="G180">
        <f>'2 transformar y limpiar'!G194</f>
        <v/>
      </c>
      <c r="H180">
        <f>'2 transformar y limpiar'!H194</f>
        <v/>
      </c>
      <c r="I180">
        <f>'2 transformar y limpiar'!I194</f>
        <v/>
      </c>
      <c r="J180">
        <f>'2 transformar y limpiar'!J194</f>
        <v/>
      </c>
      <c r="K180">
        <f>'2 transformar y limpiar'!K194</f>
        <v/>
      </c>
      <c r="L180">
        <f>'2 transformar y limpiar'!L194</f>
        <v/>
      </c>
      <c r="M180">
        <f>'2 transformar y limpiar'!M194</f>
        <v/>
      </c>
      <c r="N180">
        <f>'2 transformar y limpiar'!N194</f>
        <v/>
      </c>
      <c r="O180">
        <f>'2 transformar y limpiar'!O194</f>
        <v/>
      </c>
      <c r="P180">
        <f>'2 transformar y limpiar'!P194</f>
        <v/>
      </c>
      <c r="Q180">
        <f>'2 transformar y limpiar'!Q194</f>
        <v/>
      </c>
      <c r="R180">
        <f>'2 transformar y limpiar'!R194</f>
        <v/>
      </c>
      <c r="S180">
        <f>'2 transformar y limpiar'!S194</f>
        <v/>
      </c>
      <c r="T180">
        <f>'2 transformar y limpiar'!T194</f>
        <v/>
      </c>
      <c r="U180" s="5">
        <f>'2 transformar y limpiar'!U194</f>
        <v/>
      </c>
    </row>
    <row r="181">
      <c r="A181">
        <f>'2 transformar y limpiar'!A195</f>
        <v/>
      </c>
      <c r="B181">
        <f>'2 transformar y limpiar'!B195</f>
        <v/>
      </c>
      <c r="C181" s="6">
        <f>('2 transformar y limpiar'!C195-$B$6)/$C$6</f>
        <v/>
      </c>
      <c r="D181" s="6">
        <f>('2 transformar y limpiar'!D195-$B$7)/$C$7</f>
        <v/>
      </c>
      <c r="E181" s="6">
        <f>('2 transformar y limpiar'!E195-$B$8)/$C$8</f>
        <v/>
      </c>
      <c r="F181" s="6">
        <f>('2 transformar y limpiar'!F195-$B$9)/$C$9</f>
        <v/>
      </c>
      <c r="G181">
        <f>'2 transformar y limpiar'!G195</f>
        <v/>
      </c>
      <c r="H181">
        <f>'2 transformar y limpiar'!H195</f>
        <v/>
      </c>
      <c r="I181">
        <f>'2 transformar y limpiar'!I195</f>
        <v/>
      </c>
      <c r="J181">
        <f>'2 transformar y limpiar'!J195</f>
        <v/>
      </c>
      <c r="K181">
        <f>'2 transformar y limpiar'!K195</f>
        <v/>
      </c>
      <c r="L181">
        <f>'2 transformar y limpiar'!L195</f>
        <v/>
      </c>
      <c r="M181">
        <f>'2 transformar y limpiar'!M195</f>
        <v/>
      </c>
      <c r="N181">
        <f>'2 transformar y limpiar'!N195</f>
        <v/>
      </c>
      <c r="O181">
        <f>'2 transformar y limpiar'!O195</f>
        <v/>
      </c>
      <c r="P181">
        <f>'2 transformar y limpiar'!P195</f>
        <v/>
      </c>
      <c r="Q181">
        <f>'2 transformar y limpiar'!Q195</f>
        <v/>
      </c>
      <c r="R181">
        <f>'2 transformar y limpiar'!R195</f>
        <v/>
      </c>
      <c r="S181">
        <f>'2 transformar y limpiar'!S195</f>
        <v/>
      </c>
      <c r="T181">
        <f>'2 transformar y limpiar'!T195</f>
        <v/>
      </c>
      <c r="U181" s="5">
        <f>'2 transformar y limpiar'!U195</f>
        <v/>
      </c>
    </row>
    <row r="182">
      <c r="A182">
        <f>'2 transformar y limpiar'!A196</f>
        <v/>
      </c>
      <c r="B182">
        <f>'2 transformar y limpiar'!B196</f>
        <v/>
      </c>
      <c r="C182" s="6">
        <f>('2 transformar y limpiar'!C196-$B$6)/$C$6</f>
        <v/>
      </c>
      <c r="D182" s="6">
        <f>('2 transformar y limpiar'!D196-$B$7)/$C$7</f>
        <v/>
      </c>
      <c r="E182" s="6">
        <f>('2 transformar y limpiar'!E196-$B$8)/$C$8</f>
        <v/>
      </c>
      <c r="F182" s="6">
        <f>('2 transformar y limpiar'!F196-$B$9)/$C$9</f>
        <v/>
      </c>
      <c r="G182">
        <f>'2 transformar y limpiar'!G196</f>
        <v/>
      </c>
      <c r="H182">
        <f>'2 transformar y limpiar'!H196</f>
        <v/>
      </c>
      <c r="I182">
        <f>'2 transformar y limpiar'!I196</f>
        <v/>
      </c>
      <c r="J182">
        <f>'2 transformar y limpiar'!J196</f>
        <v/>
      </c>
      <c r="K182">
        <f>'2 transformar y limpiar'!K196</f>
        <v/>
      </c>
      <c r="L182">
        <f>'2 transformar y limpiar'!L196</f>
        <v/>
      </c>
      <c r="M182">
        <f>'2 transformar y limpiar'!M196</f>
        <v/>
      </c>
      <c r="N182">
        <f>'2 transformar y limpiar'!N196</f>
        <v/>
      </c>
      <c r="O182">
        <f>'2 transformar y limpiar'!O196</f>
        <v/>
      </c>
      <c r="P182">
        <f>'2 transformar y limpiar'!P196</f>
        <v/>
      </c>
      <c r="Q182">
        <f>'2 transformar y limpiar'!Q196</f>
        <v/>
      </c>
      <c r="R182">
        <f>'2 transformar y limpiar'!R196</f>
        <v/>
      </c>
      <c r="S182">
        <f>'2 transformar y limpiar'!S196</f>
        <v/>
      </c>
      <c r="T182">
        <f>'2 transformar y limpiar'!T196</f>
        <v/>
      </c>
      <c r="U182" s="5">
        <f>'2 transformar y limpiar'!U196</f>
        <v/>
      </c>
    </row>
    <row r="183">
      <c r="A183">
        <f>'2 transformar y limpiar'!A197</f>
        <v/>
      </c>
      <c r="B183">
        <f>'2 transformar y limpiar'!B197</f>
        <v/>
      </c>
      <c r="C183" s="6">
        <f>('2 transformar y limpiar'!C197-$B$6)/$C$6</f>
        <v/>
      </c>
      <c r="D183" s="6">
        <f>('2 transformar y limpiar'!D197-$B$7)/$C$7</f>
        <v/>
      </c>
      <c r="E183" s="6">
        <f>('2 transformar y limpiar'!E197-$B$8)/$C$8</f>
        <v/>
      </c>
      <c r="F183" s="6">
        <f>('2 transformar y limpiar'!F197-$B$9)/$C$9</f>
        <v/>
      </c>
      <c r="G183">
        <f>'2 transformar y limpiar'!G197</f>
        <v/>
      </c>
      <c r="H183">
        <f>'2 transformar y limpiar'!H197</f>
        <v/>
      </c>
      <c r="I183">
        <f>'2 transformar y limpiar'!I197</f>
        <v/>
      </c>
      <c r="J183">
        <f>'2 transformar y limpiar'!J197</f>
        <v/>
      </c>
      <c r="K183">
        <f>'2 transformar y limpiar'!K197</f>
        <v/>
      </c>
      <c r="L183">
        <f>'2 transformar y limpiar'!L197</f>
        <v/>
      </c>
      <c r="M183">
        <f>'2 transformar y limpiar'!M197</f>
        <v/>
      </c>
      <c r="N183">
        <f>'2 transformar y limpiar'!N197</f>
        <v/>
      </c>
      <c r="O183">
        <f>'2 transformar y limpiar'!O197</f>
        <v/>
      </c>
      <c r="P183">
        <f>'2 transformar y limpiar'!P197</f>
        <v/>
      </c>
      <c r="Q183">
        <f>'2 transformar y limpiar'!Q197</f>
        <v/>
      </c>
      <c r="R183">
        <f>'2 transformar y limpiar'!R197</f>
        <v/>
      </c>
      <c r="S183">
        <f>'2 transformar y limpiar'!S197</f>
        <v/>
      </c>
      <c r="T183">
        <f>'2 transformar y limpiar'!T197</f>
        <v/>
      </c>
      <c r="U183" s="5">
        <f>'2 transformar y limpiar'!U197</f>
        <v/>
      </c>
    </row>
    <row r="184">
      <c r="A184">
        <f>'2 transformar y limpiar'!A198</f>
        <v/>
      </c>
      <c r="B184">
        <f>'2 transformar y limpiar'!B198</f>
        <v/>
      </c>
      <c r="C184" s="6">
        <f>('2 transformar y limpiar'!C198-$B$6)/$C$6</f>
        <v/>
      </c>
      <c r="D184" s="6">
        <f>('2 transformar y limpiar'!D198-$B$7)/$C$7</f>
        <v/>
      </c>
      <c r="E184" s="6">
        <f>('2 transformar y limpiar'!E198-$B$8)/$C$8</f>
        <v/>
      </c>
      <c r="F184" s="6">
        <f>('2 transformar y limpiar'!F198-$B$9)/$C$9</f>
        <v/>
      </c>
      <c r="G184">
        <f>'2 transformar y limpiar'!G198</f>
        <v/>
      </c>
      <c r="H184">
        <f>'2 transformar y limpiar'!H198</f>
        <v/>
      </c>
      <c r="I184">
        <f>'2 transformar y limpiar'!I198</f>
        <v/>
      </c>
      <c r="J184">
        <f>'2 transformar y limpiar'!J198</f>
        <v/>
      </c>
      <c r="K184">
        <f>'2 transformar y limpiar'!K198</f>
        <v/>
      </c>
      <c r="L184">
        <f>'2 transformar y limpiar'!L198</f>
        <v/>
      </c>
      <c r="M184">
        <f>'2 transformar y limpiar'!M198</f>
        <v/>
      </c>
      <c r="N184">
        <f>'2 transformar y limpiar'!N198</f>
        <v/>
      </c>
      <c r="O184">
        <f>'2 transformar y limpiar'!O198</f>
        <v/>
      </c>
      <c r="P184">
        <f>'2 transformar y limpiar'!P198</f>
        <v/>
      </c>
      <c r="Q184">
        <f>'2 transformar y limpiar'!Q198</f>
        <v/>
      </c>
      <c r="R184">
        <f>'2 transformar y limpiar'!R198</f>
        <v/>
      </c>
      <c r="S184">
        <f>'2 transformar y limpiar'!S198</f>
        <v/>
      </c>
      <c r="T184">
        <f>'2 transformar y limpiar'!T198</f>
        <v/>
      </c>
      <c r="U184" s="5">
        <f>'2 transformar y limpiar'!U198</f>
        <v/>
      </c>
    </row>
    <row r="185">
      <c r="A185">
        <f>'2 transformar y limpiar'!A199</f>
        <v/>
      </c>
      <c r="B185">
        <f>'2 transformar y limpiar'!B199</f>
        <v/>
      </c>
      <c r="C185" s="6">
        <f>('2 transformar y limpiar'!C199-$B$6)/$C$6</f>
        <v/>
      </c>
      <c r="D185" s="6">
        <f>('2 transformar y limpiar'!D199-$B$7)/$C$7</f>
        <v/>
      </c>
      <c r="E185" s="6">
        <f>('2 transformar y limpiar'!E199-$B$8)/$C$8</f>
        <v/>
      </c>
      <c r="F185" s="6">
        <f>('2 transformar y limpiar'!F199-$B$9)/$C$9</f>
        <v/>
      </c>
      <c r="G185">
        <f>'2 transformar y limpiar'!G199</f>
        <v/>
      </c>
      <c r="H185">
        <f>'2 transformar y limpiar'!H199</f>
        <v/>
      </c>
      <c r="I185">
        <f>'2 transformar y limpiar'!I199</f>
        <v/>
      </c>
      <c r="J185">
        <f>'2 transformar y limpiar'!J199</f>
        <v/>
      </c>
      <c r="K185">
        <f>'2 transformar y limpiar'!K199</f>
        <v/>
      </c>
      <c r="L185">
        <f>'2 transformar y limpiar'!L199</f>
        <v/>
      </c>
      <c r="M185">
        <f>'2 transformar y limpiar'!M199</f>
        <v/>
      </c>
      <c r="N185">
        <f>'2 transformar y limpiar'!N199</f>
        <v/>
      </c>
      <c r="O185">
        <f>'2 transformar y limpiar'!O199</f>
        <v/>
      </c>
      <c r="P185">
        <f>'2 transformar y limpiar'!P199</f>
        <v/>
      </c>
      <c r="Q185">
        <f>'2 transformar y limpiar'!Q199</f>
        <v/>
      </c>
      <c r="R185">
        <f>'2 transformar y limpiar'!R199</f>
        <v/>
      </c>
      <c r="S185">
        <f>'2 transformar y limpiar'!S199</f>
        <v/>
      </c>
      <c r="T185">
        <f>'2 transformar y limpiar'!T199</f>
        <v/>
      </c>
      <c r="U185" s="5">
        <f>'2 transformar y limpiar'!U199</f>
        <v/>
      </c>
    </row>
    <row r="186">
      <c r="A186">
        <f>'2 transformar y limpiar'!A200</f>
        <v/>
      </c>
      <c r="B186">
        <f>'2 transformar y limpiar'!B200</f>
        <v/>
      </c>
      <c r="C186" s="6">
        <f>('2 transformar y limpiar'!C200-$B$6)/$C$6</f>
        <v/>
      </c>
      <c r="D186" s="6">
        <f>('2 transformar y limpiar'!D200-$B$7)/$C$7</f>
        <v/>
      </c>
      <c r="E186" s="6">
        <f>('2 transformar y limpiar'!E200-$B$8)/$C$8</f>
        <v/>
      </c>
      <c r="F186" s="6">
        <f>('2 transformar y limpiar'!F200-$B$9)/$C$9</f>
        <v/>
      </c>
      <c r="G186">
        <f>'2 transformar y limpiar'!G200</f>
        <v/>
      </c>
      <c r="H186">
        <f>'2 transformar y limpiar'!H200</f>
        <v/>
      </c>
      <c r="I186">
        <f>'2 transformar y limpiar'!I200</f>
        <v/>
      </c>
      <c r="J186">
        <f>'2 transformar y limpiar'!J200</f>
        <v/>
      </c>
      <c r="K186">
        <f>'2 transformar y limpiar'!K200</f>
        <v/>
      </c>
      <c r="L186">
        <f>'2 transformar y limpiar'!L200</f>
        <v/>
      </c>
      <c r="M186">
        <f>'2 transformar y limpiar'!M200</f>
        <v/>
      </c>
      <c r="N186">
        <f>'2 transformar y limpiar'!N200</f>
        <v/>
      </c>
      <c r="O186">
        <f>'2 transformar y limpiar'!O200</f>
        <v/>
      </c>
      <c r="P186">
        <f>'2 transformar y limpiar'!P200</f>
        <v/>
      </c>
      <c r="Q186">
        <f>'2 transformar y limpiar'!Q200</f>
        <v/>
      </c>
      <c r="R186">
        <f>'2 transformar y limpiar'!R200</f>
        <v/>
      </c>
      <c r="S186">
        <f>'2 transformar y limpiar'!S200</f>
        <v/>
      </c>
      <c r="T186">
        <f>'2 transformar y limpiar'!T200</f>
        <v/>
      </c>
      <c r="U186" s="5">
        <f>'2 transformar y limpiar'!U200</f>
        <v/>
      </c>
    </row>
    <row r="187">
      <c r="A187">
        <f>'2 transformar y limpiar'!A201</f>
        <v/>
      </c>
      <c r="B187">
        <f>'2 transformar y limpiar'!B201</f>
        <v/>
      </c>
      <c r="C187" s="6">
        <f>('2 transformar y limpiar'!C201-$B$6)/$C$6</f>
        <v/>
      </c>
      <c r="D187" s="6">
        <f>('2 transformar y limpiar'!D201-$B$7)/$C$7</f>
        <v/>
      </c>
      <c r="E187" s="6">
        <f>('2 transformar y limpiar'!E201-$B$8)/$C$8</f>
        <v/>
      </c>
      <c r="F187" s="6">
        <f>('2 transformar y limpiar'!F201-$B$9)/$C$9</f>
        <v/>
      </c>
      <c r="G187">
        <f>'2 transformar y limpiar'!G201</f>
        <v/>
      </c>
      <c r="H187">
        <f>'2 transformar y limpiar'!H201</f>
        <v/>
      </c>
      <c r="I187">
        <f>'2 transformar y limpiar'!I201</f>
        <v/>
      </c>
      <c r="J187">
        <f>'2 transformar y limpiar'!J201</f>
        <v/>
      </c>
      <c r="K187">
        <f>'2 transformar y limpiar'!K201</f>
        <v/>
      </c>
      <c r="L187">
        <f>'2 transformar y limpiar'!L201</f>
        <v/>
      </c>
      <c r="M187">
        <f>'2 transformar y limpiar'!M201</f>
        <v/>
      </c>
      <c r="N187">
        <f>'2 transformar y limpiar'!N201</f>
        <v/>
      </c>
      <c r="O187">
        <f>'2 transformar y limpiar'!O201</f>
        <v/>
      </c>
      <c r="P187">
        <f>'2 transformar y limpiar'!P201</f>
        <v/>
      </c>
      <c r="Q187">
        <f>'2 transformar y limpiar'!Q201</f>
        <v/>
      </c>
      <c r="R187">
        <f>'2 transformar y limpiar'!R201</f>
        <v/>
      </c>
      <c r="S187">
        <f>'2 transformar y limpiar'!S201</f>
        <v/>
      </c>
      <c r="T187">
        <f>'2 transformar y limpiar'!T201</f>
        <v/>
      </c>
      <c r="U187" s="5">
        <f>'2 transformar y limpiar'!U201</f>
        <v/>
      </c>
    </row>
    <row r="188">
      <c r="A188">
        <f>'2 transformar y limpiar'!A202</f>
        <v/>
      </c>
      <c r="B188">
        <f>'2 transformar y limpiar'!B202</f>
        <v/>
      </c>
      <c r="C188" s="6">
        <f>('2 transformar y limpiar'!C202-$B$6)/$C$6</f>
        <v/>
      </c>
      <c r="D188" s="6">
        <f>('2 transformar y limpiar'!D202-$B$7)/$C$7</f>
        <v/>
      </c>
      <c r="E188" s="6">
        <f>('2 transformar y limpiar'!E202-$B$8)/$C$8</f>
        <v/>
      </c>
      <c r="F188" s="6">
        <f>('2 transformar y limpiar'!F202-$B$9)/$C$9</f>
        <v/>
      </c>
      <c r="G188">
        <f>'2 transformar y limpiar'!G202</f>
        <v/>
      </c>
      <c r="H188">
        <f>'2 transformar y limpiar'!H202</f>
        <v/>
      </c>
      <c r="I188">
        <f>'2 transformar y limpiar'!I202</f>
        <v/>
      </c>
      <c r="J188">
        <f>'2 transformar y limpiar'!J202</f>
        <v/>
      </c>
      <c r="K188">
        <f>'2 transformar y limpiar'!K202</f>
        <v/>
      </c>
      <c r="L188">
        <f>'2 transformar y limpiar'!L202</f>
        <v/>
      </c>
      <c r="M188">
        <f>'2 transformar y limpiar'!M202</f>
        <v/>
      </c>
      <c r="N188">
        <f>'2 transformar y limpiar'!N202</f>
        <v/>
      </c>
      <c r="O188">
        <f>'2 transformar y limpiar'!O202</f>
        <v/>
      </c>
      <c r="P188">
        <f>'2 transformar y limpiar'!P202</f>
        <v/>
      </c>
      <c r="Q188">
        <f>'2 transformar y limpiar'!Q202</f>
        <v/>
      </c>
      <c r="R188">
        <f>'2 transformar y limpiar'!R202</f>
        <v/>
      </c>
      <c r="S188">
        <f>'2 transformar y limpiar'!S202</f>
        <v/>
      </c>
      <c r="T188">
        <f>'2 transformar y limpiar'!T202</f>
        <v/>
      </c>
      <c r="U188" s="5">
        <f>'2 transformar y limpiar'!U202</f>
        <v/>
      </c>
    </row>
    <row r="189">
      <c r="A189">
        <f>'2 transformar y limpiar'!A203</f>
        <v/>
      </c>
      <c r="B189">
        <f>'2 transformar y limpiar'!B203</f>
        <v/>
      </c>
      <c r="C189" s="6">
        <f>('2 transformar y limpiar'!C203-$B$6)/$C$6</f>
        <v/>
      </c>
      <c r="D189" s="6">
        <f>('2 transformar y limpiar'!D203-$B$7)/$C$7</f>
        <v/>
      </c>
      <c r="E189" s="6">
        <f>('2 transformar y limpiar'!E203-$B$8)/$C$8</f>
        <v/>
      </c>
      <c r="F189" s="6">
        <f>('2 transformar y limpiar'!F203-$B$9)/$C$9</f>
        <v/>
      </c>
      <c r="G189">
        <f>'2 transformar y limpiar'!G203</f>
        <v/>
      </c>
      <c r="H189">
        <f>'2 transformar y limpiar'!H203</f>
        <v/>
      </c>
      <c r="I189">
        <f>'2 transformar y limpiar'!I203</f>
        <v/>
      </c>
      <c r="J189">
        <f>'2 transformar y limpiar'!J203</f>
        <v/>
      </c>
      <c r="K189">
        <f>'2 transformar y limpiar'!K203</f>
        <v/>
      </c>
      <c r="L189">
        <f>'2 transformar y limpiar'!L203</f>
        <v/>
      </c>
      <c r="M189">
        <f>'2 transformar y limpiar'!M203</f>
        <v/>
      </c>
      <c r="N189">
        <f>'2 transformar y limpiar'!N203</f>
        <v/>
      </c>
      <c r="O189">
        <f>'2 transformar y limpiar'!O203</f>
        <v/>
      </c>
      <c r="P189">
        <f>'2 transformar y limpiar'!P203</f>
        <v/>
      </c>
      <c r="Q189">
        <f>'2 transformar y limpiar'!Q203</f>
        <v/>
      </c>
      <c r="R189">
        <f>'2 transformar y limpiar'!R203</f>
        <v/>
      </c>
      <c r="S189">
        <f>'2 transformar y limpiar'!S203</f>
        <v/>
      </c>
      <c r="T189">
        <f>'2 transformar y limpiar'!T203</f>
        <v/>
      </c>
      <c r="U189" s="5">
        <f>'2 transformar y limpiar'!U203</f>
        <v/>
      </c>
    </row>
    <row r="190">
      <c r="A190">
        <f>'2 transformar y limpiar'!A204</f>
        <v/>
      </c>
      <c r="B190">
        <f>'2 transformar y limpiar'!B204</f>
        <v/>
      </c>
      <c r="C190" s="6">
        <f>('2 transformar y limpiar'!C204-$B$6)/$C$6</f>
        <v/>
      </c>
      <c r="D190" s="6">
        <f>('2 transformar y limpiar'!D204-$B$7)/$C$7</f>
        <v/>
      </c>
      <c r="E190" s="6">
        <f>('2 transformar y limpiar'!E204-$B$8)/$C$8</f>
        <v/>
      </c>
      <c r="F190" s="6">
        <f>('2 transformar y limpiar'!F204-$B$9)/$C$9</f>
        <v/>
      </c>
      <c r="G190">
        <f>'2 transformar y limpiar'!G204</f>
        <v/>
      </c>
      <c r="H190">
        <f>'2 transformar y limpiar'!H204</f>
        <v/>
      </c>
      <c r="I190">
        <f>'2 transformar y limpiar'!I204</f>
        <v/>
      </c>
      <c r="J190">
        <f>'2 transformar y limpiar'!J204</f>
        <v/>
      </c>
      <c r="K190">
        <f>'2 transformar y limpiar'!K204</f>
        <v/>
      </c>
      <c r="L190">
        <f>'2 transformar y limpiar'!L204</f>
        <v/>
      </c>
      <c r="M190">
        <f>'2 transformar y limpiar'!M204</f>
        <v/>
      </c>
      <c r="N190">
        <f>'2 transformar y limpiar'!N204</f>
        <v/>
      </c>
      <c r="O190">
        <f>'2 transformar y limpiar'!O204</f>
        <v/>
      </c>
      <c r="P190">
        <f>'2 transformar y limpiar'!P204</f>
        <v/>
      </c>
      <c r="Q190">
        <f>'2 transformar y limpiar'!Q204</f>
        <v/>
      </c>
      <c r="R190">
        <f>'2 transformar y limpiar'!R204</f>
        <v/>
      </c>
      <c r="S190">
        <f>'2 transformar y limpiar'!S204</f>
        <v/>
      </c>
      <c r="T190">
        <f>'2 transformar y limpiar'!T204</f>
        <v/>
      </c>
      <c r="U190" s="5">
        <f>'2 transformar y limpiar'!U204</f>
        <v/>
      </c>
    </row>
    <row r="191">
      <c r="A191">
        <f>'2 transformar y limpiar'!A205</f>
        <v/>
      </c>
      <c r="B191">
        <f>'2 transformar y limpiar'!B205</f>
        <v/>
      </c>
      <c r="C191" s="6">
        <f>('2 transformar y limpiar'!C205-$B$6)/$C$6</f>
        <v/>
      </c>
      <c r="D191" s="6">
        <f>('2 transformar y limpiar'!D205-$B$7)/$C$7</f>
        <v/>
      </c>
      <c r="E191" s="6">
        <f>('2 transformar y limpiar'!E205-$B$8)/$C$8</f>
        <v/>
      </c>
      <c r="F191" s="6">
        <f>('2 transformar y limpiar'!F205-$B$9)/$C$9</f>
        <v/>
      </c>
      <c r="G191">
        <f>'2 transformar y limpiar'!G205</f>
        <v/>
      </c>
      <c r="H191">
        <f>'2 transformar y limpiar'!H205</f>
        <v/>
      </c>
      <c r="I191">
        <f>'2 transformar y limpiar'!I205</f>
        <v/>
      </c>
      <c r="J191">
        <f>'2 transformar y limpiar'!J205</f>
        <v/>
      </c>
      <c r="K191">
        <f>'2 transformar y limpiar'!K205</f>
        <v/>
      </c>
      <c r="L191">
        <f>'2 transformar y limpiar'!L205</f>
        <v/>
      </c>
      <c r="M191">
        <f>'2 transformar y limpiar'!M205</f>
        <v/>
      </c>
      <c r="N191">
        <f>'2 transformar y limpiar'!N205</f>
        <v/>
      </c>
      <c r="O191">
        <f>'2 transformar y limpiar'!O205</f>
        <v/>
      </c>
      <c r="P191">
        <f>'2 transformar y limpiar'!P205</f>
        <v/>
      </c>
      <c r="Q191">
        <f>'2 transformar y limpiar'!Q205</f>
        <v/>
      </c>
      <c r="R191">
        <f>'2 transformar y limpiar'!R205</f>
        <v/>
      </c>
      <c r="S191">
        <f>'2 transformar y limpiar'!S205</f>
        <v/>
      </c>
      <c r="T191">
        <f>'2 transformar y limpiar'!T205</f>
        <v/>
      </c>
      <c r="U191" s="5">
        <f>'2 transformar y limpiar'!U205</f>
        <v/>
      </c>
    </row>
    <row r="192">
      <c r="A192">
        <f>'2 transformar y limpiar'!A206</f>
        <v/>
      </c>
      <c r="B192">
        <f>'2 transformar y limpiar'!B206</f>
        <v/>
      </c>
      <c r="C192" s="6">
        <f>('2 transformar y limpiar'!C206-$B$6)/$C$6</f>
        <v/>
      </c>
      <c r="D192" s="6">
        <f>('2 transformar y limpiar'!D206-$B$7)/$C$7</f>
        <v/>
      </c>
      <c r="E192" s="6">
        <f>('2 transformar y limpiar'!E206-$B$8)/$C$8</f>
        <v/>
      </c>
      <c r="F192" s="6">
        <f>('2 transformar y limpiar'!F206-$B$9)/$C$9</f>
        <v/>
      </c>
      <c r="G192">
        <f>'2 transformar y limpiar'!G206</f>
        <v/>
      </c>
      <c r="H192">
        <f>'2 transformar y limpiar'!H206</f>
        <v/>
      </c>
      <c r="I192">
        <f>'2 transformar y limpiar'!I206</f>
        <v/>
      </c>
      <c r="J192">
        <f>'2 transformar y limpiar'!J206</f>
        <v/>
      </c>
      <c r="K192">
        <f>'2 transformar y limpiar'!K206</f>
        <v/>
      </c>
      <c r="L192">
        <f>'2 transformar y limpiar'!L206</f>
        <v/>
      </c>
      <c r="M192">
        <f>'2 transformar y limpiar'!M206</f>
        <v/>
      </c>
      <c r="N192">
        <f>'2 transformar y limpiar'!N206</f>
        <v/>
      </c>
      <c r="O192">
        <f>'2 transformar y limpiar'!O206</f>
        <v/>
      </c>
      <c r="P192">
        <f>'2 transformar y limpiar'!P206</f>
        <v/>
      </c>
      <c r="Q192">
        <f>'2 transformar y limpiar'!Q206</f>
        <v/>
      </c>
      <c r="R192">
        <f>'2 transformar y limpiar'!R206</f>
        <v/>
      </c>
      <c r="S192">
        <f>'2 transformar y limpiar'!S206</f>
        <v/>
      </c>
      <c r="T192">
        <f>'2 transformar y limpiar'!T206</f>
        <v/>
      </c>
      <c r="U192" s="5">
        <f>'2 transformar y limpiar'!U206</f>
        <v/>
      </c>
    </row>
    <row r="193">
      <c r="A193">
        <f>'2 transformar y limpiar'!A207</f>
        <v/>
      </c>
      <c r="B193">
        <f>'2 transformar y limpiar'!B207</f>
        <v/>
      </c>
      <c r="C193" s="6">
        <f>('2 transformar y limpiar'!C207-$B$6)/$C$6</f>
        <v/>
      </c>
      <c r="D193" s="6">
        <f>('2 transformar y limpiar'!D207-$B$7)/$C$7</f>
        <v/>
      </c>
      <c r="E193" s="6">
        <f>('2 transformar y limpiar'!E207-$B$8)/$C$8</f>
        <v/>
      </c>
      <c r="F193" s="6">
        <f>('2 transformar y limpiar'!F207-$B$9)/$C$9</f>
        <v/>
      </c>
      <c r="G193">
        <f>'2 transformar y limpiar'!G207</f>
        <v/>
      </c>
      <c r="H193">
        <f>'2 transformar y limpiar'!H207</f>
        <v/>
      </c>
      <c r="I193">
        <f>'2 transformar y limpiar'!I207</f>
        <v/>
      </c>
      <c r="J193">
        <f>'2 transformar y limpiar'!J207</f>
        <v/>
      </c>
      <c r="K193">
        <f>'2 transformar y limpiar'!K207</f>
        <v/>
      </c>
      <c r="L193">
        <f>'2 transformar y limpiar'!L207</f>
        <v/>
      </c>
      <c r="M193">
        <f>'2 transformar y limpiar'!M207</f>
        <v/>
      </c>
      <c r="N193">
        <f>'2 transformar y limpiar'!N207</f>
        <v/>
      </c>
      <c r="O193">
        <f>'2 transformar y limpiar'!O207</f>
        <v/>
      </c>
      <c r="P193">
        <f>'2 transformar y limpiar'!P207</f>
        <v/>
      </c>
      <c r="Q193">
        <f>'2 transformar y limpiar'!Q207</f>
        <v/>
      </c>
      <c r="R193">
        <f>'2 transformar y limpiar'!R207</f>
        <v/>
      </c>
      <c r="S193">
        <f>'2 transformar y limpiar'!S207</f>
        <v/>
      </c>
      <c r="T193">
        <f>'2 transformar y limpiar'!T207</f>
        <v/>
      </c>
      <c r="U193" s="5">
        <f>'2 transformar y limpiar'!U207</f>
        <v/>
      </c>
    </row>
    <row r="194">
      <c r="A194">
        <f>'2 transformar y limpiar'!A208</f>
        <v/>
      </c>
      <c r="B194">
        <f>'2 transformar y limpiar'!B208</f>
        <v/>
      </c>
      <c r="C194" s="6">
        <f>('2 transformar y limpiar'!C208-$B$6)/$C$6</f>
        <v/>
      </c>
      <c r="D194" s="6">
        <f>('2 transformar y limpiar'!D208-$B$7)/$C$7</f>
        <v/>
      </c>
      <c r="E194" s="6">
        <f>('2 transformar y limpiar'!E208-$B$8)/$C$8</f>
        <v/>
      </c>
      <c r="F194" s="6">
        <f>('2 transformar y limpiar'!F208-$B$9)/$C$9</f>
        <v/>
      </c>
      <c r="G194">
        <f>'2 transformar y limpiar'!G208</f>
        <v/>
      </c>
      <c r="H194">
        <f>'2 transformar y limpiar'!H208</f>
        <v/>
      </c>
      <c r="I194">
        <f>'2 transformar y limpiar'!I208</f>
        <v/>
      </c>
      <c r="J194">
        <f>'2 transformar y limpiar'!J208</f>
        <v/>
      </c>
      <c r="K194">
        <f>'2 transformar y limpiar'!K208</f>
        <v/>
      </c>
      <c r="L194">
        <f>'2 transformar y limpiar'!L208</f>
        <v/>
      </c>
      <c r="M194">
        <f>'2 transformar y limpiar'!M208</f>
        <v/>
      </c>
      <c r="N194">
        <f>'2 transformar y limpiar'!N208</f>
        <v/>
      </c>
      <c r="O194">
        <f>'2 transformar y limpiar'!O208</f>
        <v/>
      </c>
      <c r="P194">
        <f>'2 transformar y limpiar'!P208</f>
        <v/>
      </c>
      <c r="Q194">
        <f>'2 transformar y limpiar'!Q208</f>
        <v/>
      </c>
      <c r="R194">
        <f>'2 transformar y limpiar'!R208</f>
        <v/>
      </c>
      <c r="S194">
        <f>'2 transformar y limpiar'!S208</f>
        <v/>
      </c>
      <c r="T194">
        <f>'2 transformar y limpiar'!T208</f>
        <v/>
      </c>
      <c r="U194" s="5">
        <f>'2 transformar y limpiar'!U208</f>
        <v/>
      </c>
    </row>
    <row r="195">
      <c r="A195">
        <f>'2 transformar y limpiar'!A209</f>
        <v/>
      </c>
      <c r="B195">
        <f>'2 transformar y limpiar'!B209</f>
        <v/>
      </c>
      <c r="C195" s="6">
        <f>('2 transformar y limpiar'!C209-$B$6)/$C$6</f>
        <v/>
      </c>
      <c r="D195" s="6">
        <f>('2 transformar y limpiar'!D209-$B$7)/$C$7</f>
        <v/>
      </c>
      <c r="E195" s="6">
        <f>('2 transformar y limpiar'!E209-$B$8)/$C$8</f>
        <v/>
      </c>
      <c r="F195" s="6">
        <f>('2 transformar y limpiar'!F209-$B$9)/$C$9</f>
        <v/>
      </c>
      <c r="G195">
        <f>'2 transformar y limpiar'!G209</f>
        <v/>
      </c>
      <c r="H195">
        <f>'2 transformar y limpiar'!H209</f>
        <v/>
      </c>
      <c r="I195">
        <f>'2 transformar y limpiar'!I209</f>
        <v/>
      </c>
      <c r="J195">
        <f>'2 transformar y limpiar'!J209</f>
        <v/>
      </c>
      <c r="K195">
        <f>'2 transformar y limpiar'!K209</f>
        <v/>
      </c>
      <c r="L195">
        <f>'2 transformar y limpiar'!L209</f>
        <v/>
      </c>
      <c r="M195">
        <f>'2 transformar y limpiar'!M209</f>
        <v/>
      </c>
      <c r="N195">
        <f>'2 transformar y limpiar'!N209</f>
        <v/>
      </c>
      <c r="O195">
        <f>'2 transformar y limpiar'!O209</f>
        <v/>
      </c>
      <c r="P195">
        <f>'2 transformar y limpiar'!P209</f>
        <v/>
      </c>
      <c r="Q195">
        <f>'2 transformar y limpiar'!Q209</f>
        <v/>
      </c>
      <c r="R195">
        <f>'2 transformar y limpiar'!R209</f>
        <v/>
      </c>
      <c r="S195">
        <f>'2 transformar y limpiar'!S209</f>
        <v/>
      </c>
      <c r="T195">
        <f>'2 transformar y limpiar'!T209</f>
        <v/>
      </c>
      <c r="U195" s="5">
        <f>'2 transformar y limpiar'!U209</f>
        <v/>
      </c>
    </row>
    <row r="196">
      <c r="A196">
        <f>'2 transformar y limpiar'!A210</f>
        <v/>
      </c>
      <c r="B196">
        <f>'2 transformar y limpiar'!B210</f>
        <v/>
      </c>
      <c r="C196" s="6">
        <f>('2 transformar y limpiar'!C210-$B$6)/$C$6</f>
        <v/>
      </c>
      <c r="D196" s="6">
        <f>('2 transformar y limpiar'!D210-$B$7)/$C$7</f>
        <v/>
      </c>
      <c r="E196" s="6">
        <f>('2 transformar y limpiar'!E210-$B$8)/$C$8</f>
        <v/>
      </c>
      <c r="F196" s="6">
        <f>('2 transformar y limpiar'!F210-$B$9)/$C$9</f>
        <v/>
      </c>
      <c r="G196">
        <f>'2 transformar y limpiar'!G210</f>
        <v/>
      </c>
      <c r="H196">
        <f>'2 transformar y limpiar'!H210</f>
        <v/>
      </c>
      <c r="I196">
        <f>'2 transformar y limpiar'!I210</f>
        <v/>
      </c>
      <c r="J196">
        <f>'2 transformar y limpiar'!J210</f>
        <v/>
      </c>
      <c r="K196">
        <f>'2 transformar y limpiar'!K210</f>
        <v/>
      </c>
      <c r="L196">
        <f>'2 transformar y limpiar'!L210</f>
        <v/>
      </c>
      <c r="M196">
        <f>'2 transformar y limpiar'!M210</f>
        <v/>
      </c>
      <c r="N196">
        <f>'2 transformar y limpiar'!N210</f>
        <v/>
      </c>
      <c r="O196">
        <f>'2 transformar y limpiar'!O210</f>
        <v/>
      </c>
      <c r="P196">
        <f>'2 transformar y limpiar'!P210</f>
        <v/>
      </c>
      <c r="Q196">
        <f>'2 transformar y limpiar'!Q210</f>
        <v/>
      </c>
      <c r="R196">
        <f>'2 transformar y limpiar'!R210</f>
        <v/>
      </c>
      <c r="S196">
        <f>'2 transformar y limpiar'!S210</f>
        <v/>
      </c>
      <c r="T196">
        <f>'2 transformar y limpiar'!T210</f>
        <v/>
      </c>
      <c r="U196" s="5">
        <f>'2 transformar y limpiar'!U210</f>
        <v/>
      </c>
    </row>
    <row r="197">
      <c r="A197">
        <f>'2 transformar y limpiar'!A211</f>
        <v/>
      </c>
      <c r="B197">
        <f>'2 transformar y limpiar'!B211</f>
        <v/>
      </c>
      <c r="C197" s="6">
        <f>('2 transformar y limpiar'!C211-$B$6)/$C$6</f>
        <v/>
      </c>
      <c r="D197" s="6">
        <f>('2 transformar y limpiar'!D211-$B$7)/$C$7</f>
        <v/>
      </c>
      <c r="E197" s="6">
        <f>('2 transformar y limpiar'!E211-$B$8)/$C$8</f>
        <v/>
      </c>
      <c r="F197" s="6">
        <f>('2 transformar y limpiar'!F211-$B$9)/$C$9</f>
        <v/>
      </c>
      <c r="G197">
        <f>'2 transformar y limpiar'!G211</f>
        <v/>
      </c>
      <c r="H197">
        <f>'2 transformar y limpiar'!H211</f>
        <v/>
      </c>
      <c r="I197">
        <f>'2 transformar y limpiar'!I211</f>
        <v/>
      </c>
      <c r="J197">
        <f>'2 transformar y limpiar'!J211</f>
        <v/>
      </c>
      <c r="K197">
        <f>'2 transformar y limpiar'!K211</f>
        <v/>
      </c>
      <c r="L197">
        <f>'2 transformar y limpiar'!L211</f>
        <v/>
      </c>
      <c r="M197">
        <f>'2 transformar y limpiar'!M211</f>
        <v/>
      </c>
      <c r="N197">
        <f>'2 transformar y limpiar'!N211</f>
        <v/>
      </c>
      <c r="O197">
        <f>'2 transformar y limpiar'!O211</f>
        <v/>
      </c>
      <c r="P197">
        <f>'2 transformar y limpiar'!P211</f>
        <v/>
      </c>
      <c r="Q197">
        <f>'2 transformar y limpiar'!Q211</f>
        <v/>
      </c>
      <c r="R197">
        <f>'2 transformar y limpiar'!R211</f>
        <v/>
      </c>
      <c r="S197">
        <f>'2 transformar y limpiar'!S211</f>
        <v/>
      </c>
      <c r="T197">
        <f>'2 transformar y limpiar'!T211</f>
        <v/>
      </c>
      <c r="U197" s="5">
        <f>'2 transformar y limpiar'!U211</f>
        <v/>
      </c>
    </row>
    <row r="198">
      <c r="A198">
        <f>'2 transformar y limpiar'!A212</f>
        <v/>
      </c>
      <c r="B198">
        <f>'2 transformar y limpiar'!B212</f>
        <v/>
      </c>
      <c r="C198" s="6">
        <f>('2 transformar y limpiar'!C212-$B$6)/$C$6</f>
        <v/>
      </c>
      <c r="D198" s="6">
        <f>('2 transformar y limpiar'!D212-$B$7)/$C$7</f>
        <v/>
      </c>
      <c r="E198" s="6">
        <f>('2 transformar y limpiar'!E212-$B$8)/$C$8</f>
        <v/>
      </c>
      <c r="F198" s="6">
        <f>('2 transformar y limpiar'!F212-$B$9)/$C$9</f>
        <v/>
      </c>
      <c r="G198">
        <f>'2 transformar y limpiar'!G212</f>
        <v/>
      </c>
      <c r="H198">
        <f>'2 transformar y limpiar'!H212</f>
        <v/>
      </c>
      <c r="I198">
        <f>'2 transformar y limpiar'!I212</f>
        <v/>
      </c>
      <c r="J198">
        <f>'2 transformar y limpiar'!J212</f>
        <v/>
      </c>
      <c r="K198">
        <f>'2 transformar y limpiar'!K212</f>
        <v/>
      </c>
      <c r="L198">
        <f>'2 transformar y limpiar'!L212</f>
        <v/>
      </c>
      <c r="M198">
        <f>'2 transformar y limpiar'!M212</f>
        <v/>
      </c>
      <c r="N198">
        <f>'2 transformar y limpiar'!N212</f>
        <v/>
      </c>
      <c r="O198">
        <f>'2 transformar y limpiar'!O212</f>
        <v/>
      </c>
      <c r="P198">
        <f>'2 transformar y limpiar'!P212</f>
        <v/>
      </c>
      <c r="Q198">
        <f>'2 transformar y limpiar'!Q212</f>
        <v/>
      </c>
      <c r="R198">
        <f>'2 transformar y limpiar'!R212</f>
        <v/>
      </c>
      <c r="S198">
        <f>'2 transformar y limpiar'!S212</f>
        <v/>
      </c>
      <c r="T198">
        <f>'2 transformar y limpiar'!T212</f>
        <v/>
      </c>
      <c r="U198" s="5">
        <f>'2 transformar y limpiar'!U212</f>
        <v/>
      </c>
    </row>
    <row r="199">
      <c r="A199">
        <f>'2 transformar y limpiar'!A213</f>
        <v/>
      </c>
      <c r="B199">
        <f>'2 transformar y limpiar'!B213</f>
        <v/>
      </c>
      <c r="C199" s="6">
        <f>('2 transformar y limpiar'!C213-$B$6)/$C$6</f>
        <v/>
      </c>
      <c r="D199" s="6">
        <f>('2 transformar y limpiar'!D213-$B$7)/$C$7</f>
        <v/>
      </c>
      <c r="E199" s="6">
        <f>('2 transformar y limpiar'!E213-$B$8)/$C$8</f>
        <v/>
      </c>
      <c r="F199" s="6">
        <f>('2 transformar y limpiar'!F213-$B$9)/$C$9</f>
        <v/>
      </c>
      <c r="G199">
        <f>'2 transformar y limpiar'!G213</f>
        <v/>
      </c>
      <c r="H199">
        <f>'2 transformar y limpiar'!H213</f>
        <v/>
      </c>
      <c r="I199">
        <f>'2 transformar y limpiar'!I213</f>
        <v/>
      </c>
      <c r="J199">
        <f>'2 transformar y limpiar'!J213</f>
        <v/>
      </c>
      <c r="K199">
        <f>'2 transformar y limpiar'!K213</f>
        <v/>
      </c>
      <c r="L199">
        <f>'2 transformar y limpiar'!L213</f>
        <v/>
      </c>
      <c r="M199">
        <f>'2 transformar y limpiar'!M213</f>
        <v/>
      </c>
      <c r="N199">
        <f>'2 transformar y limpiar'!N213</f>
        <v/>
      </c>
      <c r="O199">
        <f>'2 transformar y limpiar'!O213</f>
        <v/>
      </c>
      <c r="P199">
        <f>'2 transformar y limpiar'!P213</f>
        <v/>
      </c>
      <c r="Q199">
        <f>'2 transformar y limpiar'!Q213</f>
        <v/>
      </c>
      <c r="R199">
        <f>'2 transformar y limpiar'!R213</f>
        <v/>
      </c>
      <c r="S199">
        <f>'2 transformar y limpiar'!S213</f>
        <v/>
      </c>
      <c r="T199">
        <f>'2 transformar y limpiar'!T213</f>
        <v/>
      </c>
      <c r="U199" s="5">
        <f>'2 transformar y limpiar'!U213</f>
        <v/>
      </c>
    </row>
    <row r="200">
      <c r="A200">
        <f>'2 transformar y limpiar'!A214</f>
        <v/>
      </c>
      <c r="B200">
        <f>'2 transformar y limpiar'!B214</f>
        <v/>
      </c>
      <c r="C200" s="6">
        <f>('2 transformar y limpiar'!C214-$B$6)/$C$6</f>
        <v/>
      </c>
      <c r="D200" s="6">
        <f>('2 transformar y limpiar'!D214-$B$7)/$C$7</f>
        <v/>
      </c>
      <c r="E200" s="6">
        <f>('2 transformar y limpiar'!E214-$B$8)/$C$8</f>
        <v/>
      </c>
      <c r="F200" s="6">
        <f>('2 transformar y limpiar'!F214-$B$9)/$C$9</f>
        <v/>
      </c>
      <c r="G200">
        <f>'2 transformar y limpiar'!G214</f>
        <v/>
      </c>
      <c r="H200">
        <f>'2 transformar y limpiar'!H214</f>
        <v/>
      </c>
      <c r="I200">
        <f>'2 transformar y limpiar'!I214</f>
        <v/>
      </c>
      <c r="J200">
        <f>'2 transformar y limpiar'!J214</f>
        <v/>
      </c>
      <c r="K200">
        <f>'2 transformar y limpiar'!K214</f>
        <v/>
      </c>
      <c r="L200">
        <f>'2 transformar y limpiar'!L214</f>
        <v/>
      </c>
      <c r="M200">
        <f>'2 transformar y limpiar'!M214</f>
        <v/>
      </c>
      <c r="N200">
        <f>'2 transformar y limpiar'!N214</f>
        <v/>
      </c>
      <c r="O200">
        <f>'2 transformar y limpiar'!O214</f>
        <v/>
      </c>
      <c r="P200">
        <f>'2 transformar y limpiar'!P214</f>
        <v/>
      </c>
      <c r="Q200">
        <f>'2 transformar y limpiar'!Q214</f>
        <v/>
      </c>
      <c r="R200">
        <f>'2 transformar y limpiar'!R214</f>
        <v/>
      </c>
      <c r="S200">
        <f>'2 transformar y limpiar'!S214</f>
        <v/>
      </c>
      <c r="T200">
        <f>'2 transformar y limpiar'!T214</f>
        <v/>
      </c>
      <c r="U200" s="5">
        <f>'2 transformar y limpiar'!U214</f>
        <v/>
      </c>
    </row>
    <row r="201">
      <c r="A201">
        <f>'2 transformar y limpiar'!A215</f>
        <v/>
      </c>
      <c r="B201">
        <f>'2 transformar y limpiar'!B215</f>
        <v/>
      </c>
      <c r="C201" s="6">
        <f>('2 transformar y limpiar'!C215-$B$6)/$C$6</f>
        <v/>
      </c>
      <c r="D201" s="6">
        <f>('2 transformar y limpiar'!D215-$B$7)/$C$7</f>
        <v/>
      </c>
      <c r="E201" s="6">
        <f>('2 transformar y limpiar'!E215-$B$8)/$C$8</f>
        <v/>
      </c>
      <c r="F201" s="6">
        <f>('2 transformar y limpiar'!F215-$B$9)/$C$9</f>
        <v/>
      </c>
      <c r="G201">
        <f>'2 transformar y limpiar'!G215</f>
        <v/>
      </c>
      <c r="H201">
        <f>'2 transformar y limpiar'!H215</f>
        <v/>
      </c>
      <c r="I201">
        <f>'2 transformar y limpiar'!I215</f>
        <v/>
      </c>
      <c r="J201">
        <f>'2 transformar y limpiar'!J215</f>
        <v/>
      </c>
      <c r="K201">
        <f>'2 transformar y limpiar'!K215</f>
        <v/>
      </c>
      <c r="L201">
        <f>'2 transformar y limpiar'!L215</f>
        <v/>
      </c>
      <c r="M201">
        <f>'2 transformar y limpiar'!M215</f>
        <v/>
      </c>
      <c r="N201">
        <f>'2 transformar y limpiar'!N215</f>
        <v/>
      </c>
      <c r="O201">
        <f>'2 transformar y limpiar'!O215</f>
        <v/>
      </c>
      <c r="P201">
        <f>'2 transformar y limpiar'!P215</f>
        <v/>
      </c>
      <c r="Q201">
        <f>'2 transformar y limpiar'!Q215</f>
        <v/>
      </c>
      <c r="R201">
        <f>'2 transformar y limpiar'!R215</f>
        <v/>
      </c>
      <c r="S201">
        <f>'2 transformar y limpiar'!S215</f>
        <v/>
      </c>
      <c r="T201">
        <f>'2 transformar y limpiar'!T215</f>
        <v/>
      </c>
      <c r="U201" s="5">
        <f>'2 transformar y limpiar'!U215</f>
        <v/>
      </c>
    </row>
    <row r="202">
      <c r="A202">
        <f>'2 transformar y limpiar'!A216</f>
        <v/>
      </c>
      <c r="B202">
        <f>'2 transformar y limpiar'!B216</f>
        <v/>
      </c>
      <c r="C202" s="6">
        <f>('2 transformar y limpiar'!C216-$B$6)/$C$6</f>
        <v/>
      </c>
      <c r="D202" s="6">
        <f>('2 transformar y limpiar'!D216-$B$7)/$C$7</f>
        <v/>
      </c>
      <c r="E202" s="6">
        <f>('2 transformar y limpiar'!E216-$B$8)/$C$8</f>
        <v/>
      </c>
      <c r="F202" s="6">
        <f>('2 transformar y limpiar'!F216-$B$9)/$C$9</f>
        <v/>
      </c>
      <c r="G202">
        <f>'2 transformar y limpiar'!G216</f>
        <v/>
      </c>
      <c r="H202">
        <f>'2 transformar y limpiar'!H216</f>
        <v/>
      </c>
      <c r="I202">
        <f>'2 transformar y limpiar'!I216</f>
        <v/>
      </c>
      <c r="J202">
        <f>'2 transformar y limpiar'!J216</f>
        <v/>
      </c>
      <c r="K202">
        <f>'2 transformar y limpiar'!K216</f>
        <v/>
      </c>
      <c r="L202">
        <f>'2 transformar y limpiar'!L216</f>
        <v/>
      </c>
      <c r="M202">
        <f>'2 transformar y limpiar'!M216</f>
        <v/>
      </c>
      <c r="N202">
        <f>'2 transformar y limpiar'!N216</f>
        <v/>
      </c>
      <c r="O202">
        <f>'2 transformar y limpiar'!O216</f>
        <v/>
      </c>
      <c r="P202">
        <f>'2 transformar y limpiar'!P216</f>
        <v/>
      </c>
      <c r="Q202">
        <f>'2 transformar y limpiar'!Q216</f>
        <v/>
      </c>
      <c r="R202">
        <f>'2 transformar y limpiar'!R216</f>
        <v/>
      </c>
      <c r="S202">
        <f>'2 transformar y limpiar'!S216</f>
        <v/>
      </c>
      <c r="T202">
        <f>'2 transformar y limpiar'!T216</f>
        <v/>
      </c>
      <c r="U202" s="5">
        <f>'2 transformar y limpiar'!U216</f>
        <v/>
      </c>
    </row>
    <row r="203">
      <c r="A203">
        <f>'2 transformar y limpiar'!A217</f>
        <v/>
      </c>
      <c r="B203">
        <f>'2 transformar y limpiar'!B217</f>
        <v/>
      </c>
      <c r="C203" s="6">
        <f>('2 transformar y limpiar'!C217-$B$6)/$C$6</f>
        <v/>
      </c>
      <c r="D203" s="6">
        <f>('2 transformar y limpiar'!D217-$B$7)/$C$7</f>
        <v/>
      </c>
      <c r="E203" s="6">
        <f>('2 transformar y limpiar'!E217-$B$8)/$C$8</f>
        <v/>
      </c>
      <c r="F203" s="6">
        <f>('2 transformar y limpiar'!F217-$B$9)/$C$9</f>
        <v/>
      </c>
      <c r="G203">
        <f>'2 transformar y limpiar'!G217</f>
        <v/>
      </c>
      <c r="H203">
        <f>'2 transformar y limpiar'!H217</f>
        <v/>
      </c>
      <c r="I203">
        <f>'2 transformar y limpiar'!I217</f>
        <v/>
      </c>
      <c r="J203">
        <f>'2 transformar y limpiar'!J217</f>
        <v/>
      </c>
      <c r="K203">
        <f>'2 transformar y limpiar'!K217</f>
        <v/>
      </c>
      <c r="L203">
        <f>'2 transformar y limpiar'!L217</f>
        <v/>
      </c>
      <c r="M203">
        <f>'2 transformar y limpiar'!M217</f>
        <v/>
      </c>
      <c r="N203">
        <f>'2 transformar y limpiar'!N217</f>
        <v/>
      </c>
      <c r="O203">
        <f>'2 transformar y limpiar'!O217</f>
        <v/>
      </c>
      <c r="P203">
        <f>'2 transformar y limpiar'!P217</f>
        <v/>
      </c>
      <c r="Q203">
        <f>'2 transformar y limpiar'!Q217</f>
        <v/>
      </c>
      <c r="R203">
        <f>'2 transformar y limpiar'!R217</f>
        <v/>
      </c>
      <c r="S203">
        <f>'2 transformar y limpiar'!S217</f>
        <v/>
      </c>
      <c r="T203">
        <f>'2 transformar y limpiar'!T217</f>
        <v/>
      </c>
      <c r="U203" s="5">
        <f>'2 transformar y limpiar'!U217</f>
        <v/>
      </c>
    </row>
    <row r="204">
      <c r="A204">
        <f>'2 transformar y limpiar'!A218</f>
        <v/>
      </c>
      <c r="B204">
        <f>'2 transformar y limpiar'!B218</f>
        <v/>
      </c>
      <c r="C204" s="6">
        <f>('2 transformar y limpiar'!C218-$B$6)/$C$6</f>
        <v/>
      </c>
      <c r="D204" s="6">
        <f>('2 transformar y limpiar'!D218-$B$7)/$C$7</f>
        <v/>
      </c>
      <c r="E204" s="6">
        <f>('2 transformar y limpiar'!E218-$B$8)/$C$8</f>
        <v/>
      </c>
      <c r="F204" s="6">
        <f>('2 transformar y limpiar'!F218-$B$9)/$C$9</f>
        <v/>
      </c>
      <c r="G204">
        <f>'2 transformar y limpiar'!G218</f>
        <v/>
      </c>
      <c r="H204">
        <f>'2 transformar y limpiar'!H218</f>
        <v/>
      </c>
      <c r="I204">
        <f>'2 transformar y limpiar'!I218</f>
        <v/>
      </c>
      <c r="J204">
        <f>'2 transformar y limpiar'!J218</f>
        <v/>
      </c>
      <c r="K204">
        <f>'2 transformar y limpiar'!K218</f>
        <v/>
      </c>
      <c r="L204">
        <f>'2 transformar y limpiar'!L218</f>
        <v/>
      </c>
      <c r="M204">
        <f>'2 transformar y limpiar'!M218</f>
        <v/>
      </c>
      <c r="N204">
        <f>'2 transformar y limpiar'!N218</f>
        <v/>
      </c>
      <c r="O204">
        <f>'2 transformar y limpiar'!O218</f>
        <v/>
      </c>
      <c r="P204">
        <f>'2 transformar y limpiar'!P218</f>
        <v/>
      </c>
      <c r="Q204">
        <f>'2 transformar y limpiar'!Q218</f>
        <v/>
      </c>
      <c r="R204">
        <f>'2 transformar y limpiar'!R218</f>
        <v/>
      </c>
      <c r="S204">
        <f>'2 transformar y limpiar'!S218</f>
        <v/>
      </c>
      <c r="T204">
        <f>'2 transformar y limpiar'!T218</f>
        <v/>
      </c>
      <c r="U204" s="5">
        <f>'2 transformar y limpiar'!U218</f>
        <v/>
      </c>
    </row>
    <row r="205">
      <c r="A205">
        <f>'2 transformar y limpiar'!A219</f>
        <v/>
      </c>
      <c r="B205">
        <f>'2 transformar y limpiar'!B219</f>
        <v/>
      </c>
      <c r="C205" s="6">
        <f>('2 transformar y limpiar'!C219-$B$6)/$C$6</f>
        <v/>
      </c>
      <c r="D205" s="6">
        <f>('2 transformar y limpiar'!D219-$B$7)/$C$7</f>
        <v/>
      </c>
      <c r="E205" s="6">
        <f>('2 transformar y limpiar'!E219-$B$8)/$C$8</f>
        <v/>
      </c>
      <c r="F205" s="6">
        <f>('2 transformar y limpiar'!F219-$B$9)/$C$9</f>
        <v/>
      </c>
      <c r="G205">
        <f>'2 transformar y limpiar'!G219</f>
        <v/>
      </c>
      <c r="H205">
        <f>'2 transformar y limpiar'!H219</f>
        <v/>
      </c>
      <c r="I205">
        <f>'2 transformar y limpiar'!I219</f>
        <v/>
      </c>
      <c r="J205">
        <f>'2 transformar y limpiar'!J219</f>
        <v/>
      </c>
      <c r="K205">
        <f>'2 transformar y limpiar'!K219</f>
        <v/>
      </c>
      <c r="L205">
        <f>'2 transformar y limpiar'!L219</f>
        <v/>
      </c>
      <c r="M205">
        <f>'2 transformar y limpiar'!M219</f>
        <v/>
      </c>
      <c r="N205">
        <f>'2 transformar y limpiar'!N219</f>
        <v/>
      </c>
      <c r="O205">
        <f>'2 transformar y limpiar'!O219</f>
        <v/>
      </c>
      <c r="P205">
        <f>'2 transformar y limpiar'!P219</f>
        <v/>
      </c>
      <c r="Q205">
        <f>'2 transformar y limpiar'!Q219</f>
        <v/>
      </c>
      <c r="R205">
        <f>'2 transformar y limpiar'!R219</f>
        <v/>
      </c>
      <c r="S205">
        <f>'2 transformar y limpiar'!S219</f>
        <v/>
      </c>
      <c r="T205">
        <f>'2 transformar y limpiar'!T219</f>
        <v/>
      </c>
      <c r="U205" s="5">
        <f>'2 transformar y limpiar'!U219</f>
        <v/>
      </c>
    </row>
    <row r="206">
      <c r="A206">
        <f>'2 transformar y limpiar'!A220</f>
        <v/>
      </c>
      <c r="B206">
        <f>'2 transformar y limpiar'!B220</f>
        <v/>
      </c>
      <c r="C206" s="6">
        <f>('2 transformar y limpiar'!C220-$B$6)/$C$6</f>
        <v/>
      </c>
      <c r="D206" s="6">
        <f>('2 transformar y limpiar'!D220-$B$7)/$C$7</f>
        <v/>
      </c>
      <c r="E206" s="6">
        <f>('2 transformar y limpiar'!E220-$B$8)/$C$8</f>
        <v/>
      </c>
      <c r="F206" s="6">
        <f>('2 transformar y limpiar'!F220-$B$9)/$C$9</f>
        <v/>
      </c>
      <c r="G206">
        <f>'2 transformar y limpiar'!G220</f>
        <v/>
      </c>
      <c r="H206">
        <f>'2 transformar y limpiar'!H220</f>
        <v/>
      </c>
      <c r="I206">
        <f>'2 transformar y limpiar'!I220</f>
        <v/>
      </c>
      <c r="J206">
        <f>'2 transformar y limpiar'!J220</f>
        <v/>
      </c>
      <c r="K206">
        <f>'2 transformar y limpiar'!K220</f>
        <v/>
      </c>
      <c r="L206">
        <f>'2 transformar y limpiar'!L220</f>
        <v/>
      </c>
      <c r="M206">
        <f>'2 transformar y limpiar'!M220</f>
        <v/>
      </c>
      <c r="N206">
        <f>'2 transformar y limpiar'!N220</f>
        <v/>
      </c>
      <c r="O206">
        <f>'2 transformar y limpiar'!O220</f>
        <v/>
      </c>
      <c r="P206">
        <f>'2 transformar y limpiar'!P220</f>
        <v/>
      </c>
      <c r="Q206">
        <f>'2 transformar y limpiar'!Q220</f>
        <v/>
      </c>
      <c r="R206">
        <f>'2 transformar y limpiar'!R220</f>
        <v/>
      </c>
      <c r="S206">
        <f>'2 transformar y limpiar'!S220</f>
        <v/>
      </c>
      <c r="T206">
        <f>'2 transformar y limpiar'!T220</f>
        <v/>
      </c>
      <c r="U206" s="5">
        <f>'2 transformar y limpiar'!U220</f>
        <v/>
      </c>
    </row>
    <row r="207">
      <c r="A207">
        <f>'2 transformar y limpiar'!A221</f>
        <v/>
      </c>
      <c r="B207">
        <f>'2 transformar y limpiar'!B221</f>
        <v/>
      </c>
      <c r="C207" s="6">
        <f>('2 transformar y limpiar'!C221-$B$6)/$C$6</f>
        <v/>
      </c>
      <c r="D207" s="6">
        <f>('2 transformar y limpiar'!D221-$B$7)/$C$7</f>
        <v/>
      </c>
      <c r="E207" s="6">
        <f>('2 transformar y limpiar'!E221-$B$8)/$C$8</f>
        <v/>
      </c>
      <c r="F207" s="6">
        <f>('2 transformar y limpiar'!F221-$B$9)/$C$9</f>
        <v/>
      </c>
      <c r="G207">
        <f>'2 transformar y limpiar'!G221</f>
        <v/>
      </c>
      <c r="H207">
        <f>'2 transformar y limpiar'!H221</f>
        <v/>
      </c>
      <c r="I207">
        <f>'2 transformar y limpiar'!I221</f>
        <v/>
      </c>
      <c r="J207">
        <f>'2 transformar y limpiar'!J221</f>
        <v/>
      </c>
      <c r="K207">
        <f>'2 transformar y limpiar'!K221</f>
        <v/>
      </c>
      <c r="L207">
        <f>'2 transformar y limpiar'!L221</f>
        <v/>
      </c>
      <c r="M207">
        <f>'2 transformar y limpiar'!M221</f>
        <v/>
      </c>
      <c r="N207">
        <f>'2 transformar y limpiar'!N221</f>
        <v/>
      </c>
      <c r="O207">
        <f>'2 transformar y limpiar'!O221</f>
        <v/>
      </c>
      <c r="P207">
        <f>'2 transformar y limpiar'!P221</f>
        <v/>
      </c>
      <c r="Q207">
        <f>'2 transformar y limpiar'!Q221</f>
        <v/>
      </c>
      <c r="R207">
        <f>'2 transformar y limpiar'!R221</f>
        <v/>
      </c>
      <c r="S207">
        <f>'2 transformar y limpiar'!S221</f>
        <v/>
      </c>
      <c r="T207">
        <f>'2 transformar y limpiar'!T221</f>
        <v/>
      </c>
      <c r="U207" s="5">
        <f>'2 transformar y limpiar'!U221</f>
        <v/>
      </c>
    </row>
    <row r="208">
      <c r="A208">
        <f>'2 transformar y limpiar'!A222</f>
        <v/>
      </c>
      <c r="B208">
        <f>'2 transformar y limpiar'!B222</f>
        <v/>
      </c>
      <c r="C208" s="6">
        <f>('2 transformar y limpiar'!C222-$B$6)/$C$6</f>
        <v/>
      </c>
      <c r="D208" s="6">
        <f>('2 transformar y limpiar'!D222-$B$7)/$C$7</f>
        <v/>
      </c>
      <c r="E208" s="6">
        <f>('2 transformar y limpiar'!E222-$B$8)/$C$8</f>
        <v/>
      </c>
      <c r="F208" s="6">
        <f>('2 transformar y limpiar'!F222-$B$9)/$C$9</f>
        <v/>
      </c>
      <c r="G208">
        <f>'2 transformar y limpiar'!G222</f>
        <v/>
      </c>
      <c r="H208">
        <f>'2 transformar y limpiar'!H222</f>
        <v/>
      </c>
      <c r="I208">
        <f>'2 transformar y limpiar'!I222</f>
        <v/>
      </c>
      <c r="J208">
        <f>'2 transformar y limpiar'!J222</f>
        <v/>
      </c>
      <c r="K208">
        <f>'2 transformar y limpiar'!K222</f>
        <v/>
      </c>
      <c r="L208">
        <f>'2 transformar y limpiar'!L222</f>
        <v/>
      </c>
      <c r="M208">
        <f>'2 transformar y limpiar'!M222</f>
        <v/>
      </c>
      <c r="N208">
        <f>'2 transformar y limpiar'!N222</f>
        <v/>
      </c>
      <c r="O208">
        <f>'2 transformar y limpiar'!O222</f>
        <v/>
      </c>
      <c r="P208">
        <f>'2 transformar y limpiar'!P222</f>
        <v/>
      </c>
      <c r="Q208">
        <f>'2 transformar y limpiar'!Q222</f>
        <v/>
      </c>
      <c r="R208">
        <f>'2 transformar y limpiar'!R222</f>
        <v/>
      </c>
      <c r="S208">
        <f>'2 transformar y limpiar'!S222</f>
        <v/>
      </c>
      <c r="T208">
        <f>'2 transformar y limpiar'!T222</f>
        <v/>
      </c>
      <c r="U208" s="5">
        <f>'2 transformar y limpiar'!U222</f>
        <v/>
      </c>
    </row>
    <row r="209">
      <c r="A209">
        <f>'2 transformar y limpiar'!A223</f>
        <v/>
      </c>
      <c r="B209">
        <f>'2 transformar y limpiar'!B223</f>
        <v/>
      </c>
      <c r="C209" s="6">
        <f>('2 transformar y limpiar'!C223-$B$6)/$C$6</f>
        <v/>
      </c>
      <c r="D209" s="6">
        <f>('2 transformar y limpiar'!D223-$B$7)/$C$7</f>
        <v/>
      </c>
      <c r="E209" s="6">
        <f>('2 transformar y limpiar'!E223-$B$8)/$C$8</f>
        <v/>
      </c>
      <c r="F209" s="6">
        <f>('2 transformar y limpiar'!F223-$B$9)/$C$9</f>
        <v/>
      </c>
      <c r="G209">
        <f>'2 transformar y limpiar'!G223</f>
        <v/>
      </c>
      <c r="H209">
        <f>'2 transformar y limpiar'!H223</f>
        <v/>
      </c>
      <c r="I209">
        <f>'2 transformar y limpiar'!I223</f>
        <v/>
      </c>
      <c r="J209">
        <f>'2 transformar y limpiar'!J223</f>
        <v/>
      </c>
      <c r="K209">
        <f>'2 transformar y limpiar'!K223</f>
        <v/>
      </c>
      <c r="L209">
        <f>'2 transformar y limpiar'!L223</f>
        <v/>
      </c>
      <c r="M209">
        <f>'2 transformar y limpiar'!M223</f>
        <v/>
      </c>
      <c r="N209">
        <f>'2 transformar y limpiar'!N223</f>
        <v/>
      </c>
      <c r="O209">
        <f>'2 transformar y limpiar'!O223</f>
        <v/>
      </c>
      <c r="P209">
        <f>'2 transformar y limpiar'!P223</f>
        <v/>
      </c>
      <c r="Q209">
        <f>'2 transformar y limpiar'!Q223</f>
        <v/>
      </c>
      <c r="R209">
        <f>'2 transformar y limpiar'!R223</f>
        <v/>
      </c>
      <c r="S209">
        <f>'2 transformar y limpiar'!S223</f>
        <v/>
      </c>
      <c r="T209">
        <f>'2 transformar y limpiar'!T223</f>
        <v/>
      </c>
      <c r="U209" s="5">
        <f>'2 transformar y limpiar'!U223</f>
        <v/>
      </c>
    </row>
    <row r="210">
      <c r="A210">
        <f>'2 transformar y limpiar'!A224</f>
        <v/>
      </c>
      <c r="B210">
        <f>'2 transformar y limpiar'!B224</f>
        <v/>
      </c>
      <c r="C210" s="6">
        <f>('2 transformar y limpiar'!C224-$B$6)/$C$6</f>
        <v/>
      </c>
      <c r="D210" s="6">
        <f>('2 transformar y limpiar'!D224-$B$7)/$C$7</f>
        <v/>
      </c>
      <c r="E210" s="6">
        <f>('2 transformar y limpiar'!E224-$B$8)/$C$8</f>
        <v/>
      </c>
      <c r="F210" s="6">
        <f>('2 transformar y limpiar'!F224-$B$9)/$C$9</f>
        <v/>
      </c>
      <c r="G210">
        <f>'2 transformar y limpiar'!G224</f>
        <v/>
      </c>
      <c r="H210">
        <f>'2 transformar y limpiar'!H224</f>
        <v/>
      </c>
      <c r="I210">
        <f>'2 transformar y limpiar'!I224</f>
        <v/>
      </c>
      <c r="J210">
        <f>'2 transformar y limpiar'!J224</f>
        <v/>
      </c>
      <c r="K210">
        <f>'2 transformar y limpiar'!K224</f>
        <v/>
      </c>
      <c r="L210">
        <f>'2 transformar y limpiar'!L224</f>
        <v/>
      </c>
      <c r="M210">
        <f>'2 transformar y limpiar'!M224</f>
        <v/>
      </c>
      <c r="N210">
        <f>'2 transformar y limpiar'!N224</f>
        <v/>
      </c>
      <c r="O210">
        <f>'2 transformar y limpiar'!O224</f>
        <v/>
      </c>
      <c r="P210">
        <f>'2 transformar y limpiar'!P224</f>
        <v/>
      </c>
      <c r="Q210">
        <f>'2 transformar y limpiar'!Q224</f>
        <v/>
      </c>
      <c r="R210">
        <f>'2 transformar y limpiar'!R224</f>
        <v/>
      </c>
      <c r="S210">
        <f>'2 transformar y limpiar'!S224</f>
        <v/>
      </c>
      <c r="T210">
        <f>'2 transformar y limpiar'!T224</f>
        <v/>
      </c>
      <c r="U210" s="5">
        <f>'2 transformar y limpiar'!U224</f>
        <v/>
      </c>
    </row>
    <row r="211">
      <c r="A211">
        <f>'2 transformar y limpiar'!A225</f>
        <v/>
      </c>
      <c r="B211">
        <f>'2 transformar y limpiar'!B225</f>
        <v/>
      </c>
      <c r="C211" s="6">
        <f>('2 transformar y limpiar'!C225-$B$6)/$C$6</f>
        <v/>
      </c>
      <c r="D211" s="6">
        <f>('2 transformar y limpiar'!D225-$B$7)/$C$7</f>
        <v/>
      </c>
      <c r="E211" s="6">
        <f>('2 transformar y limpiar'!E225-$B$8)/$C$8</f>
        <v/>
      </c>
      <c r="F211" s="6">
        <f>('2 transformar y limpiar'!F225-$B$9)/$C$9</f>
        <v/>
      </c>
      <c r="G211">
        <f>'2 transformar y limpiar'!G225</f>
        <v/>
      </c>
      <c r="H211">
        <f>'2 transformar y limpiar'!H225</f>
        <v/>
      </c>
      <c r="I211">
        <f>'2 transformar y limpiar'!I225</f>
        <v/>
      </c>
      <c r="J211">
        <f>'2 transformar y limpiar'!J225</f>
        <v/>
      </c>
      <c r="K211">
        <f>'2 transformar y limpiar'!K225</f>
        <v/>
      </c>
      <c r="L211">
        <f>'2 transformar y limpiar'!L225</f>
        <v/>
      </c>
      <c r="M211">
        <f>'2 transformar y limpiar'!M225</f>
        <v/>
      </c>
      <c r="N211">
        <f>'2 transformar y limpiar'!N225</f>
        <v/>
      </c>
      <c r="O211">
        <f>'2 transformar y limpiar'!O225</f>
        <v/>
      </c>
      <c r="P211">
        <f>'2 transformar y limpiar'!P225</f>
        <v/>
      </c>
      <c r="Q211">
        <f>'2 transformar y limpiar'!Q225</f>
        <v/>
      </c>
      <c r="R211">
        <f>'2 transformar y limpiar'!R225</f>
        <v/>
      </c>
      <c r="S211">
        <f>'2 transformar y limpiar'!S225</f>
        <v/>
      </c>
      <c r="T211">
        <f>'2 transformar y limpiar'!T225</f>
        <v/>
      </c>
      <c r="U211" s="5">
        <f>'2 transformar y limpiar'!U225</f>
        <v/>
      </c>
    </row>
    <row r="212">
      <c r="A212">
        <f>'2 transformar y limpiar'!A226</f>
        <v/>
      </c>
      <c r="B212">
        <f>'2 transformar y limpiar'!B226</f>
        <v/>
      </c>
      <c r="C212" s="6">
        <f>('2 transformar y limpiar'!C226-$B$6)/$C$6</f>
        <v/>
      </c>
      <c r="D212" s="6">
        <f>('2 transformar y limpiar'!D226-$B$7)/$C$7</f>
        <v/>
      </c>
      <c r="E212" s="6">
        <f>('2 transformar y limpiar'!E226-$B$8)/$C$8</f>
        <v/>
      </c>
      <c r="F212" s="6">
        <f>('2 transformar y limpiar'!F226-$B$9)/$C$9</f>
        <v/>
      </c>
      <c r="G212">
        <f>'2 transformar y limpiar'!G226</f>
        <v/>
      </c>
      <c r="H212">
        <f>'2 transformar y limpiar'!H226</f>
        <v/>
      </c>
      <c r="I212">
        <f>'2 transformar y limpiar'!I226</f>
        <v/>
      </c>
      <c r="J212">
        <f>'2 transformar y limpiar'!J226</f>
        <v/>
      </c>
      <c r="K212">
        <f>'2 transformar y limpiar'!K226</f>
        <v/>
      </c>
      <c r="L212">
        <f>'2 transformar y limpiar'!L226</f>
        <v/>
      </c>
      <c r="M212">
        <f>'2 transformar y limpiar'!M226</f>
        <v/>
      </c>
      <c r="N212">
        <f>'2 transformar y limpiar'!N226</f>
        <v/>
      </c>
      <c r="O212">
        <f>'2 transformar y limpiar'!O226</f>
        <v/>
      </c>
      <c r="P212">
        <f>'2 transformar y limpiar'!P226</f>
        <v/>
      </c>
      <c r="Q212">
        <f>'2 transformar y limpiar'!Q226</f>
        <v/>
      </c>
      <c r="R212">
        <f>'2 transformar y limpiar'!R226</f>
        <v/>
      </c>
      <c r="S212">
        <f>'2 transformar y limpiar'!S226</f>
        <v/>
      </c>
      <c r="T212">
        <f>'2 transformar y limpiar'!T226</f>
        <v/>
      </c>
      <c r="U212" s="5">
        <f>'2 transformar y limpiar'!U226</f>
        <v/>
      </c>
    </row>
    <row r="213">
      <c r="A213">
        <f>'2 transformar y limpiar'!A227</f>
        <v/>
      </c>
      <c r="B213">
        <f>'2 transformar y limpiar'!B227</f>
        <v/>
      </c>
      <c r="C213" s="6">
        <f>('2 transformar y limpiar'!C227-$B$6)/$C$6</f>
        <v/>
      </c>
      <c r="D213" s="6">
        <f>('2 transformar y limpiar'!D227-$B$7)/$C$7</f>
        <v/>
      </c>
      <c r="E213" s="6">
        <f>('2 transformar y limpiar'!E227-$B$8)/$C$8</f>
        <v/>
      </c>
      <c r="F213" s="6">
        <f>('2 transformar y limpiar'!F227-$B$9)/$C$9</f>
        <v/>
      </c>
      <c r="G213">
        <f>'2 transformar y limpiar'!G227</f>
        <v/>
      </c>
      <c r="H213">
        <f>'2 transformar y limpiar'!H227</f>
        <v/>
      </c>
      <c r="I213">
        <f>'2 transformar y limpiar'!I227</f>
        <v/>
      </c>
      <c r="J213">
        <f>'2 transformar y limpiar'!J227</f>
        <v/>
      </c>
      <c r="K213">
        <f>'2 transformar y limpiar'!K227</f>
        <v/>
      </c>
      <c r="L213">
        <f>'2 transformar y limpiar'!L227</f>
        <v/>
      </c>
      <c r="M213">
        <f>'2 transformar y limpiar'!M227</f>
        <v/>
      </c>
      <c r="N213">
        <f>'2 transformar y limpiar'!N227</f>
        <v/>
      </c>
      <c r="O213">
        <f>'2 transformar y limpiar'!O227</f>
        <v/>
      </c>
      <c r="P213">
        <f>'2 transformar y limpiar'!P227</f>
        <v/>
      </c>
      <c r="Q213">
        <f>'2 transformar y limpiar'!Q227</f>
        <v/>
      </c>
      <c r="R213">
        <f>'2 transformar y limpiar'!R227</f>
        <v/>
      </c>
      <c r="S213">
        <f>'2 transformar y limpiar'!S227</f>
        <v/>
      </c>
      <c r="T213">
        <f>'2 transformar y limpiar'!T227</f>
        <v/>
      </c>
      <c r="U213" s="5">
        <f>'2 transformar y limpiar'!U227</f>
        <v/>
      </c>
    </row>
    <row r="214">
      <c r="A214">
        <f>'2 transformar y limpiar'!A228</f>
        <v/>
      </c>
      <c r="B214">
        <f>'2 transformar y limpiar'!B228</f>
        <v/>
      </c>
      <c r="C214" s="6">
        <f>('2 transformar y limpiar'!C228-$B$6)/$C$6</f>
        <v/>
      </c>
      <c r="D214" s="6">
        <f>('2 transformar y limpiar'!D228-$B$7)/$C$7</f>
        <v/>
      </c>
      <c r="E214" s="6">
        <f>('2 transformar y limpiar'!E228-$B$8)/$C$8</f>
        <v/>
      </c>
      <c r="F214" s="6">
        <f>('2 transformar y limpiar'!F228-$B$9)/$C$9</f>
        <v/>
      </c>
      <c r="G214">
        <f>'2 transformar y limpiar'!G228</f>
        <v/>
      </c>
      <c r="H214">
        <f>'2 transformar y limpiar'!H228</f>
        <v/>
      </c>
      <c r="I214">
        <f>'2 transformar y limpiar'!I228</f>
        <v/>
      </c>
      <c r="J214">
        <f>'2 transformar y limpiar'!J228</f>
        <v/>
      </c>
      <c r="K214">
        <f>'2 transformar y limpiar'!K228</f>
        <v/>
      </c>
      <c r="L214">
        <f>'2 transformar y limpiar'!L228</f>
        <v/>
      </c>
      <c r="M214">
        <f>'2 transformar y limpiar'!M228</f>
        <v/>
      </c>
      <c r="N214">
        <f>'2 transformar y limpiar'!N228</f>
        <v/>
      </c>
      <c r="O214">
        <f>'2 transformar y limpiar'!O228</f>
        <v/>
      </c>
      <c r="P214">
        <f>'2 transformar y limpiar'!P228</f>
        <v/>
      </c>
      <c r="Q214">
        <f>'2 transformar y limpiar'!Q228</f>
        <v/>
      </c>
      <c r="R214">
        <f>'2 transformar y limpiar'!R228</f>
        <v/>
      </c>
      <c r="S214">
        <f>'2 transformar y limpiar'!S228</f>
        <v/>
      </c>
      <c r="T214">
        <f>'2 transformar y limpiar'!T228</f>
        <v/>
      </c>
      <c r="U214" s="5">
        <f>'2 transformar y limpiar'!U228</f>
        <v/>
      </c>
    </row>
    <row r="215">
      <c r="A215">
        <f>'2 transformar y limpiar'!A229</f>
        <v/>
      </c>
      <c r="B215">
        <f>'2 transformar y limpiar'!B229</f>
        <v/>
      </c>
      <c r="C215" s="6">
        <f>('2 transformar y limpiar'!C229-$B$6)/$C$6</f>
        <v/>
      </c>
      <c r="D215" s="6">
        <f>('2 transformar y limpiar'!D229-$B$7)/$C$7</f>
        <v/>
      </c>
      <c r="E215" s="6">
        <f>('2 transformar y limpiar'!E229-$B$8)/$C$8</f>
        <v/>
      </c>
      <c r="F215" s="6">
        <f>('2 transformar y limpiar'!F229-$B$9)/$C$9</f>
        <v/>
      </c>
      <c r="G215">
        <f>'2 transformar y limpiar'!G229</f>
        <v/>
      </c>
      <c r="H215">
        <f>'2 transformar y limpiar'!H229</f>
        <v/>
      </c>
      <c r="I215">
        <f>'2 transformar y limpiar'!I229</f>
        <v/>
      </c>
      <c r="J215">
        <f>'2 transformar y limpiar'!J229</f>
        <v/>
      </c>
      <c r="K215">
        <f>'2 transformar y limpiar'!K229</f>
        <v/>
      </c>
      <c r="L215">
        <f>'2 transformar y limpiar'!L229</f>
        <v/>
      </c>
      <c r="M215">
        <f>'2 transformar y limpiar'!M229</f>
        <v/>
      </c>
      <c r="N215">
        <f>'2 transformar y limpiar'!N229</f>
        <v/>
      </c>
      <c r="O215">
        <f>'2 transformar y limpiar'!O229</f>
        <v/>
      </c>
      <c r="P215">
        <f>'2 transformar y limpiar'!P229</f>
        <v/>
      </c>
      <c r="Q215">
        <f>'2 transformar y limpiar'!Q229</f>
        <v/>
      </c>
      <c r="R215">
        <f>'2 transformar y limpiar'!R229</f>
        <v/>
      </c>
      <c r="S215">
        <f>'2 transformar y limpiar'!S229</f>
        <v/>
      </c>
      <c r="T215">
        <f>'2 transformar y limpiar'!T229</f>
        <v/>
      </c>
      <c r="U215" s="5">
        <f>'2 transformar y limpiar'!U229</f>
        <v/>
      </c>
    </row>
    <row r="216">
      <c r="A216">
        <f>'2 transformar y limpiar'!A230</f>
        <v/>
      </c>
      <c r="B216">
        <f>'2 transformar y limpiar'!B230</f>
        <v/>
      </c>
      <c r="C216" s="6">
        <f>('2 transformar y limpiar'!C230-$B$6)/$C$6</f>
        <v/>
      </c>
      <c r="D216" s="6">
        <f>('2 transformar y limpiar'!D230-$B$7)/$C$7</f>
        <v/>
      </c>
      <c r="E216" s="6">
        <f>('2 transformar y limpiar'!E230-$B$8)/$C$8</f>
        <v/>
      </c>
      <c r="F216" s="6">
        <f>('2 transformar y limpiar'!F230-$B$9)/$C$9</f>
        <v/>
      </c>
      <c r="G216">
        <f>'2 transformar y limpiar'!G230</f>
        <v/>
      </c>
      <c r="H216">
        <f>'2 transformar y limpiar'!H230</f>
        <v/>
      </c>
      <c r="I216">
        <f>'2 transformar y limpiar'!I230</f>
        <v/>
      </c>
      <c r="J216">
        <f>'2 transformar y limpiar'!J230</f>
        <v/>
      </c>
      <c r="K216">
        <f>'2 transformar y limpiar'!K230</f>
        <v/>
      </c>
      <c r="L216">
        <f>'2 transformar y limpiar'!L230</f>
        <v/>
      </c>
      <c r="M216">
        <f>'2 transformar y limpiar'!M230</f>
        <v/>
      </c>
      <c r="N216">
        <f>'2 transformar y limpiar'!N230</f>
        <v/>
      </c>
      <c r="O216">
        <f>'2 transformar y limpiar'!O230</f>
        <v/>
      </c>
      <c r="P216">
        <f>'2 transformar y limpiar'!P230</f>
        <v/>
      </c>
      <c r="Q216">
        <f>'2 transformar y limpiar'!Q230</f>
        <v/>
      </c>
      <c r="R216">
        <f>'2 transformar y limpiar'!R230</f>
        <v/>
      </c>
      <c r="S216">
        <f>'2 transformar y limpiar'!S230</f>
        <v/>
      </c>
      <c r="T216">
        <f>'2 transformar y limpiar'!T230</f>
        <v/>
      </c>
      <c r="U216" s="5">
        <f>'2 transformar y limpiar'!U230</f>
        <v/>
      </c>
    </row>
    <row r="217">
      <c r="A217">
        <f>'2 transformar y limpiar'!A231</f>
        <v/>
      </c>
      <c r="B217">
        <f>'2 transformar y limpiar'!B231</f>
        <v/>
      </c>
      <c r="C217" s="6">
        <f>('2 transformar y limpiar'!C231-$B$6)/$C$6</f>
        <v/>
      </c>
      <c r="D217" s="6">
        <f>('2 transformar y limpiar'!D231-$B$7)/$C$7</f>
        <v/>
      </c>
      <c r="E217" s="6">
        <f>('2 transformar y limpiar'!E231-$B$8)/$C$8</f>
        <v/>
      </c>
      <c r="F217" s="6">
        <f>('2 transformar y limpiar'!F231-$B$9)/$C$9</f>
        <v/>
      </c>
      <c r="G217">
        <f>'2 transformar y limpiar'!G231</f>
        <v/>
      </c>
      <c r="H217">
        <f>'2 transformar y limpiar'!H231</f>
        <v/>
      </c>
      <c r="I217">
        <f>'2 transformar y limpiar'!I231</f>
        <v/>
      </c>
      <c r="J217">
        <f>'2 transformar y limpiar'!J231</f>
        <v/>
      </c>
      <c r="K217">
        <f>'2 transformar y limpiar'!K231</f>
        <v/>
      </c>
      <c r="L217">
        <f>'2 transformar y limpiar'!L231</f>
        <v/>
      </c>
      <c r="M217">
        <f>'2 transformar y limpiar'!M231</f>
        <v/>
      </c>
      <c r="N217">
        <f>'2 transformar y limpiar'!N231</f>
        <v/>
      </c>
      <c r="O217">
        <f>'2 transformar y limpiar'!O231</f>
        <v/>
      </c>
      <c r="P217">
        <f>'2 transformar y limpiar'!P231</f>
        <v/>
      </c>
      <c r="Q217">
        <f>'2 transformar y limpiar'!Q231</f>
        <v/>
      </c>
      <c r="R217">
        <f>'2 transformar y limpiar'!R231</f>
        <v/>
      </c>
      <c r="S217">
        <f>'2 transformar y limpiar'!S231</f>
        <v/>
      </c>
      <c r="T217">
        <f>'2 transformar y limpiar'!T231</f>
        <v/>
      </c>
      <c r="U217" s="5">
        <f>'2 transformar y limpiar'!U231</f>
        <v/>
      </c>
    </row>
    <row r="218">
      <c r="A218">
        <f>'2 transformar y limpiar'!A232</f>
        <v/>
      </c>
      <c r="B218">
        <f>'2 transformar y limpiar'!B232</f>
        <v/>
      </c>
      <c r="C218" s="6">
        <f>('2 transformar y limpiar'!C232-$B$6)/$C$6</f>
        <v/>
      </c>
      <c r="D218" s="6">
        <f>('2 transformar y limpiar'!D232-$B$7)/$C$7</f>
        <v/>
      </c>
      <c r="E218" s="6">
        <f>('2 transformar y limpiar'!E232-$B$8)/$C$8</f>
        <v/>
      </c>
      <c r="F218" s="6">
        <f>('2 transformar y limpiar'!F232-$B$9)/$C$9</f>
        <v/>
      </c>
      <c r="G218">
        <f>'2 transformar y limpiar'!G232</f>
        <v/>
      </c>
      <c r="H218">
        <f>'2 transformar y limpiar'!H232</f>
        <v/>
      </c>
      <c r="I218">
        <f>'2 transformar y limpiar'!I232</f>
        <v/>
      </c>
      <c r="J218">
        <f>'2 transformar y limpiar'!J232</f>
        <v/>
      </c>
      <c r="K218">
        <f>'2 transformar y limpiar'!K232</f>
        <v/>
      </c>
      <c r="L218">
        <f>'2 transformar y limpiar'!L232</f>
        <v/>
      </c>
      <c r="M218">
        <f>'2 transformar y limpiar'!M232</f>
        <v/>
      </c>
      <c r="N218">
        <f>'2 transformar y limpiar'!N232</f>
        <v/>
      </c>
      <c r="O218">
        <f>'2 transformar y limpiar'!O232</f>
        <v/>
      </c>
      <c r="P218">
        <f>'2 transformar y limpiar'!P232</f>
        <v/>
      </c>
      <c r="Q218">
        <f>'2 transformar y limpiar'!Q232</f>
        <v/>
      </c>
      <c r="R218">
        <f>'2 transformar y limpiar'!R232</f>
        <v/>
      </c>
      <c r="S218">
        <f>'2 transformar y limpiar'!S232</f>
        <v/>
      </c>
      <c r="T218">
        <f>'2 transformar y limpiar'!T232</f>
        <v/>
      </c>
      <c r="U218" s="5">
        <f>'2 transformar y limpiar'!U232</f>
        <v/>
      </c>
    </row>
    <row r="219">
      <c r="A219">
        <f>'2 transformar y limpiar'!A233</f>
        <v/>
      </c>
      <c r="B219">
        <f>'2 transformar y limpiar'!B233</f>
        <v/>
      </c>
      <c r="C219" s="6">
        <f>('2 transformar y limpiar'!C233-$B$6)/$C$6</f>
        <v/>
      </c>
      <c r="D219" s="6">
        <f>('2 transformar y limpiar'!D233-$B$7)/$C$7</f>
        <v/>
      </c>
      <c r="E219" s="6">
        <f>('2 transformar y limpiar'!E233-$B$8)/$C$8</f>
        <v/>
      </c>
      <c r="F219" s="6">
        <f>('2 transformar y limpiar'!F233-$B$9)/$C$9</f>
        <v/>
      </c>
      <c r="G219">
        <f>'2 transformar y limpiar'!G233</f>
        <v/>
      </c>
      <c r="H219">
        <f>'2 transformar y limpiar'!H233</f>
        <v/>
      </c>
      <c r="I219">
        <f>'2 transformar y limpiar'!I233</f>
        <v/>
      </c>
      <c r="J219">
        <f>'2 transformar y limpiar'!J233</f>
        <v/>
      </c>
      <c r="K219">
        <f>'2 transformar y limpiar'!K233</f>
        <v/>
      </c>
      <c r="L219">
        <f>'2 transformar y limpiar'!L233</f>
        <v/>
      </c>
      <c r="M219">
        <f>'2 transformar y limpiar'!M233</f>
        <v/>
      </c>
      <c r="N219">
        <f>'2 transformar y limpiar'!N233</f>
        <v/>
      </c>
      <c r="O219">
        <f>'2 transformar y limpiar'!O233</f>
        <v/>
      </c>
      <c r="P219">
        <f>'2 transformar y limpiar'!P233</f>
        <v/>
      </c>
      <c r="Q219">
        <f>'2 transformar y limpiar'!Q233</f>
        <v/>
      </c>
      <c r="R219">
        <f>'2 transformar y limpiar'!R233</f>
        <v/>
      </c>
      <c r="S219">
        <f>'2 transformar y limpiar'!S233</f>
        <v/>
      </c>
      <c r="T219">
        <f>'2 transformar y limpiar'!T233</f>
        <v/>
      </c>
      <c r="U219" s="5">
        <f>'2 transformar y limpiar'!U233</f>
        <v/>
      </c>
    </row>
    <row r="220">
      <c r="A220">
        <f>'2 transformar y limpiar'!A234</f>
        <v/>
      </c>
      <c r="B220">
        <f>'2 transformar y limpiar'!B234</f>
        <v/>
      </c>
      <c r="C220" s="6">
        <f>('2 transformar y limpiar'!C234-$B$6)/$C$6</f>
        <v/>
      </c>
      <c r="D220" s="6">
        <f>('2 transformar y limpiar'!D234-$B$7)/$C$7</f>
        <v/>
      </c>
      <c r="E220" s="6">
        <f>('2 transformar y limpiar'!E234-$B$8)/$C$8</f>
        <v/>
      </c>
      <c r="F220" s="6">
        <f>('2 transformar y limpiar'!F234-$B$9)/$C$9</f>
        <v/>
      </c>
      <c r="G220">
        <f>'2 transformar y limpiar'!G234</f>
        <v/>
      </c>
      <c r="H220">
        <f>'2 transformar y limpiar'!H234</f>
        <v/>
      </c>
      <c r="I220">
        <f>'2 transformar y limpiar'!I234</f>
        <v/>
      </c>
      <c r="J220">
        <f>'2 transformar y limpiar'!J234</f>
        <v/>
      </c>
      <c r="K220">
        <f>'2 transformar y limpiar'!K234</f>
        <v/>
      </c>
      <c r="L220">
        <f>'2 transformar y limpiar'!L234</f>
        <v/>
      </c>
      <c r="M220">
        <f>'2 transformar y limpiar'!M234</f>
        <v/>
      </c>
      <c r="N220">
        <f>'2 transformar y limpiar'!N234</f>
        <v/>
      </c>
      <c r="O220">
        <f>'2 transformar y limpiar'!O234</f>
        <v/>
      </c>
      <c r="P220">
        <f>'2 transformar y limpiar'!P234</f>
        <v/>
      </c>
      <c r="Q220">
        <f>'2 transformar y limpiar'!Q234</f>
        <v/>
      </c>
      <c r="R220">
        <f>'2 transformar y limpiar'!R234</f>
        <v/>
      </c>
      <c r="S220">
        <f>'2 transformar y limpiar'!S234</f>
        <v/>
      </c>
      <c r="T220">
        <f>'2 transformar y limpiar'!T234</f>
        <v/>
      </c>
      <c r="U220" s="5">
        <f>'2 transformar y limpiar'!U234</f>
        <v/>
      </c>
    </row>
    <row r="221">
      <c r="A221">
        <f>'2 transformar y limpiar'!A235</f>
        <v/>
      </c>
      <c r="B221">
        <f>'2 transformar y limpiar'!B235</f>
        <v/>
      </c>
      <c r="C221" s="6">
        <f>('2 transformar y limpiar'!C235-$B$6)/$C$6</f>
        <v/>
      </c>
      <c r="D221" s="6">
        <f>('2 transformar y limpiar'!D235-$B$7)/$C$7</f>
        <v/>
      </c>
      <c r="E221" s="6">
        <f>('2 transformar y limpiar'!E235-$B$8)/$C$8</f>
        <v/>
      </c>
      <c r="F221" s="6">
        <f>('2 transformar y limpiar'!F235-$B$9)/$C$9</f>
        <v/>
      </c>
      <c r="G221">
        <f>'2 transformar y limpiar'!G235</f>
        <v/>
      </c>
      <c r="H221">
        <f>'2 transformar y limpiar'!H235</f>
        <v/>
      </c>
      <c r="I221">
        <f>'2 transformar y limpiar'!I235</f>
        <v/>
      </c>
      <c r="J221">
        <f>'2 transformar y limpiar'!J235</f>
        <v/>
      </c>
      <c r="K221">
        <f>'2 transformar y limpiar'!K235</f>
        <v/>
      </c>
      <c r="L221">
        <f>'2 transformar y limpiar'!L235</f>
        <v/>
      </c>
      <c r="M221">
        <f>'2 transformar y limpiar'!M235</f>
        <v/>
      </c>
      <c r="N221">
        <f>'2 transformar y limpiar'!N235</f>
        <v/>
      </c>
      <c r="O221">
        <f>'2 transformar y limpiar'!O235</f>
        <v/>
      </c>
      <c r="P221">
        <f>'2 transformar y limpiar'!P235</f>
        <v/>
      </c>
      <c r="Q221">
        <f>'2 transformar y limpiar'!Q235</f>
        <v/>
      </c>
      <c r="R221">
        <f>'2 transformar y limpiar'!R235</f>
        <v/>
      </c>
      <c r="S221">
        <f>'2 transformar y limpiar'!S235</f>
        <v/>
      </c>
      <c r="T221">
        <f>'2 transformar y limpiar'!T235</f>
        <v/>
      </c>
      <c r="U221" s="5">
        <f>'2 transformar y limpiar'!U235</f>
        <v/>
      </c>
    </row>
    <row r="222">
      <c r="A222">
        <f>'2 transformar y limpiar'!A236</f>
        <v/>
      </c>
      <c r="B222">
        <f>'2 transformar y limpiar'!B236</f>
        <v/>
      </c>
      <c r="C222" s="6">
        <f>('2 transformar y limpiar'!C236-$B$6)/$C$6</f>
        <v/>
      </c>
      <c r="D222" s="6">
        <f>('2 transformar y limpiar'!D236-$B$7)/$C$7</f>
        <v/>
      </c>
      <c r="E222" s="6">
        <f>('2 transformar y limpiar'!E236-$B$8)/$C$8</f>
        <v/>
      </c>
      <c r="F222" s="6">
        <f>('2 transformar y limpiar'!F236-$B$9)/$C$9</f>
        <v/>
      </c>
      <c r="G222">
        <f>'2 transformar y limpiar'!G236</f>
        <v/>
      </c>
      <c r="H222">
        <f>'2 transformar y limpiar'!H236</f>
        <v/>
      </c>
      <c r="I222">
        <f>'2 transformar y limpiar'!I236</f>
        <v/>
      </c>
      <c r="J222">
        <f>'2 transformar y limpiar'!J236</f>
        <v/>
      </c>
      <c r="K222">
        <f>'2 transformar y limpiar'!K236</f>
        <v/>
      </c>
      <c r="L222">
        <f>'2 transformar y limpiar'!L236</f>
        <v/>
      </c>
      <c r="M222">
        <f>'2 transformar y limpiar'!M236</f>
        <v/>
      </c>
      <c r="N222">
        <f>'2 transformar y limpiar'!N236</f>
        <v/>
      </c>
      <c r="O222">
        <f>'2 transformar y limpiar'!O236</f>
        <v/>
      </c>
      <c r="P222">
        <f>'2 transformar y limpiar'!P236</f>
        <v/>
      </c>
      <c r="Q222">
        <f>'2 transformar y limpiar'!Q236</f>
        <v/>
      </c>
      <c r="R222">
        <f>'2 transformar y limpiar'!R236</f>
        <v/>
      </c>
      <c r="S222">
        <f>'2 transformar y limpiar'!S236</f>
        <v/>
      </c>
      <c r="T222">
        <f>'2 transformar y limpiar'!T236</f>
        <v/>
      </c>
      <c r="U222" s="5">
        <f>'2 transformar y limpiar'!U236</f>
        <v/>
      </c>
    </row>
    <row r="223">
      <c r="A223">
        <f>'2 transformar y limpiar'!A237</f>
        <v/>
      </c>
      <c r="B223">
        <f>'2 transformar y limpiar'!B237</f>
        <v/>
      </c>
      <c r="C223" s="6">
        <f>('2 transformar y limpiar'!C237-$B$6)/$C$6</f>
        <v/>
      </c>
      <c r="D223" s="6">
        <f>('2 transformar y limpiar'!D237-$B$7)/$C$7</f>
        <v/>
      </c>
      <c r="E223" s="6">
        <f>('2 transformar y limpiar'!E237-$B$8)/$C$8</f>
        <v/>
      </c>
      <c r="F223" s="6">
        <f>('2 transformar y limpiar'!F237-$B$9)/$C$9</f>
        <v/>
      </c>
      <c r="G223">
        <f>'2 transformar y limpiar'!G237</f>
        <v/>
      </c>
      <c r="H223">
        <f>'2 transformar y limpiar'!H237</f>
        <v/>
      </c>
      <c r="I223">
        <f>'2 transformar y limpiar'!I237</f>
        <v/>
      </c>
      <c r="J223">
        <f>'2 transformar y limpiar'!J237</f>
        <v/>
      </c>
      <c r="K223">
        <f>'2 transformar y limpiar'!K237</f>
        <v/>
      </c>
      <c r="L223">
        <f>'2 transformar y limpiar'!L237</f>
        <v/>
      </c>
      <c r="M223">
        <f>'2 transformar y limpiar'!M237</f>
        <v/>
      </c>
      <c r="N223">
        <f>'2 transformar y limpiar'!N237</f>
        <v/>
      </c>
      <c r="O223">
        <f>'2 transformar y limpiar'!O237</f>
        <v/>
      </c>
      <c r="P223">
        <f>'2 transformar y limpiar'!P237</f>
        <v/>
      </c>
      <c r="Q223">
        <f>'2 transformar y limpiar'!Q237</f>
        <v/>
      </c>
      <c r="R223">
        <f>'2 transformar y limpiar'!R237</f>
        <v/>
      </c>
      <c r="S223">
        <f>'2 transformar y limpiar'!S237</f>
        <v/>
      </c>
      <c r="T223">
        <f>'2 transformar y limpiar'!T237</f>
        <v/>
      </c>
      <c r="U223" s="5">
        <f>'2 transformar y limpiar'!U237</f>
        <v/>
      </c>
    </row>
    <row r="224">
      <c r="A224">
        <f>'2 transformar y limpiar'!A238</f>
        <v/>
      </c>
      <c r="B224">
        <f>'2 transformar y limpiar'!B238</f>
        <v/>
      </c>
      <c r="C224" s="6">
        <f>('2 transformar y limpiar'!C238-$B$6)/$C$6</f>
        <v/>
      </c>
      <c r="D224" s="6">
        <f>('2 transformar y limpiar'!D238-$B$7)/$C$7</f>
        <v/>
      </c>
      <c r="E224" s="6">
        <f>('2 transformar y limpiar'!E238-$B$8)/$C$8</f>
        <v/>
      </c>
      <c r="F224" s="6">
        <f>('2 transformar y limpiar'!F238-$B$9)/$C$9</f>
        <v/>
      </c>
      <c r="G224">
        <f>'2 transformar y limpiar'!G238</f>
        <v/>
      </c>
      <c r="H224">
        <f>'2 transformar y limpiar'!H238</f>
        <v/>
      </c>
      <c r="I224">
        <f>'2 transformar y limpiar'!I238</f>
        <v/>
      </c>
      <c r="J224">
        <f>'2 transformar y limpiar'!J238</f>
        <v/>
      </c>
      <c r="K224">
        <f>'2 transformar y limpiar'!K238</f>
        <v/>
      </c>
      <c r="L224">
        <f>'2 transformar y limpiar'!L238</f>
        <v/>
      </c>
      <c r="M224">
        <f>'2 transformar y limpiar'!M238</f>
        <v/>
      </c>
      <c r="N224">
        <f>'2 transformar y limpiar'!N238</f>
        <v/>
      </c>
      <c r="O224">
        <f>'2 transformar y limpiar'!O238</f>
        <v/>
      </c>
      <c r="P224">
        <f>'2 transformar y limpiar'!P238</f>
        <v/>
      </c>
      <c r="Q224">
        <f>'2 transformar y limpiar'!Q238</f>
        <v/>
      </c>
      <c r="R224">
        <f>'2 transformar y limpiar'!R238</f>
        <v/>
      </c>
      <c r="S224">
        <f>'2 transformar y limpiar'!S238</f>
        <v/>
      </c>
      <c r="T224">
        <f>'2 transformar y limpiar'!T238</f>
        <v/>
      </c>
      <c r="U224" s="5">
        <f>'2 transformar y limpiar'!U238</f>
        <v/>
      </c>
    </row>
    <row r="225">
      <c r="A225">
        <f>'2 transformar y limpiar'!A239</f>
        <v/>
      </c>
      <c r="B225">
        <f>'2 transformar y limpiar'!B239</f>
        <v/>
      </c>
      <c r="C225" s="6">
        <f>('2 transformar y limpiar'!C239-$B$6)/$C$6</f>
        <v/>
      </c>
      <c r="D225" s="6">
        <f>('2 transformar y limpiar'!D239-$B$7)/$C$7</f>
        <v/>
      </c>
      <c r="E225" s="6">
        <f>('2 transformar y limpiar'!E239-$B$8)/$C$8</f>
        <v/>
      </c>
      <c r="F225" s="6">
        <f>('2 transformar y limpiar'!F239-$B$9)/$C$9</f>
        <v/>
      </c>
      <c r="G225">
        <f>'2 transformar y limpiar'!G239</f>
        <v/>
      </c>
      <c r="H225">
        <f>'2 transformar y limpiar'!H239</f>
        <v/>
      </c>
      <c r="I225">
        <f>'2 transformar y limpiar'!I239</f>
        <v/>
      </c>
      <c r="J225">
        <f>'2 transformar y limpiar'!J239</f>
        <v/>
      </c>
      <c r="K225">
        <f>'2 transformar y limpiar'!K239</f>
        <v/>
      </c>
      <c r="L225">
        <f>'2 transformar y limpiar'!L239</f>
        <v/>
      </c>
      <c r="M225">
        <f>'2 transformar y limpiar'!M239</f>
        <v/>
      </c>
      <c r="N225">
        <f>'2 transformar y limpiar'!N239</f>
        <v/>
      </c>
      <c r="O225">
        <f>'2 transformar y limpiar'!O239</f>
        <v/>
      </c>
      <c r="P225">
        <f>'2 transformar y limpiar'!P239</f>
        <v/>
      </c>
      <c r="Q225">
        <f>'2 transformar y limpiar'!Q239</f>
        <v/>
      </c>
      <c r="R225">
        <f>'2 transformar y limpiar'!R239</f>
        <v/>
      </c>
      <c r="S225">
        <f>'2 transformar y limpiar'!S239</f>
        <v/>
      </c>
      <c r="T225">
        <f>'2 transformar y limpiar'!T239</f>
        <v/>
      </c>
      <c r="U225" s="5">
        <f>'2 transformar y limpiar'!U239</f>
        <v/>
      </c>
    </row>
    <row r="226">
      <c r="A226">
        <f>'2 transformar y limpiar'!A240</f>
        <v/>
      </c>
      <c r="B226">
        <f>'2 transformar y limpiar'!B240</f>
        <v/>
      </c>
      <c r="C226" s="6">
        <f>('2 transformar y limpiar'!C240-$B$6)/$C$6</f>
        <v/>
      </c>
      <c r="D226" s="6">
        <f>('2 transformar y limpiar'!D240-$B$7)/$C$7</f>
        <v/>
      </c>
      <c r="E226" s="6">
        <f>('2 transformar y limpiar'!E240-$B$8)/$C$8</f>
        <v/>
      </c>
      <c r="F226" s="6">
        <f>('2 transformar y limpiar'!F240-$B$9)/$C$9</f>
        <v/>
      </c>
      <c r="G226">
        <f>'2 transformar y limpiar'!G240</f>
        <v/>
      </c>
      <c r="H226">
        <f>'2 transformar y limpiar'!H240</f>
        <v/>
      </c>
      <c r="I226">
        <f>'2 transformar y limpiar'!I240</f>
        <v/>
      </c>
      <c r="J226">
        <f>'2 transformar y limpiar'!J240</f>
        <v/>
      </c>
      <c r="K226">
        <f>'2 transformar y limpiar'!K240</f>
        <v/>
      </c>
      <c r="L226">
        <f>'2 transformar y limpiar'!L240</f>
        <v/>
      </c>
      <c r="M226">
        <f>'2 transformar y limpiar'!M240</f>
        <v/>
      </c>
      <c r="N226">
        <f>'2 transformar y limpiar'!N240</f>
        <v/>
      </c>
      <c r="O226">
        <f>'2 transformar y limpiar'!O240</f>
        <v/>
      </c>
      <c r="P226">
        <f>'2 transformar y limpiar'!P240</f>
        <v/>
      </c>
      <c r="Q226">
        <f>'2 transformar y limpiar'!Q240</f>
        <v/>
      </c>
      <c r="R226">
        <f>'2 transformar y limpiar'!R240</f>
        <v/>
      </c>
      <c r="S226">
        <f>'2 transformar y limpiar'!S240</f>
        <v/>
      </c>
      <c r="T226">
        <f>'2 transformar y limpiar'!T240</f>
        <v/>
      </c>
      <c r="U226" s="5">
        <f>'2 transformar y limpiar'!U240</f>
        <v/>
      </c>
    </row>
    <row r="227">
      <c r="A227">
        <f>'2 transformar y limpiar'!A241</f>
        <v/>
      </c>
      <c r="B227">
        <f>'2 transformar y limpiar'!B241</f>
        <v/>
      </c>
      <c r="C227" s="6">
        <f>('2 transformar y limpiar'!C241-$B$6)/$C$6</f>
        <v/>
      </c>
      <c r="D227" s="6">
        <f>('2 transformar y limpiar'!D241-$B$7)/$C$7</f>
        <v/>
      </c>
      <c r="E227" s="6">
        <f>('2 transformar y limpiar'!E241-$B$8)/$C$8</f>
        <v/>
      </c>
      <c r="F227" s="6">
        <f>('2 transformar y limpiar'!F241-$B$9)/$C$9</f>
        <v/>
      </c>
      <c r="G227">
        <f>'2 transformar y limpiar'!G241</f>
        <v/>
      </c>
      <c r="H227">
        <f>'2 transformar y limpiar'!H241</f>
        <v/>
      </c>
      <c r="I227">
        <f>'2 transformar y limpiar'!I241</f>
        <v/>
      </c>
      <c r="J227">
        <f>'2 transformar y limpiar'!J241</f>
        <v/>
      </c>
      <c r="K227">
        <f>'2 transformar y limpiar'!K241</f>
        <v/>
      </c>
      <c r="L227">
        <f>'2 transformar y limpiar'!L241</f>
        <v/>
      </c>
      <c r="M227">
        <f>'2 transformar y limpiar'!M241</f>
        <v/>
      </c>
      <c r="N227">
        <f>'2 transformar y limpiar'!N241</f>
        <v/>
      </c>
      <c r="O227">
        <f>'2 transformar y limpiar'!O241</f>
        <v/>
      </c>
      <c r="P227">
        <f>'2 transformar y limpiar'!P241</f>
        <v/>
      </c>
      <c r="Q227">
        <f>'2 transformar y limpiar'!Q241</f>
        <v/>
      </c>
      <c r="R227">
        <f>'2 transformar y limpiar'!R241</f>
        <v/>
      </c>
      <c r="S227">
        <f>'2 transformar y limpiar'!S241</f>
        <v/>
      </c>
      <c r="T227">
        <f>'2 transformar y limpiar'!T241</f>
        <v/>
      </c>
      <c r="U227" s="5">
        <f>'2 transformar y limpiar'!U241</f>
        <v/>
      </c>
    </row>
    <row r="228">
      <c r="A228">
        <f>'2 transformar y limpiar'!A242</f>
        <v/>
      </c>
      <c r="B228">
        <f>'2 transformar y limpiar'!B242</f>
        <v/>
      </c>
      <c r="C228" s="6">
        <f>('2 transformar y limpiar'!C242-$B$6)/$C$6</f>
        <v/>
      </c>
      <c r="D228" s="6">
        <f>('2 transformar y limpiar'!D242-$B$7)/$C$7</f>
        <v/>
      </c>
      <c r="E228" s="6">
        <f>('2 transformar y limpiar'!E242-$B$8)/$C$8</f>
        <v/>
      </c>
      <c r="F228" s="6">
        <f>('2 transformar y limpiar'!F242-$B$9)/$C$9</f>
        <v/>
      </c>
      <c r="G228">
        <f>'2 transformar y limpiar'!G242</f>
        <v/>
      </c>
      <c r="H228">
        <f>'2 transformar y limpiar'!H242</f>
        <v/>
      </c>
      <c r="I228">
        <f>'2 transformar y limpiar'!I242</f>
        <v/>
      </c>
      <c r="J228">
        <f>'2 transformar y limpiar'!J242</f>
        <v/>
      </c>
      <c r="K228">
        <f>'2 transformar y limpiar'!K242</f>
        <v/>
      </c>
      <c r="L228">
        <f>'2 transformar y limpiar'!L242</f>
        <v/>
      </c>
      <c r="M228">
        <f>'2 transformar y limpiar'!M242</f>
        <v/>
      </c>
      <c r="N228">
        <f>'2 transformar y limpiar'!N242</f>
        <v/>
      </c>
      <c r="O228">
        <f>'2 transformar y limpiar'!O242</f>
        <v/>
      </c>
      <c r="P228">
        <f>'2 transformar y limpiar'!P242</f>
        <v/>
      </c>
      <c r="Q228">
        <f>'2 transformar y limpiar'!Q242</f>
        <v/>
      </c>
      <c r="R228">
        <f>'2 transformar y limpiar'!R242</f>
        <v/>
      </c>
      <c r="S228">
        <f>'2 transformar y limpiar'!S242</f>
        <v/>
      </c>
      <c r="T228">
        <f>'2 transformar y limpiar'!T242</f>
        <v/>
      </c>
      <c r="U228" s="5">
        <f>'2 transformar y limpiar'!U242</f>
        <v/>
      </c>
    </row>
    <row r="229">
      <c r="A229">
        <f>'2 transformar y limpiar'!A243</f>
        <v/>
      </c>
      <c r="B229">
        <f>'2 transformar y limpiar'!B243</f>
        <v/>
      </c>
      <c r="C229" s="6">
        <f>('2 transformar y limpiar'!C243-$B$6)/$C$6</f>
        <v/>
      </c>
      <c r="D229" s="6">
        <f>('2 transformar y limpiar'!D243-$B$7)/$C$7</f>
        <v/>
      </c>
      <c r="E229" s="6">
        <f>('2 transformar y limpiar'!E243-$B$8)/$C$8</f>
        <v/>
      </c>
      <c r="F229" s="6">
        <f>('2 transformar y limpiar'!F243-$B$9)/$C$9</f>
        <v/>
      </c>
      <c r="G229">
        <f>'2 transformar y limpiar'!G243</f>
        <v/>
      </c>
      <c r="H229">
        <f>'2 transformar y limpiar'!H243</f>
        <v/>
      </c>
      <c r="I229">
        <f>'2 transformar y limpiar'!I243</f>
        <v/>
      </c>
      <c r="J229">
        <f>'2 transformar y limpiar'!J243</f>
        <v/>
      </c>
      <c r="K229">
        <f>'2 transformar y limpiar'!K243</f>
        <v/>
      </c>
      <c r="L229">
        <f>'2 transformar y limpiar'!L243</f>
        <v/>
      </c>
      <c r="M229">
        <f>'2 transformar y limpiar'!M243</f>
        <v/>
      </c>
      <c r="N229">
        <f>'2 transformar y limpiar'!N243</f>
        <v/>
      </c>
      <c r="O229">
        <f>'2 transformar y limpiar'!O243</f>
        <v/>
      </c>
      <c r="P229">
        <f>'2 transformar y limpiar'!P243</f>
        <v/>
      </c>
      <c r="Q229">
        <f>'2 transformar y limpiar'!Q243</f>
        <v/>
      </c>
      <c r="R229">
        <f>'2 transformar y limpiar'!R243</f>
        <v/>
      </c>
      <c r="S229">
        <f>'2 transformar y limpiar'!S243</f>
        <v/>
      </c>
      <c r="T229">
        <f>'2 transformar y limpiar'!T243</f>
        <v/>
      </c>
      <c r="U229" s="5">
        <f>'2 transformar y limpiar'!U243</f>
        <v/>
      </c>
    </row>
    <row r="230">
      <c r="A230">
        <f>'2 transformar y limpiar'!A244</f>
        <v/>
      </c>
      <c r="B230">
        <f>'2 transformar y limpiar'!B244</f>
        <v/>
      </c>
      <c r="C230" s="6">
        <f>('2 transformar y limpiar'!C244-$B$6)/$C$6</f>
        <v/>
      </c>
      <c r="D230" s="6">
        <f>('2 transformar y limpiar'!D244-$B$7)/$C$7</f>
        <v/>
      </c>
      <c r="E230" s="6">
        <f>('2 transformar y limpiar'!E244-$B$8)/$C$8</f>
        <v/>
      </c>
      <c r="F230" s="6">
        <f>('2 transformar y limpiar'!F244-$B$9)/$C$9</f>
        <v/>
      </c>
      <c r="G230">
        <f>'2 transformar y limpiar'!G244</f>
        <v/>
      </c>
      <c r="H230">
        <f>'2 transformar y limpiar'!H244</f>
        <v/>
      </c>
      <c r="I230">
        <f>'2 transformar y limpiar'!I244</f>
        <v/>
      </c>
      <c r="J230">
        <f>'2 transformar y limpiar'!J244</f>
        <v/>
      </c>
      <c r="K230">
        <f>'2 transformar y limpiar'!K244</f>
        <v/>
      </c>
      <c r="L230">
        <f>'2 transformar y limpiar'!L244</f>
        <v/>
      </c>
      <c r="M230">
        <f>'2 transformar y limpiar'!M244</f>
        <v/>
      </c>
      <c r="N230">
        <f>'2 transformar y limpiar'!N244</f>
        <v/>
      </c>
      <c r="O230">
        <f>'2 transformar y limpiar'!O244</f>
        <v/>
      </c>
      <c r="P230">
        <f>'2 transformar y limpiar'!P244</f>
        <v/>
      </c>
      <c r="Q230">
        <f>'2 transformar y limpiar'!Q244</f>
        <v/>
      </c>
      <c r="R230">
        <f>'2 transformar y limpiar'!R244</f>
        <v/>
      </c>
      <c r="S230">
        <f>'2 transformar y limpiar'!S244</f>
        <v/>
      </c>
      <c r="T230">
        <f>'2 transformar y limpiar'!T244</f>
        <v/>
      </c>
      <c r="U230" s="5">
        <f>'2 transformar y limpiar'!U244</f>
        <v/>
      </c>
    </row>
    <row r="231">
      <c r="A231">
        <f>'2 transformar y limpiar'!A245</f>
        <v/>
      </c>
      <c r="B231">
        <f>'2 transformar y limpiar'!B245</f>
        <v/>
      </c>
      <c r="C231" s="6">
        <f>('2 transformar y limpiar'!C245-$B$6)/$C$6</f>
        <v/>
      </c>
      <c r="D231" s="6">
        <f>('2 transformar y limpiar'!D245-$B$7)/$C$7</f>
        <v/>
      </c>
      <c r="E231" s="6">
        <f>('2 transformar y limpiar'!E245-$B$8)/$C$8</f>
        <v/>
      </c>
      <c r="F231" s="6">
        <f>('2 transformar y limpiar'!F245-$B$9)/$C$9</f>
        <v/>
      </c>
      <c r="G231">
        <f>'2 transformar y limpiar'!G245</f>
        <v/>
      </c>
      <c r="H231">
        <f>'2 transformar y limpiar'!H245</f>
        <v/>
      </c>
      <c r="I231">
        <f>'2 transformar y limpiar'!I245</f>
        <v/>
      </c>
      <c r="J231">
        <f>'2 transformar y limpiar'!J245</f>
        <v/>
      </c>
      <c r="K231">
        <f>'2 transformar y limpiar'!K245</f>
        <v/>
      </c>
      <c r="L231">
        <f>'2 transformar y limpiar'!L245</f>
        <v/>
      </c>
      <c r="M231">
        <f>'2 transformar y limpiar'!M245</f>
        <v/>
      </c>
      <c r="N231">
        <f>'2 transformar y limpiar'!N245</f>
        <v/>
      </c>
      <c r="O231">
        <f>'2 transformar y limpiar'!O245</f>
        <v/>
      </c>
      <c r="P231">
        <f>'2 transformar y limpiar'!P245</f>
        <v/>
      </c>
      <c r="Q231">
        <f>'2 transformar y limpiar'!Q245</f>
        <v/>
      </c>
      <c r="R231">
        <f>'2 transformar y limpiar'!R245</f>
        <v/>
      </c>
      <c r="S231">
        <f>'2 transformar y limpiar'!S245</f>
        <v/>
      </c>
      <c r="T231">
        <f>'2 transformar y limpiar'!T245</f>
        <v/>
      </c>
      <c r="U231" s="5">
        <f>'2 transformar y limpiar'!U245</f>
        <v/>
      </c>
    </row>
    <row r="232">
      <c r="A232">
        <f>'2 transformar y limpiar'!A246</f>
        <v/>
      </c>
      <c r="B232">
        <f>'2 transformar y limpiar'!B246</f>
        <v/>
      </c>
      <c r="C232" s="6">
        <f>('2 transformar y limpiar'!C246-$B$6)/$C$6</f>
        <v/>
      </c>
      <c r="D232" s="6">
        <f>('2 transformar y limpiar'!D246-$B$7)/$C$7</f>
        <v/>
      </c>
      <c r="E232" s="6">
        <f>('2 transformar y limpiar'!E246-$B$8)/$C$8</f>
        <v/>
      </c>
      <c r="F232" s="6">
        <f>('2 transformar y limpiar'!F246-$B$9)/$C$9</f>
        <v/>
      </c>
      <c r="G232">
        <f>'2 transformar y limpiar'!G246</f>
        <v/>
      </c>
      <c r="H232">
        <f>'2 transformar y limpiar'!H246</f>
        <v/>
      </c>
      <c r="I232">
        <f>'2 transformar y limpiar'!I246</f>
        <v/>
      </c>
      <c r="J232">
        <f>'2 transformar y limpiar'!J246</f>
        <v/>
      </c>
      <c r="K232">
        <f>'2 transformar y limpiar'!K246</f>
        <v/>
      </c>
      <c r="L232">
        <f>'2 transformar y limpiar'!L246</f>
        <v/>
      </c>
      <c r="M232">
        <f>'2 transformar y limpiar'!M246</f>
        <v/>
      </c>
      <c r="N232">
        <f>'2 transformar y limpiar'!N246</f>
        <v/>
      </c>
      <c r="O232">
        <f>'2 transformar y limpiar'!O246</f>
        <v/>
      </c>
      <c r="P232">
        <f>'2 transformar y limpiar'!P246</f>
        <v/>
      </c>
      <c r="Q232">
        <f>'2 transformar y limpiar'!Q246</f>
        <v/>
      </c>
      <c r="R232">
        <f>'2 transformar y limpiar'!R246</f>
        <v/>
      </c>
      <c r="S232">
        <f>'2 transformar y limpiar'!S246</f>
        <v/>
      </c>
      <c r="T232">
        <f>'2 transformar y limpiar'!T246</f>
        <v/>
      </c>
      <c r="U232" s="5">
        <f>'2 transformar y limpiar'!U246</f>
        <v/>
      </c>
    </row>
    <row r="233">
      <c r="A233">
        <f>'2 transformar y limpiar'!A247</f>
        <v/>
      </c>
      <c r="B233">
        <f>'2 transformar y limpiar'!B247</f>
        <v/>
      </c>
      <c r="C233" s="6">
        <f>('2 transformar y limpiar'!C247-$B$6)/$C$6</f>
        <v/>
      </c>
      <c r="D233" s="6">
        <f>('2 transformar y limpiar'!D247-$B$7)/$C$7</f>
        <v/>
      </c>
      <c r="E233" s="6">
        <f>('2 transformar y limpiar'!E247-$B$8)/$C$8</f>
        <v/>
      </c>
      <c r="F233" s="6">
        <f>('2 transformar y limpiar'!F247-$B$9)/$C$9</f>
        <v/>
      </c>
      <c r="G233">
        <f>'2 transformar y limpiar'!G247</f>
        <v/>
      </c>
      <c r="H233">
        <f>'2 transformar y limpiar'!H247</f>
        <v/>
      </c>
      <c r="I233">
        <f>'2 transformar y limpiar'!I247</f>
        <v/>
      </c>
      <c r="J233">
        <f>'2 transformar y limpiar'!J247</f>
        <v/>
      </c>
      <c r="K233">
        <f>'2 transformar y limpiar'!K247</f>
        <v/>
      </c>
      <c r="L233">
        <f>'2 transformar y limpiar'!L247</f>
        <v/>
      </c>
      <c r="M233">
        <f>'2 transformar y limpiar'!M247</f>
        <v/>
      </c>
      <c r="N233">
        <f>'2 transformar y limpiar'!N247</f>
        <v/>
      </c>
      <c r="O233">
        <f>'2 transformar y limpiar'!O247</f>
        <v/>
      </c>
      <c r="P233">
        <f>'2 transformar y limpiar'!P247</f>
        <v/>
      </c>
      <c r="Q233">
        <f>'2 transformar y limpiar'!Q247</f>
        <v/>
      </c>
      <c r="R233">
        <f>'2 transformar y limpiar'!R247</f>
        <v/>
      </c>
      <c r="S233">
        <f>'2 transformar y limpiar'!S247</f>
        <v/>
      </c>
      <c r="T233">
        <f>'2 transformar y limpiar'!T247</f>
        <v/>
      </c>
      <c r="U233" s="5">
        <f>'2 transformar y limpiar'!U247</f>
        <v/>
      </c>
    </row>
    <row r="234">
      <c r="A234">
        <f>'2 transformar y limpiar'!A248</f>
        <v/>
      </c>
      <c r="B234">
        <f>'2 transformar y limpiar'!B248</f>
        <v/>
      </c>
      <c r="C234" s="6">
        <f>('2 transformar y limpiar'!C248-$B$6)/$C$6</f>
        <v/>
      </c>
      <c r="D234" s="6">
        <f>('2 transformar y limpiar'!D248-$B$7)/$C$7</f>
        <v/>
      </c>
      <c r="E234" s="6">
        <f>('2 transformar y limpiar'!E248-$B$8)/$C$8</f>
        <v/>
      </c>
      <c r="F234" s="6">
        <f>('2 transformar y limpiar'!F248-$B$9)/$C$9</f>
        <v/>
      </c>
      <c r="G234">
        <f>'2 transformar y limpiar'!G248</f>
        <v/>
      </c>
      <c r="H234">
        <f>'2 transformar y limpiar'!H248</f>
        <v/>
      </c>
      <c r="I234">
        <f>'2 transformar y limpiar'!I248</f>
        <v/>
      </c>
      <c r="J234">
        <f>'2 transformar y limpiar'!J248</f>
        <v/>
      </c>
      <c r="K234">
        <f>'2 transformar y limpiar'!K248</f>
        <v/>
      </c>
      <c r="L234">
        <f>'2 transformar y limpiar'!L248</f>
        <v/>
      </c>
      <c r="M234">
        <f>'2 transformar y limpiar'!M248</f>
        <v/>
      </c>
      <c r="N234">
        <f>'2 transformar y limpiar'!N248</f>
        <v/>
      </c>
      <c r="O234">
        <f>'2 transformar y limpiar'!O248</f>
        <v/>
      </c>
      <c r="P234">
        <f>'2 transformar y limpiar'!P248</f>
        <v/>
      </c>
      <c r="Q234">
        <f>'2 transformar y limpiar'!Q248</f>
        <v/>
      </c>
      <c r="R234">
        <f>'2 transformar y limpiar'!R248</f>
        <v/>
      </c>
      <c r="S234">
        <f>'2 transformar y limpiar'!S248</f>
        <v/>
      </c>
      <c r="T234">
        <f>'2 transformar y limpiar'!T248</f>
        <v/>
      </c>
      <c r="U234" s="5">
        <f>'2 transformar y limpiar'!U248</f>
        <v/>
      </c>
    </row>
    <row r="235">
      <c r="A235">
        <f>'2 transformar y limpiar'!A249</f>
        <v/>
      </c>
      <c r="B235">
        <f>'2 transformar y limpiar'!B249</f>
        <v/>
      </c>
      <c r="C235" s="6">
        <f>('2 transformar y limpiar'!C249-$B$6)/$C$6</f>
        <v/>
      </c>
      <c r="D235" s="6">
        <f>('2 transformar y limpiar'!D249-$B$7)/$C$7</f>
        <v/>
      </c>
      <c r="E235" s="6">
        <f>('2 transformar y limpiar'!E249-$B$8)/$C$8</f>
        <v/>
      </c>
      <c r="F235" s="6">
        <f>('2 transformar y limpiar'!F249-$B$9)/$C$9</f>
        <v/>
      </c>
      <c r="G235">
        <f>'2 transformar y limpiar'!G249</f>
        <v/>
      </c>
      <c r="H235">
        <f>'2 transformar y limpiar'!H249</f>
        <v/>
      </c>
      <c r="I235">
        <f>'2 transformar y limpiar'!I249</f>
        <v/>
      </c>
      <c r="J235">
        <f>'2 transformar y limpiar'!J249</f>
        <v/>
      </c>
      <c r="K235">
        <f>'2 transformar y limpiar'!K249</f>
        <v/>
      </c>
      <c r="L235">
        <f>'2 transformar y limpiar'!L249</f>
        <v/>
      </c>
      <c r="M235">
        <f>'2 transformar y limpiar'!M249</f>
        <v/>
      </c>
      <c r="N235">
        <f>'2 transformar y limpiar'!N249</f>
        <v/>
      </c>
      <c r="O235">
        <f>'2 transformar y limpiar'!O249</f>
        <v/>
      </c>
      <c r="P235">
        <f>'2 transformar y limpiar'!P249</f>
        <v/>
      </c>
      <c r="Q235">
        <f>'2 transformar y limpiar'!Q249</f>
        <v/>
      </c>
      <c r="R235">
        <f>'2 transformar y limpiar'!R249</f>
        <v/>
      </c>
      <c r="S235">
        <f>'2 transformar y limpiar'!S249</f>
        <v/>
      </c>
      <c r="T235">
        <f>'2 transformar y limpiar'!T249</f>
        <v/>
      </c>
      <c r="U235" s="5">
        <f>'2 transformar y limpiar'!U249</f>
        <v/>
      </c>
    </row>
    <row r="236">
      <c r="A236">
        <f>'2 transformar y limpiar'!A250</f>
        <v/>
      </c>
      <c r="B236">
        <f>'2 transformar y limpiar'!B250</f>
        <v/>
      </c>
      <c r="C236" s="6">
        <f>('2 transformar y limpiar'!C250-$B$6)/$C$6</f>
        <v/>
      </c>
      <c r="D236" s="6">
        <f>('2 transformar y limpiar'!D250-$B$7)/$C$7</f>
        <v/>
      </c>
      <c r="E236" s="6">
        <f>('2 transformar y limpiar'!E250-$B$8)/$C$8</f>
        <v/>
      </c>
      <c r="F236" s="6">
        <f>('2 transformar y limpiar'!F250-$B$9)/$C$9</f>
        <v/>
      </c>
      <c r="G236">
        <f>'2 transformar y limpiar'!G250</f>
        <v/>
      </c>
      <c r="H236">
        <f>'2 transformar y limpiar'!H250</f>
        <v/>
      </c>
      <c r="I236">
        <f>'2 transformar y limpiar'!I250</f>
        <v/>
      </c>
      <c r="J236">
        <f>'2 transformar y limpiar'!J250</f>
        <v/>
      </c>
      <c r="K236">
        <f>'2 transformar y limpiar'!K250</f>
        <v/>
      </c>
      <c r="L236">
        <f>'2 transformar y limpiar'!L250</f>
        <v/>
      </c>
      <c r="M236">
        <f>'2 transformar y limpiar'!M250</f>
        <v/>
      </c>
      <c r="N236">
        <f>'2 transformar y limpiar'!N250</f>
        <v/>
      </c>
      <c r="O236">
        <f>'2 transformar y limpiar'!O250</f>
        <v/>
      </c>
      <c r="P236">
        <f>'2 transformar y limpiar'!P250</f>
        <v/>
      </c>
      <c r="Q236">
        <f>'2 transformar y limpiar'!Q250</f>
        <v/>
      </c>
      <c r="R236">
        <f>'2 transformar y limpiar'!R250</f>
        <v/>
      </c>
      <c r="S236">
        <f>'2 transformar y limpiar'!S250</f>
        <v/>
      </c>
      <c r="T236">
        <f>'2 transformar y limpiar'!T250</f>
        <v/>
      </c>
      <c r="U236" s="5">
        <f>'2 transformar y limpiar'!U250</f>
        <v/>
      </c>
    </row>
    <row r="237">
      <c r="A237">
        <f>'2 transformar y limpiar'!A251</f>
        <v/>
      </c>
      <c r="B237">
        <f>'2 transformar y limpiar'!B251</f>
        <v/>
      </c>
      <c r="C237" s="6">
        <f>('2 transformar y limpiar'!C251-$B$6)/$C$6</f>
        <v/>
      </c>
      <c r="D237" s="6">
        <f>('2 transformar y limpiar'!D251-$B$7)/$C$7</f>
        <v/>
      </c>
      <c r="E237" s="6">
        <f>('2 transformar y limpiar'!E251-$B$8)/$C$8</f>
        <v/>
      </c>
      <c r="F237" s="6">
        <f>('2 transformar y limpiar'!F251-$B$9)/$C$9</f>
        <v/>
      </c>
      <c r="G237">
        <f>'2 transformar y limpiar'!G251</f>
        <v/>
      </c>
      <c r="H237">
        <f>'2 transformar y limpiar'!H251</f>
        <v/>
      </c>
      <c r="I237">
        <f>'2 transformar y limpiar'!I251</f>
        <v/>
      </c>
      <c r="J237">
        <f>'2 transformar y limpiar'!J251</f>
        <v/>
      </c>
      <c r="K237">
        <f>'2 transformar y limpiar'!K251</f>
        <v/>
      </c>
      <c r="L237">
        <f>'2 transformar y limpiar'!L251</f>
        <v/>
      </c>
      <c r="M237">
        <f>'2 transformar y limpiar'!M251</f>
        <v/>
      </c>
      <c r="N237">
        <f>'2 transformar y limpiar'!N251</f>
        <v/>
      </c>
      <c r="O237">
        <f>'2 transformar y limpiar'!O251</f>
        <v/>
      </c>
      <c r="P237">
        <f>'2 transformar y limpiar'!P251</f>
        <v/>
      </c>
      <c r="Q237">
        <f>'2 transformar y limpiar'!Q251</f>
        <v/>
      </c>
      <c r="R237">
        <f>'2 transformar y limpiar'!R251</f>
        <v/>
      </c>
      <c r="S237">
        <f>'2 transformar y limpiar'!S251</f>
        <v/>
      </c>
      <c r="T237">
        <f>'2 transformar y limpiar'!T251</f>
        <v/>
      </c>
      <c r="U237" s="5">
        <f>'2 transformar y limpiar'!U251</f>
        <v/>
      </c>
    </row>
    <row r="238">
      <c r="A238">
        <f>'2 transformar y limpiar'!A252</f>
        <v/>
      </c>
      <c r="B238">
        <f>'2 transformar y limpiar'!B252</f>
        <v/>
      </c>
      <c r="C238" s="6">
        <f>('2 transformar y limpiar'!C252-$B$6)/$C$6</f>
        <v/>
      </c>
      <c r="D238" s="6">
        <f>('2 transformar y limpiar'!D252-$B$7)/$C$7</f>
        <v/>
      </c>
      <c r="E238" s="6">
        <f>('2 transformar y limpiar'!E252-$B$8)/$C$8</f>
        <v/>
      </c>
      <c r="F238" s="6">
        <f>('2 transformar y limpiar'!F252-$B$9)/$C$9</f>
        <v/>
      </c>
      <c r="G238">
        <f>'2 transformar y limpiar'!G252</f>
        <v/>
      </c>
      <c r="H238">
        <f>'2 transformar y limpiar'!H252</f>
        <v/>
      </c>
      <c r="I238">
        <f>'2 transformar y limpiar'!I252</f>
        <v/>
      </c>
      <c r="J238">
        <f>'2 transformar y limpiar'!J252</f>
        <v/>
      </c>
      <c r="K238">
        <f>'2 transformar y limpiar'!K252</f>
        <v/>
      </c>
      <c r="L238">
        <f>'2 transformar y limpiar'!L252</f>
        <v/>
      </c>
      <c r="M238">
        <f>'2 transformar y limpiar'!M252</f>
        <v/>
      </c>
      <c r="N238">
        <f>'2 transformar y limpiar'!N252</f>
        <v/>
      </c>
      <c r="O238">
        <f>'2 transformar y limpiar'!O252</f>
        <v/>
      </c>
      <c r="P238">
        <f>'2 transformar y limpiar'!P252</f>
        <v/>
      </c>
      <c r="Q238">
        <f>'2 transformar y limpiar'!Q252</f>
        <v/>
      </c>
      <c r="R238">
        <f>'2 transformar y limpiar'!R252</f>
        <v/>
      </c>
      <c r="S238">
        <f>'2 transformar y limpiar'!S252</f>
        <v/>
      </c>
      <c r="T238">
        <f>'2 transformar y limpiar'!T252</f>
        <v/>
      </c>
      <c r="U238" s="5">
        <f>'2 transformar y limpiar'!U252</f>
        <v/>
      </c>
    </row>
    <row r="239">
      <c r="A239">
        <f>'2 transformar y limpiar'!A253</f>
        <v/>
      </c>
      <c r="B239">
        <f>'2 transformar y limpiar'!B253</f>
        <v/>
      </c>
      <c r="C239" s="6">
        <f>('2 transformar y limpiar'!C253-$B$6)/$C$6</f>
        <v/>
      </c>
      <c r="D239" s="6">
        <f>('2 transformar y limpiar'!D253-$B$7)/$C$7</f>
        <v/>
      </c>
      <c r="E239" s="6">
        <f>('2 transformar y limpiar'!E253-$B$8)/$C$8</f>
        <v/>
      </c>
      <c r="F239" s="6">
        <f>('2 transformar y limpiar'!F253-$B$9)/$C$9</f>
        <v/>
      </c>
      <c r="G239">
        <f>'2 transformar y limpiar'!G253</f>
        <v/>
      </c>
      <c r="H239">
        <f>'2 transformar y limpiar'!H253</f>
        <v/>
      </c>
      <c r="I239">
        <f>'2 transformar y limpiar'!I253</f>
        <v/>
      </c>
      <c r="J239">
        <f>'2 transformar y limpiar'!J253</f>
        <v/>
      </c>
      <c r="K239">
        <f>'2 transformar y limpiar'!K253</f>
        <v/>
      </c>
      <c r="L239">
        <f>'2 transformar y limpiar'!L253</f>
        <v/>
      </c>
      <c r="M239">
        <f>'2 transformar y limpiar'!M253</f>
        <v/>
      </c>
      <c r="N239">
        <f>'2 transformar y limpiar'!N253</f>
        <v/>
      </c>
      <c r="O239">
        <f>'2 transformar y limpiar'!O253</f>
        <v/>
      </c>
      <c r="P239">
        <f>'2 transformar y limpiar'!P253</f>
        <v/>
      </c>
      <c r="Q239">
        <f>'2 transformar y limpiar'!Q253</f>
        <v/>
      </c>
      <c r="R239">
        <f>'2 transformar y limpiar'!R253</f>
        <v/>
      </c>
      <c r="S239">
        <f>'2 transformar y limpiar'!S253</f>
        <v/>
      </c>
      <c r="T239">
        <f>'2 transformar y limpiar'!T253</f>
        <v/>
      </c>
      <c r="U239" s="5">
        <f>'2 transformar y limpiar'!U253</f>
        <v/>
      </c>
    </row>
    <row r="240">
      <c r="A240">
        <f>'2 transformar y limpiar'!A254</f>
        <v/>
      </c>
      <c r="B240">
        <f>'2 transformar y limpiar'!B254</f>
        <v/>
      </c>
      <c r="C240" s="6">
        <f>('2 transformar y limpiar'!C254-$B$6)/$C$6</f>
        <v/>
      </c>
      <c r="D240" s="6">
        <f>('2 transformar y limpiar'!D254-$B$7)/$C$7</f>
        <v/>
      </c>
      <c r="E240" s="6">
        <f>('2 transformar y limpiar'!E254-$B$8)/$C$8</f>
        <v/>
      </c>
      <c r="F240" s="6">
        <f>('2 transformar y limpiar'!F254-$B$9)/$C$9</f>
        <v/>
      </c>
      <c r="G240">
        <f>'2 transformar y limpiar'!G254</f>
        <v/>
      </c>
      <c r="H240">
        <f>'2 transformar y limpiar'!H254</f>
        <v/>
      </c>
      <c r="I240">
        <f>'2 transformar y limpiar'!I254</f>
        <v/>
      </c>
      <c r="J240">
        <f>'2 transformar y limpiar'!J254</f>
        <v/>
      </c>
      <c r="K240">
        <f>'2 transformar y limpiar'!K254</f>
        <v/>
      </c>
      <c r="L240">
        <f>'2 transformar y limpiar'!L254</f>
        <v/>
      </c>
      <c r="M240">
        <f>'2 transformar y limpiar'!M254</f>
        <v/>
      </c>
      <c r="N240">
        <f>'2 transformar y limpiar'!N254</f>
        <v/>
      </c>
      <c r="O240">
        <f>'2 transformar y limpiar'!O254</f>
        <v/>
      </c>
      <c r="P240">
        <f>'2 transformar y limpiar'!P254</f>
        <v/>
      </c>
      <c r="Q240">
        <f>'2 transformar y limpiar'!Q254</f>
        <v/>
      </c>
      <c r="R240">
        <f>'2 transformar y limpiar'!R254</f>
        <v/>
      </c>
      <c r="S240">
        <f>'2 transformar y limpiar'!S254</f>
        <v/>
      </c>
      <c r="T240">
        <f>'2 transformar y limpiar'!T254</f>
        <v/>
      </c>
      <c r="U240" s="5">
        <f>'2 transformar y limpiar'!U254</f>
        <v/>
      </c>
    </row>
    <row r="241">
      <c r="A241">
        <f>'2 transformar y limpiar'!A255</f>
        <v/>
      </c>
      <c r="B241">
        <f>'2 transformar y limpiar'!B255</f>
        <v/>
      </c>
      <c r="C241" s="6">
        <f>('2 transformar y limpiar'!C255-$B$6)/$C$6</f>
        <v/>
      </c>
      <c r="D241" s="6">
        <f>('2 transformar y limpiar'!D255-$B$7)/$C$7</f>
        <v/>
      </c>
      <c r="E241" s="6">
        <f>('2 transformar y limpiar'!E255-$B$8)/$C$8</f>
        <v/>
      </c>
      <c r="F241" s="6">
        <f>('2 transformar y limpiar'!F255-$B$9)/$C$9</f>
        <v/>
      </c>
      <c r="G241">
        <f>'2 transformar y limpiar'!G255</f>
        <v/>
      </c>
      <c r="H241">
        <f>'2 transformar y limpiar'!H255</f>
        <v/>
      </c>
      <c r="I241">
        <f>'2 transformar y limpiar'!I255</f>
        <v/>
      </c>
      <c r="J241">
        <f>'2 transformar y limpiar'!J255</f>
        <v/>
      </c>
      <c r="K241">
        <f>'2 transformar y limpiar'!K255</f>
        <v/>
      </c>
      <c r="L241">
        <f>'2 transformar y limpiar'!L255</f>
        <v/>
      </c>
      <c r="M241">
        <f>'2 transformar y limpiar'!M255</f>
        <v/>
      </c>
      <c r="N241">
        <f>'2 transformar y limpiar'!N255</f>
        <v/>
      </c>
      <c r="O241">
        <f>'2 transformar y limpiar'!O255</f>
        <v/>
      </c>
      <c r="P241">
        <f>'2 transformar y limpiar'!P255</f>
        <v/>
      </c>
      <c r="Q241">
        <f>'2 transformar y limpiar'!Q255</f>
        <v/>
      </c>
      <c r="R241">
        <f>'2 transformar y limpiar'!R255</f>
        <v/>
      </c>
      <c r="S241">
        <f>'2 transformar y limpiar'!S255</f>
        <v/>
      </c>
      <c r="T241">
        <f>'2 transformar y limpiar'!T255</f>
        <v/>
      </c>
      <c r="U241" s="5">
        <f>'2 transformar y limpiar'!U255</f>
        <v/>
      </c>
    </row>
    <row r="242">
      <c r="A242">
        <f>'2 transformar y limpiar'!A256</f>
        <v/>
      </c>
      <c r="B242">
        <f>'2 transformar y limpiar'!B256</f>
        <v/>
      </c>
      <c r="C242" s="6">
        <f>('2 transformar y limpiar'!C256-$B$6)/$C$6</f>
        <v/>
      </c>
      <c r="D242" s="6">
        <f>('2 transformar y limpiar'!D256-$B$7)/$C$7</f>
        <v/>
      </c>
      <c r="E242" s="6">
        <f>('2 transformar y limpiar'!E256-$B$8)/$C$8</f>
        <v/>
      </c>
      <c r="F242" s="6">
        <f>('2 transformar y limpiar'!F256-$B$9)/$C$9</f>
        <v/>
      </c>
      <c r="G242">
        <f>'2 transformar y limpiar'!G256</f>
        <v/>
      </c>
      <c r="H242">
        <f>'2 transformar y limpiar'!H256</f>
        <v/>
      </c>
      <c r="I242">
        <f>'2 transformar y limpiar'!I256</f>
        <v/>
      </c>
      <c r="J242">
        <f>'2 transformar y limpiar'!J256</f>
        <v/>
      </c>
      <c r="K242">
        <f>'2 transformar y limpiar'!K256</f>
        <v/>
      </c>
      <c r="L242">
        <f>'2 transformar y limpiar'!L256</f>
        <v/>
      </c>
      <c r="M242">
        <f>'2 transformar y limpiar'!M256</f>
        <v/>
      </c>
      <c r="N242">
        <f>'2 transformar y limpiar'!N256</f>
        <v/>
      </c>
      <c r="O242">
        <f>'2 transformar y limpiar'!O256</f>
        <v/>
      </c>
      <c r="P242">
        <f>'2 transformar y limpiar'!P256</f>
        <v/>
      </c>
      <c r="Q242">
        <f>'2 transformar y limpiar'!Q256</f>
        <v/>
      </c>
      <c r="R242">
        <f>'2 transformar y limpiar'!R256</f>
        <v/>
      </c>
      <c r="S242">
        <f>'2 transformar y limpiar'!S256</f>
        <v/>
      </c>
      <c r="T242">
        <f>'2 transformar y limpiar'!T256</f>
        <v/>
      </c>
      <c r="U242" s="5">
        <f>'2 transformar y limpiar'!U256</f>
        <v/>
      </c>
    </row>
    <row r="243">
      <c r="A243">
        <f>'2 transformar y limpiar'!A257</f>
        <v/>
      </c>
      <c r="B243">
        <f>'2 transformar y limpiar'!B257</f>
        <v/>
      </c>
      <c r="C243" s="6">
        <f>('2 transformar y limpiar'!C257-$B$6)/$C$6</f>
        <v/>
      </c>
      <c r="D243" s="6">
        <f>('2 transformar y limpiar'!D257-$B$7)/$C$7</f>
        <v/>
      </c>
      <c r="E243" s="6">
        <f>('2 transformar y limpiar'!E257-$B$8)/$C$8</f>
        <v/>
      </c>
      <c r="F243" s="6">
        <f>('2 transformar y limpiar'!F257-$B$9)/$C$9</f>
        <v/>
      </c>
      <c r="G243">
        <f>'2 transformar y limpiar'!G257</f>
        <v/>
      </c>
      <c r="H243">
        <f>'2 transformar y limpiar'!H257</f>
        <v/>
      </c>
      <c r="I243">
        <f>'2 transformar y limpiar'!I257</f>
        <v/>
      </c>
      <c r="J243">
        <f>'2 transformar y limpiar'!J257</f>
        <v/>
      </c>
      <c r="K243">
        <f>'2 transformar y limpiar'!K257</f>
        <v/>
      </c>
      <c r="L243">
        <f>'2 transformar y limpiar'!L257</f>
        <v/>
      </c>
      <c r="M243">
        <f>'2 transformar y limpiar'!M257</f>
        <v/>
      </c>
      <c r="N243">
        <f>'2 transformar y limpiar'!N257</f>
        <v/>
      </c>
      <c r="O243">
        <f>'2 transformar y limpiar'!O257</f>
        <v/>
      </c>
      <c r="P243">
        <f>'2 transformar y limpiar'!P257</f>
        <v/>
      </c>
      <c r="Q243">
        <f>'2 transformar y limpiar'!Q257</f>
        <v/>
      </c>
      <c r="R243">
        <f>'2 transformar y limpiar'!R257</f>
        <v/>
      </c>
      <c r="S243">
        <f>'2 transformar y limpiar'!S257</f>
        <v/>
      </c>
      <c r="T243">
        <f>'2 transformar y limpiar'!T257</f>
        <v/>
      </c>
      <c r="U243" s="5">
        <f>'2 transformar y limpiar'!U257</f>
        <v/>
      </c>
    </row>
    <row r="244">
      <c r="A244">
        <f>'2 transformar y limpiar'!A258</f>
        <v/>
      </c>
      <c r="B244">
        <f>'2 transformar y limpiar'!B258</f>
        <v/>
      </c>
      <c r="C244" s="6">
        <f>('2 transformar y limpiar'!C258-$B$6)/$C$6</f>
        <v/>
      </c>
      <c r="D244" s="6">
        <f>('2 transformar y limpiar'!D258-$B$7)/$C$7</f>
        <v/>
      </c>
      <c r="E244" s="6">
        <f>('2 transformar y limpiar'!E258-$B$8)/$C$8</f>
        <v/>
      </c>
      <c r="F244" s="6">
        <f>('2 transformar y limpiar'!F258-$B$9)/$C$9</f>
        <v/>
      </c>
      <c r="G244">
        <f>'2 transformar y limpiar'!G258</f>
        <v/>
      </c>
      <c r="H244">
        <f>'2 transformar y limpiar'!H258</f>
        <v/>
      </c>
      <c r="I244">
        <f>'2 transformar y limpiar'!I258</f>
        <v/>
      </c>
      <c r="J244">
        <f>'2 transformar y limpiar'!J258</f>
        <v/>
      </c>
      <c r="K244">
        <f>'2 transformar y limpiar'!K258</f>
        <v/>
      </c>
      <c r="L244">
        <f>'2 transformar y limpiar'!L258</f>
        <v/>
      </c>
      <c r="M244">
        <f>'2 transformar y limpiar'!M258</f>
        <v/>
      </c>
      <c r="N244">
        <f>'2 transformar y limpiar'!N258</f>
        <v/>
      </c>
      <c r="O244">
        <f>'2 transformar y limpiar'!O258</f>
        <v/>
      </c>
      <c r="P244">
        <f>'2 transformar y limpiar'!P258</f>
        <v/>
      </c>
      <c r="Q244">
        <f>'2 transformar y limpiar'!Q258</f>
        <v/>
      </c>
      <c r="R244">
        <f>'2 transformar y limpiar'!R258</f>
        <v/>
      </c>
      <c r="S244">
        <f>'2 transformar y limpiar'!S258</f>
        <v/>
      </c>
      <c r="T244">
        <f>'2 transformar y limpiar'!T258</f>
        <v/>
      </c>
      <c r="U244" s="5">
        <f>'2 transformar y limpiar'!U258</f>
        <v/>
      </c>
    </row>
    <row r="245">
      <c r="A245">
        <f>'2 transformar y limpiar'!A259</f>
        <v/>
      </c>
      <c r="B245">
        <f>'2 transformar y limpiar'!B259</f>
        <v/>
      </c>
      <c r="C245" s="6">
        <f>('2 transformar y limpiar'!C259-$B$6)/$C$6</f>
        <v/>
      </c>
      <c r="D245" s="6">
        <f>('2 transformar y limpiar'!D259-$B$7)/$C$7</f>
        <v/>
      </c>
      <c r="E245" s="6">
        <f>('2 transformar y limpiar'!E259-$B$8)/$C$8</f>
        <v/>
      </c>
      <c r="F245" s="6">
        <f>('2 transformar y limpiar'!F259-$B$9)/$C$9</f>
        <v/>
      </c>
      <c r="G245">
        <f>'2 transformar y limpiar'!G259</f>
        <v/>
      </c>
      <c r="H245">
        <f>'2 transformar y limpiar'!H259</f>
        <v/>
      </c>
      <c r="I245">
        <f>'2 transformar y limpiar'!I259</f>
        <v/>
      </c>
      <c r="J245">
        <f>'2 transformar y limpiar'!J259</f>
        <v/>
      </c>
      <c r="K245">
        <f>'2 transformar y limpiar'!K259</f>
        <v/>
      </c>
      <c r="L245">
        <f>'2 transformar y limpiar'!L259</f>
        <v/>
      </c>
      <c r="M245">
        <f>'2 transformar y limpiar'!M259</f>
        <v/>
      </c>
      <c r="N245">
        <f>'2 transformar y limpiar'!N259</f>
        <v/>
      </c>
      <c r="O245">
        <f>'2 transformar y limpiar'!O259</f>
        <v/>
      </c>
      <c r="P245">
        <f>'2 transformar y limpiar'!P259</f>
        <v/>
      </c>
      <c r="Q245">
        <f>'2 transformar y limpiar'!Q259</f>
        <v/>
      </c>
      <c r="R245">
        <f>'2 transformar y limpiar'!R259</f>
        <v/>
      </c>
      <c r="S245">
        <f>'2 transformar y limpiar'!S259</f>
        <v/>
      </c>
      <c r="T245">
        <f>'2 transformar y limpiar'!T259</f>
        <v/>
      </c>
      <c r="U245" s="5">
        <f>'2 transformar y limpiar'!U259</f>
        <v/>
      </c>
    </row>
    <row r="246">
      <c r="A246">
        <f>'2 transformar y limpiar'!A260</f>
        <v/>
      </c>
      <c r="B246">
        <f>'2 transformar y limpiar'!B260</f>
        <v/>
      </c>
      <c r="C246" s="6">
        <f>('2 transformar y limpiar'!C260-$B$6)/$C$6</f>
        <v/>
      </c>
      <c r="D246" s="6">
        <f>('2 transformar y limpiar'!D260-$B$7)/$C$7</f>
        <v/>
      </c>
      <c r="E246" s="6">
        <f>('2 transformar y limpiar'!E260-$B$8)/$C$8</f>
        <v/>
      </c>
      <c r="F246" s="6">
        <f>('2 transformar y limpiar'!F260-$B$9)/$C$9</f>
        <v/>
      </c>
      <c r="G246">
        <f>'2 transformar y limpiar'!G260</f>
        <v/>
      </c>
      <c r="H246">
        <f>'2 transformar y limpiar'!H260</f>
        <v/>
      </c>
      <c r="I246">
        <f>'2 transformar y limpiar'!I260</f>
        <v/>
      </c>
      <c r="J246">
        <f>'2 transformar y limpiar'!J260</f>
        <v/>
      </c>
      <c r="K246">
        <f>'2 transformar y limpiar'!K260</f>
        <v/>
      </c>
      <c r="L246">
        <f>'2 transformar y limpiar'!L260</f>
        <v/>
      </c>
      <c r="M246">
        <f>'2 transformar y limpiar'!M260</f>
        <v/>
      </c>
      <c r="N246">
        <f>'2 transformar y limpiar'!N260</f>
        <v/>
      </c>
      <c r="O246">
        <f>'2 transformar y limpiar'!O260</f>
        <v/>
      </c>
      <c r="P246">
        <f>'2 transformar y limpiar'!P260</f>
        <v/>
      </c>
      <c r="Q246">
        <f>'2 transformar y limpiar'!Q260</f>
        <v/>
      </c>
      <c r="R246">
        <f>'2 transformar y limpiar'!R260</f>
        <v/>
      </c>
      <c r="S246">
        <f>'2 transformar y limpiar'!S260</f>
        <v/>
      </c>
      <c r="T246">
        <f>'2 transformar y limpiar'!T260</f>
        <v/>
      </c>
      <c r="U246" s="5">
        <f>'2 transformar y limpiar'!U260</f>
        <v/>
      </c>
    </row>
    <row r="247">
      <c r="A247">
        <f>'2 transformar y limpiar'!A261</f>
        <v/>
      </c>
      <c r="B247">
        <f>'2 transformar y limpiar'!B261</f>
        <v/>
      </c>
      <c r="C247" s="6">
        <f>('2 transformar y limpiar'!C261-$B$6)/$C$6</f>
        <v/>
      </c>
      <c r="D247" s="6">
        <f>('2 transformar y limpiar'!D261-$B$7)/$C$7</f>
        <v/>
      </c>
      <c r="E247" s="6">
        <f>('2 transformar y limpiar'!E261-$B$8)/$C$8</f>
        <v/>
      </c>
      <c r="F247" s="6">
        <f>('2 transformar y limpiar'!F261-$B$9)/$C$9</f>
        <v/>
      </c>
      <c r="G247">
        <f>'2 transformar y limpiar'!G261</f>
        <v/>
      </c>
      <c r="H247">
        <f>'2 transformar y limpiar'!H261</f>
        <v/>
      </c>
      <c r="I247">
        <f>'2 transformar y limpiar'!I261</f>
        <v/>
      </c>
      <c r="J247">
        <f>'2 transformar y limpiar'!J261</f>
        <v/>
      </c>
      <c r="K247">
        <f>'2 transformar y limpiar'!K261</f>
        <v/>
      </c>
      <c r="L247">
        <f>'2 transformar y limpiar'!L261</f>
        <v/>
      </c>
      <c r="M247">
        <f>'2 transformar y limpiar'!M261</f>
        <v/>
      </c>
      <c r="N247">
        <f>'2 transformar y limpiar'!N261</f>
        <v/>
      </c>
      <c r="O247">
        <f>'2 transformar y limpiar'!O261</f>
        <v/>
      </c>
      <c r="P247">
        <f>'2 transformar y limpiar'!P261</f>
        <v/>
      </c>
      <c r="Q247">
        <f>'2 transformar y limpiar'!Q261</f>
        <v/>
      </c>
      <c r="R247">
        <f>'2 transformar y limpiar'!R261</f>
        <v/>
      </c>
      <c r="S247">
        <f>'2 transformar y limpiar'!S261</f>
        <v/>
      </c>
      <c r="T247">
        <f>'2 transformar y limpiar'!T261</f>
        <v/>
      </c>
      <c r="U247" s="5">
        <f>'2 transformar y limpiar'!U261</f>
        <v/>
      </c>
    </row>
    <row r="248">
      <c r="A248">
        <f>'2 transformar y limpiar'!A262</f>
        <v/>
      </c>
      <c r="B248">
        <f>'2 transformar y limpiar'!B262</f>
        <v/>
      </c>
      <c r="C248" s="6">
        <f>('2 transformar y limpiar'!C262-$B$6)/$C$6</f>
        <v/>
      </c>
      <c r="D248" s="6">
        <f>('2 transformar y limpiar'!D262-$B$7)/$C$7</f>
        <v/>
      </c>
      <c r="E248" s="6">
        <f>('2 transformar y limpiar'!E262-$B$8)/$C$8</f>
        <v/>
      </c>
      <c r="F248" s="6">
        <f>('2 transformar y limpiar'!F262-$B$9)/$C$9</f>
        <v/>
      </c>
      <c r="G248">
        <f>'2 transformar y limpiar'!G262</f>
        <v/>
      </c>
      <c r="H248">
        <f>'2 transformar y limpiar'!H262</f>
        <v/>
      </c>
      <c r="I248">
        <f>'2 transformar y limpiar'!I262</f>
        <v/>
      </c>
      <c r="J248">
        <f>'2 transformar y limpiar'!J262</f>
        <v/>
      </c>
      <c r="K248">
        <f>'2 transformar y limpiar'!K262</f>
        <v/>
      </c>
      <c r="L248">
        <f>'2 transformar y limpiar'!L262</f>
        <v/>
      </c>
      <c r="M248">
        <f>'2 transformar y limpiar'!M262</f>
        <v/>
      </c>
      <c r="N248">
        <f>'2 transformar y limpiar'!N262</f>
        <v/>
      </c>
      <c r="O248">
        <f>'2 transformar y limpiar'!O262</f>
        <v/>
      </c>
      <c r="P248">
        <f>'2 transformar y limpiar'!P262</f>
        <v/>
      </c>
      <c r="Q248">
        <f>'2 transformar y limpiar'!Q262</f>
        <v/>
      </c>
      <c r="R248">
        <f>'2 transformar y limpiar'!R262</f>
        <v/>
      </c>
      <c r="S248">
        <f>'2 transformar y limpiar'!S262</f>
        <v/>
      </c>
      <c r="T248">
        <f>'2 transformar y limpiar'!T262</f>
        <v/>
      </c>
      <c r="U248" s="5">
        <f>'2 transformar y limpiar'!U262</f>
        <v/>
      </c>
    </row>
    <row r="249">
      <c r="A249">
        <f>'2 transformar y limpiar'!A263</f>
        <v/>
      </c>
      <c r="B249">
        <f>'2 transformar y limpiar'!B263</f>
        <v/>
      </c>
      <c r="C249" s="6">
        <f>('2 transformar y limpiar'!C263-$B$6)/$C$6</f>
        <v/>
      </c>
      <c r="D249" s="6">
        <f>('2 transformar y limpiar'!D263-$B$7)/$C$7</f>
        <v/>
      </c>
      <c r="E249" s="6">
        <f>('2 transformar y limpiar'!E263-$B$8)/$C$8</f>
        <v/>
      </c>
      <c r="F249" s="6">
        <f>('2 transformar y limpiar'!F263-$B$9)/$C$9</f>
        <v/>
      </c>
      <c r="G249">
        <f>'2 transformar y limpiar'!G263</f>
        <v/>
      </c>
      <c r="H249">
        <f>'2 transformar y limpiar'!H263</f>
        <v/>
      </c>
      <c r="I249">
        <f>'2 transformar y limpiar'!I263</f>
        <v/>
      </c>
      <c r="J249">
        <f>'2 transformar y limpiar'!J263</f>
        <v/>
      </c>
      <c r="K249">
        <f>'2 transformar y limpiar'!K263</f>
        <v/>
      </c>
      <c r="L249">
        <f>'2 transformar y limpiar'!L263</f>
        <v/>
      </c>
      <c r="M249">
        <f>'2 transformar y limpiar'!M263</f>
        <v/>
      </c>
      <c r="N249">
        <f>'2 transformar y limpiar'!N263</f>
        <v/>
      </c>
      <c r="O249">
        <f>'2 transformar y limpiar'!O263</f>
        <v/>
      </c>
      <c r="P249">
        <f>'2 transformar y limpiar'!P263</f>
        <v/>
      </c>
      <c r="Q249">
        <f>'2 transformar y limpiar'!Q263</f>
        <v/>
      </c>
      <c r="R249">
        <f>'2 transformar y limpiar'!R263</f>
        <v/>
      </c>
      <c r="S249">
        <f>'2 transformar y limpiar'!S263</f>
        <v/>
      </c>
      <c r="T249">
        <f>'2 transformar y limpiar'!T263</f>
        <v/>
      </c>
      <c r="U249" s="5">
        <f>'2 transformar y limpiar'!U263</f>
        <v/>
      </c>
    </row>
    <row r="250">
      <c r="A250">
        <f>'2 transformar y limpiar'!A264</f>
        <v/>
      </c>
      <c r="B250">
        <f>'2 transformar y limpiar'!B264</f>
        <v/>
      </c>
      <c r="C250" s="6">
        <f>('2 transformar y limpiar'!C264-$B$6)/$C$6</f>
        <v/>
      </c>
      <c r="D250" s="6">
        <f>('2 transformar y limpiar'!D264-$B$7)/$C$7</f>
        <v/>
      </c>
      <c r="E250" s="6">
        <f>('2 transformar y limpiar'!E264-$B$8)/$C$8</f>
        <v/>
      </c>
      <c r="F250" s="6">
        <f>('2 transformar y limpiar'!F264-$B$9)/$C$9</f>
        <v/>
      </c>
      <c r="G250">
        <f>'2 transformar y limpiar'!G264</f>
        <v/>
      </c>
      <c r="H250">
        <f>'2 transformar y limpiar'!H264</f>
        <v/>
      </c>
      <c r="I250">
        <f>'2 transformar y limpiar'!I264</f>
        <v/>
      </c>
      <c r="J250">
        <f>'2 transformar y limpiar'!J264</f>
        <v/>
      </c>
      <c r="K250">
        <f>'2 transformar y limpiar'!K264</f>
        <v/>
      </c>
      <c r="L250">
        <f>'2 transformar y limpiar'!L264</f>
        <v/>
      </c>
      <c r="M250">
        <f>'2 transformar y limpiar'!M264</f>
        <v/>
      </c>
      <c r="N250">
        <f>'2 transformar y limpiar'!N264</f>
        <v/>
      </c>
      <c r="O250">
        <f>'2 transformar y limpiar'!O264</f>
        <v/>
      </c>
      <c r="P250">
        <f>'2 transformar y limpiar'!P264</f>
        <v/>
      </c>
      <c r="Q250">
        <f>'2 transformar y limpiar'!Q264</f>
        <v/>
      </c>
      <c r="R250">
        <f>'2 transformar y limpiar'!R264</f>
        <v/>
      </c>
      <c r="S250">
        <f>'2 transformar y limpiar'!S264</f>
        <v/>
      </c>
      <c r="T250">
        <f>'2 transformar y limpiar'!T264</f>
        <v/>
      </c>
      <c r="U250" s="5">
        <f>'2 transformar y limpiar'!U264</f>
        <v/>
      </c>
    </row>
    <row r="251">
      <c r="A251">
        <f>'2 transformar y limpiar'!A265</f>
        <v/>
      </c>
      <c r="B251">
        <f>'2 transformar y limpiar'!B265</f>
        <v/>
      </c>
      <c r="C251" s="6">
        <f>('2 transformar y limpiar'!C265-$B$6)/$C$6</f>
        <v/>
      </c>
      <c r="D251" s="6">
        <f>('2 transformar y limpiar'!D265-$B$7)/$C$7</f>
        <v/>
      </c>
      <c r="E251" s="6">
        <f>('2 transformar y limpiar'!E265-$B$8)/$C$8</f>
        <v/>
      </c>
      <c r="F251" s="6">
        <f>('2 transformar y limpiar'!F265-$B$9)/$C$9</f>
        <v/>
      </c>
      <c r="G251">
        <f>'2 transformar y limpiar'!G265</f>
        <v/>
      </c>
      <c r="H251">
        <f>'2 transformar y limpiar'!H265</f>
        <v/>
      </c>
      <c r="I251">
        <f>'2 transformar y limpiar'!I265</f>
        <v/>
      </c>
      <c r="J251">
        <f>'2 transformar y limpiar'!J265</f>
        <v/>
      </c>
      <c r="K251">
        <f>'2 transformar y limpiar'!K265</f>
        <v/>
      </c>
      <c r="L251">
        <f>'2 transformar y limpiar'!L265</f>
        <v/>
      </c>
      <c r="M251">
        <f>'2 transformar y limpiar'!M265</f>
        <v/>
      </c>
      <c r="N251">
        <f>'2 transformar y limpiar'!N265</f>
        <v/>
      </c>
      <c r="O251">
        <f>'2 transformar y limpiar'!O265</f>
        <v/>
      </c>
      <c r="P251">
        <f>'2 transformar y limpiar'!P265</f>
        <v/>
      </c>
      <c r="Q251">
        <f>'2 transformar y limpiar'!Q265</f>
        <v/>
      </c>
      <c r="R251">
        <f>'2 transformar y limpiar'!R265</f>
        <v/>
      </c>
      <c r="S251">
        <f>'2 transformar y limpiar'!S265</f>
        <v/>
      </c>
      <c r="T251">
        <f>'2 transformar y limpiar'!T265</f>
        <v/>
      </c>
      <c r="U251" s="5">
        <f>'2 transformar y limpiar'!U265</f>
        <v/>
      </c>
    </row>
    <row r="252">
      <c r="A252">
        <f>'2 transformar y limpiar'!A266</f>
        <v/>
      </c>
      <c r="B252">
        <f>'2 transformar y limpiar'!B266</f>
        <v/>
      </c>
      <c r="C252" s="6">
        <f>('2 transformar y limpiar'!C266-$B$6)/$C$6</f>
        <v/>
      </c>
      <c r="D252" s="6">
        <f>('2 transformar y limpiar'!D266-$B$7)/$C$7</f>
        <v/>
      </c>
      <c r="E252" s="6">
        <f>('2 transformar y limpiar'!E266-$B$8)/$C$8</f>
        <v/>
      </c>
      <c r="F252" s="6">
        <f>('2 transformar y limpiar'!F266-$B$9)/$C$9</f>
        <v/>
      </c>
      <c r="G252">
        <f>'2 transformar y limpiar'!G266</f>
        <v/>
      </c>
      <c r="H252">
        <f>'2 transformar y limpiar'!H266</f>
        <v/>
      </c>
      <c r="I252">
        <f>'2 transformar y limpiar'!I266</f>
        <v/>
      </c>
      <c r="J252">
        <f>'2 transformar y limpiar'!J266</f>
        <v/>
      </c>
      <c r="K252">
        <f>'2 transformar y limpiar'!K266</f>
        <v/>
      </c>
      <c r="L252">
        <f>'2 transformar y limpiar'!L266</f>
        <v/>
      </c>
      <c r="M252">
        <f>'2 transformar y limpiar'!M266</f>
        <v/>
      </c>
      <c r="N252">
        <f>'2 transformar y limpiar'!N266</f>
        <v/>
      </c>
      <c r="O252">
        <f>'2 transformar y limpiar'!O266</f>
        <v/>
      </c>
      <c r="P252">
        <f>'2 transformar y limpiar'!P266</f>
        <v/>
      </c>
      <c r="Q252">
        <f>'2 transformar y limpiar'!Q266</f>
        <v/>
      </c>
      <c r="R252">
        <f>'2 transformar y limpiar'!R266</f>
        <v/>
      </c>
      <c r="S252">
        <f>'2 transformar y limpiar'!S266</f>
        <v/>
      </c>
      <c r="T252">
        <f>'2 transformar y limpiar'!T266</f>
        <v/>
      </c>
      <c r="U252" s="5">
        <f>'2 transformar y limpiar'!U266</f>
        <v/>
      </c>
    </row>
    <row r="253">
      <c r="A253">
        <f>'2 transformar y limpiar'!A267</f>
        <v/>
      </c>
      <c r="B253">
        <f>'2 transformar y limpiar'!B267</f>
        <v/>
      </c>
      <c r="C253" s="6">
        <f>('2 transformar y limpiar'!C267-$B$6)/$C$6</f>
        <v/>
      </c>
      <c r="D253" s="6">
        <f>('2 transformar y limpiar'!D267-$B$7)/$C$7</f>
        <v/>
      </c>
      <c r="E253" s="6">
        <f>('2 transformar y limpiar'!E267-$B$8)/$C$8</f>
        <v/>
      </c>
      <c r="F253" s="6">
        <f>('2 transformar y limpiar'!F267-$B$9)/$C$9</f>
        <v/>
      </c>
      <c r="G253">
        <f>'2 transformar y limpiar'!G267</f>
        <v/>
      </c>
      <c r="H253">
        <f>'2 transformar y limpiar'!H267</f>
        <v/>
      </c>
      <c r="I253">
        <f>'2 transformar y limpiar'!I267</f>
        <v/>
      </c>
      <c r="J253">
        <f>'2 transformar y limpiar'!J267</f>
        <v/>
      </c>
      <c r="K253">
        <f>'2 transformar y limpiar'!K267</f>
        <v/>
      </c>
      <c r="L253">
        <f>'2 transformar y limpiar'!L267</f>
        <v/>
      </c>
      <c r="M253">
        <f>'2 transformar y limpiar'!M267</f>
        <v/>
      </c>
      <c r="N253">
        <f>'2 transformar y limpiar'!N267</f>
        <v/>
      </c>
      <c r="O253">
        <f>'2 transformar y limpiar'!O267</f>
        <v/>
      </c>
      <c r="P253">
        <f>'2 transformar y limpiar'!P267</f>
        <v/>
      </c>
      <c r="Q253">
        <f>'2 transformar y limpiar'!Q267</f>
        <v/>
      </c>
      <c r="R253">
        <f>'2 transformar y limpiar'!R267</f>
        <v/>
      </c>
      <c r="S253">
        <f>'2 transformar y limpiar'!S267</f>
        <v/>
      </c>
      <c r="T253">
        <f>'2 transformar y limpiar'!T267</f>
        <v/>
      </c>
      <c r="U253" s="5">
        <f>'2 transformar y limpiar'!U267</f>
        <v/>
      </c>
    </row>
    <row r="254">
      <c r="A254">
        <f>'2 transformar y limpiar'!A268</f>
        <v/>
      </c>
      <c r="B254">
        <f>'2 transformar y limpiar'!B268</f>
        <v/>
      </c>
      <c r="C254" s="6">
        <f>('2 transformar y limpiar'!C268-$B$6)/$C$6</f>
        <v/>
      </c>
      <c r="D254" s="6">
        <f>('2 transformar y limpiar'!D268-$B$7)/$C$7</f>
        <v/>
      </c>
      <c r="E254" s="6">
        <f>('2 transformar y limpiar'!E268-$B$8)/$C$8</f>
        <v/>
      </c>
      <c r="F254" s="6">
        <f>('2 transformar y limpiar'!F268-$B$9)/$C$9</f>
        <v/>
      </c>
      <c r="G254">
        <f>'2 transformar y limpiar'!G268</f>
        <v/>
      </c>
      <c r="H254">
        <f>'2 transformar y limpiar'!H268</f>
        <v/>
      </c>
      <c r="I254">
        <f>'2 transformar y limpiar'!I268</f>
        <v/>
      </c>
      <c r="J254">
        <f>'2 transformar y limpiar'!J268</f>
        <v/>
      </c>
      <c r="K254">
        <f>'2 transformar y limpiar'!K268</f>
        <v/>
      </c>
      <c r="L254">
        <f>'2 transformar y limpiar'!L268</f>
        <v/>
      </c>
      <c r="M254">
        <f>'2 transformar y limpiar'!M268</f>
        <v/>
      </c>
      <c r="N254">
        <f>'2 transformar y limpiar'!N268</f>
        <v/>
      </c>
      <c r="O254">
        <f>'2 transformar y limpiar'!O268</f>
        <v/>
      </c>
      <c r="P254">
        <f>'2 transformar y limpiar'!P268</f>
        <v/>
      </c>
      <c r="Q254">
        <f>'2 transformar y limpiar'!Q268</f>
        <v/>
      </c>
      <c r="R254">
        <f>'2 transformar y limpiar'!R268</f>
        <v/>
      </c>
      <c r="S254">
        <f>'2 transformar y limpiar'!S268</f>
        <v/>
      </c>
      <c r="T254">
        <f>'2 transformar y limpiar'!T268</f>
        <v/>
      </c>
      <c r="U254" s="5">
        <f>'2 transformar y limpiar'!U268</f>
        <v/>
      </c>
    </row>
    <row r="255">
      <c r="A255">
        <f>'2 transformar y limpiar'!A269</f>
        <v/>
      </c>
      <c r="B255">
        <f>'2 transformar y limpiar'!B269</f>
        <v/>
      </c>
      <c r="C255" s="6">
        <f>('2 transformar y limpiar'!C269-$B$6)/$C$6</f>
        <v/>
      </c>
      <c r="D255" s="6">
        <f>('2 transformar y limpiar'!D269-$B$7)/$C$7</f>
        <v/>
      </c>
      <c r="E255" s="6">
        <f>('2 transformar y limpiar'!E269-$B$8)/$C$8</f>
        <v/>
      </c>
      <c r="F255" s="6">
        <f>('2 transformar y limpiar'!F269-$B$9)/$C$9</f>
        <v/>
      </c>
      <c r="G255">
        <f>'2 transformar y limpiar'!G269</f>
        <v/>
      </c>
      <c r="H255">
        <f>'2 transformar y limpiar'!H269</f>
        <v/>
      </c>
      <c r="I255">
        <f>'2 transformar y limpiar'!I269</f>
        <v/>
      </c>
      <c r="J255">
        <f>'2 transformar y limpiar'!J269</f>
        <v/>
      </c>
      <c r="K255">
        <f>'2 transformar y limpiar'!K269</f>
        <v/>
      </c>
      <c r="L255">
        <f>'2 transformar y limpiar'!L269</f>
        <v/>
      </c>
      <c r="M255">
        <f>'2 transformar y limpiar'!M269</f>
        <v/>
      </c>
      <c r="N255">
        <f>'2 transformar y limpiar'!N269</f>
        <v/>
      </c>
      <c r="O255">
        <f>'2 transformar y limpiar'!O269</f>
        <v/>
      </c>
      <c r="P255">
        <f>'2 transformar y limpiar'!P269</f>
        <v/>
      </c>
      <c r="Q255">
        <f>'2 transformar y limpiar'!Q269</f>
        <v/>
      </c>
      <c r="R255">
        <f>'2 transformar y limpiar'!R269</f>
        <v/>
      </c>
      <c r="S255">
        <f>'2 transformar y limpiar'!S269</f>
        <v/>
      </c>
      <c r="T255">
        <f>'2 transformar y limpiar'!T269</f>
        <v/>
      </c>
      <c r="U255" s="5">
        <f>'2 transformar y limpiar'!U269</f>
        <v/>
      </c>
    </row>
    <row r="256">
      <c r="A256">
        <f>'2 transformar y limpiar'!A270</f>
        <v/>
      </c>
      <c r="B256">
        <f>'2 transformar y limpiar'!B270</f>
        <v/>
      </c>
      <c r="C256" s="6">
        <f>('2 transformar y limpiar'!C270-$B$6)/$C$6</f>
        <v/>
      </c>
      <c r="D256" s="6">
        <f>('2 transformar y limpiar'!D270-$B$7)/$C$7</f>
        <v/>
      </c>
      <c r="E256" s="6">
        <f>('2 transformar y limpiar'!E270-$B$8)/$C$8</f>
        <v/>
      </c>
      <c r="F256" s="6">
        <f>('2 transformar y limpiar'!F270-$B$9)/$C$9</f>
        <v/>
      </c>
      <c r="G256">
        <f>'2 transformar y limpiar'!G270</f>
        <v/>
      </c>
      <c r="H256">
        <f>'2 transformar y limpiar'!H270</f>
        <v/>
      </c>
      <c r="I256">
        <f>'2 transformar y limpiar'!I270</f>
        <v/>
      </c>
      <c r="J256">
        <f>'2 transformar y limpiar'!J270</f>
        <v/>
      </c>
      <c r="K256">
        <f>'2 transformar y limpiar'!K270</f>
        <v/>
      </c>
      <c r="L256">
        <f>'2 transformar y limpiar'!L270</f>
        <v/>
      </c>
      <c r="M256">
        <f>'2 transformar y limpiar'!M270</f>
        <v/>
      </c>
      <c r="N256">
        <f>'2 transformar y limpiar'!N270</f>
        <v/>
      </c>
      <c r="O256">
        <f>'2 transformar y limpiar'!O270</f>
        <v/>
      </c>
      <c r="P256">
        <f>'2 transformar y limpiar'!P270</f>
        <v/>
      </c>
      <c r="Q256">
        <f>'2 transformar y limpiar'!Q270</f>
        <v/>
      </c>
      <c r="R256">
        <f>'2 transformar y limpiar'!R270</f>
        <v/>
      </c>
      <c r="S256">
        <f>'2 transformar y limpiar'!S270</f>
        <v/>
      </c>
      <c r="T256">
        <f>'2 transformar y limpiar'!T270</f>
        <v/>
      </c>
      <c r="U256" s="5">
        <f>'2 transformar y limpiar'!U270</f>
        <v/>
      </c>
    </row>
    <row r="257">
      <c r="A257">
        <f>'2 transformar y limpiar'!A271</f>
        <v/>
      </c>
      <c r="B257">
        <f>'2 transformar y limpiar'!B271</f>
        <v/>
      </c>
      <c r="C257" s="6">
        <f>('2 transformar y limpiar'!C271-$B$6)/$C$6</f>
        <v/>
      </c>
      <c r="D257" s="6">
        <f>('2 transformar y limpiar'!D271-$B$7)/$C$7</f>
        <v/>
      </c>
      <c r="E257" s="6">
        <f>('2 transformar y limpiar'!E271-$B$8)/$C$8</f>
        <v/>
      </c>
      <c r="F257" s="6">
        <f>('2 transformar y limpiar'!F271-$B$9)/$C$9</f>
        <v/>
      </c>
      <c r="G257">
        <f>'2 transformar y limpiar'!G271</f>
        <v/>
      </c>
      <c r="H257">
        <f>'2 transformar y limpiar'!H271</f>
        <v/>
      </c>
      <c r="I257">
        <f>'2 transformar y limpiar'!I271</f>
        <v/>
      </c>
      <c r="J257">
        <f>'2 transformar y limpiar'!J271</f>
        <v/>
      </c>
      <c r="K257">
        <f>'2 transformar y limpiar'!K271</f>
        <v/>
      </c>
      <c r="L257">
        <f>'2 transformar y limpiar'!L271</f>
        <v/>
      </c>
      <c r="M257">
        <f>'2 transformar y limpiar'!M271</f>
        <v/>
      </c>
      <c r="N257">
        <f>'2 transformar y limpiar'!N271</f>
        <v/>
      </c>
      <c r="O257">
        <f>'2 transformar y limpiar'!O271</f>
        <v/>
      </c>
      <c r="P257">
        <f>'2 transformar y limpiar'!P271</f>
        <v/>
      </c>
      <c r="Q257">
        <f>'2 transformar y limpiar'!Q271</f>
        <v/>
      </c>
      <c r="R257">
        <f>'2 transformar y limpiar'!R271</f>
        <v/>
      </c>
      <c r="S257">
        <f>'2 transformar y limpiar'!S271</f>
        <v/>
      </c>
      <c r="T257">
        <f>'2 transformar y limpiar'!T271</f>
        <v/>
      </c>
      <c r="U257" s="5">
        <f>'2 transformar y limpiar'!U271</f>
        <v/>
      </c>
    </row>
    <row r="258">
      <c r="A258">
        <f>'2 transformar y limpiar'!A272</f>
        <v/>
      </c>
      <c r="B258">
        <f>'2 transformar y limpiar'!B272</f>
        <v/>
      </c>
      <c r="C258" s="6">
        <f>('2 transformar y limpiar'!C272-$B$6)/$C$6</f>
        <v/>
      </c>
      <c r="D258" s="6">
        <f>('2 transformar y limpiar'!D272-$B$7)/$C$7</f>
        <v/>
      </c>
      <c r="E258" s="6">
        <f>('2 transformar y limpiar'!E272-$B$8)/$C$8</f>
        <v/>
      </c>
      <c r="F258" s="6">
        <f>('2 transformar y limpiar'!F272-$B$9)/$C$9</f>
        <v/>
      </c>
      <c r="G258">
        <f>'2 transformar y limpiar'!G272</f>
        <v/>
      </c>
      <c r="H258">
        <f>'2 transformar y limpiar'!H272</f>
        <v/>
      </c>
      <c r="I258">
        <f>'2 transformar y limpiar'!I272</f>
        <v/>
      </c>
      <c r="J258">
        <f>'2 transformar y limpiar'!J272</f>
        <v/>
      </c>
      <c r="K258">
        <f>'2 transformar y limpiar'!K272</f>
        <v/>
      </c>
      <c r="L258">
        <f>'2 transformar y limpiar'!L272</f>
        <v/>
      </c>
      <c r="M258">
        <f>'2 transformar y limpiar'!M272</f>
        <v/>
      </c>
      <c r="N258">
        <f>'2 transformar y limpiar'!N272</f>
        <v/>
      </c>
      <c r="O258">
        <f>'2 transformar y limpiar'!O272</f>
        <v/>
      </c>
      <c r="P258">
        <f>'2 transformar y limpiar'!P272</f>
        <v/>
      </c>
      <c r="Q258">
        <f>'2 transformar y limpiar'!Q272</f>
        <v/>
      </c>
      <c r="R258">
        <f>'2 transformar y limpiar'!R272</f>
        <v/>
      </c>
      <c r="S258">
        <f>'2 transformar y limpiar'!S272</f>
        <v/>
      </c>
      <c r="T258">
        <f>'2 transformar y limpiar'!T272</f>
        <v/>
      </c>
      <c r="U258" s="5">
        <f>'2 transformar y limpiar'!U272</f>
        <v/>
      </c>
    </row>
    <row r="259">
      <c r="A259">
        <f>'2 transformar y limpiar'!A273</f>
        <v/>
      </c>
      <c r="B259">
        <f>'2 transformar y limpiar'!B273</f>
        <v/>
      </c>
      <c r="C259" s="6">
        <f>('2 transformar y limpiar'!C273-$B$6)/$C$6</f>
        <v/>
      </c>
      <c r="D259" s="6">
        <f>('2 transformar y limpiar'!D273-$B$7)/$C$7</f>
        <v/>
      </c>
      <c r="E259" s="6">
        <f>('2 transformar y limpiar'!E273-$B$8)/$C$8</f>
        <v/>
      </c>
      <c r="F259" s="6">
        <f>('2 transformar y limpiar'!F273-$B$9)/$C$9</f>
        <v/>
      </c>
      <c r="G259">
        <f>'2 transformar y limpiar'!G273</f>
        <v/>
      </c>
      <c r="H259">
        <f>'2 transformar y limpiar'!H273</f>
        <v/>
      </c>
      <c r="I259">
        <f>'2 transformar y limpiar'!I273</f>
        <v/>
      </c>
      <c r="J259">
        <f>'2 transformar y limpiar'!J273</f>
        <v/>
      </c>
      <c r="K259">
        <f>'2 transformar y limpiar'!K273</f>
        <v/>
      </c>
      <c r="L259">
        <f>'2 transformar y limpiar'!L273</f>
        <v/>
      </c>
      <c r="M259">
        <f>'2 transformar y limpiar'!M273</f>
        <v/>
      </c>
      <c r="N259">
        <f>'2 transformar y limpiar'!N273</f>
        <v/>
      </c>
      <c r="O259">
        <f>'2 transformar y limpiar'!O273</f>
        <v/>
      </c>
      <c r="P259">
        <f>'2 transformar y limpiar'!P273</f>
        <v/>
      </c>
      <c r="Q259">
        <f>'2 transformar y limpiar'!Q273</f>
        <v/>
      </c>
      <c r="R259">
        <f>'2 transformar y limpiar'!R273</f>
        <v/>
      </c>
      <c r="S259">
        <f>'2 transformar y limpiar'!S273</f>
        <v/>
      </c>
      <c r="T259">
        <f>'2 transformar y limpiar'!T273</f>
        <v/>
      </c>
      <c r="U259" s="5">
        <f>'2 transformar y limpiar'!U273</f>
        <v/>
      </c>
    </row>
    <row r="260">
      <c r="A260">
        <f>'2 transformar y limpiar'!A274</f>
        <v/>
      </c>
      <c r="B260">
        <f>'2 transformar y limpiar'!B274</f>
        <v/>
      </c>
      <c r="C260" s="6">
        <f>('2 transformar y limpiar'!C274-$B$6)/$C$6</f>
        <v/>
      </c>
      <c r="D260" s="6">
        <f>('2 transformar y limpiar'!D274-$B$7)/$C$7</f>
        <v/>
      </c>
      <c r="E260" s="6">
        <f>('2 transformar y limpiar'!E274-$B$8)/$C$8</f>
        <v/>
      </c>
      <c r="F260" s="6">
        <f>('2 transformar y limpiar'!F274-$B$9)/$C$9</f>
        <v/>
      </c>
      <c r="G260">
        <f>'2 transformar y limpiar'!G274</f>
        <v/>
      </c>
      <c r="H260">
        <f>'2 transformar y limpiar'!H274</f>
        <v/>
      </c>
      <c r="I260">
        <f>'2 transformar y limpiar'!I274</f>
        <v/>
      </c>
      <c r="J260">
        <f>'2 transformar y limpiar'!J274</f>
        <v/>
      </c>
      <c r="K260">
        <f>'2 transformar y limpiar'!K274</f>
        <v/>
      </c>
      <c r="L260">
        <f>'2 transformar y limpiar'!L274</f>
        <v/>
      </c>
      <c r="M260">
        <f>'2 transformar y limpiar'!M274</f>
        <v/>
      </c>
      <c r="N260">
        <f>'2 transformar y limpiar'!N274</f>
        <v/>
      </c>
      <c r="O260">
        <f>'2 transformar y limpiar'!O274</f>
        <v/>
      </c>
      <c r="P260">
        <f>'2 transformar y limpiar'!P274</f>
        <v/>
      </c>
      <c r="Q260">
        <f>'2 transformar y limpiar'!Q274</f>
        <v/>
      </c>
      <c r="R260">
        <f>'2 transformar y limpiar'!R274</f>
        <v/>
      </c>
      <c r="S260">
        <f>'2 transformar y limpiar'!S274</f>
        <v/>
      </c>
      <c r="T260">
        <f>'2 transformar y limpiar'!T274</f>
        <v/>
      </c>
      <c r="U260" s="5">
        <f>'2 transformar y limpiar'!U274</f>
        <v/>
      </c>
    </row>
    <row r="261">
      <c r="A261">
        <f>'2 transformar y limpiar'!A275</f>
        <v/>
      </c>
      <c r="B261">
        <f>'2 transformar y limpiar'!B275</f>
        <v/>
      </c>
      <c r="C261" s="6">
        <f>('2 transformar y limpiar'!C275-$B$6)/$C$6</f>
        <v/>
      </c>
      <c r="D261" s="6">
        <f>('2 transformar y limpiar'!D275-$B$7)/$C$7</f>
        <v/>
      </c>
      <c r="E261" s="6">
        <f>('2 transformar y limpiar'!E275-$B$8)/$C$8</f>
        <v/>
      </c>
      <c r="F261" s="6">
        <f>('2 transformar y limpiar'!F275-$B$9)/$C$9</f>
        <v/>
      </c>
      <c r="G261">
        <f>'2 transformar y limpiar'!G275</f>
        <v/>
      </c>
      <c r="H261">
        <f>'2 transformar y limpiar'!H275</f>
        <v/>
      </c>
      <c r="I261">
        <f>'2 transformar y limpiar'!I275</f>
        <v/>
      </c>
      <c r="J261">
        <f>'2 transformar y limpiar'!J275</f>
        <v/>
      </c>
      <c r="K261">
        <f>'2 transformar y limpiar'!K275</f>
        <v/>
      </c>
      <c r="L261">
        <f>'2 transformar y limpiar'!L275</f>
        <v/>
      </c>
      <c r="M261">
        <f>'2 transformar y limpiar'!M275</f>
        <v/>
      </c>
      <c r="N261">
        <f>'2 transformar y limpiar'!N275</f>
        <v/>
      </c>
      <c r="O261">
        <f>'2 transformar y limpiar'!O275</f>
        <v/>
      </c>
      <c r="P261">
        <f>'2 transformar y limpiar'!P275</f>
        <v/>
      </c>
      <c r="Q261">
        <f>'2 transformar y limpiar'!Q275</f>
        <v/>
      </c>
      <c r="R261">
        <f>'2 transformar y limpiar'!R275</f>
        <v/>
      </c>
      <c r="S261">
        <f>'2 transformar y limpiar'!S275</f>
        <v/>
      </c>
      <c r="T261">
        <f>'2 transformar y limpiar'!T275</f>
        <v/>
      </c>
      <c r="U261" s="5">
        <f>'2 transformar y limpiar'!U275</f>
        <v/>
      </c>
    </row>
    <row r="262">
      <c r="A262">
        <f>'2 transformar y limpiar'!A276</f>
        <v/>
      </c>
      <c r="B262">
        <f>'2 transformar y limpiar'!B276</f>
        <v/>
      </c>
      <c r="C262" s="6">
        <f>('2 transformar y limpiar'!C276-$B$6)/$C$6</f>
        <v/>
      </c>
      <c r="D262" s="6">
        <f>('2 transformar y limpiar'!D276-$B$7)/$C$7</f>
        <v/>
      </c>
      <c r="E262" s="6">
        <f>('2 transformar y limpiar'!E276-$B$8)/$C$8</f>
        <v/>
      </c>
      <c r="F262" s="6">
        <f>('2 transformar y limpiar'!F276-$B$9)/$C$9</f>
        <v/>
      </c>
      <c r="G262">
        <f>'2 transformar y limpiar'!G276</f>
        <v/>
      </c>
      <c r="H262">
        <f>'2 transformar y limpiar'!H276</f>
        <v/>
      </c>
      <c r="I262">
        <f>'2 transformar y limpiar'!I276</f>
        <v/>
      </c>
      <c r="J262">
        <f>'2 transformar y limpiar'!J276</f>
        <v/>
      </c>
      <c r="K262">
        <f>'2 transformar y limpiar'!K276</f>
        <v/>
      </c>
      <c r="L262">
        <f>'2 transformar y limpiar'!L276</f>
        <v/>
      </c>
      <c r="M262">
        <f>'2 transformar y limpiar'!M276</f>
        <v/>
      </c>
      <c r="N262">
        <f>'2 transformar y limpiar'!N276</f>
        <v/>
      </c>
      <c r="O262">
        <f>'2 transformar y limpiar'!O276</f>
        <v/>
      </c>
      <c r="P262">
        <f>'2 transformar y limpiar'!P276</f>
        <v/>
      </c>
      <c r="Q262">
        <f>'2 transformar y limpiar'!Q276</f>
        <v/>
      </c>
      <c r="R262">
        <f>'2 transformar y limpiar'!R276</f>
        <v/>
      </c>
      <c r="S262">
        <f>'2 transformar y limpiar'!S276</f>
        <v/>
      </c>
      <c r="T262">
        <f>'2 transformar y limpiar'!T276</f>
        <v/>
      </c>
      <c r="U262" s="5">
        <f>'2 transformar y limpiar'!U276</f>
        <v/>
      </c>
    </row>
    <row r="263">
      <c r="A263">
        <f>'2 transformar y limpiar'!A277</f>
        <v/>
      </c>
      <c r="B263">
        <f>'2 transformar y limpiar'!B277</f>
        <v/>
      </c>
      <c r="C263" s="6">
        <f>('2 transformar y limpiar'!C277-$B$6)/$C$6</f>
        <v/>
      </c>
      <c r="D263" s="6">
        <f>('2 transformar y limpiar'!D277-$B$7)/$C$7</f>
        <v/>
      </c>
      <c r="E263" s="6">
        <f>('2 transformar y limpiar'!E277-$B$8)/$C$8</f>
        <v/>
      </c>
      <c r="F263" s="6">
        <f>('2 transformar y limpiar'!F277-$B$9)/$C$9</f>
        <v/>
      </c>
      <c r="G263">
        <f>'2 transformar y limpiar'!G277</f>
        <v/>
      </c>
      <c r="H263">
        <f>'2 transformar y limpiar'!H277</f>
        <v/>
      </c>
      <c r="I263">
        <f>'2 transformar y limpiar'!I277</f>
        <v/>
      </c>
      <c r="J263">
        <f>'2 transformar y limpiar'!J277</f>
        <v/>
      </c>
      <c r="K263">
        <f>'2 transformar y limpiar'!K277</f>
        <v/>
      </c>
      <c r="L263">
        <f>'2 transformar y limpiar'!L277</f>
        <v/>
      </c>
      <c r="M263">
        <f>'2 transformar y limpiar'!M277</f>
        <v/>
      </c>
      <c r="N263">
        <f>'2 transformar y limpiar'!N277</f>
        <v/>
      </c>
      <c r="O263">
        <f>'2 transformar y limpiar'!O277</f>
        <v/>
      </c>
      <c r="P263">
        <f>'2 transformar y limpiar'!P277</f>
        <v/>
      </c>
      <c r="Q263">
        <f>'2 transformar y limpiar'!Q277</f>
        <v/>
      </c>
      <c r="R263">
        <f>'2 transformar y limpiar'!R277</f>
        <v/>
      </c>
      <c r="S263">
        <f>'2 transformar y limpiar'!S277</f>
        <v/>
      </c>
      <c r="T263">
        <f>'2 transformar y limpiar'!T277</f>
        <v/>
      </c>
      <c r="U263" s="5">
        <f>'2 transformar y limpiar'!U277</f>
        <v/>
      </c>
    </row>
    <row r="264">
      <c r="A264">
        <f>'2 transformar y limpiar'!A278</f>
        <v/>
      </c>
      <c r="B264">
        <f>'2 transformar y limpiar'!B278</f>
        <v/>
      </c>
      <c r="C264" s="6">
        <f>('2 transformar y limpiar'!C278-$B$6)/$C$6</f>
        <v/>
      </c>
      <c r="D264" s="6">
        <f>('2 transformar y limpiar'!D278-$B$7)/$C$7</f>
        <v/>
      </c>
      <c r="E264" s="6">
        <f>('2 transformar y limpiar'!E278-$B$8)/$C$8</f>
        <v/>
      </c>
      <c r="F264" s="6">
        <f>('2 transformar y limpiar'!F278-$B$9)/$C$9</f>
        <v/>
      </c>
      <c r="G264">
        <f>'2 transformar y limpiar'!G278</f>
        <v/>
      </c>
      <c r="H264">
        <f>'2 transformar y limpiar'!H278</f>
        <v/>
      </c>
      <c r="I264">
        <f>'2 transformar y limpiar'!I278</f>
        <v/>
      </c>
      <c r="J264">
        <f>'2 transformar y limpiar'!J278</f>
        <v/>
      </c>
      <c r="K264">
        <f>'2 transformar y limpiar'!K278</f>
        <v/>
      </c>
      <c r="L264">
        <f>'2 transformar y limpiar'!L278</f>
        <v/>
      </c>
      <c r="M264">
        <f>'2 transformar y limpiar'!M278</f>
        <v/>
      </c>
      <c r="N264">
        <f>'2 transformar y limpiar'!N278</f>
        <v/>
      </c>
      <c r="O264">
        <f>'2 transformar y limpiar'!O278</f>
        <v/>
      </c>
      <c r="P264">
        <f>'2 transformar y limpiar'!P278</f>
        <v/>
      </c>
      <c r="Q264">
        <f>'2 transformar y limpiar'!Q278</f>
        <v/>
      </c>
      <c r="R264">
        <f>'2 transformar y limpiar'!R278</f>
        <v/>
      </c>
      <c r="S264">
        <f>'2 transformar y limpiar'!S278</f>
        <v/>
      </c>
      <c r="T264">
        <f>'2 transformar y limpiar'!T278</f>
        <v/>
      </c>
      <c r="U264" s="5">
        <f>'2 transformar y limpiar'!U278</f>
        <v/>
      </c>
    </row>
    <row r="265">
      <c r="A265">
        <f>'2 transformar y limpiar'!A279</f>
        <v/>
      </c>
      <c r="B265">
        <f>'2 transformar y limpiar'!B279</f>
        <v/>
      </c>
      <c r="C265" s="6">
        <f>('2 transformar y limpiar'!C279-$B$6)/$C$6</f>
        <v/>
      </c>
      <c r="D265" s="6">
        <f>('2 transformar y limpiar'!D279-$B$7)/$C$7</f>
        <v/>
      </c>
      <c r="E265" s="6">
        <f>('2 transformar y limpiar'!E279-$B$8)/$C$8</f>
        <v/>
      </c>
      <c r="F265" s="6">
        <f>('2 transformar y limpiar'!F279-$B$9)/$C$9</f>
        <v/>
      </c>
      <c r="G265">
        <f>'2 transformar y limpiar'!G279</f>
        <v/>
      </c>
      <c r="H265">
        <f>'2 transformar y limpiar'!H279</f>
        <v/>
      </c>
      <c r="I265">
        <f>'2 transformar y limpiar'!I279</f>
        <v/>
      </c>
      <c r="J265">
        <f>'2 transformar y limpiar'!J279</f>
        <v/>
      </c>
      <c r="K265">
        <f>'2 transformar y limpiar'!K279</f>
        <v/>
      </c>
      <c r="L265">
        <f>'2 transformar y limpiar'!L279</f>
        <v/>
      </c>
      <c r="M265">
        <f>'2 transformar y limpiar'!M279</f>
        <v/>
      </c>
      <c r="N265">
        <f>'2 transformar y limpiar'!N279</f>
        <v/>
      </c>
      <c r="O265">
        <f>'2 transformar y limpiar'!O279</f>
        <v/>
      </c>
      <c r="P265">
        <f>'2 transformar y limpiar'!P279</f>
        <v/>
      </c>
      <c r="Q265">
        <f>'2 transformar y limpiar'!Q279</f>
        <v/>
      </c>
      <c r="R265">
        <f>'2 transformar y limpiar'!R279</f>
        <v/>
      </c>
      <c r="S265">
        <f>'2 transformar y limpiar'!S279</f>
        <v/>
      </c>
      <c r="T265">
        <f>'2 transformar y limpiar'!T279</f>
        <v/>
      </c>
      <c r="U265" s="5">
        <f>'2 transformar y limpiar'!U279</f>
        <v/>
      </c>
    </row>
    <row r="266">
      <c r="A266">
        <f>'2 transformar y limpiar'!A280</f>
        <v/>
      </c>
      <c r="B266">
        <f>'2 transformar y limpiar'!B280</f>
        <v/>
      </c>
      <c r="C266" s="6">
        <f>('2 transformar y limpiar'!C280-$B$6)/$C$6</f>
        <v/>
      </c>
      <c r="D266" s="6">
        <f>('2 transformar y limpiar'!D280-$B$7)/$C$7</f>
        <v/>
      </c>
      <c r="E266" s="6">
        <f>('2 transformar y limpiar'!E280-$B$8)/$C$8</f>
        <v/>
      </c>
      <c r="F266" s="6">
        <f>('2 transformar y limpiar'!F280-$B$9)/$C$9</f>
        <v/>
      </c>
      <c r="G266">
        <f>'2 transformar y limpiar'!G280</f>
        <v/>
      </c>
      <c r="H266">
        <f>'2 transformar y limpiar'!H280</f>
        <v/>
      </c>
      <c r="I266">
        <f>'2 transformar y limpiar'!I280</f>
        <v/>
      </c>
      <c r="J266">
        <f>'2 transformar y limpiar'!J280</f>
        <v/>
      </c>
      <c r="K266">
        <f>'2 transformar y limpiar'!K280</f>
        <v/>
      </c>
      <c r="L266">
        <f>'2 transformar y limpiar'!L280</f>
        <v/>
      </c>
      <c r="M266">
        <f>'2 transformar y limpiar'!M280</f>
        <v/>
      </c>
      <c r="N266">
        <f>'2 transformar y limpiar'!N280</f>
        <v/>
      </c>
      <c r="O266">
        <f>'2 transformar y limpiar'!O280</f>
        <v/>
      </c>
      <c r="P266">
        <f>'2 transformar y limpiar'!P280</f>
        <v/>
      </c>
      <c r="Q266">
        <f>'2 transformar y limpiar'!Q280</f>
        <v/>
      </c>
      <c r="R266">
        <f>'2 transformar y limpiar'!R280</f>
        <v/>
      </c>
      <c r="S266">
        <f>'2 transformar y limpiar'!S280</f>
        <v/>
      </c>
      <c r="T266">
        <f>'2 transformar y limpiar'!T280</f>
        <v/>
      </c>
      <c r="U266" s="5">
        <f>'2 transformar y limpiar'!U280</f>
        <v/>
      </c>
    </row>
    <row r="267">
      <c r="A267">
        <f>'2 transformar y limpiar'!A281</f>
        <v/>
      </c>
      <c r="B267">
        <f>'2 transformar y limpiar'!B281</f>
        <v/>
      </c>
      <c r="C267" s="6">
        <f>('2 transformar y limpiar'!C281-$B$6)/$C$6</f>
        <v/>
      </c>
      <c r="D267" s="6">
        <f>('2 transformar y limpiar'!D281-$B$7)/$C$7</f>
        <v/>
      </c>
      <c r="E267" s="6">
        <f>('2 transformar y limpiar'!E281-$B$8)/$C$8</f>
        <v/>
      </c>
      <c r="F267" s="6">
        <f>('2 transformar y limpiar'!F281-$B$9)/$C$9</f>
        <v/>
      </c>
      <c r="G267">
        <f>'2 transformar y limpiar'!G281</f>
        <v/>
      </c>
      <c r="H267">
        <f>'2 transformar y limpiar'!H281</f>
        <v/>
      </c>
      <c r="I267">
        <f>'2 transformar y limpiar'!I281</f>
        <v/>
      </c>
      <c r="J267">
        <f>'2 transformar y limpiar'!J281</f>
        <v/>
      </c>
      <c r="K267">
        <f>'2 transformar y limpiar'!K281</f>
        <v/>
      </c>
      <c r="L267">
        <f>'2 transformar y limpiar'!L281</f>
        <v/>
      </c>
      <c r="M267">
        <f>'2 transformar y limpiar'!M281</f>
        <v/>
      </c>
      <c r="N267">
        <f>'2 transformar y limpiar'!N281</f>
        <v/>
      </c>
      <c r="O267">
        <f>'2 transformar y limpiar'!O281</f>
        <v/>
      </c>
      <c r="P267">
        <f>'2 transformar y limpiar'!P281</f>
        <v/>
      </c>
      <c r="Q267">
        <f>'2 transformar y limpiar'!Q281</f>
        <v/>
      </c>
      <c r="R267">
        <f>'2 transformar y limpiar'!R281</f>
        <v/>
      </c>
      <c r="S267">
        <f>'2 transformar y limpiar'!S281</f>
        <v/>
      </c>
      <c r="T267">
        <f>'2 transformar y limpiar'!T281</f>
        <v/>
      </c>
      <c r="U267" s="5">
        <f>'2 transformar y limpiar'!U281</f>
        <v/>
      </c>
    </row>
    <row r="268">
      <c r="A268">
        <f>'2 transformar y limpiar'!A282</f>
        <v/>
      </c>
      <c r="B268">
        <f>'2 transformar y limpiar'!B282</f>
        <v/>
      </c>
      <c r="C268" s="6">
        <f>('2 transformar y limpiar'!C282-$B$6)/$C$6</f>
        <v/>
      </c>
      <c r="D268" s="6">
        <f>('2 transformar y limpiar'!D282-$B$7)/$C$7</f>
        <v/>
      </c>
      <c r="E268" s="6">
        <f>('2 transformar y limpiar'!E282-$B$8)/$C$8</f>
        <v/>
      </c>
      <c r="F268" s="6">
        <f>('2 transformar y limpiar'!F282-$B$9)/$C$9</f>
        <v/>
      </c>
      <c r="G268">
        <f>'2 transformar y limpiar'!G282</f>
        <v/>
      </c>
      <c r="H268">
        <f>'2 transformar y limpiar'!H282</f>
        <v/>
      </c>
      <c r="I268">
        <f>'2 transformar y limpiar'!I282</f>
        <v/>
      </c>
      <c r="J268">
        <f>'2 transformar y limpiar'!J282</f>
        <v/>
      </c>
      <c r="K268">
        <f>'2 transformar y limpiar'!K282</f>
        <v/>
      </c>
      <c r="L268">
        <f>'2 transformar y limpiar'!L282</f>
        <v/>
      </c>
      <c r="M268">
        <f>'2 transformar y limpiar'!M282</f>
        <v/>
      </c>
      <c r="N268">
        <f>'2 transformar y limpiar'!N282</f>
        <v/>
      </c>
      <c r="O268">
        <f>'2 transformar y limpiar'!O282</f>
        <v/>
      </c>
      <c r="P268">
        <f>'2 transformar y limpiar'!P282</f>
        <v/>
      </c>
      <c r="Q268">
        <f>'2 transformar y limpiar'!Q282</f>
        <v/>
      </c>
      <c r="R268">
        <f>'2 transformar y limpiar'!R282</f>
        <v/>
      </c>
      <c r="S268">
        <f>'2 transformar y limpiar'!S282</f>
        <v/>
      </c>
      <c r="T268">
        <f>'2 transformar y limpiar'!T282</f>
        <v/>
      </c>
      <c r="U268" s="5">
        <f>'2 transformar y limpiar'!U282</f>
        <v/>
      </c>
    </row>
    <row r="269">
      <c r="A269">
        <f>'2 transformar y limpiar'!A283</f>
        <v/>
      </c>
      <c r="B269">
        <f>'2 transformar y limpiar'!B283</f>
        <v/>
      </c>
      <c r="C269" s="6">
        <f>('2 transformar y limpiar'!C283-$B$6)/$C$6</f>
        <v/>
      </c>
      <c r="D269" s="6">
        <f>('2 transformar y limpiar'!D283-$B$7)/$C$7</f>
        <v/>
      </c>
      <c r="E269" s="6">
        <f>('2 transformar y limpiar'!E283-$B$8)/$C$8</f>
        <v/>
      </c>
      <c r="F269" s="6">
        <f>('2 transformar y limpiar'!F283-$B$9)/$C$9</f>
        <v/>
      </c>
      <c r="G269">
        <f>'2 transformar y limpiar'!G283</f>
        <v/>
      </c>
      <c r="H269">
        <f>'2 transformar y limpiar'!H283</f>
        <v/>
      </c>
      <c r="I269">
        <f>'2 transformar y limpiar'!I283</f>
        <v/>
      </c>
      <c r="J269">
        <f>'2 transformar y limpiar'!J283</f>
        <v/>
      </c>
      <c r="K269">
        <f>'2 transformar y limpiar'!K283</f>
        <v/>
      </c>
      <c r="L269">
        <f>'2 transformar y limpiar'!L283</f>
        <v/>
      </c>
      <c r="M269">
        <f>'2 transformar y limpiar'!M283</f>
        <v/>
      </c>
      <c r="N269">
        <f>'2 transformar y limpiar'!N283</f>
        <v/>
      </c>
      <c r="O269">
        <f>'2 transformar y limpiar'!O283</f>
        <v/>
      </c>
      <c r="P269">
        <f>'2 transformar y limpiar'!P283</f>
        <v/>
      </c>
      <c r="Q269">
        <f>'2 transformar y limpiar'!Q283</f>
        <v/>
      </c>
      <c r="R269">
        <f>'2 transformar y limpiar'!R283</f>
        <v/>
      </c>
      <c r="S269">
        <f>'2 transformar y limpiar'!S283</f>
        <v/>
      </c>
      <c r="T269">
        <f>'2 transformar y limpiar'!T283</f>
        <v/>
      </c>
      <c r="U269" s="5">
        <f>'2 transformar y limpiar'!U283</f>
        <v/>
      </c>
    </row>
    <row r="270">
      <c r="A270">
        <f>'2 transformar y limpiar'!A284</f>
        <v/>
      </c>
      <c r="B270">
        <f>'2 transformar y limpiar'!B284</f>
        <v/>
      </c>
      <c r="C270" s="6">
        <f>('2 transformar y limpiar'!C284-$B$6)/$C$6</f>
        <v/>
      </c>
      <c r="D270" s="6">
        <f>('2 transformar y limpiar'!D284-$B$7)/$C$7</f>
        <v/>
      </c>
      <c r="E270" s="6">
        <f>('2 transformar y limpiar'!E284-$B$8)/$C$8</f>
        <v/>
      </c>
      <c r="F270" s="6">
        <f>('2 transformar y limpiar'!F284-$B$9)/$C$9</f>
        <v/>
      </c>
      <c r="G270">
        <f>'2 transformar y limpiar'!G284</f>
        <v/>
      </c>
      <c r="H270">
        <f>'2 transformar y limpiar'!H284</f>
        <v/>
      </c>
      <c r="I270">
        <f>'2 transformar y limpiar'!I284</f>
        <v/>
      </c>
      <c r="J270">
        <f>'2 transformar y limpiar'!J284</f>
        <v/>
      </c>
      <c r="K270">
        <f>'2 transformar y limpiar'!K284</f>
        <v/>
      </c>
      <c r="L270">
        <f>'2 transformar y limpiar'!L284</f>
        <v/>
      </c>
      <c r="M270">
        <f>'2 transformar y limpiar'!M284</f>
        <v/>
      </c>
      <c r="N270">
        <f>'2 transformar y limpiar'!N284</f>
        <v/>
      </c>
      <c r="O270">
        <f>'2 transformar y limpiar'!O284</f>
        <v/>
      </c>
      <c r="P270">
        <f>'2 transformar y limpiar'!P284</f>
        <v/>
      </c>
      <c r="Q270">
        <f>'2 transformar y limpiar'!Q284</f>
        <v/>
      </c>
      <c r="R270">
        <f>'2 transformar y limpiar'!R284</f>
        <v/>
      </c>
      <c r="S270">
        <f>'2 transformar y limpiar'!S284</f>
        <v/>
      </c>
      <c r="T270">
        <f>'2 transformar y limpiar'!T284</f>
        <v/>
      </c>
      <c r="U270" s="5">
        <f>'2 transformar y limpiar'!U284</f>
        <v/>
      </c>
    </row>
    <row r="271">
      <c r="A271">
        <f>'2 transformar y limpiar'!A285</f>
        <v/>
      </c>
      <c r="B271">
        <f>'2 transformar y limpiar'!B285</f>
        <v/>
      </c>
      <c r="C271" s="6">
        <f>('2 transformar y limpiar'!C285-$B$6)/$C$6</f>
        <v/>
      </c>
      <c r="D271" s="6">
        <f>('2 transformar y limpiar'!D285-$B$7)/$C$7</f>
        <v/>
      </c>
      <c r="E271" s="6">
        <f>('2 transformar y limpiar'!E285-$B$8)/$C$8</f>
        <v/>
      </c>
      <c r="F271" s="6">
        <f>('2 transformar y limpiar'!F285-$B$9)/$C$9</f>
        <v/>
      </c>
      <c r="G271">
        <f>'2 transformar y limpiar'!G285</f>
        <v/>
      </c>
      <c r="H271">
        <f>'2 transformar y limpiar'!H285</f>
        <v/>
      </c>
      <c r="I271">
        <f>'2 transformar y limpiar'!I285</f>
        <v/>
      </c>
      <c r="J271">
        <f>'2 transformar y limpiar'!J285</f>
        <v/>
      </c>
      <c r="K271">
        <f>'2 transformar y limpiar'!K285</f>
        <v/>
      </c>
      <c r="L271">
        <f>'2 transformar y limpiar'!L285</f>
        <v/>
      </c>
      <c r="M271">
        <f>'2 transformar y limpiar'!M285</f>
        <v/>
      </c>
      <c r="N271">
        <f>'2 transformar y limpiar'!N285</f>
        <v/>
      </c>
      <c r="O271">
        <f>'2 transformar y limpiar'!O285</f>
        <v/>
      </c>
      <c r="P271">
        <f>'2 transformar y limpiar'!P285</f>
        <v/>
      </c>
      <c r="Q271">
        <f>'2 transformar y limpiar'!Q285</f>
        <v/>
      </c>
      <c r="R271">
        <f>'2 transformar y limpiar'!R285</f>
        <v/>
      </c>
      <c r="S271">
        <f>'2 transformar y limpiar'!S285</f>
        <v/>
      </c>
      <c r="T271">
        <f>'2 transformar y limpiar'!T285</f>
        <v/>
      </c>
      <c r="U271" s="5">
        <f>'2 transformar y limpiar'!U285</f>
        <v/>
      </c>
    </row>
    <row r="272">
      <c r="A272">
        <f>'2 transformar y limpiar'!A286</f>
        <v/>
      </c>
      <c r="B272">
        <f>'2 transformar y limpiar'!B286</f>
        <v/>
      </c>
      <c r="C272" s="6">
        <f>('2 transformar y limpiar'!C286-$B$6)/$C$6</f>
        <v/>
      </c>
      <c r="D272" s="6">
        <f>('2 transformar y limpiar'!D286-$B$7)/$C$7</f>
        <v/>
      </c>
      <c r="E272" s="6">
        <f>('2 transformar y limpiar'!E286-$B$8)/$C$8</f>
        <v/>
      </c>
      <c r="F272" s="6">
        <f>('2 transformar y limpiar'!F286-$B$9)/$C$9</f>
        <v/>
      </c>
      <c r="G272">
        <f>'2 transformar y limpiar'!G286</f>
        <v/>
      </c>
      <c r="H272">
        <f>'2 transformar y limpiar'!H286</f>
        <v/>
      </c>
      <c r="I272">
        <f>'2 transformar y limpiar'!I286</f>
        <v/>
      </c>
      <c r="J272">
        <f>'2 transformar y limpiar'!J286</f>
        <v/>
      </c>
      <c r="K272">
        <f>'2 transformar y limpiar'!K286</f>
        <v/>
      </c>
      <c r="L272">
        <f>'2 transformar y limpiar'!L286</f>
        <v/>
      </c>
      <c r="M272">
        <f>'2 transformar y limpiar'!M286</f>
        <v/>
      </c>
      <c r="N272">
        <f>'2 transformar y limpiar'!N286</f>
        <v/>
      </c>
      <c r="O272">
        <f>'2 transformar y limpiar'!O286</f>
        <v/>
      </c>
      <c r="P272">
        <f>'2 transformar y limpiar'!P286</f>
        <v/>
      </c>
      <c r="Q272">
        <f>'2 transformar y limpiar'!Q286</f>
        <v/>
      </c>
      <c r="R272">
        <f>'2 transformar y limpiar'!R286</f>
        <v/>
      </c>
      <c r="S272">
        <f>'2 transformar y limpiar'!S286</f>
        <v/>
      </c>
      <c r="T272">
        <f>'2 transformar y limpiar'!T286</f>
        <v/>
      </c>
      <c r="U272" s="5">
        <f>'2 transformar y limpiar'!U286</f>
        <v/>
      </c>
    </row>
    <row r="273">
      <c r="A273">
        <f>'2 transformar y limpiar'!A287</f>
        <v/>
      </c>
      <c r="B273">
        <f>'2 transformar y limpiar'!B287</f>
        <v/>
      </c>
      <c r="C273" s="6">
        <f>('2 transformar y limpiar'!C287-$B$6)/$C$6</f>
        <v/>
      </c>
      <c r="D273" s="6">
        <f>('2 transformar y limpiar'!D287-$B$7)/$C$7</f>
        <v/>
      </c>
      <c r="E273" s="6">
        <f>('2 transformar y limpiar'!E287-$B$8)/$C$8</f>
        <v/>
      </c>
      <c r="F273" s="6">
        <f>('2 transformar y limpiar'!F287-$B$9)/$C$9</f>
        <v/>
      </c>
      <c r="G273">
        <f>'2 transformar y limpiar'!G287</f>
        <v/>
      </c>
      <c r="H273">
        <f>'2 transformar y limpiar'!H287</f>
        <v/>
      </c>
      <c r="I273">
        <f>'2 transformar y limpiar'!I287</f>
        <v/>
      </c>
      <c r="J273">
        <f>'2 transformar y limpiar'!J287</f>
        <v/>
      </c>
      <c r="K273">
        <f>'2 transformar y limpiar'!K287</f>
        <v/>
      </c>
      <c r="L273">
        <f>'2 transformar y limpiar'!L287</f>
        <v/>
      </c>
      <c r="M273">
        <f>'2 transformar y limpiar'!M287</f>
        <v/>
      </c>
      <c r="N273">
        <f>'2 transformar y limpiar'!N287</f>
        <v/>
      </c>
      <c r="O273">
        <f>'2 transformar y limpiar'!O287</f>
        <v/>
      </c>
      <c r="P273">
        <f>'2 transformar y limpiar'!P287</f>
        <v/>
      </c>
      <c r="Q273">
        <f>'2 transformar y limpiar'!Q287</f>
        <v/>
      </c>
      <c r="R273">
        <f>'2 transformar y limpiar'!R287</f>
        <v/>
      </c>
      <c r="S273">
        <f>'2 transformar y limpiar'!S287</f>
        <v/>
      </c>
      <c r="T273">
        <f>'2 transformar y limpiar'!T287</f>
        <v/>
      </c>
      <c r="U273" s="5">
        <f>'2 transformar y limpiar'!U287</f>
        <v/>
      </c>
    </row>
    <row r="274">
      <c r="A274">
        <f>'2 transformar y limpiar'!A288</f>
        <v/>
      </c>
      <c r="B274">
        <f>'2 transformar y limpiar'!B288</f>
        <v/>
      </c>
      <c r="C274" s="6">
        <f>('2 transformar y limpiar'!C288-$B$6)/$C$6</f>
        <v/>
      </c>
      <c r="D274" s="6">
        <f>('2 transformar y limpiar'!D288-$B$7)/$C$7</f>
        <v/>
      </c>
      <c r="E274" s="6">
        <f>('2 transformar y limpiar'!E288-$B$8)/$C$8</f>
        <v/>
      </c>
      <c r="F274" s="6">
        <f>('2 transformar y limpiar'!F288-$B$9)/$C$9</f>
        <v/>
      </c>
      <c r="G274">
        <f>'2 transformar y limpiar'!G288</f>
        <v/>
      </c>
      <c r="H274">
        <f>'2 transformar y limpiar'!H288</f>
        <v/>
      </c>
      <c r="I274">
        <f>'2 transformar y limpiar'!I288</f>
        <v/>
      </c>
      <c r="J274">
        <f>'2 transformar y limpiar'!J288</f>
        <v/>
      </c>
      <c r="K274">
        <f>'2 transformar y limpiar'!K288</f>
        <v/>
      </c>
      <c r="L274">
        <f>'2 transformar y limpiar'!L288</f>
        <v/>
      </c>
      <c r="M274">
        <f>'2 transformar y limpiar'!M288</f>
        <v/>
      </c>
      <c r="N274">
        <f>'2 transformar y limpiar'!N288</f>
        <v/>
      </c>
      <c r="O274">
        <f>'2 transformar y limpiar'!O288</f>
        <v/>
      </c>
      <c r="P274">
        <f>'2 transformar y limpiar'!P288</f>
        <v/>
      </c>
      <c r="Q274">
        <f>'2 transformar y limpiar'!Q288</f>
        <v/>
      </c>
      <c r="R274">
        <f>'2 transformar y limpiar'!R288</f>
        <v/>
      </c>
      <c r="S274">
        <f>'2 transformar y limpiar'!S288</f>
        <v/>
      </c>
      <c r="T274">
        <f>'2 transformar y limpiar'!T288</f>
        <v/>
      </c>
      <c r="U274" s="5">
        <f>'2 transformar y limpiar'!U288</f>
        <v/>
      </c>
    </row>
    <row r="275">
      <c r="A275">
        <f>'2 transformar y limpiar'!A289</f>
        <v/>
      </c>
      <c r="B275">
        <f>'2 transformar y limpiar'!B289</f>
        <v/>
      </c>
      <c r="C275" s="6">
        <f>('2 transformar y limpiar'!C289-$B$6)/$C$6</f>
        <v/>
      </c>
      <c r="D275" s="6">
        <f>('2 transformar y limpiar'!D289-$B$7)/$C$7</f>
        <v/>
      </c>
      <c r="E275" s="6">
        <f>('2 transformar y limpiar'!E289-$B$8)/$C$8</f>
        <v/>
      </c>
      <c r="F275" s="6">
        <f>('2 transformar y limpiar'!F289-$B$9)/$C$9</f>
        <v/>
      </c>
      <c r="G275">
        <f>'2 transformar y limpiar'!G289</f>
        <v/>
      </c>
      <c r="H275">
        <f>'2 transformar y limpiar'!H289</f>
        <v/>
      </c>
      <c r="I275">
        <f>'2 transformar y limpiar'!I289</f>
        <v/>
      </c>
      <c r="J275">
        <f>'2 transformar y limpiar'!J289</f>
        <v/>
      </c>
      <c r="K275">
        <f>'2 transformar y limpiar'!K289</f>
        <v/>
      </c>
      <c r="L275">
        <f>'2 transformar y limpiar'!L289</f>
        <v/>
      </c>
      <c r="M275">
        <f>'2 transformar y limpiar'!M289</f>
        <v/>
      </c>
      <c r="N275">
        <f>'2 transformar y limpiar'!N289</f>
        <v/>
      </c>
      <c r="O275">
        <f>'2 transformar y limpiar'!O289</f>
        <v/>
      </c>
      <c r="P275">
        <f>'2 transformar y limpiar'!P289</f>
        <v/>
      </c>
      <c r="Q275">
        <f>'2 transformar y limpiar'!Q289</f>
        <v/>
      </c>
      <c r="R275">
        <f>'2 transformar y limpiar'!R289</f>
        <v/>
      </c>
      <c r="S275">
        <f>'2 transformar y limpiar'!S289</f>
        <v/>
      </c>
      <c r="T275">
        <f>'2 transformar y limpiar'!T289</f>
        <v/>
      </c>
      <c r="U275" s="5">
        <f>'2 transformar y limpiar'!U289</f>
        <v/>
      </c>
    </row>
    <row r="276">
      <c r="A276">
        <f>'2 transformar y limpiar'!A290</f>
        <v/>
      </c>
      <c r="B276">
        <f>'2 transformar y limpiar'!B290</f>
        <v/>
      </c>
      <c r="C276" s="6">
        <f>('2 transformar y limpiar'!C290-$B$6)/$C$6</f>
        <v/>
      </c>
      <c r="D276" s="6">
        <f>('2 transformar y limpiar'!D290-$B$7)/$C$7</f>
        <v/>
      </c>
      <c r="E276" s="6">
        <f>('2 transformar y limpiar'!E290-$B$8)/$C$8</f>
        <v/>
      </c>
      <c r="F276" s="6">
        <f>('2 transformar y limpiar'!F290-$B$9)/$C$9</f>
        <v/>
      </c>
      <c r="G276">
        <f>'2 transformar y limpiar'!G290</f>
        <v/>
      </c>
      <c r="H276">
        <f>'2 transformar y limpiar'!H290</f>
        <v/>
      </c>
      <c r="I276">
        <f>'2 transformar y limpiar'!I290</f>
        <v/>
      </c>
      <c r="J276">
        <f>'2 transformar y limpiar'!J290</f>
        <v/>
      </c>
      <c r="K276">
        <f>'2 transformar y limpiar'!K290</f>
        <v/>
      </c>
      <c r="L276">
        <f>'2 transformar y limpiar'!L290</f>
        <v/>
      </c>
      <c r="M276">
        <f>'2 transformar y limpiar'!M290</f>
        <v/>
      </c>
      <c r="N276">
        <f>'2 transformar y limpiar'!N290</f>
        <v/>
      </c>
      <c r="O276">
        <f>'2 transformar y limpiar'!O290</f>
        <v/>
      </c>
      <c r="P276">
        <f>'2 transformar y limpiar'!P290</f>
        <v/>
      </c>
      <c r="Q276">
        <f>'2 transformar y limpiar'!Q290</f>
        <v/>
      </c>
      <c r="R276">
        <f>'2 transformar y limpiar'!R290</f>
        <v/>
      </c>
      <c r="S276">
        <f>'2 transformar y limpiar'!S290</f>
        <v/>
      </c>
      <c r="T276">
        <f>'2 transformar y limpiar'!T290</f>
        <v/>
      </c>
      <c r="U276" s="5">
        <f>'2 transformar y limpiar'!U290</f>
        <v/>
      </c>
    </row>
    <row r="277">
      <c r="A277">
        <f>'2 transformar y limpiar'!A291</f>
        <v/>
      </c>
      <c r="B277">
        <f>'2 transformar y limpiar'!B291</f>
        <v/>
      </c>
      <c r="C277" s="6">
        <f>('2 transformar y limpiar'!C291-$B$6)/$C$6</f>
        <v/>
      </c>
      <c r="D277" s="6">
        <f>('2 transformar y limpiar'!D291-$B$7)/$C$7</f>
        <v/>
      </c>
      <c r="E277" s="6">
        <f>('2 transformar y limpiar'!E291-$B$8)/$C$8</f>
        <v/>
      </c>
      <c r="F277" s="6">
        <f>('2 transformar y limpiar'!F291-$B$9)/$C$9</f>
        <v/>
      </c>
      <c r="G277">
        <f>'2 transformar y limpiar'!G291</f>
        <v/>
      </c>
      <c r="H277">
        <f>'2 transformar y limpiar'!H291</f>
        <v/>
      </c>
      <c r="I277">
        <f>'2 transformar y limpiar'!I291</f>
        <v/>
      </c>
      <c r="J277">
        <f>'2 transformar y limpiar'!J291</f>
        <v/>
      </c>
      <c r="K277">
        <f>'2 transformar y limpiar'!K291</f>
        <v/>
      </c>
      <c r="L277">
        <f>'2 transformar y limpiar'!L291</f>
        <v/>
      </c>
      <c r="M277">
        <f>'2 transformar y limpiar'!M291</f>
        <v/>
      </c>
      <c r="N277">
        <f>'2 transformar y limpiar'!N291</f>
        <v/>
      </c>
      <c r="O277">
        <f>'2 transformar y limpiar'!O291</f>
        <v/>
      </c>
      <c r="P277">
        <f>'2 transformar y limpiar'!P291</f>
        <v/>
      </c>
      <c r="Q277">
        <f>'2 transformar y limpiar'!Q291</f>
        <v/>
      </c>
      <c r="R277">
        <f>'2 transformar y limpiar'!R291</f>
        <v/>
      </c>
      <c r="S277">
        <f>'2 transformar y limpiar'!S291</f>
        <v/>
      </c>
      <c r="T277">
        <f>'2 transformar y limpiar'!T291</f>
        <v/>
      </c>
      <c r="U277" s="5">
        <f>'2 transformar y limpiar'!U291</f>
        <v/>
      </c>
    </row>
    <row r="278">
      <c r="A278">
        <f>'2 transformar y limpiar'!A292</f>
        <v/>
      </c>
      <c r="B278">
        <f>'2 transformar y limpiar'!B292</f>
        <v/>
      </c>
      <c r="C278" s="6">
        <f>('2 transformar y limpiar'!C292-$B$6)/$C$6</f>
        <v/>
      </c>
      <c r="D278" s="6">
        <f>('2 transformar y limpiar'!D292-$B$7)/$C$7</f>
        <v/>
      </c>
      <c r="E278" s="6">
        <f>('2 transformar y limpiar'!E292-$B$8)/$C$8</f>
        <v/>
      </c>
      <c r="F278" s="6">
        <f>('2 transformar y limpiar'!F292-$B$9)/$C$9</f>
        <v/>
      </c>
      <c r="G278">
        <f>'2 transformar y limpiar'!G292</f>
        <v/>
      </c>
      <c r="H278">
        <f>'2 transformar y limpiar'!H292</f>
        <v/>
      </c>
      <c r="I278">
        <f>'2 transformar y limpiar'!I292</f>
        <v/>
      </c>
      <c r="J278">
        <f>'2 transformar y limpiar'!J292</f>
        <v/>
      </c>
      <c r="K278">
        <f>'2 transformar y limpiar'!K292</f>
        <v/>
      </c>
      <c r="L278">
        <f>'2 transformar y limpiar'!L292</f>
        <v/>
      </c>
      <c r="M278">
        <f>'2 transformar y limpiar'!M292</f>
        <v/>
      </c>
      <c r="N278">
        <f>'2 transformar y limpiar'!N292</f>
        <v/>
      </c>
      <c r="O278">
        <f>'2 transformar y limpiar'!O292</f>
        <v/>
      </c>
      <c r="P278">
        <f>'2 transformar y limpiar'!P292</f>
        <v/>
      </c>
      <c r="Q278">
        <f>'2 transformar y limpiar'!Q292</f>
        <v/>
      </c>
      <c r="R278">
        <f>'2 transformar y limpiar'!R292</f>
        <v/>
      </c>
      <c r="S278">
        <f>'2 transformar y limpiar'!S292</f>
        <v/>
      </c>
      <c r="T278">
        <f>'2 transformar y limpiar'!T292</f>
        <v/>
      </c>
      <c r="U278" s="5">
        <f>'2 transformar y limpiar'!U292</f>
        <v/>
      </c>
    </row>
    <row r="279">
      <c r="A279">
        <f>'2 transformar y limpiar'!A293</f>
        <v/>
      </c>
      <c r="B279">
        <f>'2 transformar y limpiar'!B293</f>
        <v/>
      </c>
      <c r="C279" s="6">
        <f>('2 transformar y limpiar'!C293-$B$6)/$C$6</f>
        <v/>
      </c>
      <c r="D279" s="6">
        <f>('2 transformar y limpiar'!D293-$B$7)/$C$7</f>
        <v/>
      </c>
      <c r="E279" s="6">
        <f>('2 transformar y limpiar'!E293-$B$8)/$C$8</f>
        <v/>
      </c>
      <c r="F279" s="6">
        <f>('2 transformar y limpiar'!F293-$B$9)/$C$9</f>
        <v/>
      </c>
      <c r="G279">
        <f>'2 transformar y limpiar'!G293</f>
        <v/>
      </c>
      <c r="H279">
        <f>'2 transformar y limpiar'!H293</f>
        <v/>
      </c>
      <c r="I279">
        <f>'2 transformar y limpiar'!I293</f>
        <v/>
      </c>
      <c r="J279">
        <f>'2 transformar y limpiar'!J293</f>
        <v/>
      </c>
      <c r="K279">
        <f>'2 transformar y limpiar'!K293</f>
        <v/>
      </c>
      <c r="L279">
        <f>'2 transformar y limpiar'!L293</f>
        <v/>
      </c>
      <c r="M279">
        <f>'2 transformar y limpiar'!M293</f>
        <v/>
      </c>
      <c r="N279">
        <f>'2 transformar y limpiar'!N293</f>
        <v/>
      </c>
      <c r="O279">
        <f>'2 transformar y limpiar'!O293</f>
        <v/>
      </c>
      <c r="P279">
        <f>'2 transformar y limpiar'!P293</f>
        <v/>
      </c>
      <c r="Q279">
        <f>'2 transformar y limpiar'!Q293</f>
        <v/>
      </c>
      <c r="R279">
        <f>'2 transformar y limpiar'!R293</f>
        <v/>
      </c>
      <c r="S279">
        <f>'2 transformar y limpiar'!S293</f>
        <v/>
      </c>
      <c r="T279">
        <f>'2 transformar y limpiar'!T293</f>
        <v/>
      </c>
      <c r="U279" s="5">
        <f>'2 transformar y limpiar'!U293</f>
        <v/>
      </c>
    </row>
    <row r="280">
      <c r="A280">
        <f>'2 transformar y limpiar'!A294</f>
        <v/>
      </c>
      <c r="B280">
        <f>'2 transformar y limpiar'!B294</f>
        <v/>
      </c>
      <c r="C280" s="6">
        <f>('2 transformar y limpiar'!C294-$B$6)/$C$6</f>
        <v/>
      </c>
      <c r="D280" s="6">
        <f>('2 transformar y limpiar'!D294-$B$7)/$C$7</f>
        <v/>
      </c>
      <c r="E280" s="6">
        <f>('2 transformar y limpiar'!E294-$B$8)/$C$8</f>
        <v/>
      </c>
      <c r="F280" s="6">
        <f>('2 transformar y limpiar'!F294-$B$9)/$C$9</f>
        <v/>
      </c>
      <c r="G280">
        <f>'2 transformar y limpiar'!G294</f>
        <v/>
      </c>
      <c r="H280">
        <f>'2 transformar y limpiar'!H294</f>
        <v/>
      </c>
      <c r="I280">
        <f>'2 transformar y limpiar'!I294</f>
        <v/>
      </c>
      <c r="J280">
        <f>'2 transformar y limpiar'!J294</f>
        <v/>
      </c>
      <c r="K280">
        <f>'2 transformar y limpiar'!K294</f>
        <v/>
      </c>
      <c r="L280">
        <f>'2 transformar y limpiar'!L294</f>
        <v/>
      </c>
      <c r="M280">
        <f>'2 transformar y limpiar'!M294</f>
        <v/>
      </c>
      <c r="N280">
        <f>'2 transformar y limpiar'!N294</f>
        <v/>
      </c>
      <c r="O280">
        <f>'2 transformar y limpiar'!O294</f>
        <v/>
      </c>
      <c r="P280">
        <f>'2 transformar y limpiar'!P294</f>
        <v/>
      </c>
      <c r="Q280">
        <f>'2 transformar y limpiar'!Q294</f>
        <v/>
      </c>
      <c r="R280">
        <f>'2 transformar y limpiar'!R294</f>
        <v/>
      </c>
      <c r="S280">
        <f>'2 transformar y limpiar'!S294</f>
        <v/>
      </c>
      <c r="T280">
        <f>'2 transformar y limpiar'!T294</f>
        <v/>
      </c>
      <c r="U280" s="5">
        <f>'2 transformar y limpiar'!U294</f>
        <v/>
      </c>
    </row>
    <row r="281">
      <c r="A281">
        <f>'2 transformar y limpiar'!A295</f>
        <v/>
      </c>
      <c r="B281">
        <f>'2 transformar y limpiar'!B295</f>
        <v/>
      </c>
      <c r="C281" s="6">
        <f>('2 transformar y limpiar'!C295-$B$6)/$C$6</f>
        <v/>
      </c>
      <c r="D281" s="6">
        <f>('2 transformar y limpiar'!D295-$B$7)/$C$7</f>
        <v/>
      </c>
      <c r="E281" s="6">
        <f>('2 transformar y limpiar'!E295-$B$8)/$C$8</f>
        <v/>
      </c>
      <c r="F281" s="6">
        <f>('2 transformar y limpiar'!F295-$B$9)/$C$9</f>
        <v/>
      </c>
      <c r="G281">
        <f>'2 transformar y limpiar'!G295</f>
        <v/>
      </c>
      <c r="H281">
        <f>'2 transformar y limpiar'!H295</f>
        <v/>
      </c>
      <c r="I281">
        <f>'2 transformar y limpiar'!I295</f>
        <v/>
      </c>
      <c r="J281">
        <f>'2 transformar y limpiar'!J295</f>
        <v/>
      </c>
      <c r="K281">
        <f>'2 transformar y limpiar'!K295</f>
        <v/>
      </c>
      <c r="L281">
        <f>'2 transformar y limpiar'!L295</f>
        <v/>
      </c>
      <c r="M281">
        <f>'2 transformar y limpiar'!M295</f>
        <v/>
      </c>
      <c r="N281">
        <f>'2 transformar y limpiar'!N295</f>
        <v/>
      </c>
      <c r="O281">
        <f>'2 transformar y limpiar'!O295</f>
        <v/>
      </c>
      <c r="P281">
        <f>'2 transformar y limpiar'!P295</f>
        <v/>
      </c>
      <c r="Q281">
        <f>'2 transformar y limpiar'!Q295</f>
        <v/>
      </c>
      <c r="R281">
        <f>'2 transformar y limpiar'!R295</f>
        <v/>
      </c>
      <c r="S281">
        <f>'2 transformar y limpiar'!S295</f>
        <v/>
      </c>
      <c r="T281">
        <f>'2 transformar y limpiar'!T295</f>
        <v/>
      </c>
      <c r="U281" s="5">
        <f>'2 transformar y limpiar'!U295</f>
        <v/>
      </c>
    </row>
    <row r="282">
      <c r="A282">
        <f>'2 transformar y limpiar'!A296</f>
        <v/>
      </c>
      <c r="B282">
        <f>'2 transformar y limpiar'!B296</f>
        <v/>
      </c>
      <c r="C282" s="6">
        <f>('2 transformar y limpiar'!C296-$B$6)/$C$6</f>
        <v/>
      </c>
      <c r="D282" s="6">
        <f>('2 transformar y limpiar'!D296-$B$7)/$C$7</f>
        <v/>
      </c>
      <c r="E282" s="6">
        <f>('2 transformar y limpiar'!E296-$B$8)/$C$8</f>
        <v/>
      </c>
      <c r="F282" s="6">
        <f>('2 transformar y limpiar'!F296-$B$9)/$C$9</f>
        <v/>
      </c>
      <c r="G282">
        <f>'2 transformar y limpiar'!G296</f>
        <v/>
      </c>
      <c r="H282">
        <f>'2 transformar y limpiar'!H296</f>
        <v/>
      </c>
      <c r="I282">
        <f>'2 transformar y limpiar'!I296</f>
        <v/>
      </c>
      <c r="J282">
        <f>'2 transformar y limpiar'!J296</f>
        <v/>
      </c>
      <c r="K282">
        <f>'2 transformar y limpiar'!K296</f>
        <v/>
      </c>
      <c r="L282">
        <f>'2 transformar y limpiar'!L296</f>
        <v/>
      </c>
      <c r="M282">
        <f>'2 transformar y limpiar'!M296</f>
        <v/>
      </c>
      <c r="N282">
        <f>'2 transformar y limpiar'!N296</f>
        <v/>
      </c>
      <c r="O282">
        <f>'2 transformar y limpiar'!O296</f>
        <v/>
      </c>
      <c r="P282">
        <f>'2 transformar y limpiar'!P296</f>
        <v/>
      </c>
      <c r="Q282">
        <f>'2 transformar y limpiar'!Q296</f>
        <v/>
      </c>
      <c r="R282">
        <f>'2 transformar y limpiar'!R296</f>
        <v/>
      </c>
      <c r="S282">
        <f>'2 transformar y limpiar'!S296</f>
        <v/>
      </c>
      <c r="T282">
        <f>'2 transformar y limpiar'!T296</f>
        <v/>
      </c>
      <c r="U282" s="5">
        <f>'2 transformar y limpiar'!U296</f>
        <v/>
      </c>
    </row>
    <row r="283">
      <c r="A283">
        <f>'2 transformar y limpiar'!A297</f>
        <v/>
      </c>
      <c r="B283">
        <f>'2 transformar y limpiar'!B297</f>
        <v/>
      </c>
      <c r="C283" s="6">
        <f>('2 transformar y limpiar'!C297-$B$6)/$C$6</f>
        <v/>
      </c>
      <c r="D283" s="6">
        <f>('2 transformar y limpiar'!D297-$B$7)/$C$7</f>
        <v/>
      </c>
      <c r="E283" s="6">
        <f>('2 transformar y limpiar'!E297-$B$8)/$C$8</f>
        <v/>
      </c>
      <c r="F283" s="6">
        <f>('2 transformar y limpiar'!F297-$B$9)/$C$9</f>
        <v/>
      </c>
      <c r="G283">
        <f>'2 transformar y limpiar'!G297</f>
        <v/>
      </c>
      <c r="H283">
        <f>'2 transformar y limpiar'!H297</f>
        <v/>
      </c>
      <c r="I283">
        <f>'2 transformar y limpiar'!I297</f>
        <v/>
      </c>
      <c r="J283">
        <f>'2 transformar y limpiar'!J297</f>
        <v/>
      </c>
      <c r="K283">
        <f>'2 transformar y limpiar'!K297</f>
        <v/>
      </c>
      <c r="L283">
        <f>'2 transformar y limpiar'!L297</f>
        <v/>
      </c>
      <c r="M283">
        <f>'2 transformar y limpiar'!M297</f>
        <v/>
      </c>
      <c r="N283">
        <f>'2 transformar y limpiar'!N297</f>
        <v/>
      </c>
      <c r="O283">
        <f>'2 transformar y limpiar'!O297</f>
        <v/>
      </c>
      <c r="P283">
        <f>'2 transformar y limpiar'!P297</f>
        <v/>
      </c>
      <c r="Q283">
        <f>'2 transformar y limpiar'!Q297</f>
        <v/>
      </c>
      <c r="R283">
        <f>'2 transformar y limpiar'!R297</f>
        <v/>
      </c>
      <c r="S283">
        <f>'2 transformar y limpiar'!S297</f>
        <v/>
      </c>
      <c r="T283">
        <f>'2 transformar y limpiar'!T297</f>
        <v/>
      </c>
      <c r="U283" s="5">
        <f>'2 transformar y limpiar'!U297</f>
        <v/>
      </c>
    </row>
    <row r="284">
      <c r="A284">
        <f>'2 transformar y limpiar'!A298</f>
        <v/>
      </c>
      <c r="B284">
        <f>'2 transformar y limpiar'!B298</f>
        <v/>
      </c>
      <c r="C284" s="6">
        <f>('2 transformar y limpiar'!C298-$B$6)/$C$6</f>
        <v/>
      </c>
      <c r="D284" s="6">
        <f>('2 transformar y limpiar'!D298-$B$7)/$C$7</f>
        <v/>
      </c>
      <c r="E284" s="6">
        <f>('2 transformar y limpiar'!E298-$B$8)/$C$8</f>
        <v/>
      </c>
      <c r="F284" s="6">
        <f>('2 transformar y limpiar'!F298-$B$9)/$C$9</f>
        <v/>
      </c>
      <c r="G284">
        <f>'2 transformar y limpiar'!G298</f>
        <v/>
      </c>
      <c r="H284">
        <f>'2 transformar y limpiar'!H298</f>
        <v/>
      </c>
      <c r="I284">
        <f>'2 transformar y limpiar'!I298</f>
        <v/>
      </c>
      <c r="J284">
        <f>'2 transformar y limpiar'!J298</f>
        <v/>
      </c>
      <c r="K284">
        <f>'2 transformar y limpiar'!K298</f>
        <v/>
      </c>
      <c r="L284">
        <f>'2 transformar y limpiar'!L298</f>
        <v/>
      </c>
      <c r="M284">
        <f>'2 transformar y limpiar'!M298</f>
        <v/>
      </c>
      <c r="N284">
        <f>'2 transformar y limpiar'!N298</f>
        <v/>
      </c>
      <c r="O284">
        <f>'2 transformar y limpiar'!O298</f>
        <v/>
      </c>
      <c r="P284">
        <f>'2 transformar y limpiar'!P298</f>
        <v/>
      </c>
      <c r="Q284">
        <f>'2 transformar y limpiar'!Q298</f>
        <v/>
      </c>
      <c r="R284">
        <f>'2 transformar y limpiar'!R298</f>
        <v/>
      </c>
      <c r="S284">
        <f>'2 transformar y limpiar'!S298</f>
        <v/>
      </c>
      <c r="T284">
        <f>'2 transformar y limpiar'!T298</f>
        <v/>
      </c>
      <c r="U284" s="5">
        <f>'2 transformar y limpiar'!U298</f>
        <v/>
      </c>
    </row>
    <row r="285">
      <c r="A285">
        <f>'2 transformar y limpiar'!A299</f>
        <v/>
      </c>
      <c r="B285">
        <f>'2 transformar y limpiar'!B299</f>
        <v/>
      </c>
      <c r="C285" s="6">
        <f>('2 transformar y limpiar'!C299-$B$6)/$C$6</f>
        <v/>
      </c>
      <c r="D285" s="6">
        <f>('2 transformar y limpiar'!D299-$B$7)/$C$7</f>
        <v/>
      </c>
      <c r="E285" s="6">
        <f>('2 transformar y limpiar'!E299-$B$8)/$C$8</f>
        <v/>
      </c>
      <c r="F285" s="6">
        <f>('2 transformar y limpiar'!F299-$B$9)/$C$9</f>
        <v/>
      </c>
      <c r="G285">
        <f>'2 transformar y limpiar'!G299</f>
        <v/>
      </c>
      <c r="H285">
        <f>'2 transformar y limpiar'!H299</f>
        <v/>
      </c>
      <c r="I285">
        <f>'2 transformar y limpiar'!I299</f>
        <v/>
      </c>
      <c r="J285">
        <f>'2 transformar y limpiar'!J299</f>
        <v/>
      </c>
      <c r="K285">
        <f>'2 transformar y limpiar'!K299</f>
        <v/>
      </c>
      <c r="L285">
        <f>'2 transformar y limpiar'!L299</f>
        <v/>
      </c>
      <c r="M285">
        <f>'2 transformar y limpiar'!M299</f>
        <v/>
      </c>
      <c r="N285">
        <f>'2 transformar y limpiar'!N299</f>
        <v/>
      </c>
      <c r="O285">
        <f>'2 transformar y limpiar'!O299</f>
        <v/>
      </c>
      <c r="P285">
        <f>'2 transformar y limpiar'!P299</f>
        <v/>
      </c>
      <c r="Q285">
        <f>'2 transformar y limpiar'!Q299</f>
        <v/>
      </c>
      <c r="R285">
        <f>'2 transformar y limpiar'!R299</f>
        <v/>
      </c>
      <c r="S285">
        <f>'2 transformar y limpiar'!S299</f>
        <v/>
      </c>
      <c r="T285">
        <f>'2 transformar y limpiar'!T299</f>
        <v/>
      </c>
      <c r="U285" s="5">
        <f>'2 transformar y limpiar'!U299</f>
        <v/>
      </c>
    </row>
    <row r="286">
      <c r="A286">
        <f>'2 transformar y limpiar'!A300</f>
        <v/>
      </c>
      <c r="B286">
        <f>'2 transformar y limpiar'!B300</f>
        <v/>
      </c>
      <c r="C286" s="6">
        <f>('2 transformar y limpiar'!C300-$B$6)/$C$6</f>
        <v/>
      </c>
      <c r="D286" s="6">
        <f>('2 transformar y limpiar'!D300-$B$7)/$C$7</f>
        <v/>
      </c>
      <c r="E286" s="6">
        <f>('2 transformar y limpiar'!E300-$B$8)/$C$8</f>
        <v/>
      </c>
      <c r="F286" s="6">
        <f>('2 transformar y limpiar'!F300-$B$9)/$C$9</f>
        <v/>
      </c>
      <c r="G286">
        <f>'2 transformar y limpiar'!G300</f>
        <v/>
      </c>
      <c r="H286">
        <f>'2 transformar y limpiar'!H300</f>
        <v/>
      </c>
      <c r="I286">
        <f>'2 transformar y limpiar'!I300</f>
        <v/>
      </c>
      <c r="J286">
        <f>'2 transformar y limpiar'!J300</f>
        <v/>
      </c>
      <c r="K286">
        <f>'2 transformar y limpiar'!K300</f>
        <v/>
      </c>
      <c r="L286">
        <f>'2 transformar y limpiar'!L300</f>
        <v/>
      </c>
      <c r="M286">
        <f>'2 transformar y limpiar'!M300</f>
        <v/>
      </c>
      <c r="N286">
        <f>'2 transformar y limpiar'!N300</f>
        <v/>
      </c>
      <c r="O286">
        <f>'2 transformar y limpiar'!O300</f>
        <v/>
      </c>
      <c r="P286">
        <f>'2 transformar y limpiar'!P300</f>
        <v/>
      </c>
      <c r="Q286">
        <f>'2 transformar y limpiar'!Q300</f>
        <v/>
      </c>
      <c r="R286">
        <f>'2 transformar y limpiar'!R300</f>
        <v/>
      </c>
      <c r="S286">
        <f>'2 transformar y limpiar'!S300</f>
        <v/>
      </c>
      <c r="T286">
        <f>'2 transformar y limpiar'!T300</f>
        <v/>
      </c>
      <c r="U286" s="5">
        <f>'2 transformar y limpiar'!U300</f>
        <v/>
      </c>
    </row>
    <row r="287">
      <c r="A287">
        <f>'2 transformar y limpiar'!A301</f>
        <v/>
      </c>
      <c r="B287">
        <f>'2 transformar y limpiar'!B301</f>
        <v/>
      </c>
      <c r="C287" s="6">
        <f>('2 transformar y limpiar'!C301-$B$6)/$C$6</f>
        <v/>
      </c>
      <c r="D287" s="6">
        <f>('2 transformar y limpiar'!D301-$B$7)/$C$7</f>
        <v/>
      </c>
      <c r="E287" s="6">
        <f>('2 transformar y limpiar'!E301-$B$8)/$C$8</f>
        <v/>
      </c>
      <c r="F287" s="6">
        <f>('2 transformar y limpiar'!F301-$B$9)/$C$9</f>
        <v/>
      </c>
      <c r="G287">
        <f>'2 transformar y limpiar'!G301</f>
        <v/>
      </c>
      <c r="H287">
        <f>'2 transformar y limpiar'!H301</f>
        <v/>
      </c>
      <c r="I287">
        <f>'2 transformar y limpiar'!I301</f>
        <v/>
      </c>
      <c r="J287">
        <f>'2 transformar y limpiar'!J301</f>
        <v/>
      </c>
      <c r="K287">
        <f>'2 transformar y limpiar'!K301</f>
        <v/>
      </c>
      <c r="L287">
        <f>'2 transformar y limpiar'!L301</f>
        <v/>
      </c>
      <c r="M287">
        <f>'2 transformar y limpiar'!M301</f>
        <v/>
      </c>
      <c r="N287">
        <f>'2 transformar y limpiar'!N301</f>
        <v/>
      </c>
      <c r="O287">
        <f>'2 transformar y limpiar'!O301</f>
        <v/>
      </c>
      <c r="P287">
        <f>'2 transformar y limpiar'!P301</f>
        <v/>
      </c>
      <c r="Q287">
        <f>'2 transformar y limpiar'!Q301</f>
        <v/>
      </c>
      <c r="R287">
        <f>'2 transformar y limpiar'!R301</f>
        <v/>
      </c>
      <c r="S287">
        <f>'2 transformar y limpiar'!S301</f>
        <v/>
      </c>
      <c r="T287">
        <f>'2 transformar y limpiar'!T301</f>
        <v/>
      </c>
      <c r="U287" s="5">
        <f>'2 transformar y limpiar'!U301</f>
        <v/>
      </c>
    </row>
    <row r="288">
      <c r="A288">
        <f>'2 transformar y limpiar'!A302</f>
        <v/>
      </c>
      <c r="B288">
        <f>'2 transformar y limpiar'!B302</f>
        <v/>
      </c>
      <c r="C288" s="6">
        <f>('2 transformar y limpiar'!C302-$B$6)/$C$6</f>
        <v/>
      </c>
      <c r="D288" s="6">
        <f>('2 transformar y limpiar'!D302-$B$7)/$C$7</f>
        <v/>
      </c>
      <c r="E288" s="6">
        <f>('2 transformar y limpiar'!E302-$B$8)/$C$8</f>
        <v/>
      </c>
      <c r="F288" s="6">
        <f>('2 transformar y limpiar'!F302-$B$9)/$C$9</f>
        <v/>
      </c>
      <c r="G288">
        <f>'2 transformar y limpiar'!G302</f>
        <v/>
      </c>
      <c r="H288">
        <f>'2 transformar y limpiar'!H302</f>
        <v/>
      </c>
      <c r="I288">
        <f>'2 transformar y limpiar'!I302</f>
        <v/>
      </c>
      <c r="J288">
        <f>'2 transformar y limpiar'!J302</f>
        <v/>
      </c>
      <c r="K288">
        <f>'2 transformar y limpiar'!K302</f>
        <v/>
      </c>
      <c r="L288">
        <f>'2 transformar y limpiar'!L302</f>
        <v/>
      </c>
      <c r="M288">
        <f>'2 transformar y limpiar'!M302</f>
        <v/>
      </c>
      <c r="N288">
        <f>'2 transformar y limpiar'!N302</f>
        <v/>
      </c>
      <c r="O288">
        <f>'2 transformar y limpiar'!O302</f>
        <v/>
      </c>
      <c r="P288">
        <f>'2 transformar y limpiar'!P302</f>
        <v/>
      </c>
      <c r="Q288">
        <f>'2 transformar y limpiar'!Q302</f>
        <v/>
      </c>
      <c r="R288">
        <f>'2 transformar y limpiar'!R302</f>
        <v/>
      </c>
      <c r="S288">
        <f>'2 transformar y limpiar'!S302</f>
        <v/>
      </c>
      <c r="T288">
        <f>'2 transformar y limpiar'!T302</f>
        <v/>
      </c>
      <c r="U288" s="5">
        <f>'2 transformar y limpiar'!U302</f>
        <v/>
      </c>
    </row>
    <row r="289">
      <c r="A289">
        <f>'2 transformar y limpiar'!A303</f>
        <v/>
      </c>
      <c r="B289">
        <f>'2 transformar y limpiar'!B303</f>
        <v/>
      </c>
      <c r="C289" s="6">
        <f>('2 transformar y limpiar'!C303-$B$6)/$C$6</f>
        <v/>
      </c>
      <c r="D289" s="6">
        <f>('2 transformar y limpiar'!D303-$B$7)/$C$7</f>
        <v/>
      </c>
      <c r="E289" s="6">
        <f>('2 transformar y limpiar'!E303-$B$8)/$C$8</f>
        <v/>
      </c>
      <c r="F289" s="6">
        <f>('2 transformar y limpiar'!F303-$B$9)/$C$9</f>
        <v/>
      </c>
      <c r="G289">
        <f>'2 transformar y limpiar'!G303</f>
        <v/>
      </c>
      <c r="H289">
        <f>'2 transformar y limpiar'!H303</f>
        <v/>
      </c>
      <c r="I289">
        <f>'2 transformar y limpiar'!I303</f>
        <v/>
      </c>
      <c r="J289">
        <f>'2 transformar y limpiar'!J303</f>
        <v/>
      </c>
      <c r="K289">
        <f>'2 transformar y limpiar'!K303</f>
        <v/>
      </c>
      <c r="L289">
        <f>'2 transformar y limpiar'!L303</f>
        <v/>
      </c>
      <c r="M289">
        <f>'2 transformar y limpiar'!M303</f>
        <v/>
      </c>
      <c r="N289">
        <f>'2 transformar y limpiar'!N303</f>
        <v/>
      </c>
      <c r="O289">
        <f>'2 transformar y limpiar'!O303</f>
        <v/>
      </c>
      <c r="P289">
        <f>'2 transformar y limpiar'!P303</f>
        <v/>
      </c>
      <c r="Q289">
        <f>'2 transformar y limpiar'!Q303</f>
        <v/>
      </c>
      <c r="R289">
        <f>'2 transformar y limpiar'!R303</f>
        <v/>
      </c>
      <c r="S289">
        <f>'2 transformar y limpiar'!S303</f>
        <v/>
      </c>
      <c r="T289">
        <f>'2 transformar y limpiar'!T303</f>
        <v/>
      </c>
      <c r="U289" s="5">
        <f>'2 transformar y limpiar'!U303</f>
        <v/>
      </c>
    </row>
    <row r="290">
      <c r="A290">
        <f>'2 transformar y limpiar'!A304</f>
        <v/>
      </c>
      <c r="B290">
        <f>'2 transformar y limpiar'!B304</f>
        <v/>
      </c>
      <c r="C290" s="6">
        <f>('2 transformar y limpiar'!C304-$B$6)/$C$6</f>
        <v/>
      </c>
      <c r="D290" s="6">
        <f>('2 transformar y limpiar'!D304-$B$7)/$C$7</f>
        <v/>
      </c>
      <c r="E290" s="6">
        <f>('2 transformar y limpiar'!E304-$B$8)/$C$8</f>
        <v/>
      </c>
      <c r="F290" s="6">
        <f>('2 transformar y limpiar'!F304-$B$9)/$C$9</f>
        <v/>
      </c>
      <c r="G290">
        <f>'2 transformar y limpiar'!G304</f>
        <v/>
      </c>
      <c r="H290">
        <f>'2 transformar y limpiar'!H304</f>
        <v/>
      </c>
      <c r="I290">
        <f>'2 transformar y limpiar'!I304</f>
        <v/>
      </c>
      <c r="J290">
        <f>'2 transformar y limpiar'!J304</f>
        <v/>
      </c>
      <c r="K290">
        <f>'2 transformar y limpiar'!K304</f>
        <v/>
      </c>
      <c r="L290">
        <f>'2 transformar y limpiar'!L304</f>
        <v/>
      </c>
      <c r="M290">
        <f>'2 transformar y limpiar'!M304</f>
        <v/>
      </c>
      <c r="N290">
        <f>'2 transformar y limpiar'!N304</f>
        <v/>
      </c>
      <c r="O290">
        <f>'2 transformar y limpiar'!O304</f>
        <v/>
      </c>
      <c r="P290">
        <f>'2 transformar y limpiar'!P304</f>
        <v/>
      </c>
      <c r="Q290">
        <f>'2 transformar y limpiar'!Q304</f>
        <v/>
      </c>
      <c r="R290">
        <f>'2 transformar y limpiar'!R304</f>
        <v/>
      </c>
      <c r="S290">
        <f>'2 transformar y limpiar'!S304</f>
        <v/>
      </c>
      <c r="T290">
        <f>'2 transformar y limpiar'!T304</f>
        <v/>
      </c>
      <c r="U290" s="5">
        <f>'2 transformar y limpiar'!U304</f>
        <v/>
      </c>
    </row>
    <row r="291">
      <c r="A291">
        <f>'2 transformar y limpiar'!A305</f>
        <v/>
      </c>
      <c r="B291">
        <f>'2 transformar y limpiar'!B305</f>
        <v/>
      </c>
      <c r="C291" s="6">
        <f>('2 transformar y limpiar'!C305-$B$6)/$C$6</f>
        <v/>
      </c>
      <c r="D291" s="6">
        <f>('2 transformar y limpiar'!D305-$B$7)/$C$7</f>
        <v/>
      </c>
      <c r="E291" s="6">
        <f>('2 transformar y limpiar'!E305-$B$8)/$C$8</f>
        <v/>
      </c>
      <c r="F291" s="6">
        <f>('2 transformar y limpiar'!F305-$B$9)/$C$9</f>
        <v/>
      </c>
      <c r="G291">
        <f>'2 transformar y limpiar'!G305</f>
        <v/>
      </c>
      <c r="H291">
        <f>'2 transformar y limpiar'!H305</f>
        <v/>
      </c>
      <c r="I291">
        <f>'2 transformar y limpiar'!I305</f>
        <v/>
      </c>
      <c r="J291">
        <f>'2 transformar y limpiar'!J305</f>
        <v/>
      </c>
      <c r="K291">
        <f>'2 transformar y limpiar'!K305</f>
        <v/>
      </c>
      <c r="L291">
        <f>'2 transformar y limpiar'!L305</f>
        <v/>
      </c>
      <c r="M291">
        <f>'2 transformar y limpiar'!M305</f>
        <v/>
      </c>
      <c r="N291">
        <f>'2 transformar y limpiar'!N305</f>
        <v/>
      </c>
      <c r="O291">
        <f>'2 transformar y limpiar'!O305</f>
        <v/>
      </c>
      <c r="P291">
        <f>'2 transformar y limpiar'!P305</f>
        <v/>
      </c>
      <c r="Q291">
        <f>'2 transformar y limpiar'!Q305</f>
        <v/>
      </c>
      <c r="R291">
        <f>'2 transformar y limpiar'!R305</f>
        <v/>
      </c>
      <c r="S291">
        <f>'2 transformar y limpiar'!S305</f>
        <v/>
      </c>
      <c r="T291">
        <f>'2 transformar y limpiar'!T305</f>
        <v/>
      </c>
      <c r="U291" s="5">
        <f>'2 transformar y limpiar'!U305</f>
        <v/>
      </c>
    </row>
    <row r="292">
      <c r="A292">
        <f>'2 transformar y limpiar'!A306</f>
        <v/>
      </c>
      <c r="B292">
        <f>'2 transformar y limpiar'!B306</f>
        <v/>
      </c>
      <c r="C292" s="6">
        <f>('2 transformar y limpiar'!C306-$B$6)/$C$6</f>
        <v/>
      </c>
      <c r="D292" s="6">
        <f>('2 transformar y limpiar'!D306-$B$7)/$C$7</f>
        <v/>
      </c>
      <c r="E292" s="6">
        <f>('2 transformar y limpiar'!E306-$B$8)/$C$8</f>
        <v/>
      </c>
      <c r="F292" s="6">
        <f>('2 transformar y limpiar'!F306-$B$9)/$C$9</f>
        <v/>
      </c>
      <c r="G292">
        <f>'2 transformar y limpiar'!G306</f>
        <v/>
      </c>
      <c r="H292">
        <f>'2 transformar y limpiar'!H306</f>
        <v/>
      </c>
      <c r="I292">
        <f>'2 transformar y limpiar'!I306</f>
        <v/>
      </c>
      <c r="J292">
        <f>'2 transformar y limpiar'!J306</f>
        <v/>
      </c>
      <c r="K292">
        <f>'2 transformar y limpiar'!K306</f>
        <v/>
      </c>
      <c r="L292">
        <f>'2 transformar y limpiar'!L306</f>
        <v/>
      </c>
      <c r="M292">
        <f>'2 transformar y limpiar'!M306</f>
        <v/>
      </c>
      <c r="N292">
        <f>'2 transformar y limpiar'!N306</f>
        <v/>
      </c>
      <c r="O292">
        <f>'2 transformar y limpiar'!O306</f>
        <v/>
      </c>
      <c r="P292">
        <f>'2 transformar y limpiar'!P306</f>
        <v/>
      </c>
      <c r="Q292">
        <f>'2 transformar y limpiar'!Q306</f>
        <v/>
      </c>
      <c r="R292">
        <f>'2 transformar y limpiar'!R306</f>
        <v/>
      </c>
      <c r="S292">
        <f>'2 transformar y limpiar'!S306</f>
        <v/>
      </c>
      <c r="T292">
        <f>'2 transformar y limpiar'!T306</f>
        <v/>
      </c>
      <c r="U292" s="5">
        <f>'2 transformar y limpiar'!U306</f>
        <v/>
      </c>
    </row>
    <row r="293">
      <c r="A293">
        <f>'2 transformar y limpiar'!A307</f>
        <v/>
      </c>
      <c r="B293">
        <f>'2 transformar y limpiar'!B307</f>
        <v/>
      </c>
      <c r="C293" s="6">
        <f>('2 transformar y limpiar'!C307-$B$6)/$C$6</f>
        <v/>
      </c>
      <c r="D293" s="6">
        <f>('2 transformar y limpiar'!D307-$B$7)/$C$7</f>
        <v/>
      </c>
      <c r="E293" s="6">
        <f>('2 transformar y limpiar'!E307-$B$8)/$C$8</f>
        <v/>
      </c>
      <c r="F293" s="6">
        <f>('2 transformar y limpiar'!F307-$B$9)/$C$9</f>
        <v/>
      </c>
      <c r="G293">
        <f>'2 transformar y limpiar'!G307</f>
        <v/>
      </c>
      <c r="H293">
        <f>'2 transformar y limpiar'!H307</f>
        <v/>
      </c>
      <c r="I293">
        <f>'2 transformar y limpiar'!I307</f>
        <v/>
      </c>
      <c r="J293">
        <f>'2 transformar y limpiar'!J307</f>
        <v/>
      </c>
      <c r="K293">
        <f>'2 transformar y limpiar'!K307</f>
        <v/>
      </c>
      <c r="L293">
        <f>'2 transformar y limpiar'!L307</f>
        <v/>
      </c>
      <c r="M293">
        <f>'2 transformar y limpiar'!M307</f>
        <v/>
      </c>
      <c r="N293">
        <f>'2 transformar y limpiar'!N307</f>
        <v/>
      </c>
      <c r="O293">
        <f>'2 transformar y limpiar'!O307</f>
        <v/>
      </c>
      <c r="P293">
        <f>'2 transformar y limpiar'!P307</f>
        <v/>
      </c>
      <c r="Q293">
        <f>'2 transformar y limpiar'!Q307</f>
        <v/>
      </c>
      <c r="R293">
        <f>'2 transformar y limpiar'!R307</f>
        <v/>
      </c>
      <c r="S293">
        <f>'2 transformar y limpiar'!S307</f>
        <v/>
      </c>
      <c r="T293">
        <f>'2 transformar y limpiar'!T307</f>
        <v/>
      </c>
      <c r="U293" s="5">
        <f>'2 transformar y limpiar'!U307</f>
        <v/>
      </c>
    </row>
    <row r="294">
      <c r="A294">
        <f>'2 transformar y limpiar'!A308</f>
        <v/>
      </c>
      <c r="B294">
        <f>'2 transformar y limpiar'!B308</f>
        <v/>
      </c>
      <c r="C294" s="6">
        <f>('2 transformar y limpiar'!C308-$B$6)/$C$6</f>
        <v/>
      </c>
      <c r="D294" s="6">
        <f>('2 transformar y limpiar'!D308-$B$7)/$C$7</f>
        <v/>
      </c>
      <c r="E294" s="6">
        <f>('2 transformar y limpiar'!E308-$B$8)/$C$8</f>
        <v/>
      </c>
      <c r="F294" s="6">
        <f>('2 transformar y limpiar'!F308-$B$9)/$C$9</f>
        <v/>
      </c>
      <c r="G294">
        <f>'2 transformar y limpiar'!G308</f>
        <v/>
      </c>
      <c r="H294">
        <f>'2 transformar y limpiar'!H308</f>
        <v/>
      </c>
      <c r="I294">
        <f>'2 transformar y limpiar'!I308</f>
        <v/>
      </c>
      <c r="J294">
        <f>'2 transformar y limpiar'!J308</f>
        <v/>
      </c>
      <c r="K294">
        <f>'2 transformar y limpiar'!K308</f>
        <v/>
      </c>
      <c r="L294">
        <f>'2 transformar y limpiar'!L308</f>
        <v/>
      </c>
      <c r="M294">
        <f>'2 transformar y limpiar'!M308</f>
        <v/>
      </c>
      <c r="N294">
        <f>'2 transformar y limpiar'!N308</f>
        <v/>
      </c>
      <c r="O294">
        <f>'2 transformar y limpiar'!O308</f>
        <v/>
      </c>
      <c r="P294">
        <f>'2 transformar y limpiar'!P308</f>
        <v/>
      </c>
      <c r="Q294">
        <f>'2 transformar y limpiar'!Q308</f>
        <v/>
      </c>
      <c r="R294">
        <f>'2 transformar y limpiar'!R308</f>
        <v/>
      </c>
      <c r="S294">
        <f>'2 transformar y limpiar'!S308</f>
        <v/>
      </c>
      <c r="T294">
        <f>'2 transformar y limpiar'!T308</f>
        <v/>
      </c>
      <c r="U294" s="5">
        <f>'2 transformar y limpiar'!U308</f>
        <v/>
      </c>
    </row>
    <row r="295">
      <c r="A295">
        <f>'2 transformar y limpiar'!A309</f>
        <v/>
      </c>
      <c r="B295">
        <f>'2 transformar y limpiar'!B309</f>
        <v/>
      </c>
      <c r="C295" s="6">
        <f>('2 transformar y limpiar'!C309-$B$6)/$C$6</f>
        <v/>
      </c>
      <c r="D295" s="6">
        <f>('2 transformar y limpiar'!D309-$B$7)/$C$7</f>
        <v/>
      </c>
      <c r="E295" s="6">
        <f>('2 transformar y limpiar'!E309-$B$8)/$C$8</f>
        <v/>
      </c>
      <c r="F295" s="6">
        <f>('2 transformar y limpiar'!F309-$B$9)/$C$9</f>
        <v/>
      </c>
      <c r="G295">
        <f>'2 transformar y limpiar'!G309</f>
        <v/>
      </c>
      <c r="H295">
        <f>'2 transformar y limpiar'!H309</f>
        <v/>
      </c>
      <c r="I295">
        <f>'2 transformar y limpiar'!I309</f>
        <v/>
      </c>
      <c r="J295">
        <f>'2 transformar y limpiar'!J309</f>
        <v/>
      </c>
      <c r="K295">
        <f>'2 transformar y limpiar'!K309</f>
        <v/>
      </c>
      <c r="L295">
        <f>'2 transformar y limpiar'!L309</f>
        <v/>
      </c>
      <c r="M295">
        <f>'2 transformar y limpiar'!M309</f>
        <v/>
      </c>
      <c r="N295">
        <f>'2 transformar y limpiar'!N309</f>
        <v/>
      </c>
      <c r="O295">
        <f>'2 transformar y limpiar'!O309</f>
        <v/>
      </c>
      <c r="P295">
        <f>'2 transformar y limpiar'!P309</f>
        <v/>
      </c>
      <c r="Q295">
        <f>'2 transformar y limpiar'!Q309</f>
        <v/>
      </c>
      <c r="R295">
        <f>'2 transformar y limpiar'!R309</f>
        <v/>
      </c>
      <c r="S295">
        <f>'2 transformar y limpiar'!S309</f>
        <v/>
      </c>
      <c r="T295">
        <f>'2 transformar y limpiar'!T309</f>
        <v/>
      </c>
      <c r="U295" s="5">
        <f>'2 transformar y limpiar'!U309</f>
        <v/>
      </c>
    </row>
    <row r="296">
      <c r="A296">
        <f>'2 transformar y limpiar'!A310</f>
        <v/>
      </c>
      <c r="B296">
        <f>'2 transformar y limpiar'!B310</f>
        <v/>
      </c>
      <c r="C296" s="6">
        <f>('2 transformar y limpiar'!C310-$B$6)/$C$6</f>
        <v/>
      </c>
      <c r="D296" s="6">
        <f>('2 transformar y limpiar'!D310-$B$7)/$C$7</f>
        <v/>
      </c>
      <c r="E296" s="6">
        <f>('2 transformar y limpiar'!E310-$B$8)/$C$8</f>
        <v/>
      </c>
      <c r="F296" s="6">
        <f>('2 transformar y limpiar'!F310-$B$9)/$C$9</f>
        <v/>
      </c>
      <c r="G296">
        <f>'2 transformar y limpiar'!G310</f>
        <v/>
      </c>
      <c r="H296">
        <f>'2 transformar y limpiar'!H310</f>
        <v/>
      </c>
      <c r="I296">
        <f>'2 transformar y limpiar'!I310</f>
        <v/>
      </c>
      <c r="J296">
        <f>'2 transformar y limpiar'!J310</f>
        <v/>
      </c>
      <c r="K296">
        <f>'2 transformar y limpiar'!K310</f>
        <v/>
      </c>
      <c r="L296">
        <f>'2 transformar y limpiar'!L310</f>
        <v/>
      </c>
      <c r="M296">
        <f>'2 transformar y limpiar'!M310</f>
        <v/>
      </c>
      <c r="N296">
        <f>'2 transformar y limpiar'!N310</f>
        <v/>
      </c>
      <c r="O296">
        <f>'2 transformar y limpiar'!O310</f>
        <v/>
      </c>
      <c r="P296">
        <f>'2 transformar y limpiar'!P310</f>
        <v/>
      </c>
      <c r="Q296">
        <f>'2 transformar y limpiar'!Q310</f>
        <v/>
      </c>
      <c r="R296">
        <f>'2 transformar y limpiar'!R310</f>
        <v/>
      </c>
      <c r="S296">
        <f>'2 transformar y limpiar'!S310</f>
        <v/>
      </c>
      <c r="T296">
        <f>'2 transformar y limpiar'!T310</f>
        <v/>
      </c>
      <c r="U296" s="5">
        <f>'2 transformar y limpiar'!U310</f>
        <v/>
      </c>
    </row>
    <row r="297">
      <c r="A297">
        <f>'2 transformar y limpiar'!A311</f>
        <v/>
      </c>
      <c r="B297">
        <f>'2 transformar y limpiar'!B311</f>
        <v/>
      </c>
      <c r="C297" s="6">
        <f>('2 transformar y limpiar'!C311-$B$6)/$C$6</f>
        <v/>
      </c>
      <c r="D297" s="6">
        <f>('2 transformar y limpiar'!D311-$B$7)/$C$7</f>
        <v/>
      </c>
      <c r="E297" s="6">
        <f>('2 transformar y limpiar'!E311-$B$8)/$C$8</f>
        <v/>
      </c>
      <c r="F297" s="6">
        <f>('2 transformar y limpiar'!F311-$B$9)/$C$9</f>
        <v/>
      </c>
      <c r="G297">
        <f>'2 transformar y limpiar'!G311</f>
        <v/>
      </c>
      <c r="H297">
        <f>'2 transformar y limpiar'!H311</f>
        <v/>
      </c>
      <c r="I297">
        <f>'2 transformar y limpiar'!I311</f>
        <v/>
      </c>
      <c r="J297">
        <f>'2 transformar y limpiar'!J311</f>
        <v/>
      </c>
      <c r="K297">
        <f>'2 transformar y limpiar'!K311</f>
        <v/>
      </c>
      <c r="L297">
        <f>'2 transformar y limpiar'!L311</f>
        <v/>
      </c>
      <c r="M297">
        <f>'2 transformar y limpiar'!M311</f>
        <v/>
      </c>
      <c r="N297">
        <f>'2 transformar y limpiar'!N311</f>
        <v/>
      </c>
      <c r="O297">
        <f>'2 transformar y limpiar'!O311</f>
        <v/>
      </c>
      <c r="P297">
        <f>'2 transformar y limpiar'!P311</f>
        <v/>
      </c>
      <c r="Q297">
        <f>'2 transformar y limpiar'!Q311</f>
        <v/>
      </c>
      <c r="R297">
        <f>'2 transformar y limpiar'!R311</f>
        <v/>
      </c>
      <c r="S297">
        <f>'2 transformar y limpiar'!S311</f>
        <v/>
      </c>
      <c r="T297">
        <f>'2 transformar y limpiar'!T311</f>
        <v/>
      </c>
      <c r="U297" s="5">
        <f>'2 transformar y limpiar'!U311</f>
        <v/>
      </c>
    </row>
    <row r="298">
      <c r="A298">
        <f>'2 transformar y limpiar'!A312</f>
        <v/>
      </c>
      <c r="B298">
        <f>'2 transformar y limpiar'!B312</f>
        <v/>
      </c>
      <c r="C298" s="6">
        <f>('2 transformar y limpiar'!C312-$B$6)/$C$6</f>
        <v/>
      </c>
      <c r="D298" s="6">
        <f>('2 transformar y limpiar'!D312-$B$7)/$C$7</f>
        <v/>
      </c>
      <c r="E298" s="6">
        <f>('2 transformar y limpiar'!E312-$B$8)/$C$8</f>
        <v/>
      </c>
      <c r="F298" s="6">
        <f>('2 transformar y limpiar'!F312-$B$9)/$C$9</f>
        <v/>
      </c>
      <c r="G298">
        <f>'2 transformar y limpiar'!G312</f>
        <v/>
      </c>
      <c r="H298">
        <f>'2 transformar y limpiar'!H312</f>
        <v/>
      </c>
      <c r="I298">
        <f>'2 transformar y limpiar'!I312</f>
        <v/>
      </c>
      <c r="J298">
        <f>'2 transformar y limpiar'!J312</f>
        <v/>
      </c>
      <c r="K298">
        <f>'2 transformar y limpiar'!K312</f>
        <v/>
      </c>
      <c r="L298">
        <f>'2 transformar y limpiar'!L312</f>
        <v/>
      </c>
      <c r="M298">
        <f>'2 transformar y limpiar'!M312</f>
        <v/>
      </c>
      <c r="N298">
        <f>'2 transformar y limpiar'!N312</f>
        <v/>
      </c>
      <c r="O298">
        <f>'2 transformar y limpiar'!O312</f>
        <v/>
      </c>
      <c r="P298">
        <f>'2 transformar y limpiar'!P312</f>
        <v/>
      </c>
      <c r="Q298">
        <f>'2 transformar y limpiar'!Q312</f>
        <v/>
      </c>
      <c r="R298">
        <f>'2 transformar y limpiar'!R312</f>
        <v/>
      </c>
      <c r="S298">
        <f>'2 transformar y limpiar'!S312</f>
        <v/>
      </c>
      <c r="T298">
        <f>'2 transformar y limpiar'!T312</f>
        <v/>
      </c>
      <c r="U298" s="5">
        <f>'2 transformar y limpiar'!U312</f>
        <v/>
      </c>
    </row>
    <row r="299">
      <c r="A299">
        <f>'2 transformar y limpiar'!A313</f>
        <v/>
      </c>
      <c r="B299">
        <f>'2 transformar y limpiar'!B313</f>
        <v/>
      </c>
      <c r="C299" s="6">
        <f>('2 transformar y limpiar'!C313-$B$6)/$C$6</f>
        <v/>
      </c>
      <c r="D299" s="6">
        <f>('2 transformar y limpiar'!D313-$B$7)/$C$7</f>
        <v/>
      </c>
      <c r="E299" s="6">
        <f>('2 transformar y limpiar'!E313-$B$8)/$C$8</f>
        <v/>
      </c>
      <c r="F299" s="6">
        <f>('2 transformar y limpiar'!F313-$B$9)/$C$9</f>
        <v/>
      </c>
      <c r="G299">
        <f>'2 transformar y limpiar'!G313</f>
        <v/>
      </c>
      <c r="H299">
        <f>'2 transformar y limpiar'!H313</f>
        <v/>
      </c>
      <c r="I299">
        <f>'2 transformar y limpiar'!I313</f>
        <v/>
      </c>
      <c r="J299">
        <f>'2 transformar y limpiar'!J313</f>
        <v/>
      </c>
      <c r="K299">
        <f>'2 transformar y limpiar'!K313</f>
        <v/>
      </c>
      <c r="L299">
        <f>'2 transformar y limpiar'!L313</f>
        <v/>
      </c>
      <c r="M299">
        <f>'2 transformar y limpiar'!M313</f>
        <v/>
      </c>
      <c r="N299">
        <f>'2 transformar y limpiar'!N313</f>
        <v/>
      </c>
      <c r="O299">
        <f>'2 transformar y limpiar'!O313</f>
        <v/>
      </c>
      <c r="P299">
        <f>'2 transformar y limpiar'!P313</f>
        <v/>
      </c>
      <c r="Q299">
        <f>'2 transformar y limpiar'!Q313</f>
        <v/>
      </c>
      <c r="R299">
        <f>'2 transformar y limpiar'!R313</f>
        <v/>
      </c>
      <c r="S299">
        <f>'2 transformar y limpiar'!S313</f>
        <v/>
      </c>
      <c r="T299">
        <f>'2 transformar y limpiar'!T313</f>
        <v/>
      </c>
      <c r="U299" s="5">
        <f>'2 transformar y limpiar'!U313</f>
        <v/>
      </c>
    </row>
    <row r="300">
      <c r="A300">
        <f>'2 transformar y limpiar'!A314</f>
        <v/>
      </c>
      <c r="B300">
        <f>'2 transformar y limpiar'!B314</f>
        <v/>
      </c>
      <c r="C300" s="6">
        <f>('2 transformar y limpiar'!C314-$B$6)/$C$6</f>
        <v/>
      </c>
      <c r="D300" s="6">
        <f>('2 transformar y limpiar'!D314-$B$7)/$C$7</f>
        <v/>
      </c>
      <c r="E300" s="6">
        <f>('2 transformar y limpiar'!E314-$B$8)/$C$8</f>
        <v/>
      </c>
      <c r="F300" s="6">
        <f>('2 transformar y limpiar'!F314-$B$9)/$C$9</f>
        <v/>
      </c>
      <c r="G300">
        <f>'2 transformar y limpiar'!G314</f>
        <v/>
      </c>
      <c r="H300">
        <f>'2 transformar y limpiar'!H314</f>
        <v/>
      </c>
      <c r="I300">
        <f>'2 transformar y limpiar'!I314</f>
        <v/>
      </c>
      <c r="J300">
        <f>'2 transformar y limpiar'!J314</f>
        <v/>
      </c>
      <c r="K300">
        <f>'2 transformar y limpiar'!K314</f>
        <v/>
      </c>
      <c r="L300">
        <f>'2 transformar y limpiar'!L314</f>
        <v/>
      </c>
      <c r="M300">
        <f>'2 transformar y limpiar'!M314</f>
        <v/>
      </c>
      <c r="N300">
        <f>'2 transformar y limpiar'!N314</f>
        <v/>
      </c>
      <c r="O300">
        <f>'2 transformar y limpiar'!O314</f>
        <v/>
      </c>
      <c r="P300">
        <f>'2 transformar y limpiar'!P314</f>
        <v/>
      </c>
      <c r="Q300">
        <f>'2 transformar y limpiar'!Q314</f>
        <v/>
      </c>
      <c r="R300">
        <f>'2 transformar y limpiar'!R314</f>
        <v/>
      </c>
      <c r="S300">
        <f>'2 transformar y limpiar'!S314</f>
        <v/>
      </c>
      <c r="T300">
        <f>'2 transformar y limpiar'!T314</f>
        <v/>
      </c>
      <c r="U300" s="5">
        <f>'2 transformar y limpiar'!U314</f>
        <v/>
      </c>
    </row>
    <row r="301">
      <c r="A301">
        <f>'2 transformar y limpiar'!A315</f>
        <v/>
      </c>
      <c r="B301">
        <f>'2 transformar y limpiar'!B315</f>
        <v/>
      </c>
      <c r="C301" s="6">
        <f>('2 transformar y limpiar'!C315-$B$6)/$C$6</f>
        <v/>
      </c>
      <c r="D301" s="6">
        <f>('2 transformar y limpiar'!D315-$B$7)/$C$7</f>
        <v/>
      </c>
      <c r="E301" s="6">
        <f>('2 transformar y limpiar'!E315-$B$8)/$C$8</f>
        <v/>
      </c>
      <c r="F301" s="6">
        <f>('2 transformar y limpiar'!F315-$B$9)/$C$9</f>
        <v/>
      </c>
      <c r="G301">
        <f>'2 transformar y limpiar'!G315</f>
        <v/>
      </c>
      <c r="H301">
        <f>'2 transformar y limpiar'!H315</f>
        <v/>
      </c>
      <c r="I301">
        <f>'2 transformar y limpiar'!I315</f>
        <v/>
      </c>
      <c r="J301">
        <f>'2 transformar y limpiar'!J315</f>
        <v/>
      </c>
      <c r="K301">
        <f>'2 transformar y limpiar'!K315</f>
        <v/>
      </c>
      <c r="L301">
        <f>'2 transformar y limpiar'!L315</f>
        <v/>
      </c>
      <c r="M301">
        <f>'2 transformar y limpiar'!M315</f>
        <v/>
      </c>
      <c r="N301">
        <f>'2 transformar y limpiar'!N315</f>
        <v/>
      </c>
      <c r="O301">
        <f>'2 transformar y limpiar'!O315</f>
        <v/>
      </c>
      <c r="P301">
        <f>'2 transformar y limpiar'!P315</f>
        <v/>
      </c>
      <c r="Q301">
        <f>'2 transformar y limpiar'!Q315</f>
        <v/>
      </c>
      <c r="R301">
        <f>'2 transformar y limpiar'!R315</f>
        <v/>
      </c>
      <c r="S301">
        <f>'2 transformar y limpiar'!S315</f>
        <v/>
      </c>
      <c r="T301">
        <f>'2 transformar y limpiar'!T315</f>
        <v/>
      </c>
      <c r="U301" s="5">
        <f>'2 transformar y limpiar'!U315</f>
        <v/>
      </c>
    </row>
    <row r="302">
      <c r="A302">
        <f>'2 transformar y limpiar'!A316</f>
        <v/>
      </c>
      <c r="B302">
        <f>'2 transformar y limpiar'!B316</f>
        <v/>
      </c>
      <c r="C302" s="6">
        <f>('2 transformar y limpiar'!C316-$B$6)/$C$6</f>
        <v/>
      </c>
      <c r="D302" s="6">
        <f>('2 transformar y limpiar'!D316-$B$7)/$C$7</f>
        <v/>
      </c>
      <c r="E302" s="6">
        <f>('2 transformar y limpiar'!E316-$B$8)/$C$8</f>
        <v/>
      </c>
      <c r="F302" s="6">
        <f>('2 transformar y limpiar'!F316-$B$9)/$C$9</f>
        <v/>
      </c>
      <c r="G302">
        <f>'2 transformar y limpiar'!G316</f>
        <v/>
      </c>
      <c r="H302">
        <f>'2 transformar y limpiar'!H316</f>
        <v/>
      </c>
      <c r="I302">
        <f>'2 transformar y limpiar'!I316</f>
        <v/>
      </c>
      <c r="J302">
        <f>'2 transformar y limpiar'!J316</f>
        <v/>
      </c>
      <c r="K302">
        <f>'2 transformar y limpiar'!K316</f>
        <v/>
      </c>
      <c r="L302">
        <f>'2 transformar y limpiar'!L316</f>
        <v/>
      </c>
      <c r="M302">
        <f>'2 transformar y limpiar'!M316</f>
        <v/>
      </c>
      <c r="N302">
        <f>'2 transformar y limpiar'!N316</f>
        <v/>
      </c>
      <c r="O302">
        <f>'2 transformar y limpiar'!O316</f>
        <v/>
      </c>
      <c r="P302">
        <f>'2 transformar y limpiar'!P316</f>
        <v/>
      </c>
      <c r="Q302">
        <f>'2 transformar y limpiar'!Q316</f>
        <v/>
      </c>
      <c r="R302">
        <f>'2 transformar y limpiar'!R316</f>
        <v/>
      </c>
      <c r="S302">
        <f>'2 transformar y limpiar'!S316</f>
        <v/>
      </c>
      <c r="T302">
        <f>'2 transformar y limpiar'!T316</f>
        <v/>
      </c>
      <c r="U302" s="5">
        <f>'2 transformar y limpiar'!U316</f>
        <v/>
      </c>
    </row>
    <row r="303">
      <c r="A303">
        <f>'2 transformar y limpiar'!A317</f>
        <v/>
      </c>
      <c r="B303">
        <f>'2 transformar y limpiar'!B317</f>
        <v/>
      </c>
      <c r="C303" s="6">
        <f>('2 transformar y limpiar'!C317-$B$6)/$C$6</f>
        <v/>
      </c>
      <c r="D303" s="6">
        <f>('2 transformar y limpiar'!D317-$B$7)/$C$7</f>
        <v/>
      </c>
      <c r="E303" s="6">
        <f>('2 transformar y limpiar'!E317-$B$8)/$C$8</f>
        <v/>
      </c>
      <c r="F303" s="6">
        <f>('2 transformar y limpiar'!F317-$B$9)/$C$9</f>
        <v/>
      </c>
      <c r="G303">
        <f>'2 transformar y limpiar'!G317</f>
        <v/>
      </c>
      <c r="H303">
        <f>'2 transformar y limpiar'!H317</f>
        <v/>
      </c>
      <c r="I303">
        <f>'2 transformar y limpiar'!I317</f>
        <v/>
      </c>
      <c r="J303">
        <f>'2 transformar y limpiar'!J317</f>
        <v/>
      </c>
      <c r="K303">
        <f>'2 transformar y limpiar'!K317</f>
        <v/>
      </c>
      <c r="L303">
        <f>'2 transformar y limpiar'!L317</f>
        <v/>
      </c>
      <c r="M303">
        <f>'2 transformar y limpiar'!M317</f>
        <v/>
      </c>
      <c r="N303">
        <f>'2 transformar y limpiar'!N317</f>
        <v/>
      </c>
      <c r="O303">
        <f>'2 transformar y limpiar'!O317</f>
        <v/>
      </c>
      <c r="P303">
        <f>'2 transformar y limpiar'!P317</f>
        <v/>
      </c>
      <c r="Q303">
        <f>'2 transformar y limpiar'!Q317</f>
        <v/>
      </c>
      <c r="R303">
        <f>'2 transformar y limpiar'!R317</f>
        <v/>
      </c>
      <c r="S303">
        <f>'2 transformar y limpiar'!S317</f>
        <v/>
      </c>
      <c r="T303">
        <f>'2 transformar y limpiar'!T317</f>
        <v/>
      </c>
      <c r="U303" s="5">
        <f>'2 transformar y limpiar'!U317</f>
        <v/>
      </c>
    </row>
    <row r="304">
      <c r="A304">
        <f>'2 transformar y limpiar'!A318</f>
        <v/>
      </c>
      <c r="B304">
        <f>'2 transformar y limpiar'!B318</f>
        <v/>
      </c>
      <c r="C304" s="6">
        <f>('2 transformar y limpiar'!C318-$B$6)/$C$6</f>
        <v/>
      </c>
      <c r="D304" s="6">
        <f>('2 transformar y limpiar'!D318-$B$7)/$C$7</f>
        <v/>
      </c>
      <c r="E304" s="6">
        <f>('2 transformar y limpiar'!E318-$B$8)/$C$8</f>
        <v/>
      </c>
      <c r="F304" s="6">
        <f>('2 transformar y limpiar'!F318-$B$9)/$C$9</f>
        <v/>
      </c>
      <c r="G304">
        <f>'2 transformar y limpiar'!G318</f>
        <v/>
      </c>
      <c r="H304">
        <f>'2 transformar y limpiar'!H318</f>
        <v/>
      </c>
      <c r="I304">
        <f>'2 transformar y limpiar'!I318</f>
        <v/>
      </c>
      <c r="J304">
        <f>'2 transformar y limpiar'!J318</f>
        <v/>
      </c>
      <c r="K304">
        <f>'2 transformar y limpiar'!K318</f>
        <v/>
      </c>
      <c r="L304">
        <f>'2 transformar y limpiar'!L318</f>
        <v/>
      </c>
      <c r="M304">
        <f>'2 transformar y limpiar'!M318</f>
        <v/>
      </c>
      <c r="N304">
        <f>'2 transformar y limpiar'!N318</f>
        <v/>
      </c>
      <c r="O304">
        <f>'2 transformar y limpiar'!O318</f>
        <v/>
      </c>
      <c r="P304">
        <f>'2 transformar y limpiar'!P318</f>
        <v/>
      </c>
      <c r="Q304">
        <f>'2 transformar y limpiar'!Q318</f>
        <v/>
      </c>
      <c r="R304">
        <f>'2 transformar y limpiar'!R318</f>
        <v/>
      </c>
      <c r="S304">
        <f>'2 transformar y limpiar'!S318</f>
        <v/>
      </c>
      <c r="T304">
        <f>'2 transformar y limpiar'!T318</f>
        <v/>
      </c>
      <c r="U304" s="5">
        <f>'2 transformar y limpiar'!U318</f>
        <v/>
      </c>
    </row>
    <row r="305">
      <c r="A305">
        <f>'2 transformar y limpiar'!A319</f>
        <v/>
      </c>
      <c r="B305">
        <f>'2 transformar y limpiar'!B319</f>
        <v/>
      </c>
      <c r="C305" s="6">
        <f>('2 transformar y limpiar'!C319-$B$6)/$C$6</f>
        <v/>
      </c>
      <c r="D305" s="6">
        <f>('2 transformar y limpiar'!D319-$B$7)/$C$7</f>
        <v/>
      </c>
      <c r="E305" s="6">
        <f>('2 transformar y limpiar'!E319-$B$8)/$C$8</f>
        <v/>
      </c>
      <c r="F305" s="6">
        <f>('2 transformar y limpiar'!F319-$B$9)/$C$9</f>
        <v/>
      </c>
      <c r="G305">
        <f>'2 transformar y limpiar'!G319</f>
        <v/>
      </c>
      <c r="H305">
        <f>'2 transformar y limpiar'!H319</f>
        <v/>
      </c>
      <c r="I305">
        <f>'2 transformar y limpiar'!I319</f>
        <v/>
      </c>
      <c r="J305">
        <f>'2 transformar y limpiar'!J319</f>
        <v/>
      </c>
      <c r="K305">
        <f>'2 transformar y limpiar'!K319</f>
        <v/>
      </c>
      <c r="L305">
        <f>'2 transformar y limpiar'!L319</f>
        <v/>
      </c>
      <c r="M305">
        <f>'2 transformar y limpiar'!M319</f>
        <v/>
      </c>
      <c r="N305">
        <f>'2 transformar y limpiar'!N319</f>
        <v/>
      </c>
      <c r="O305">
        <f>'2 transformar y limpiar'!O319</f>
        <v/>
      </c>
      <c r="P305">
        <f>'2 transformar y limpiar'!P319</f>
        <v/>
      </c>
      <c r="Q305">
        <f>'2 transformar y limpiar'!Q319</f>
        <v/>
      </c>
      <c r="R305">
        <f>'2 transformar y limpiar'!R319</f>
        <v/>
      </c>
      <c r="S305">
        <f>'2 transformar y limpiar'!S319</f>
        <v/>
      </c>
      <c r="T305">
        <f>'2 transformar y limpiar'!T319</f>
        <v/>
      </c>
      <c r="U305" s="5">
        <f>'2 transformar y limpiar'!U319</f>
        <v/>
      </c>
    </row>
    <row r="306">
      <c r="A306">
        <f>'2 transformar y limpiar'!A320</f>
        <v/>
      </c>
      <c r="B306">
        <f>'2 transformar y limpiar'!B320</f>
        <v/>
      </c>
      <c r="C306" s="6">
        <f>('2 transformar y limpiar'!C320-$B$6)/$C$6</f>
        <v/>
      </c>
      <c r="D306" s="6">
        <f>('2 transformar y limpiar'!D320-$B$7)/$C$7</f>
        <v/>
      </c>
      <c r="E306" s="6">
        <f>('2 transformar y limpiar'!E320-$B$8)/$C$8</f>
        <v/>
      </c>
      <c r="F306" s="6">
        <f>('2 transformar y limpiar'!F320-$B$9)/$C$9</f>
        <v/>
      </c>
      <c r="G306">
        <f>'2 transformar y limpiar'!G320</f>
        <v/>
      </c>
      <c r="H306">
        <f>'2 transformar y limpiar'!H320</f>
        <v/>
      </c>
      <c r="I306">
        <f>'2 transformar y limpiar'!I320</f>
        <v/>
      </c>
      <c r="J306">
        <f>'2 transformar y limpiar'!J320</f>
        <v/>
      </c>
      <c r="K306">
        <f>'2 transformar y limpiar'!K320</f>
        <v/>
      </c>
      <c r="L306">
        <f>'2 transformar y limpiar'!L320</f>
        <v/>
      </c>
      <c r="M306">
        <f>'2 transformar y limpiar'!M320</f>
        <v/>
      </c>
      <c r="N306">
        <f>'2 transformar y limpiar'!N320</f>
        <v/>
      </c>
      <c r="O306">
        <f>'2 transformar y limpiar'!O320</f>
        <v/>
      </c>
      <c r="P306">
        <f>'2 transformar y limpiar'!P320</f>
        <v/>
      </c>
      <c r="Q306">
        <f>'2 transformar y limpiar'!Q320</f>
        <v/>
      </c>
      <c r="R306">
        <f>'2 transformar y limpiar'!R320</f>
        <v/>
      </c>
      <c r="S306">
        <f>'2 transformar y limpiar'!S320</f>
        <v/>
      </c>
      <c r="T306">
        <f>'2 transformar y limpiar'!T320</f>
        <v/>
      </c>
      <c r="U306" s="5">
        <f>'2 transformar y limpiar'!U320</f>
        <v/>
      </c>
    </row>
    <row r="307">
      <c r="A307">
        <f>'2 transformar y limpiar'!A321</f>
        <v/>
      </c>
      <c r="B307">
        <f>'2 transformar y limpiar'!B321</f>
        <v/>
      </c>
      <c r="C307" s="6">
        <f>('2 transformar y limpiar'!C321-$B$6)/$C$6</f>
        <v/>
      </c>
      <c r="D307" s="6">
        <f>('2 transformar y limpiar'!D321-$B$7)/$C$7</f>
        <v/>
      </c>
      <c r="E307" s="6">
        <f>('2 transformar y limpiar'!E321-$B$8)/$C$8</f>
        <v/>
      </c>
      <c r="F307" s="6">
        <f>('2 transformar y limpiar'!F321-$B$9)/$C$9</f>
        <v/>
      </c>
      <c r="G307">
        <f>'2 transformar y limpiar'!G321</f>
        <v/>
      </c>
      <c r="H307">
        <f>'2 transformar y limpiar'!H321</f>
        <v/>
      </c>
      <c r="I307">
        <f>'2 transformar y limpiar'!I321</f>
        <v/>
      </c>
      <c r="J307">
        <f>'2 transformar y limpiar'!J321</f>
        <v/>
      </c>
      <c r="K307">
        <f>'2 transformar y limpiar'!K321</f>
        <v/>
      </c>
      <c r="L307">
        <f>'2 transformar y limpiar'!L321</f>
        <v/>
      </c>
      <c r="M307">
        <f>'2 transformar y limpiar'!M321</f>
        <v/>
      </c>
      <c r="N307">
        <f>'2 transformar y limpiar'!N321</f>
        <v/>
      </c>
      <c r="O307">
        <f>'2 transformar y limpiar'!O321</f>
        <v/>
      </c>
      <c r="P307">
        <f>'2 transformar y limpiar'!P321</f>
        <v/>
      </c>
      <c r="Q307">
        <f>'2 transformar y limpiar'!Q321</f>
        <v/>
      </c>
      <c r="R307">
        <f>'2 transformar y limpiar'!R321</f>
        <v/>
      </c>
      <c r="S307">
        <f>'2 transformar y limpiar'!S321</f>
        <v/>
      </c>
      <c r="T307">
        <f>'2 transformar y limpiar'!T321</f>
        <v/>
      </c>
      <c r="U307" s="5">
        <f>'2 transformar y limpiar'!U321</f>
        <v/>
      </c>
    </row>
    <row r="308">
      <c r="A308">
        <f>'2 transformar y limpiar'!A322</f>
        <v/>
      </c>
      <c r="B308">
        <f>'2 transformar y limpiar'!B322</f>
        <v/>
      </c>
      <c r="C308" s="6">
        <f>('2 transformar y limpiar'!C322-$B$6)/$C$6</f>
        <v/>
      </c>
      <c r="D308" s="6">
        <f>('2 transformar y limpiar'!D322-$B$7)/$C$7</f>
        <v/>
      </c>
      <c r="E308" s="6">
        <f>('2 transformar y limpiar'!E322-$B$8)/$C$8</f>
        <v/>
      </c>
      <c r="F308" s="6">
        <f>('2 transformar y limpiar'!F322-$B$9)/$C$9</f>
        <v/>
      </c>
      <c r="G308">
        <f>'2 transformar y limpiar'!G322</f>
        <v/>
      </c>
      <c r="H308">
        <f>'2 transformar y limpiar'!H322</f>
        <v/>
      </c>
      <c r="I308">
        <f>'2 transformar y limpiar'!I322</f>
        <v/>
      </c>
      <c r="J308">
        <f>'2 transformar y limpiar'!J322</f>
        <v/>
      </c>
      <c r="K308">
        <f>'2 transformar y limpiar'!K322</f>
        <v/>
      </c>
      <c r="L308">
        <f>'2 transformar y limpiar'!L322</f>
        <v/>
      </c>
      <c r="M308">
        <f>'2 transformar y limpiar'!M322</f>
        <v/>
      </c>
      <c r="N308">
        <f>'2 transformar y limpiar'!N322</f>
        <v/>
      </c>
      <c r="O308">
        <f>'2 transformar y limpiar'!O322</f>
        <v/>
      </c>
      <c r="P308">
        <f>'2 transformar y limpiar'!P322</f>
        <v/>
      </c>
      <c r="Q308">
        <f>'2 transformar y limpiar'!Q322</f>
        <v/>
      </c>
      <c r="R308">
        <f>'2 transformar y limpiar'!R322</f>
        <v/>
      </c>
      <c r="S308">
        <f>'2 transformar y limpiar'!S322</f>
        <v/>
      </c>
      <c r="T308">
        <f>'2 transformar y limpiar'!T322</f>
        <v/>
      </c>
      <c r="U308" s="5">
        <f>'2 transformar y limpiar'!U322</f>
        <v/>
      </c>
    </row>
    <row r="309">
      <c r="A309">
        <f>'2 transformar y limpiar'!A323</f>
        <v/>
      </c>
      <c r="B309">
        <f>'2 transformar y limpiar'!B323</f>
        <v/>
      </c>
      <c r="C309" s="6">
        <f>('2 transformar y limpiar'!C323-$B$6)/$C$6</f>
        <v/>
      </c>
      <c r="D309" s="6">
        <f>('2 transformar y limpiar'!D323-$B$7)/$C$7</f>
        <v/>
      </c>
      <c r="E309" s="6">
        <f>('2 transformar y limpiar'!E323-$B$8)/$C$8</f>
        <v/>
      </c>
      <c r="F309" s="6">
        <f>('2 transformar y limpiar'!F323-$B$9)/$C$9</f>
        <v/>
      </c>
      <c r="G309">
        <f>'2 transformar y limpiar'!G323</f>
        <v/>
      </c>
      <c r="H309">
        <f>'2 transformar y limpiar'!H323</f>
        <v/>
      </c>
      <c r="I309">
        <f>'2 transformar y limpiar'!I323</f>
        <v/>
      </c>
      <c r="J309">
        <f>'2 transformar y limpiar'!J323</f>
        <v/>
      </c>
      <c r="K309">
        <f>'2 transformar y limpiar'!K323</f>
        <v/>
      </c>
      <c r="L309">
        <f>'2 transformar y limpiar'!L323</f>
        <v/>
      </c>
      <c r="M309">
        <f>'2 transformar y limpiar'!M323</f>
        <v/>
      </c>
      <c r="N309">
        <f>'2 transformar y limpiar'!N323</f>
        <v/>
      </c>
      <c r="O309">
        <f>'2 transformar y limpiar'!O323</f>
        <v/>
      </c>
      <c r="P309">
        <f>'2 transformar y limpiar'!P323</f>
        <v/>
      </c>
      <c r="Q309">
        <f>'2 transformar y limpiar'!Q323</f>
        <v/>
      </c>
      <c r="R309">
        <f>'2 transformar y limpiar'!R323</f>
        <v/>
      </c>
      <c r="S309">
        <f>'2 transformar y limpiar'!S323</f>
        <v/>
      </c>
      <c r="T309">
        <f>'2 transformar y limpiar'!T323</f>
        <v/>
      </c>
      <c r="U309" s="5">
        <f>'2 transformar y limpiar'!U323</f>
        <v/>
      </c>
    </row>
    <row r="310">
      <c r="A310">
        <f>'2 transformar y limpiar'!A324</f>
        <v/>
      </c>
      <c r="B310">
        <f>'2 transformar y limpiar'!B324</f>
        <v/>
      </c>
      <c r="C310" s="6">
        <f>('2 transformar y limpiar'!C324-$B$6)/$C$6</f>
        <v/>
      </c>
      <c r="D310" s="6">
        <f>('2 transformar y limpiar'!D324-$B$7)/$C$7</f>
        <v/>
      </c>
      <c r="E310" s="6">
        <f>('2 transformar y limpiar'!E324-$B$8)/$C$8</f>
        <v/>
      </c>
      <c r="F310" s="6">
        <f>('2 transformar y limpiar'!F324-$B$9)/$C$9</f>
        <v/>
      </c>
      <c r="G310">
        <f>'2 transformar y limpiar'!G324</f>
        <v/>
      </c>
      <c r="H310">
        <f>'2 transformar y limpiar'!H324</f>
        <v/>
      </c>
      <c r="I310">
        <f>'2 transformar y limpiar'!I324</f>
        <v/>
      </c>
      <c r="J310">
        <f>'2 transformar y limpiar'!J324</f>
        <v/>
      </c>
      <c r="K310">
        <f>'2 transformar y limpiar'!K324</f>
        <v/>
      </c>
      <c r="L310">
        <f>'2 transformar y limpiar'!L324</f>
        <v/>
      </c>
      <c r="M310">
        <f>'2 transformar y limpiar'!M324</f>
        <v/>
      </c>
      <c r="N310">
        <f>'2 transformar y limpiar'!N324</f>
        <v/>
      </c>
      <c r="O310">
        <f>'2 transformar y limpiar'!O324</f>
        <v/>
      </c>
      <c r="P310">
        <f>'2 transformar y limpiar'!P324</f>
        <v/>
      </c>
      <c r="Q310">
        <f>'2 transformar y limpiar'!Q324</f>
        <v/>
      </c>
      <c r="R310">
        <f>'2 transformar y limpiar'!R324</f>
        <v/>
      </c>
      <c r="S310">
        <f>'2 transformar y limpiar'!S324</f>
        <v/>
      </c>
      <c r="T310">
        <f>'2 transformar y limpiar'!T324</f>
        <v/>
      </c>
      <c r="U310" s="5">
        <f>'2 transformar y limpiar'!U324</f>
        <v/>
      </c>
    </row>
    <row r="311">
      <c r="A311">
        <f>'2 transformar y limpiar'!A325</f>
        <v/>
      </c>
      <c r="B311">
        <f>'2 transformar y limpiar'!B325</f>
        <v/>
      </c>
      <c r="C311" s="6">
        <f>('2 transformar y limpiar'!C325-$B$6)/$C$6</f>
        <v/>
      </c>
      <c r="D311" s="6">
        <f>('2 transformar y limpiar'!D325-$B$7)/$C$7</f>
        <v/>
      </c>
      <c r="E311" s="6">
        <f>('2 transformar y limpiar'!E325-$B$8)/$C$8</f>
        <v/>
      </c>
      <c r="F311" s="6">
        <f>('2 transformar y limpiar'!F325-$B$9)/$C$9</f>
        <v/>
      </c>
      <c r="G311">
        <f>'2 transformar y limpiar'!G325</f>
        <v/>
      </c>
      <c r="H311">
        <f>'2 transformar y limpiar'!H325</f>
        <v/>
      </c>
      <c r="I311">
        <f>'2 transformar y limpiar'!I325</f>
        <v/>
      </c>
      <c r="J311">
        <f>'2 transformar y limpiar'!J325</f>
        <v/>
      </c>
      <c r="K311">
        <f>'2 transformar y limpiar'!K325</f>
        <v/>
      </c>
      <c r="L311">
        <f>'2 transformar y limpiar'!L325</f>
        <v/>
      </c>
      <c r="M311">
        <f>'2 transformar y limpiar'!M325</f>
        <v/>
      </c>
      <c r="N311">
        <f>'2 transformar y limpiar'!N325</f>
        <v/>
      </c>
      <c r="O311">
        <f>'2 transformar y limpiar'!O325</f>
        <v/>
      </c>
      <c r="P311">
        <f>'2 transformar y limpiar'!P325</f>
        <v/>
      </c>
      <c r="Q311">
        <f>'2 transformar y limpiar'!Q325</f>
        <v/>
      </c>
      <c r="R311">
        <f>'2 transformar y limpiar'!R325</f>
        <v/>
      </c>
      <c r="S311">
        <f>'2 transformar y limpiar'!S325</f>
        <v/>
      </c>
      <c r="T311">
        <f>'2 transformar y limpiar'!T325</f>
        <v/>
      </c>
      <c r="U311" s="5">
        <f>'2 transformar y limpiar'!U325</f>
        <v/>
      </c>
    </row>
    <row r="312">
      <c r="A312">
        <f>'2 transformar y limpiar'!A326</f>
        <v/>
      </c>
      <c r="B312">
        <f>'2 transformar y limpiar'!B326</f>
        <v/>
      </c>
      <c r="C312" s="6">
        <f>('2 transformar y limpiar'!C326-$B$6)/$C$6</f>
        <v/>
      </c>
      <c r="D312" s="6">
        <f>('2 transformar y limpiar'!D326-$B$7)/$C$7</f>
        <v/>
      </c>
      <c r="E312" s="6">
        <f>('2 transformar y limpiar'!E326-$B$8)/$C$8</f>
        <v/>
      </c>
      <c r="F312" s="6">
        <f>('2 transformar y limpiar'!F326-$B$9)/$C$9</f>
        <v/>
      </c>
      <c r="G312">
        <f>'2 transformar y limpiar'!G326</f>
        <v/>
      </c>
      <c r="H312">
        <f>'2 transformar y limpiar'!H326</f>
        <v/>
      </c>
      <c r="I312">
        <f>'2 transformar y limpiar'!I326</f>
        <v/>
      </c>
      <c r="J312">
        <f>'2 transformar y limpiar'!J326</f>
        <v/>
      </c>
      <c r="K312">
        <f>'2 transformar y limpiar'!K326</f>
        <v/>
      </c>
      <c r="L312">
        <f>'2 transformar y limpiar'!L326</f>
        <v/>
      </c>
      <c r="M312">
        <f>'2 transformar y limpiar'!M326</f>
        <v/>
      </c>
      <c r="N312">
        <f>'2 transformar y limpiar'!N326</f>
        <v/>
      </c>
      <c r="O312">
        <f>'2 transformar y limpiar'!O326</f>
        <v/>
      </c>
      <c r="P312">
        <f>'2 transformar y limpiar'!P326</f>
        <v/>
      </c>
      <c r="Q312">
        <f>'2 transformar y limpiar'!Q326</f>
        <v/>
      </c>
      <c r="R312">
        <f>'2 transformar y limpiar'!R326</f>
        <v/>
      </c>
      <c r="S312">
        <f>'2 transformar y limpiar'!S326</f>
        <v/>
      </c>
      <c r="T312">
        <f>'2 transformar y limpiar'!T326</f>
        <v/>
      </c>
      <c r="U312" s="5">
        <f>'2 transformar y limpiar'!U326</f>
        <v/>
      </c>
    </row>
    <row r="313">
      <c r="A313">
        <f>'2 transformar y limpiar'!A327</f>
        <v/>
      </c>
      <c r="B313">
        <f>'2 transformar y limpiar'!B327</f>
        <v/>
      </c>
      <c r="C313" s="6">
        <f>('2 transformar y limpiar'!C327-$B$6)/$C$6</f>
        <v/>
      </c>
      <c r="D313" s="6">
        <f>('2 transformar y limpiar'!D327-$B$7)/$C$7</f>
        <v/>
      </c>
      <c r="E313" s="6">
        <f>('2 transformar y limpiar'!E327-$B$8)/$C$8</f>
        <v/>
      </c>
      <c r="F313" s="6">
        <f>('2 transformar y limpiar'!F327-$B$9)/$C$9</f>
        <v/>
      </c>
      <c r="G313">
        <f>'2 transformar y limpiar'!G327</f>
        <v/>
      </c>
      <c r="H313">
        <f>'2 transformar y limpiar'!H327</f>
        <v/>
      </c>
      <c r="I313">
        <f>'2 transformar y limpiar'!I327</f>
        <v/>
      </c>
      <c r="J313">
        <f>'2 transformar y limpiar'!J327</f>
        <v/>
      </c>
      <c r="K313">
        <f>'2 transformar y limpiar'!K327</f>
        <v/>
      </c>
      <c r="L313">
        <f>'2 transformar y limpiar'!L327</f>
        <v/>
      </c>
      <c r="M313">
        <f>'2 transformar y limpiar'!M327</f>
        <v/>
      </c>
      <c r="N313">
        <f>'2 transformar y limpiar'!N327</f>
        <v/>
      </c>
      <c r="O313">
        <f>'2 transformar y limpiar'!O327</f>
        <v/>
      </c>
      <c r="P313">
        <f>'2 transformar y limpiar'!P327</f>
        <v/>
      </c>
      <c r="Q313">
        <f>'2 transformar y limpiar'!Q327</f>
        <v/>
      </c>
      <c r="R313">
        <f>'2 transformar y limpiar'!R327</f>
        <v/>
      </c>
      <c r="S313">
        <f>'2 transformar y limpiar'!S327</f>
        <v/>
      </c>
      <c r="T313">
        <f>'2 transformar y limpiar'!T327</f>
        <v/>
      </c>
      <c r="U313" s="5">
        <f>'2 transformar y limpiar'!U327</f>
        <v/>
      </c>
    </row>
    <row r="314">
      <c r="A314">
        <f>'2 transformar y limpiar'!A328</f>
        <v/>
      </c>
      <c r="B314">
        <f>'2 transformar y limpiar'!B328</f>
        <v/>
      </c>
      <c r="C314" s="6">
        <f>('2 transformar y limpiar'!C328-$B$6)/$C$6</f>
        <v/>
      </c>
      <c r="D314" s="6">
        <f>('2 transformar y limpiar'!D328-$B$7)/$C$7</f>
        <v/>
      </c>
      <c r="E314" s="6">
        <f>('2 transformar y limpiar'!E328-$B$8)/$C$8</f>
        <v/>
      </c>
      <c r="F314" s="6">
        <f>('2 transformar y limpiar'!F328-$B$9)/$C$9</f>
        <v/>
      </c>
      <c r="G314">
        <f>'2 transformar y limpiar'!G328</f>
        <v/>
      </c>
      <c r="H314">
        <f>'2 transformar y limpiar'!H328</f>
        <v/>
      </c>
      <c r="I314">
        <f>'2 transformar y limpiar'!I328</f>
        <v/>
      </c>
      <c r="J314">
        <f>'2 transformar y limpiar'!J328</f>
        <v/>
      </c>
      <c r="K314">
        <f>'2 transformar y limpiar'!K328</f>
        <v/>
      </c>
      <c r="L314">
        <f>'2 transformar y limpiar'!L328</f>
        <v/>
      </c>
      <c r="M314">
        <f>'2 transformar y limpiar'!M328</f>
        <v/>
      </c>
      <c r="N314">
        <f>'2 transformar y limpiar'!N328</f>
        <v/>
      </c>
      <c r="O314">
        <f>'2 transformar y limpiar'!O328</f>
        <v/>
      </c>
      <c r="P314">
        <f>'2 transformar y limpiar'!P328</f>
        <v/>
      </c>
      <c r="Q314">
        <f>'2 transformar y limpiar'!Q328</f>
        <v/>
      </c>
      <c r="R314">
        <f>'2 transformar y limpiar'!R328</f>
        <v/>
      </c>
      <c r="S314">
        <f>'2 transformar y limpiar'!S328</f>
        <v/>
      </c>
      <c r="T314">
        <f>'2 transformar y limpiar'!T328</f>
        <v/>
      </c>
      <c r="U314" s="5">
        <f>'2 transformar y limpiar'!U328</f>
        <v/>
      </c>
    </row>
    <row r="315">
      <c r="A315">
        <f>'2 transformar y limpiar'!A329</f>
        <v/>
      </c>
      <c r="B315">
        <f>'2 transformar y limpiar'!B329</f>
        <v/>
      </c>
      <c r="C315" s="6">
        <f>('2 transformar y limpiar'!C329-$B$6)/$C$6</f>
        <v/>
      </c>
      <c r="D315" s="6">
        <f>('2 transformar y limpiar'!D329-$B$7)/$C$7</f>
        <v/>
      </c>
      <c r="E315" s="6">
        <f>('2 transformar y limpiar'!E329-$B$8)/$C$8</f>
        <v/>
      </c>
      <c r="F315" s="6">
        <f>('2 transformar y limpiar'!F329-$B$9)/$C$9</f>
        <v/>
      </c>
      <c r="G315">
        <f>'2 transformar y limpiar'!G329</f>
        <v/>
      </c>
      <c r="H315">
        <f>'2 transformar y limpiar'!H329</f>
        <v/>
      </c>
      <c r="I315">
        <f>'2 transformar y limpiar'!I329</f>
        <v/>
      </c>
      <c r="J315">
        <f>'2 transformar y limpiar'!J329</f>
        <v/>
      </c>
      <c r="K315">
        <f>'2 transformar y limpiar'!K329</f>
        <v/>
      </c>
      <c r="L315">
        <f>'2 transformar y limpiar'!L329</f>
        <v/>
      </c>
      <c r="M315">
        <f>'2 transformar y limpiar'!M329</f>
        <v/>
      </c>
      <c r="N315">
        <f>'2 transformar y limpiar'!N329</f>
        <v/>
      </c>
      <c r="O315">
        <f>'2 transformar y limpiar'!O329</f>
        <v/>
      </c>
      <c r="P315">
        <f>'2 transformar y limpiar'!P329</f>
        <v/>
      </c>
      <c r="Q315">
        <f>'2 transformar y limpiar'!Q329</f>
        <v/>
      </c>
      <c r="R315">
        <f>'2 transformar y limpiar'!R329</f>
        <v/>
      </c>
      <c r="S315">
        <f>'2 transformar y limpiar'!S329</f>
        <v/>
      </c>
      <c r="T315">
        <f>'2 transformar y limpiar'!T329</f>
        <v/>
      </c>
      <c r="U315" s="5">
        <f>'2 transformar y limpiar'!U329</f>
        <v/>
      </c>
    </row>
    <row r="316">
      <c r="A316">
        <f>'2 transformar y limpiar'!A330</f>
        <v/>
      </c>
      <c r="B316">
        <f>'2 transformar y limpiar'!B330</f>
        <v/>
      </c>
      <c r="C316" s="6">
        <f>('2 transformar y limpiar'!C330-$B$6)/$C$6</f>
        <v/>
      </c>
      <c r="D316" s="6">
        <f>('2 transformar y limpiar'!D330-$B$7)/$C$7</f>
        <v/>
      </c>
      <c r="E316" s="6">
        <f>('2 transformar y limpiar'!E330-$B$8)/$C$8</f>
        <v/>
      </c>
      <c r="F316" s="6">
        <f>('2 transformar y limpiar'!F330-$B$9)/$C$9</f>
        <v/>
      </c>
      <c r="G316">
        <f>'2 transformar y limpiar'!G330</f>
        <v/>
      </c>
      <c r="H316">
        <f>'2 transformar y limpiar'!H330</f>
        <v/>
      </c>
      <c r="I316">
        <f>'2 transformar y limpiar'!I330</f>
        <v/>
      </c>
      <c r="J316">
        <f>'2 transformar y limpiar'!J330</f>
        <v/>
      </c>
      <c r="K316">
        <f>'2 transformar y limpiar'!K330</f>
        <v/>
      </c>
      <c r="L316">
        <f>'2 transformar y limpiar'!L330</f>
        <v/>
      </c>
      <c r="M316">
        <f>'2 transformar y limpiar'!M330</f>
        <v/>
      </c>
      <c r="N316">
        <f>'2 transformar y limpiar'!N330</f>
        <v/>
      </c>
      <c r="O316">
        <f>'2 transformar y limpiar'!O330</f>
        <v/>
      </c>
      <c r="P316">
        <f>'2 transformar y limpiar'!P330</f>
        <v/>
      </c>
      <c r="Q316">
        <f>'2 transformar y limpiar'!Q330</f>
        <v/>
      </c>
      <c r="R316">
        <f>'2 transformar y limpiar'!R330</f>
        <v/>
      </c>
      <c r="S316">
        <f>'2 transformar y limpiar'!S330</f>
        <v/>
      </c>
      <c r="T316">
        <f>'2 transformar y limpiar'!T330</f>
        <v/>
      </c>
      <c r="U316" s="5">
        <f>'2 transformar y limpiar'!U330</f>
        <v/>
      </c>
    </row>
    <row r="317">
      <c r="A317">
        <f>'2 transformar y limpiar'!A331</f>
        <v/>
      </c>
      <c r="B317">
        <f>'2 transformar y limpiar'!B331</f>
        <v/>
      </c>
      <c r="C317" s="6">
        <f>('2 transformar y limpiar'!C331-$B$6)/$C$6</f>
        <v/>
      </c>
      <c r="D317" s="6">
        <f>('2 transformar y limpiar'!D331-$B$7)/$C$7</f>
        <v/>
      </c>
      <c r="E317" s="6">
        <f>('2 transformar y limpiar'!E331-$B$8)/$C$8</f>
        <v/>
      </c>
      <c r="F317" s="6">
        <f>('2 transformar y limpiar'!F331-$B$9)/$C$9</f>
        <v/>
      </c>
      <c r="G317">
        <f>'2 transformar y limpiar'!G331</f>
        <v/>
      </c>
      <c r="H317">
        <f>'2 transformar y limpiar'!H331</f>
        <v/>
      </c>
      <c r="I317">
        <f>'2 transformar y limpiar'!I331</f>
        <v/>
      </c>
      <c r="J317">
        <f>'2 transformar y limpiar'!J331</f>
        <v/>
      </c>
      <c r="K317">
        <f>'2 transformar y limpiar'!K331</f>
        <v/>
      </c>
      <c r="L317">
        <f>'2 transformar y limpiar'!L331</f>
        <v/>
      </c>
      <c r="M317">
        <f>'2 transformar y limpiar'!M331</f>
        <v/>
      </c>
      <c r="N317">
        <f>'2 transformar y limpiar'!N331</f>
        <v/>
      </c>
      <c r="O317">
        <f>'2 transformar y limpiar'!O331</f>
        <v/>
      </c>
      <c r="P317">
        <f>'2 transformar y limpiar'!P331</f>
        <v/>
      </c>
      <c r="Q317">
        <f>'2 transformar y limpiar'!Q331</f>
        <v/>
      </c>
      <c r="R317">
        <f>'2 transformar y limpiar'!R331</f>
        <v/>
      </c>
      <c r="S317">
        <f>'2 transformar y limpiar'!S331</f>
        <v/>
      </c>
      <c r="T317">
        <f>'2 transformar y limpiar'!T331</f>
        <v/>
      </c>
      <c r="U317" s="5">
        <f>'2 transformar y limpiar'!U331</f>
        <v/>
      </c>
    </row>
    <row r="318">
      <c r="A318">
        <f>'2 transformar y limpiar'!A332</f>
        <v/>
      </c>
      <c r="B318">
        <f>'2 transformar y limpiar'!B332</f>
        <v/>
      </c>
      <c r="C318" s="6">
        <f>('2 transformar y limpiar'!C332-$B$6)/$C$6</f>
        <v/>
      </c>
      <c r="D318" s="6">
        <f>('2 transformar y limpiar'!D332-$B$7)/$C$7</f>
        <v/>
      </c>
      <c r="E318" s="6">
        <f>('2 transformar y limpiar'!E332-$B$8)/$C$8</f>
        <v/>
      </c>
      <c r="F318" s="6">
        <f>('2 transformar y limpiar'!F332-$B$9)/$C$9</f>
        <v/>
      </c>
      <c r="G318">
        <f>'2 transformar y limpiar'!G332</f>
        <v/>
      </c>
      <c r="H318">
        <f>'2 transformar y limpiar'!H332</f>
        <v/>
      </c>
      <c r="I318">
        <f>'2 transformar y limpiar'!I332</f>
        <v/>
      </c>
      <c r="J318">
        <f>'2 transformar y limpiar'!J332</f>
        <v/>
      </c>
      <c r="K318">
        <f>'2 transformar y limpiar'!K332</f>
        <v/>
      </c>
      <c r="L318">
        <f>'2 transformar y limpiar'!L332</f>
        <v/>
      </c>
      <c r="M318">
        <f>'2 transformar y limpiar'!M332</f>
        <v/>
      </c>
      <c r="N318">
        <f>'2 transformar y limpiar'!N332</f>
        <v/>
      </c>
      <c r="O318">
        <f>'2 transformar y limpiar'!O332</f>
        <v/>
      </c>
      <c r="P318">
        <f>'2 transformar y limpiar'!P332</f>
        <v/>
      </c>
      <c r="Q318">
        <f>'2 transformar y limpiar'!Q332</f>
        <v/>
      </c>
      <c r="R318">
        <f>'2 transformar y limpiar'!R332</f>
        <v/>
      </c>
      <c r="S318">
        <f>'2 transformar y limpiar'!S332</f>
        <v/>
      </c>
      <c r="T318">
        <f>'2 transformar y limpiar'!T332</f>
        <v/>
      </c>
      <c r="U318" s="5">
        <f>'2 transformar y limpiar'!U332</f>
        <v/>
      </c>
    </row>
    <row r="319">
      <c r="A319">
        <f>'2 transformar y limpiar'!A333</f>
        <v/>
      </c>
      <c r="B319">
        <f>'2 transformar y limpiar'!B333</f>
        <v/>
      </c>
      <c r="C319" s="6">
        <f>('2 transformar y limpiar'!C333-$B$6)/$C$6</f>
        <v/>
      </c>
      <c r="D319" s="6">
        <f>('2 transformar y limpiar'!D333-$B$7)/$C$7</f>
        <v/>
      </c>
      <c r="E319" s="6">
        <f>('2 transformar y limpiar'!E333-$B$8)/$C$8</f>
        <v/>
      </c>
      <c r="F319" s="6">
        <f>('2 transformar y limpiar'!F333-$B$9)/$C$9</f>
        <v/>
      </c>
      <c r="G319">
        <f>'2 transformar y limpiar'!G333</f>
        <v/>
      </c>
      <c r="H319">
        <f>'2 transformar y limpiar'!H333</f>
        <v/>
      </c>
      <c r="I319">
        <f>'2 transformar y limpiar'!I333</f>
        <v/>
      </c>
      <c r="J319">
        <f>'2 transformar y limpiar'!J333</f>
        <v/>
      </c>
      <c r="K319">
        <f>'2 transformar y limpiar'!K333</f>
        <v/>
      </c>
      <c r="L319">
        <f>'2 transformar y limpiar'!L333</f>
        <v/>
      </c>
      <c r="M319">
        <f>'2 transformar y limpiar'!M333</f>
        <v/>
      </c>
      <c r="N319">
        <f>'2 transformar y limpiar'!N333</f>
        <v/>
      </c>
      <c r="O319">
        <f>'2 transformar y limpiar'!O333</f>
        <v/>
      </c>
      <c r="P319">
        <f>'2 transformar y limpiar'!P333</f>
        <v/>
      </c>
      <c r="Q319">
        <f>'2 transformar y limpiar'!Q333</f>
        <v/>
      </c>
      <c r="R319">
        <f>'2 transformar y limpiar'!R333</f>
        <v/>
      </c>
      <c r="S319">
        <f>'2 transformar y limpiar'!S333</f>
        <v/>
      </c>
      <c r="T319">
        <f>'2 transformar y limpiar'!T333</f>
        <v/>
      </c>
      <c r="U319" s="5">
        <f>'2 transformar y limpiar'!U333</f>
        <v/>
      </c>
    </row>
    <row r="320">
      <c r="A320">
        <f>'2 transformar y limpiar'!A334</f>
        <v/>
      </c>
      <c r="B320">
        <f>'2 transformar y limpiar'!B334</f>
        <v/>
      </c>
      <c r="C320" s="6">
        <f>('2 transformar y limpiar'!C334-$B$6)/$C$6</f>
        <v/>
      </c>
      <c r="D320" s="6">
        <f>('2 transformar y limpiar'!D334-$B$7)/$C$7</f>
        <v/>
      </c>
      <c r="E320" s="6">
        <f>('2 transformar y limpiar'!E334-$B$8)/$C$8</f>
        <v/>
      </c>
      <c r="F320" s="6">
        <f>('2 transformar y limpiar'!F334-$B$9)/$C$9</f>
        <v/>
      </c>
      <c r="G320">
        <f>'2 transformar y limpiar'!G334</f>
        <v/>
      </c>
      <c r="H320">
        <f>'2 transformar y limpiar'!H334</f>
        <v/>
      </c>
      <c r="I320">
        <f>'2 transformar y limpiar'!I334</f>
        <v/>
      </c>
      <c r="J320">
        <f>'2 transformar y limpiar'!J334</f>
        <v/>
      </c>
      <c r="K320">
        <f>'2 transformar y limpiar'!K334</f>
        <v/>
      </c>
      <c r="L320">
        <f>'2 transformar y limpiar'!L334</f>
        <v/>
      </c>
      <c r="M320">
        <f>'2 transformar y limpiar'!M334</f>
        <v/>
      </c>
      <c r="N320">
        <f>'2 transformar y limpiar'!N334</f>
        <v/>
      </c>
      <c r="O320">
        <f>'2 transformar y limpiar'!O334</f>
        <v/>
      </c>
      <c r="P320">
        <f>'2 transformar y limpiar'!P334</f>
        <v/>
      </c>
      <c r="Q320">
        <f>'2 transformar y limpiar'!Q334</f>
        <v/>
      </c>
      <c r="R320">
        <f>'2 transformar y limpiar'!R334</f>
        <v/>
      </c>
      <c r="S320">
        <f>'2 transformar y limpiar'!S334</f>
        <v/>
      </c>
      <c r="T320">
        <f>'2 transformar y limpiar'!T334</f>
        <v/>
      </c>
      <c r="U320" s="5">
        <f>'2 transformar y limpiar'!U334</f>
        <v/>
      </c>
    </row>
    <row r="321">
      <c r="A321">
        <f>'2 transformar y limpiar'!A335</f>
        <v/>
      </c>
      <c r="B321">
        <f>'2 transformar y limpiar'!B335</f>
        <v/>
      </c>
      <c r="C321" s="6">
        <f>('2 transformar y limpiar'!C335-$B$6)/$C$6</f>
        <v/>
      </c>
      <c r="D321" s="6">
        <f>('2 transformar y limpiar'!D335-$B$7)/$C$7</f>
        <v/>
      </c>
      <c r="E321" s="6">
        <f>('2 transformar y limpiar'!E335-$B$8)/$C$8</f>
        <v/>
      </c>
      <c r="F321" s="6">
        <f>('2 transformar y limpiar'!F335-$B$9)/$C$9</f>
        <v/>
      </c>
      <c r="G321">
        <f>'2 transformar y limpiar'!G335</f>
        <v/>
      </c>
      <c r="H321">
        <f>'2 transformar y limpiar'!H335</f>
        <v/>
      </c>
      <c r="I321">
        <f>'2 transformar y limpiar'!I335</f>
        <v/>
      </c>
      <c r="J321">
        <f>'2 transformar y limpiar'!J335</f>
        <v/>
      </c>
      <c r="K321">
        <f>'2 transformar y limpiar'!K335</f>
        <v/>
      </c>
      <c r="L321">
        <f>'2 transformar y limpiar'!L335</f>
        <v/>
      </c>
      <c r="M321">
        <f>'2 transformar y limpiar'!M335</f>
        <v/>
      </c>
      <c r="N321">
        <f>'2 transformar y limpiar'!N335</f>
        <v/>
      </c>
      <c r="O321">
        <f>'2 transformar y limpiar'!O335</f>
        <v/>
      </c>
      <c r="P321">
        <f>'2 transformar y limpiar'!P335</f>
        <v/>
      </c>
      <c r="Q321">
        <f>'2 transformar y limpiar'!Q335</f>
        <v/>
      </c>
      <c r="R321">
        <f>'2 transformar y limpiar'!R335</f>
        <v/>
      </c>
      <c r="S321">
        <f>'2 transformar y limpiar'!S335</f>
        <v/>
      </c>
      <c r="T321">
        <f>'2 transformar y limpiar'!T335</f>
        <v/>
      </c>
      <c r="U321" s="5">
        <f>'2 transformar y limpiar'!U335</f>
        <v/>
      </c>
    </row>
    <row r="322">
      <c r="A322">
        <f>'2 transformar y limpiar'!A336</f>
        <v/>
      </c>
      <c r="B322">
        <f>'2 transformar y limpiar'!B336</f>
        <v/>
      </c>
      <c r="C322" s="6">
        <f>('2 transformar y limpiar'!C336-$B$6)/$C$6</f>
        <v/>
      </c>
      <c r="D322" s="6">
        <f>('2 transformar y limpiar'!D336-$B$7)/$C$7</f>
        <v/>
      </c>
      <c r="E322" s="6">
        <f>('2 transformar y limpiar'!E336-$B$8)/$C$8</f>
        <v/>
      </c>
      <c r="F322" s="6">
        <f>('2 transformar y limpiar'!F336-$B$9)/$C$9</f>
        <v/>
      </c>
      <c r="G322">
        <f>'2 transformar y limpiar'!G336</f>
        <v/>
      </c>
      <c r="H322">
        <f>'2 transformar y limpiar'!H336</f>
        <v/>
      </c>
      <c r="I322">
        <f>'2 transformar y limpiar'!I336</f>
        <v/>
      </c>
      <c r="J322">
        <f>'2 transformar y limpiar'!J336</f>
        <v/>
      </c>
      <c r="K322">
        <f>'2 transformar y limpiar'!K336</f>
        <v/>
      </c>
      <c r="L322">
        <f>'2 transformar y limpiar'!L336</f>
        <v/>
      </c>
      <c r="M322">
        <f>'2 transformar y limpiar'!M336</f>
        <v/>
      </c>
      <c r="N322">
        <f>'2 transformar y limpiar'!N336</f>
        <v/>
      </c>
      <c r="O322">
        <f>'2 transformar y limpiar'!O336</f>
        <v/>
      </c>
      <c r="P322">
        <f>'2 transformar y limpiar'!P336</f>
        <v/>
      </c>
      <c r="Q322">
        <f>'2 transformar y limpiar'!Q336</f>
        <v/>
      </c>
      <c r="R322">
        <f>'2 transformar y limpiar'!R336</f>
        <v/>
      </c>
      <c r="S322">
        <f>'2 transformar y limpiar'!S336</f>
        <v/>
      </c>
      <c r="T322">
        <f>'2 transformar y limpiar'!T336</f>
        <v/>
      </c>
      <c r="U322" s="5">
        <f>'2 transformar y limpiar'!U336</f>
        <v/>
      </c>
    </row>
    <row r="323">
      <c r="A323">
        <f>'2 transformar y limpiar'!A337</f>
        <v/>
      </c>
      <c r="B323">
        <f>'2 transformar y limpiar'!B337</f>
        <v/>
      </c>
      <c r="C323" s="6">
        <f>('2 transformar y limpiar'!C337-$B$6)/$C$6</f>
        <v/>
      </c>
      <c r="D323" s="6">
        <f>('2 transformar y limpiar'!D337-$B$7)/$C$7</f>
        <v/>
      </c>
      <c r="E323" s="6">
        <f>('2 transformar y limpiar'!E337-$B$8)/$C$8</f>
        <v/>
      </c>
      <c r="F323" s="6">
        <f>('2 transformar y limpiar'!F337-$B$9)/$C$9</f>
        <v/>
      </c>
      <c r="G323">
        <f>'2 transformar y limpiar'!G337</f>
        <v/>
      </c>
      <c r="H323">
        <f>'2 transformar y limpiar'!H337</f>
        <v/>
      </c>
      <c r="I323">
        <f>'2 transformar y limpiar'!I337</f>
        <v/>
      </c>
      <c r="J323">
        <f>'2 transformar y limpiar'!J337</f>
        <v/>
      </c>
      <c r="K323">
        <f>'2 transformar y limpiar'!K337</f>
        <v/>
      </c>
      <c r="L323">
        <f>'2 transformar y limpiar'!L337</f>
        <v/>
      </c>
      <c r="M323">
        <f>'2 transformar y limpiar'!M337</f>
        <v/>
      </c>
      <c r="N323">
        <f>'2 transformar y limpiar'!N337</f>
        <v/>
      </c>
      <c r="O323">
        <f>'2 transformar y limpiar'!O337</f>
        <v/>
      </c>
      <c r="P323">
        <f>'2 transformar y limpiar'!P337</f>
        <v/>
      </c>
      <c r="Q323">
        <f>'2 transformar y limpiar'!Q337</f>
        <v/>
      </c>
      <c r="R323">
        <f>'2 transformar y limpiar'!R337</f>
        <v/>
      </c>
      <c r="S323">
        <f>'2 transformar y limpiar'!S337</f>
        <v/>
      </c>
      <c r="T323">
        <f>'2 transformar y limpiar'!T337</f>
        <v/>
      </c>
      <c r="U323" s="5">
        <f>'2 transformar y limpiar'!U337</f>
        <v/>
      </c>
    </row>
    <row r="324">
      <c r="A324">
        <f>'2 transformar y limpiar'!A338</f>
        <v/>
      </c>
      <c r="B324">
        <f>'2 transformar y limpiar'!B338</f>
        <v/>
      </c>
      <c r="C324" s="6">
        <f>('2 transformar y limpiar'!C338-$B$6)/$C$6</f>
        <v/>
      </c>
      <c r="D324" s="6">
        <f>('2 transformar y limpiar'!D338-$B$7)/$C$7</f>
        <v/>
      </c>
      <c r="E324" s="6">
        <f>('2 transformar y limpiar'!E338-$B$8)/$C$8</f>
        <v/>
      </c>
      <c r="F324" s="6">
        <f>('2 transformar y limpiar'!F338-$B$9)/$C$9</f>
        <v/>
      </c>
      <c r="G324">
        <f>'2 transformar y limpiar'!G338</f>
        <v/>
      </c>
      <c r="H324">
        <f>'2 transformar y limpiar'!H338</f>
        <v/>
      </c>
      <c r="I324">
        <f>'2 transformar y limpiar'!I338</f>
        <v/>
      </c>
      <c r="J324">
        <f>'2 transformar y limpiar'!J338</f>
        <v/>
      </c>
      <c r="K324">
        <f>'2 transformar y limpiar'!K338</f>
        <v/>
      </c>
      <c r="L324">
        <f>'2 transformar y limpiar'!L338</f>
        <v/>
      </c>
      <c r="M324">
        <f>'2 transformar y limpiar'!M338</f>
        <v/>
      </c>
      <c r="N324">
        <f>'2 transformar y limpiar'!N338</f>
        <v/>
      </c>
      <c r="O324">
        <f>'2 transformar y limpiar'!O338</f>
        <v/>
      </c>
      <c r="P324">
        <f>'2 transformar y limpiar'!P338</f>
        <v/>
      </c>
      <c r="Q324">
        <f>'2 transformar y limpiar'!Q338</f>
        <v/>
      </c>
      <c r="R324">
        <f>'2 transformar y limpiar'!R338</f>
        <v/>
      </c>
      <c r="S324">
        <f>'2 transformar y limpiar'!S338</f>
        <v/>
      </c>
      <c r="T324">
        <f>'2 transformar y limpiar'!T338</f>
        <v/>
      </c>
      <c r="U324" s="5">
        <f>'2 transformar y limpiar'!U338</f>
        <v/>
      </c>
    </row>
    <row r="325">
      <c r="A325">
        <f>'2 transformar y limpiar'!A339</f>
        <v/>
      </c>
      <c r="B325">
        <f>'2 transformar y limpiar'!B339</f>
        <v/>
      </c>
      <c r="C325" s="6">
        <f>('2 transformar y limpiar'!C339-$B$6)/$C$6</f>
        <v/>
      </c>
      <c r="D325" s="6">
        <f>('2 transformar y limpiar'!D339-$B$7)/$C$7</f>
        <v/>
      </c>
      <c r="E325" s="6">
        <f>('2 transformar y limpiar'!E339-$B$8)/$C$8</f>
        <v/>
      </c>
      <c r="F325" s="6">
        <f>('2 transformar y limpiar'!F339-$B$9)/$C$9</f>
        <v/>
      </c>
      <c r="G325">
        <f>'2 transformar y limpiar'!G339</f>
        <v/>
      </c>
      <c r="H325">
        <f>'2 transformar y limpiar'!H339</f>
        <v/>
      </c>
      <c r="I325">
        <f>'2 transformar y limpiar'!I339</f>
        <v/>
      </c>
      <c r="J325">
        <f>'2 transformar y limpiar'!J339</f>
        <v/>
      </c>
      <c r="K325">
        <f>'2 transformar y limpiar'!K339</f>
        <v/>
      </c>
      <c r="L325">
        <f>'2 transformar y limpiar'!L339</f>
        <v/>
      </c>
      <c r="M325">
        <f>'2 transformar y limpiar'!M339</f>
        <v/>
      </c>
      <c r="N325">
        <f>'2 transformar y limpiar'!N339</f>
        <v/>
      </c>
      <c r="O325">
        <f>'2 transformar y limpiar'!O339</f>
        <v/>
      </c>
      <c r="P325">
        <f>'2 transformar y limpiar'!P339</f>
        <v/>
      </c>
      <c r="Q325">
        <f>'2 transformar y limpiar'!Q339</f>
        <v/>
      </c>
      <c r="R325">
        <f>'2 transformar y limpiar'!R339</f>
        <v/>
      </c>
      <c r="S325">
        <f>'2 transformar y limpiar'!S339</f>
        <v/>
      </c>
      <c r="T325">
        <f>'2 transformar y limpiar'!T339</f>
        <v/>
      </c>
      <c r="U325" s="5">
        <f>'2 transformar y limpiar'!U339</f>
        <v/>
      </c>
    </row>
    <row r="326">
      <c r="A326">
        <f>'2 transformar y limpiar'!A340</f>
        <v/>
      </c>
      <c r="B326">
        <f>'2 transformar y limpiar'!B340</f>
        <v/>
      </c>
      <c r="C326" s="6">
        <f>('2 transformar y limpiar'!C340-$B$6)/$C$6</f>
        <v/>
      </c>
      <c r="D326" s="6">
        <f>('2 transformar y limpiar'!D340-$B$7)/$C$7</f>
        <v/>
      </c>
      <c r="E326" s="6">
        <f>('2 transformar y limpiar'!E340-$B$8)/$C$8</f>
        <v/>
      </c>
      <c r="F326" s="6">
        <f>('2 transformar y limpiar'!F340-$B$9)/$C$9</f>
        <v/>
      </c>
      <c r="G326">
        <f>'2 transformar y limpiar'!G340</f>
        <v/>
      </c>
      <c r="H326">
        <f>'2 transformar y limpiar'!H340</f>
        <v/>
      </c>
      <c r="I326">
        <f>'2 transformar y limpiar'!I340</f>
        <v/>
      </c>
      <c r="J326">
        <f>'2 transformar y limpiar'!J340</f>
        <v/>
      </c>
      <c r="K326">
        <f>'2 transformar y limpiar'!K340</f>
        <v/>
      </c>
      <c r="L326">
        <f>'2 transformar y limpiar'!L340</f>
        <v/>
      </c>
      <c r="M326">
        <f>'2 transformar y limpiar'!M340</f>
        <v/>
      </c>
      <c r="N326">
        <f>'2 transformar y limpiar'!N340</f>
        <v/>
      </c>
      <c r="O326">
        <f>'2 transformar y limpiar'!O340</f>
        <v/>
      </c>
      <c r="P326">
        <f>'2 transformar y limpiar'!P340</f>
        <v/>
      </c>
      <c r="Q326">
        <f>'2 transformar y limpiar'!Q340</f>
        <v/>
      </c>
      <c r="R326">
        <f>'2 transformar y limpiar'!R340</f>
        <v/>
      </c>
      <c r="S326">
        <f>'2 transformar y limpiar'!S340</f>
        <v/>
      </c>
      <c r="T326">
        <f>'2 transformar y limpiar'!T340</f>
        <v/>
      </c>
      <c r="U326" s="5">
        <f>'2 transformar y limpiar'!U340</f>
        <v/>
      </c>
    </row>
    <row r="327">
      <c r="A327">
        <f>'2 transformar y limpiar'!A341</f>
        <v/>
      </c>
      <c r="B327">
        <f>'2 transformar y limpiar'!B341</f>
        <v/>
      </c>
      <c r="C327" s="6">
        <f>('2 transformar y limpiar'!C341-$B$6)/$C$6</f>
        <v/>
      </c>
      <c r="D327" s="6">
        <f>('2 transformar y limpiar'!D341-$B$7)/$C$7</f>
        <v/>
      </c>
      <c r="E327" s="6">
        <f>('2 transformar y limpiar'!E341-$B$8)/$C$8</f>
        <v/>
      </c>
      <c r="F327" s="6">
        <f>('2 transformar y limpiar'!F341-$B$9)/$C$9</f>
        <v/>
      </c>
      <c r="G327">
        <f>'2 transformar y limpiar'!G341</f>
        <v/>
      </c>
      <c r="H327">
        <f>'2 transformar y limpiar'!H341</f>
        <v/>
      </c>
      <c r="I327">
        <f>'2 transformar y limpiar'!I341</f>
        <v/>
      </c>
      <c r="J327">
        <f>'2 transformar y limpiar'!J341</f>
        <v/>
      </c>
      <c r="K327">
        <f>'2 transformar y limpiar'!K341</f>
        <v/>
      </c>
      <c r="L327">
        <f>'2 transformar y limpiar'!L341</f>
        <v/>
      </c>
      <c r="M327">
        <f>'2 transformar y limpiar'!M341</f>
        <v/>
      </c>
      <c r="N327">
        <f>'2 transformar y limpiar'!N341</f>
        <v/>
      </c>
      <c r="O327">
        <f>'2 transformar y limpiar'!O341</f>
        <v/>
      </c>
      <c r="P327">
        <f>'2 transformar y limpiar'!P341</f>
        <v/>
      </c>
      <c r="Q327">
        <f>'2 transformar y limpiar'!Q341</f>
        <v/>
      </c>
      <c r="R327">
        <f>'2 transformar y limpiar'!R341</f>
        <v/>
      </c>
      <c r="S327">
        <f>'2 transformar y limpiar'!S341</f>
        <v/>
      </c>
      <c r="T327">
        <f>'2 transformar y limpiar'!T341</f>
        <v/>
      </c>
      <c r="U327" s="5">
        <f>'2 transformar y limpiar'!U341</f>
        <v/>
      </c>
    </row>
    <row r="328">
      <c r="A328">
        <f>'2 transformar y limpiar'!A342</f>
        <v/>
      </c>
      <c r="B328">
        <f>'2 transformar y limpiar'!B342</f>
        <v/>
      </c>
      <c r="C328" s="6">
        <f>('2 transformar y limpiar'!C342-$B$6)/$C$6</f>
        <v/>
      </c>
      <c r="D328" s="6">
        <f>('2 transformar y limpiar'!D342-$B$7)/$C$7</f>
        <v/>
      </c>
      <c r="E328" s="6">
        <f>('2 transformar y limpiar'!E342-$B$8)/$C$8</f>
        <v/>
      </c>
      <c r="F328" s="6">
        <f>('2 transformar y limpiar'!F342-$B$9)/$C$9</f>
        <v/>
      </c>
      <c r="G328">
        <f>'2 transformar y limpiar'!G342</f>
        <v/>
      </c>
      <c r="H328">
        <f>'2 transformar y limpiar'!H342</f>
        <v/>
      </c>
      <c r="I328">
        <f>'2 transformar y limpiar'!I342</f>
        <v/>
      </c>
      <c r="J328">
        <f>'2 transformar y limpiar'!J342</f>
        <v/>
      </c>
      <c r="K328">
        <f>'2 transformar y limpiar'!K342</f>
        <v/>
      </c>
      <c r="L328">
        <f>'2 transformar y limpiar'!L342</f>
        <v/>
      </c>
      <c r="M328">
        <f>'2 transformar y limpiar'!M342</f>
        <v/>
      </c>
      <c r="N328">
        <f>'2 transformar y limpiar'!N342</f>
        <v/>
      </c>
      <c r="O328">
        <f>'2 transformar y limpiar'!O342</f>
        <v/>
      </c>
      <c r="P328">
        <f>'2 transformar y limpiar'!P342</f>
        <v/>
      </c>
      <c r="Q328">
        <f>'2 transformar y limpiar'!Q342</f>
        <v/>
      </c>
      <c r="R328">
        <f>'2 transformar y limpiar'!R342</f>
        <v/>
      </c>
      <c r="S328">
        <f>'2 transformar y limpiar'!S342</f>
        <v/>
      </c>
      <c r="T328">
        <f>'2 transformar y limpiar'!T342</f>
        <v/>
      </c>
      <c r="U328" s="5">
        <f>'2 transformar y limpiar'!U342</f>
        <v/>
      </c>
    </row>
    <row r="329">
      <c r="A329">
        <f>'2 transformar y limpiar'!A343</f>
        <v/>
      </c>
      <c r="B329">
        <f>'2 transformar y limpiar'!B343</f>
        <v/>
      </c>
      <c r="C329" s="6">
        <f>('2 transformar y limpiar'!C343-$B$6)/$C$6</f>
        <v/>
      </c>
      <c r="D329" s="6">
        <f>('2 transformar y limpiar'!D343-$B$7)/$C$7</f>
        <v/>
      </c>
      <c r="E329" s="6">
        <f>('2 transformar y limpiar'!E343-$B$8)/$C$8</f>
        <v/>
      </c>
      <c r="F329" s="6">
        <f>('2 transformar y limpiar'!F343-$B$9)/$C$9</f>
        <v/>
      </c>
      <c r="G329">
        <f>'2 transformar y limpiar'!G343</f>
        <v/>
      </c>
      <c r="H329">
        <f>'2 transformar y limpiar'!H343</f>
        <v/>
      </c>
      <c r="I329">
        <f>'2 transformar y limpiar'!I343</f>
        <v/>
      </c>
      <c r="J329">
        <f>'2 transformar y limpiar'!J343</f>
        <v/>
      </c>
      <c r="K329">
        <f>'2 transformar y limpiar'!K343</f>
        <v/>
      </c>
      <c r="L329">
        <f>'2 transformar y limpiar'!L343</f>
        <v/>
      </c>
      <c r="M329">
        <f>'2 transformar y limpiar'!M343</f>
        <v/>
      </c>
      <c r="N329">
        <f>'2 transformar y limpiar'!N343</f>
        <v/>
      </c>
      <c r="O329">
        <f>'2 transformar y limpiar'!O343</f>
        <v/>
      </c>
      <c r="P329">
        <f>'2 transformar y limpiar'!P343</f>
        <v/>
      </c>
      <c r="Q329">
        <f>'2 transformar y limpiar'!Q343</f>
        <v/>
      </c>
      <c r="R329">
        <f>'2 transformar y limpiar'!R343</f>
        <v/>
      </c>
      <c r="S329">
        <f>'2 transformar y limpiar'!S343</f>
        <v/>
      </c>
      <c r="T329">
        <f>'2 transformar y limpiar'!T343</f>
        <v/>
      </c>
      <c r="U329" s="5">
        <f>'2 transformar y limpiar'!U343</f>
        <v/>
      </c>
    </row>
    <row r="330">
      <c r="A330">
        <f>'2 transformar y limpiar'!A344</f>
        <v/>
      </c>
      <c r="B330">
        <f>'2 transformar y limpiar'!B344</f>
        <v/>
      </c>
      <c r="C330" s="6">
        <f>('2 transformar y limpiar'!C344-$B$6)/$C$6</f>
        <v/>
      </c>
      <c r="D330" s="6">
        <f>('2 transformar y limpiar'!D344-$B$7)/$C$7</f>
        <v/>
      </c>
      <c r="E330" s="6">
        <f>('2 transformar y limpiar'!E344-$B$8)/$C$8</f>
        <v/>
      </c>
      <c r="F330" s="6">
        <f>('2 transformar y limpiar'!F344-$B$9)/$C$9</f>
        <v/>
      </c>
      <c r="G330">
        <f>'2 transformar y limpiar'!G344</f>
        <v/>
      </c>
      <c r="H330">
        <f>'2 transformar y limpiar'!H344</f>
        <v/>
      </c>
      <c r="I330">
        <f>'2 transformar y limpiar'!I344</f>
        <v/>
      </c>
      <c r="J330">
        <f>'2 transformar y limpiar'!J344</f>
        <v/>
      </c>
      <c r="K330">
        <f>'2 transformar y limpiar'!K344</f>
        <v/>
      </c>
      <c r="L330">
        <f>'2 transformar y limpiar'!L344</f>
        <v/>
      </c>
      <c r="M330">
        <f>'2 transformar y limpiar'!M344</f>
        <v/>
      </c>
      <c r="N330">
        <f>'2 transformar y limpiar'!N344</f>
        <v/>
      </c>
      <c r="O330">
        <f>'2 transformar y limpiar'!O344</f>
        <v/>
      </c>
      <c r="P330">
        <f>'2 transformar y limpiar'!P344</f>
        <v/>
      </c>
      <c r="Q330">
        <f>'2 transformar y limpiar'!Q344</f>
        <v/>
      </c>
      <c r="R330">
        <f>'2 transformar y limpiar'!R344</f>
        <v/>
      </c>
      <c r="S330">
        <f>'2 transformar y limpiar'!S344</f>
        <v/>
      </c>
      <c r="T330">
        <f>'2 transformar y limpiar'!T344</f>
        <v/>
      </c>
      <c r="U330" s="5">
        <f>'2 transformar y limpiar'!U344</f>
        <v/>
      </c>
    </row>
    <row r="331">
      <c r="A331">
        <f>'2 transformar y limpiar'!A345</f>
        <v/>
      </c>
      <c r="B331">
        <f>'2 transformar y limpiar'!B345</f>
        <v/>
      </c>
      <c r="C331" s="6">
        <f>('2 transformar y limpiar'!C345-$B$6)/$C$6</f>
        <v/>
      </c>
      <c r="D331" s="6">
        <f>('2 transformar y limpiar'!D345-$B$7)/$C$7</f>
        <v/>
      </c>
      <c r="E331" s="6">
        <f>('2 transformar y limpiar'!E345-$B$8)/$C$8</f>
        <v/>
      </c>
      <c r="F331" s="6">
        <f>('2 transformar y limpiar'!F345-$B$9)/$C$9</f>
        <v/>
      </c>
      <c r="G331">
        <f>'2 transformar y limpiar'!G345</f>
        <v/>
      </c>
      <c r="H331">
        <f>'2 transformar y limpiar'!H345</f>
        <v/>
      </c>
      <c r="I331">
        <f>'2 transformar y limpiar'!I345</f>
        <v/>
      </c>
      <c r="J331">
        <f>'2 transformar y limpiar'!J345</f>
        <v/>
      </c>
      <c r="K331">
        <f>'2 transformar y limpiar'!K345</f>
        <v/>
      </c>
      <c r="L331">
        <f>'2 transformar y limpiar'!L345</f>
        <v/>
      </c>
      <c r="M331">
        <f>'2 transformar y limpiar'!M345</f>
        <v/>
      </c>
      <c r="N331">
        <f>'2 transformar y limpiar'!N345</f>
        <v/>
      </c>
      <c r="O331">
        <f>'2 transformar y limpiar'!O345</f>
        <v/>
      </c>
      <c r="P331">
        <f>'2 transformar y limpiar'!P345</f>
        <v/>
      </c>
      <c r="Q331">
        <f>'2 transformar y limpiar'!Q345</f>
        <v/>
      </c>
      <c r="R331">
        <f>'2 transformar y limpiar'!R345</f>
        <v/>
      </c>
      <c r="S331">
        <f>'2 transformar y limpiar'!S345</f>
        <v/>
      </c>
      <c r="T331">
        <f>'2 transformar y limpiar'!T345</f>
        <v/>
      </c>
      <c r="U331" s="5">
        <f>'2 transformar y limpiar'!U345</f>
        <v/>
      </c>
    </row>
    <row r="332">
      <c r="A332">
        <f>'2 transformar y limpiar'!A346</f>
        <v/>
      </c>
      <c r="B332">
        <f>'2 transformar y limpiar'!B346</f>
        <v/>
      </c>
      <c r="C332" s="6">
        <f>('2 transformar y limpiar'!C346-$B$6)/$C$6</f>
        <v/>
      </c>
      <c r="D332" s="6">
        <f>('2 transformar y limpiar'!D346-$B$7)/$C$7</f>
        <v/>
      </c>
      <c r="E332" s="6">
        <f>('2 transformar y limpiar'!E346-$B$8)/$C$8</f>
        <v/>
      </c>
      <c r="F332" s="6">
        <f>('2 transformar y limpiar'!F346-$B$9)/$C$9</f>
        <v/>
      </c>
      <c r="G332">
        <f>'2 transformar y limpiar'!G346</f>
        <v/>
      </c>
      <c r="H332">
        <f>'2 transformar y limpiar'!H346</f>
        <v/>
      </c>
      <c r="I332">
        <f>'2 transformar y limpiar'!I346</f>
        <v/>
      </c>
      <c r="J332">
        <f>'2 transformar y limpiar'!J346</f>
        <v/>
      </c>
      <c r="K332">
        <f>'2 transformar y limpiar'!K346</f>
        <v/>
      </c>
      <c r="L332">
        <f>'2 transformar y limpiar'!L346</f>
        <v/>
      </c>
      <c r="M332">
        <f>'2 transformar y limpiar'!M346</f>
        <v/>
      </c>
      <c r="N332">
        <f>'2 transformar y limpiar'!N346</f>
        <v/>
      </c>
      <c r="O332">
        <f>'2 transformar y limpiar'!O346</f>
        <v/>
      </c>
      <c r="P332">
        <f>'2 transformar y limpiar'!P346</f>
        <v/>
      </c>
      <c r="Q332">
        <f>'2 transformar y limpiar'!Q346</f>
        <v/>
      </c>
      <c r="R332">
        <f>'2 transformar y limpiar'!R346</f>
        <v/>
      </c>
      <c r="S332">
        <f>'2 transformar y limpiar'!S346</f>
        <v/>
      </c>
      <c r="T332">
        <f>'2 transformar y limpiar'!T346</f>
        <v/>
      </c>
      <c r="U332" s="5">
        <f>'2 transformar y limpiar'!U346</f>
        <v/>
      </c>
    </row>
    <row r="333">
      <c r="A333">
        <f>'2 transformar y limpiar'!A347</f>
        <v/>
      </c>
      <c r="B333">
        <f>'2 transformar y limpiar'!B347</f>
        <v/>
      </c>
      <c r="C333" s="6">
        <f>('2 transformar y limpiar'!C347-$B$6)/$C$6</f>
        <v/>
      </c>
      <c r="D333" s="6">
        <f>('2 transformar y limpiar'!D347-$B$7)/$C$7</f>
        <v/>
      </c>
      <c r="E333" s="6">
        <f>('2 transformar y limpiar'!E347-$B$8)/$C$8</f>
        <v/>
      </c>
      <c r="F333" s="6">
        <f>('2 transformar y limpiar'!F347-$B$9)/$C$9</f>
        <v/>
      </c>
      <c r="G333">
        <f>'2 transformar y limpiar'!G347</f>
        <v/>
      </c>
      <c r="H333">
        <f>'2 transformar y limpiar'!H347</f>
        <v/>
      </c>
      <c r="I333">
        <f>'2 transformar y limpiar'!I347</f>
        <v/>
      </c>
      <c r="J333">
        <f>'2 transformar y limpiar'!J347</f>
        <v/>
      </c>
      <c r="K333">
        <f>'2 transformar y limpiar'!K347</f>
        <v/>
      </c>
      <c r="L333">
        <f>'2 transformar y limpiar'!L347</f>
        <v/>
      </c>
      <c r="M333">
        <f>'2 transformar y limpiar'!M347</f>
        <v/>
      </c>
      <c r="N333">
        <f>'2 transformar y limpiar'!N347</f>
        <v/>
      </c>
      <c r="O333">
        <f>'2 transformar y limpiar'!O347</f>
        <v/>
      </c>
      <c r="P333">
        <f>'2 transformar y limpiar'!P347</f>
        <v/>
      </c>
      <c r="Q333">
        <f>'2 transformar y limpiar'!Q347</f>
        <v/>
      </c>
      <c r="R333">
        <f>'2 transformar y limpiar'!R347</f>
        <v/>
      </c>
      <c r="S333">
        <f>'2 transformar y limpiar'!S347</f>
        <v/>
      </c>
      <c r="T333">
        <f>'2 transformar y limpiar'!T347</f>
        <v/>
      </c>
      <c r="U333" s="5">
        <f>'2 transformar y limpiar'!U347</f>
        <v/>
      </c>
    </row>
    <row r="334">
      <c r="A334">
        <f>'2 transformar y limpiar'!A348</f>
        <v/>
      </c>
      <c r="B334">
        <f>'2 transformar y limpiar'!B348</f>
        <v/>
      </c>
      <c r="C334" s="6">
        <f>('2 transformar y limpiar'!C348-$B$6)/$C$6</f>
        <v/>
      </c>
      <c r="D334" s="6">
        <f>('2 transformar y limpiar'!D348-$B$7)/$C$7</f>
        <v/>
      </c>
      <c r="E334" s="6">
        <f>('2 transformar y limpiar'!E348-$B$8)/$C$8</f>
        <v/>
      </c>
      <c r="F334" s="6">
        <f>('2 transformar y limpiar'!F348-$B$9)/$C$9</f>
        <v/>
      </c>
      <c r="G334">
        <f>'2 transformar y limpiar'!G348</f>
        <v/>
      </c>
      <c r="H334">
        <f>'2 transformar y limpiar'!H348</f>
        <v/>
      </c>
      <c r="I334">
        <f>'2 transformar y limpiar'!I348</f>
        <v/>
      </c>
      <c r="J334">
        <f>'2 transformar y limpiar'!J348</f>
        <v/>
      </c>
      <c r="K334">
        <f>'2 transformar y limpiar'!K348</f>
        <v/>
      </c>
      <c r="L334">
        <f>'2 transformar y limpiar'!L348</f>
        <v/>
      </c>
      <c r="M334">
        <f>'2 transformar y limpiar'!M348</f>
        <v/>
      </c>
      <c r="N334">
        <f>'2 transformar y limpiar'!N348</f>
        <v/>
      </c>
      <c r="O334">
        <f>'2 transformar y limpiar'!O348</f>
        <v/>
      </c>
      <c r="P334">
        <f>'2 transformar y limpiar'!P348</f>
        <v/>
      </c>
      <c r="Q334">
        <f>'2 transformar y limpiar'!Q348</f>
        <v/>
      </c>
      <c r="R334">
        <f>'2 transformar y limpiar'!R348</f>
        <v/>
      </c>
      <c r="S334">
        <f>'2 transformar y limpiar'!S348</f>
        <v/>
      </c>
      <c r="T334">
        <f>'2 transformar y limpiar'!T348</f>
        <v/>
      </c>
      <c r="U334" s="5">
        <f>'2 transformar y limpiar'!U348</f>
        <v/>
      </c>
    </row>
    <row r="335">
      <c r="A335">
        <f>'2 transformar y limpiar'!A349</f>
        <v/>
      </c>
      <c r="B335">
        <f>'2 transformar y limpiar'!B349</f>
        <v/>
      </c>
      <c r="C335" s="6">
        <f>('2 transformar y limpiar'!C349-$B$6)/$C$6</f>
        <v/>
      </c>
      <c r="D335" s="6">
        <f>('2 transformar y limpiar'!D349-$B$7)/$C$7</f>
        <v/>
      </c>
      <c r="E335" s="6">
        <f>('2 transformar y limpiar'!E349-$B$8)/$C$8</f>
        <v/>
      </c>
      <c r="F335" s="6">
        <f>('2 transformar y limpiar'!F349-$B$9)/$C$9</f>
        <v/>
      </c>
      <c r="G335">
        <f>'2 transformar y limpiar'!G349</f>
        <v/>
      </c>
      <c r="H335">
        <f>'2 transformar y limpiar'!H349</f>
        <v/>
      </c>
      <c r="I335">
        <f>'2 transformar y limpiar'!I349</f>
        <v/>
      </c>
      <c r="J335">
        <f>'2 transformar y limpiar'!J349</f>
        <v/>
      </c>
      <c r="K335">
        <f>'2 transformar y limpiar'!K349</f>
        <v/>
      </c>
      <c r="L335">
        <f>'2 transformar y limpiar'!L349</f>
        <v/>
      </c>
      <c r="M335">
        <f>'2 transformar y limpiar'!M349</f>
        <v/>
      </c>
      <c r="N335">
        <f>'2 transformar y limpiar'!N349</f>
        <v/>
      </c>
      <c r="O335">
        <f>'2 transformar y limpiar'!O349</f>
        <v/>
      </c>
      <c r="P335">
        <f>'2 transformar y limpiar'!P349</f>
        <v/>
      </c>
      <c r="Q335">
        <f>'2 transformar y limpiar'!Q349</f>
        <v/>
      </c>
      <c r="R335">
        <f>'2 transformar y limpiar'!R349</f>
        <v/>
      </c>
      <c r="S335">
        <f>'2 transformar y limpiar'!S349</f>
        <v/>
      </c>
      <c r="T335">
        <f>'2 transformar y limpiar'!T349</f>
        <v/>
      </c>
      <c r="U335" s="5">
        <f>'2 transformar y limpiar'!U349</f>
        <v/>
      </c>
    </row>
    <row r="336">
      <c r="A336">
        <f>'2 transformar y limpiar'!A350</f>
        <v/>
      </c>
      <c r="B336">
        <f>'2 transformar y limpiar'!B350</f>
        <v/>
      </c>
      <c r="C336" s="6">
        <f>('2 transformar y limpiar'!C350-$B$6)/$C$6</f>
        <v/>
      </c>
      <c r="D336" s="6">
        <f>('2 transformar y limpiar'!D350-$B$7)/$C$7</f>
        <v/>
      </c>
      <c r="E336" s="6">
        <f>('2 transformar y limpiar'!E350-$B$8)/$C$8</f>
        <v/>
      </c>
      <c r="F336" s="6">
        <f>('2 transformar y limpiar'!F350-$B$9)/$C$9</f>
        <v/>
      </c>
      <c r="G336">
        <f>'2 transformar y limpiar'!G350</f>
        <v/>
      </c>
      <c r="H336">
        <f>'2 transformar y limpiar'!H350</f>
        <v/>
      </c>
      <c r="I336">
        <f>'2 transformar y limpiar'!I350</f>
        <v/>
      </c>
      <c r="J336">
        <f>'2 transformar y limpiar'!J350</f>
        <v/>
      </c>
      <c r="K336">
        <f>'2 transformar y limpiar'!K350</f>
        <v/>
      </c>
      <c r="L336">
        <f>'2 transformar y limpiar'!L350</f>
        <v/>
      </c>
      <c r="M336">
        <f>'2 transformar y limpiar'!M350</f>
        <v/>
      </c>
      <c r="N336">
        <f>'2 transformar y limpiar'!N350</f>
        <v/>
      </c>
      <c r="O336">
        <f>'2 transformar y limpiar'!O350</f>
        <v/>
      </c>
      <c r="P336">
        <f>'2 transformar y limpiar'!P350</f>
        <v/>
      </c>
      <c r="Q336">
        <f>'2 transformar y limpiar'!Q350</f>
        <v/>
      </c>
      <c r="R336">
        <f>'2 transformar y limpiar'!R350</f>
        <v/>
      </c>
      <c r="S336">
        <f>'2 transformar y limpiar'!S350</f>
        <v/>
      </c>
      <c r="T336">
        <f>'2 transformar y limpiar'!T350</f>
        <v/>
      </c>
      <c r="U336" s="5">
        <f>'2 transformar y limpiar'!U350</f>
        <v/>
      </c>
    </row>
    <row r="337">
      <c r="A337">
        <f>'2 transformar y limpiar'!A351</f>
        <v/>
      </c>
      <c r="B337">
        <f>'2 transformar y limpiar'!B351</f>
        <v/>
      </c>
      <c r="C337" s="6">
        <f>('2 transformar y limpiar'!C351-$B$6)/$C$6</f>
        <v/>
      </c>
      <c r="D337" s="6">
        <f>('2 transformar y limpiar'!D351-$B$7)/$C$7</f>
        <v/>
      </c>
      <c r="E337" s="6">
        <f>('2 transformar y limpiar'!E351-$B$8)/$C$8</f>
        <v/>
      </c>
      <c r="F337" s="6">
        <f>('2 transformar y limpiar'!F351-$B$9)/$C$9</f>
        <v/>
      </c>
      <c r="G337">
        <f>'2 transformar y limpiar'!G351</f>
        <v/>
      </c>
      <c r="H337">
        <f>'2 transformar y limpiar'!H351</f>
        <v/>
      </c>
      <c r="I337">
        <f>'2 transformar y limpiar'!I351</f>
        <v/>
      </c>
      <c r="J337">
        <f>'2 transformar y limpiar'!J351</f>
        <v/>
      </c>
      <c r="K337">
        <f>'2 transformar y limpiar'!K351</f>
        <v/>
      </c>
      <c r="L337">
        <f>'2 transformar y limpiar'!L351</f>
        <v/>
      </c>
      <c r="M337">
        <f>'2 transformar y limpiar'!M351</f>
        <v/>
      </c>
      <c r="N337">
        <f>'2 transformar y limpiar'!N351</f>
        <v/>
      </c>
      <c r="O337">
        <f>'2 transformar y limpiar'!O351</f>
        <v/>
      </c>
      <c r="P337">
        <f>'2 transformar y limpiar'!P351</f>
        <v/>
      </c>
      <c r="Q337">
        <f>'2 transformar y limpiar'!Q351</f>
        <v/>
      </c>
      <c r="R337">
        <f>'2 transformar y limpiar'!R351</f>
        <v/>
      </c>
      <c r="S337">
        <f>'2 transformar y limpiar'!S351</f>
        <v/>
      </c>
      <c r="T337">
        <f>'2 transformar y limpiar'!T351</f>
        <v/>
      </c>
      <c r="U337" s="5">
        <f>'2 transformar y limpiar'!U351</f>
        <v/>
      </c>
    </row>
    <row r="338">
      <c r="A338">
        <f>'2 transformar y limpiar'!A352</f>
        <v/>
      </c>
      <c r="B338">
        <f>'2 transformar y limpiar'!B352</f>
        <v/>
      </c>
      <c r="C338" s="6">
        <f>('2 transformar y limpiar'!C352-$B$6)/$C$6</f>
        <v/>
      </c>
      <c r="D338" s="6">
        <f>('2 transformar y limpiar'!D352-$B$7)/$C$7</f>
        <v/>
      </c>
      <c r="E338" s="6">
        <f>('2 transformar y limpiar'!E352-$B$8)/$C$8</f>
        <v/>
      </c>
      <c r="F338" s="6">
        <f>('2 transformar y limpiar'!F352-$B$9)/$C$9</f>
        <v/>
      </c>
      <c r="G338">
        <f>'2 transformar y limpiar'!G352</f>
        <v/>
      </c>
      <c r="H338">
        <f>'2 transformar y limpiar'!H352</f>
        <v/>
      </c>
      <c r="I338">
        <f>'2 transformar y limpiar'!I352</f>
        <v/>
      </c>
      <c r="J338">
        <f>'2 transformar y limpiar'!J352</f>
        <v/>
      </c>
      <c r="K338">
        <f>'2 transformar y limpiar'!K352</f>
        <v/>
      </c>
      <c r="L338">
        <f>'2 transformar y limpiar'!L352</f>
        <v/>
      </c>
      <c r="M338">
        <f>'2 transformar y limpiar'!M352</f>
        <v/>
      </c>
      <c r="N338">
        <f>'2 transformar y limpiar'!N352</f>
        <v/>
      </c>
      <c r="O338">
        <f>'2 transformar y limpiar'!O352</f>
        <v/>
      </c>
      <c r="P338">
        <f>'2 transformar y limpiar'!P352</f>
        <v/>
      </c>
      <c r="Q338">
        <f>'2 transformar y limpiar'!Q352</f>
        <v/>
      </c>
      <c r="R338">
        <f>'2 transformar y limpiar'!R352</f>
        <v/>
      </c>
      <c r="S338">
        <f>'2 transformar y limpiar'!S352</f>
        <v/>
      </c>
      <c r="T338">
        <f>'2 transformar y limpiar'!T352</f>
        <v/>
      </c>
      <c r="U338" s="5">
        <f>'2 transformar y limpiar'!U352</f>
        <v/>
      </c>
    </row>
    <row r="339">
      <c r="A339">
        <f>'2 transformar y limpiar'!A353</f>
        <v/>
      </c>
      <c r="B339">
        <f>'2 transformar y limpiar'!B353</f>
        <v/>
      </c>
      <c r="C339" s="6">
        <f>('2 transformar y limpiar'!C353-$B$6)/$C$6</f>
        <v/>
      </c>
      <c r="D339" s="6">
        <f>('2 transformar y limpiar'!D353-$B$7)/$C$7</f>
        <v/>
      </c>
      <c r="E339" s="6">
        <f>('2 transformar y limpiar'!E353-$B$8)/$C$8</f>
        <v/>
      </c>
      <c r="F339" s="6">
        <f>('2 transformar y limpiar'!F353-$B$9)/$C$9</f>
        <v/>
      </c>
      <c r="G339">
        <f>'2 transformar y limpiar'!G353</f>
        <v/>
      </c>
      <c r="H339">
        <f>'2 transformar y limpiar'!H353</f>
        <v/>
      </c>
      <c r="I339">
        <f>'2 transformar y limpiar'!I353</f>
        <v/>
      </c>
      <c r="J339">
        <f>'2 transformar y limpiar'!J353</f>
        <v/>
      </c>
      <c r="K339">
        <f>'2 transformar y limpiar'!K353</f>
        <v/>
      </c>
      <c r="L339">
        <f>'2 transformar y limpiar'!L353</f>
        <v/>
      </c>
      <c r="M339">
        <f>'2 transformar y limpiar'!M353</f>
        <v/>
      </c>
      <c r="N339">
        <f>'2 transformar y limpiar'!N353</f>
        <v/>
      </c>
      <c r="O339">
        <f>'2 transformar y limpiar'!O353</f>
        <v/>
      </c>
      <c r="P339">
        <f>'2 transformar y limpiar'!P353</f>
        <v/>
      </c>
      <c r="Q339">
        <f>'2 transformar y limpiar'!Q353</f>
        <v/>
      </c>
      <c r="R339">
        <f>'2 transformar y limpiar'!R353</f>
        <v/>
      </c>
      <c r="S339">
        <f>'2 transformar y limpiar'!S353</f>
        <v/>
      </c>
      <c r="T339">
        <f>'2 transformar y limpiar'!T353</f>
        <v/>
      </c>
      <c r="U339" s="5">
        <f>'2 transformar y limpiar'!U353</f>
        <v/>
      </c>
    </row>
    <row r="340">
      <c r="A340">
        <f>'2 transformar y limpiar'!A354</f>
        <v/>
      </c>
      <c r="B340">
        <f>'2 transformar y limpiar'!B354</f>
        <v/>
      </c>
      <c r="C340" s="6">
        <f>('2 transformar y limpiar'!C354-$B$6)/$C$6</f>
        <v/>
      </c>
      <c r="D340" s="6">
        <f>('2 transformar y limpiar'!D354-$B$7)/$C$7</f>
        <v/>
      </c>
      <c r="E340" s="6">
        <f>('2 transformar y limpiar'!E354-$B$8)/$C$8</f>
        <v/>
      </c>
      <c r="F340" s="6">
        <f>('2 transformar y limpiar'!F354-$B$9)/$C$9</f>
        <v/>
      </c>
      <c r="G340">
        <f>'2 transformar y limpiar'!G354</f>
        <v/>
      </c>
      <c r="H340">
        <f>'2 transformar y limpiar'!H354</f>
        <v/>
      </c>
      <c r="I340">
        <f>'2 transformar y limpiar'!I354</f>
        <v/>
      </c>
      <c r="J340">
        <f>'2 transformar y limpiar'!J354</f>
        <v/>
      </c>
      <c r="K340">
        <f>'2 transformar y limpiar'!K354</f>
        <v/>
      </c>
      <c r="L340">
        <f>'2 transformar y limpiar'!L354</f>
        <v/>
      </c>
      <c r="M340">
        <f>'2 transformar y limpiar'!M354</f>
        <v/>
      </c>
      <c r="N340">
        <f>'2 transformar y limpiar'!N354</f>
        <v/>
      </c>
      <c r="O340">
        <f>'2 transformar y limpiar'!O354</f>
        <v/>
      </c>
      <c r="P340">
        <f>'2 transformar y limpiar'!P354</f>
        <v/>
      </c>
      <c r="Q340">
        <f>'2 transformar y limpiar'!Q354</f>
        <v/>
      </c>
      <c r="R340">
        <f>'2 transformar y limpiar'!R354</f>
        <v/>
      </c>
      <c r="S340">
        <f>'2 transformar y limpiar'!S354</f>
        <v/>
      </c>
      <c r="T340">
        <f>'2 transformar y limpiar'!T354</f>
        <v/>
      </c>
      <c r="U340" s="5">
        <f>'2 transformar y limpiar'!U354</f>
        <v/>
      </c>
    </row>
    <row r="341">
      <c r="A341">
        <f>'2 transformar y limpiar'!A355</f>
        <v/>
      </c>
      <c r="B341">
        <f>'2 transformar y limpiar'!B355</f>
        <v/>
      </c>
      <c r="C341" s="6">
        <f>('2 transformar y limpiar'!C355-$B$6)/$C$6</f>
        <v/>
      </c>
      <c r="D341" s="6">
        <f>('2 transformar y limpiar'!D355-$B$7)/$C$7</f>
        <v/>
      </c>
      <c r="E341" s="6">
        <f>('2 transformar y limpiar'!E355-$B$8)/$C$8</f>
        <v/>
      </c>
      <c r="F341" s="6">
        <f>('2 transformar y limpiar'!F355-$B$9)/$C$9</f>
        <v/>
      </c>
      <c r="G341">
        <f>'2 transformar y limpiar'!G355</f>
        <v/>
      </c>
      <c r="H341">
        <f>'2 transformar y limpiar'!H355</f>
        <v/>
      </c>
      <c r="I341">
        <f>'2 transformar y limpiar'!I355</f>
        <v/>
      </c>
      <c r="J341">
        <f>'2 transformar y limpiar'!J355</f>
        <v/>
      </c>
      <c r="K341">
        <f>'2 transformar y limpiar'!K355</f>
        <v/>
      </c>
      <c r="L341">
        <f>'2 transformar y limpiar'!L355</f>
        <v/>
      </c>
      <c r="M341">
        <f>'2 transformar y limpiar'!M355</f>
        <v/>
      </c>
      <c r="N341">
        <f>'2 transformar y limpiar'!N355</f>
        <v/>
      </c>
      <c r="O341">
        <f>'2 transformar y limpiar'!O355</f>
        <v/>
      </c>
      <c r="P341">
        <f>'2 transformar y limpiar'!P355</f>
        <v/>
      </c>
      <c r="Q341">
        <f>'2 transformar y limpiar'!Q355</f>
        <v/>
      </c>
      <c r="R341">
        <f>'2 transformar y limpiar'!R355</f>
        <v/>
      </c>
      <c r="S341">
        <f>'2 transformar y limpiar'!S355</f>
        <v/>
      </c>
      <c r="T341">
        <f>'2 transformar y limpiar'!T355</f>
        <v/>
      </c>
      <c r="U341" s="5">
        <f>'2 transformar y limpiar'!U355</f>
        <v/>
      </c>
    </row>
    <row r="342">
      <c r="A342">
        <f>'2 transformar y limpiar'!A356</f>
        <v/>
      </c>
      <c r="B342">
        <f>'2 transformar y limpiar'!B356</f>
        <v/>
      </c>
      <c r="C342" s="6">
        <f>('2 transformar y limpiar'!C356-$B$6)/$C$6</f>
        <v/>
      </c>
      <c r="D342" s="6">
        <f>('2 transformar y limpiar'!D356-$B$7)/$C$7</f>
        <v/>
      </c>
      <c r="E342" s="6">
        <f>('2 transformar y limpiar'!E356-$B$8)/$C$8</f>
        <v/>
      </c>
      <c r="F342" s="6">
        <f>('2 transformar y limpiar'!F356-$B$9)/$C$9</f>
        <v/>
      </c>
      <c r="G342">
        <f>'2 transformar y limpiar'!G356</f>
        <v/>
      </c>
      <c r="H342">
        <f>'2 transformar y limpiar'!H356</f>
        <v/>
      </c>
      <c r="I342">
        <f>'2 transformar y limpiar'!I356</f>
        <v/>
      </c>
      <c r="J342">
        <f>'2 transformar y limpiar'!J356</f>
        <v/>
      </c>
      <c r="K342">
        <f>'2 transformar y limpiar'!K356</f>
        <v/>
      </c>
      <c r="L342">
        <f>'2 transformar y limpiar'!L356</f>
        <v/>
      </c>
      <c r="M342">
        <f>'2 transformar y limpiar'!M356</f>
        <v/>
      </c>
      <c r="N342">
        <f>'2 transformar y limpiar'!N356</f>
        <v/>
      </c>
      <c r="O342">
        <f>'2 transformar y limpiar'!O356</f>
        <v/>
      </c>
      <c r="P342">
        <f>'2 transformar y limpiar'!P356</f>
        <v/>
      </c>
      <c r="Q342">
        <f>'2 transformar y limpiar'!Q356</f>
        <v/>
      </c>
      <c r="R342">
        <f>'2 transformar y limpiar'!R356</f>
        <v/>
      </c>
      <c r="S342">
        <f>'2 transformar y limpiar'!S356</f>
        <v/>
      </c>
      <c r="T342">
        <f>'2 transformar y limpiar'!T356</f>
        <v/>
      </c>
      <c r="U342" s="5">
        <f>'2 transformar y limpiar'!U356</f>
        <v/>
      </c>
    </row>
    <row r="343">
      <c r="A343">
        <f>'2 transformar y limpiar'!A357</f>
        <v/>
      </c>
      <c r="B343">
        <f>'2 transformar y limpiar'!B357</f>
        <v/>
      </c>
      <c r="C343" s="6">
        <f>('2 transformar y limpiar'!C357-$B$6)/$C$6</f>
        <v/>
      </c>
      <c r="D343" s="6">
        <f>('2 transformar y limpiar'!D357-$B$7)/$C$7</f>
        <v/>
      </c>
      <c r="E343" s="6">
        <f>('2 transformar y limpiar'!E357-$B$8)/$C$8</f>
        <v/>
      </c>
      <c r="F343" s="6">
        <f>('2 transformar y limpiar'!F357-$B$9)/$C$9</f>
        <v/>
      </c>
      <c r="G343">
        <f>'2 transformar y limpiar'!G357</f>
        <v/>
      </c>
      <c r="H343">
        <f>'2 transformar y limpiar'!H357</f>
        <v/>
      </c>
      <c r="I343">
        <f>'2 transformar y limpiar'!I357</f>
        <v/>
      </c>
      <c r="J343">
        <f>'2 transformar y limpiar'!J357</f>
        <v/>
      </c>
      <c r="K343">
        <f>'2 transformar y limpiar'!K357</f>
        <v/>
      </c>
      <c r="L343">
        <f>'2 transformar y limpiar'!L357</f>
        <v/>
      </c>
      <c r="M343">
        <f>'2 transformar y limpiar'!M357</f>
        <v/>
      </c>
      <c r="N343">
        <f>'2 transformar y limpiar'!N357</f>
        <v/>
      </c>
      <c r="O343">
        <f>'2 transformar y limpiar'!O357</f>
        <v/>
      </c>
      <c r="P343">
        <f>'2 transformar y limpiar'!P357</f>
        <v/>
      </c>
      <c r="Q343">
        <f>'2 transformar y limpiar'!Q357</f>
        <v/>
      </c>
      <c r="R343">
        <f>'2 transformar y limpiar'!R357</f>
        <v/>
      </c>
      <c r="S343">
        <f>'2 transformar y limpiar'!S357</f>
        <v/>
      </c>
      <c r="T343">
        <f>'2 transformar y limpiar'!T357</f>
        <v/>
      </c>
      <c r="U343" s="5">
        <f>'2 transformar y limpiar'!U357</f>
        <v/>
      </c>
    </row>
    <row r="344">
      <c r="A344">
        <f>'2 transformar y limpiar'!A358</f>
        <v/>
      </c>
      <c r="B344">
        <f>'2 transformar y limpiar'!B358</f>
        <v/>
      </c>
      <c r="C344" s="6">
        <f>('2 transformar y limpiar'!C358-$B$6)/$C$6</f>
        <v/>
      </c>
      <c r="D344" s="6">
        <f>('2 transformar y limpiar'!D358-$B$7)/$C$7</f>
        <v/>
      </c>
      <c r="E344" s="6">
        <f>('2 transformar y limpiar'!E358-$B$8)/$C$8</f>
        <v/>
      </c>
      <c r="F344" s="6">
        <f>('2 transformar y limpiar'!F358-$B$9)/$C$9</f>
        <v/>
      </c>
      <c r="G344">
        <f>'2 transformar y limpiar'!G358</f>
        <v/>
      </c>
      <c r="H344">
        <f>'2 transformar y limpiar'!H358</f>
        <v/>
      </c>
      <c r="I344">
        <f>'2 transformar y limpiar'!I358</f>
        <v/>
      </c>
      <c r="J344">
        <f>'2 transformar y limpiar'!J358</f>
        <v/>
      </c>
      <c r="K344">
        <f>'2 transformar y limpiar'!K358</f>
        <v/>
      </c>
      <c r="L344">
        <f>'2 transformar y limpiar'!L358</f>
        <v/>
      </c>
      <c r="M344">
        <f>'2 transformar y limpiar'!M358</f>
        <v/>
      </c>
      <c r="N344">
        <f>'2 transformar y limpiar'!N358</f>
        <v/>
      </c>
      <c r="O344">
        <f>'2 transformar y limpiar'!O358</f>
        <v/>
      </c>
      <c r="P344">
        <f>'2 transformar y limpiar'!P358</f>
        <v/>
      </c>
      <c r="Q344">
        <f>'2 transformar y limpiar'!Q358</f>
        <v/>
      </c>
      <c r="R344">
        <f>'2 transformar y limpiar'!R358</f>
        <v/>
      </c>
      <c r="S344">
        <f>'2 transformar y limpiar'!S358</f>
        <v/>
      </c>
      <c r="T344">
        <f>'2 transformar y limpiar'!T358</f>
        <v/>
      </c>
      <c r="U344" s="5">
        <f>'2 transformar y limpiar'!U358</f>
        <v/>
      </c>
    </row>
    <row r="345">
      <c r="A345">
        <f>'2 transformar y limpiar'!A359</f>
        <v/>
      </c>
      <c r="B345">
        <f>'2 transformar y limpiar'!B359</f>
        <v/>
      </c>
      <c r="C345" s="6">
        <f>('2 transformar y limpiar'!C359-$B$6)/$C$6</f>
        <v/>
      </c>
      <c r="D345" s="6">
        <f>('2 transformar y limpiar'!D359-$B$7)/$C$7</f>
        <v/>
      </c>
      <c r="E345" s="6">
        <f>('2 transformar y limpiar'!E359-$B$8)/$C$8</f>
        <v/>
      </c>
      <c r="F345" s="6">
        <f>('2 transformar y limpiar'!F359-$B$9)/$C$9</f>
        <v/>
      </c>
      <c r="G345">
        <f>'2 transformar y limpiar'!G359</f>
        <v/>
      </c>
      <c r="H345">
        <f>'2 transformar y limpiar'!H359</f>
        <v/>
      </c>
      <c r="I345">
        <f>'2 transformar y limpiar'!I359</f>
        <v/>
      </c>
      <c r="J345">
        <f>'2 transformar y limpiar'!J359</f>
        <v/>
      </c>
      <c r="K345">
        <f>'2 transformar y limpiar'!K359</f>
        <v/>
      </c>
      <c r="L345">
        <f>'2 transformar y limpiar'!L359</f>
        <v/>
      </c>
      <c r="M345">
        <f>'2 transformar y limpiar'!M359</f>
        <v/>
      </c>
      <c r="N345">
        <f>'2 transformar y limpiar'!N359</f>
        <v/>
      </c>
      <c r="O345">
        <f>'2 transformar y limpiar'!O359</f>
        <v/>
      </c>
      <c r="P345">
        <f>'2 transformar y limpiar'!P359</f>
        <v/>
      </c>
      <c r="Q345">
        <f>'2 transformar y limpiar'!Q359</f>
        <v/>
      </c>
      <c r="R345">
        <f>'2 transformar y limpiar'!R359</f>
        <v/>
      </c>
      <c r="S345">
        <f>'2 transformar y limpiar'!S359</f>
        <v/>
      </c>
      <c r="T345">
        <f>'2 transformar y limpiar'!T359</f>
        <v/>
      </c>
      <c r="U345" s="5">
        <f>'2 transformar y limpiar'!U359</f>
        <v/>
      </c>
    </row>
    <row r="346">
      <c r="A346">
        <f>'2 transformar y limpiar'!A360</f>
        <v/>
      </c>
      <c r="B346">
        <f>'2 transformar y limpiar'!B360</f>
        <v/>
      </c>
      <c r="C346" s="6">
        <f>('2 transformar y limpiar'!C360-$B$6)/$C$6</f>
        <v/>
      </c>
      <c r="D346" s="6">
        <f>('2 transformar y limpiar'!D360-$B$7)/$C$7</f>
        <v/>
      </c>
      <c r="E346" s="6">
        <f>('2 transformar y limpiar'!E360-$B$8)/$C$8</f>
        <v/>
      </c>
      <c r="F346" s="6">
        <f>('2 transformar y limpiar'!F360-$B$9)/$C$9</f>
        <v/>
      </c>
      <c r="G346">
        <f>'2 transformar y limpiar'!G360</f>
        <v/>
      </c>
      <c r="H346">
        <f>'2 transformar y limpiar'!H360</f>
        <v/>
      </c>
      <c r="I346">
        <f>'2 transformar y limpiar'!I360</f>
        <v/>
      </c>
      <c r="J346">
        <f>'2 transformar y limpiar'!J360</f>
        <v/>
      </c>
      <c r="K346">
        <f>'2 transformar y limpiar'!K360</f>
        <v/>
      </c>
      <c r="L346">
        <f>'2 transformar y limpiar'!L360</f>
        <v/>
      </c>
      <c r="M346">
        <f>'2 transformar y limpiar'!M360</f>
        <v/>
      </c>
      <c r="N346">
        <f>'2 transformar y limpiar'!N360</f>
        <v/>
      </c>
      <c r="O346">
        <f>'2 transformar y limpiar'!O360</f>
        <v/>
      </c>
      <c r="P346">
        <f>'2 transformar y limpiar'!P360</f>
        <v/>
      </c>
      <c r="Q346">
        <f>'2 transformar y limpiar'!Q360</f>
        <v/>
      </c>
      <c r="R346">
        <f>'2 transformar y limpiar'!R360</f>
        <v/>
      </c>
      <c r="S346">
        <f>'2 transformar y limpiar'!S360</f>
        <v/>
      </c>
      <c r="T346">
        <f>'2 transformar y limpiar'!T360</f>
        <v/>
      </c>
      <c r="U346" s="5">
        <f>'2 transformar y limpiar'!U360</f>
        <v/>
      </c>
    </row>
    <row r="347">
      <c r="A347">
        <f>'2 transformar y limpiar'!A361</f>
        <v/>
      </c>
      <c r="B347">
        <f>'2 transformar y limpiar'!B361</f>
        <v/>
      </c>
      <c r="C347" s="6">
        <f>('2 transformar y limpiar'!C361-$B$6)/$C$6</f>
        <v/>
      </c>
      <c r="D347" s="6">
        <f>('2 transformar y limpiar'!D361-$B$7)/$C$7</f>
        <v/>
      </c>
      <c r="E347" s="6">
        <f>('2 transformar y limpiar'!E361-$B$8)/$C$8</f>
        <v/>
      </c>
      <c r="F347" s="6">
        <f>('2 transformar y limpiar'!F361-$B$9)/$C$9</f>
        <v/>
      </c>
      <c r="G347">
        <f>'2 transformar y limpiar'!G361</f>
        <v/>
      </c>
      <c r="H347">
        <f>'2 transformar y limpiar'!H361</f>
        <v/>
      </c>
      <c r="I347">
        <f>'2 transformar y limpiar'!I361</f>
        <v/>
      </c>
      <c r="J347">
        <f>'2 transformar y limpiar'!J361</f>
        <v/>
      </c>
      <c r="K347">
        <f>'2 transformar y limpiar'!K361</f>
        <v/>
      </c>
      <c r="L347">
        <f>'2 transformar y limpiar'!L361</f>
        <v/>
      </c>
      <c r="M347">
        <f>'2 transformar y limpiar'!M361</f>
        <v/>
      </c>
      <c r="N347">
        <f>'2 transformar y limpiar'!N361</f>
        <v/>
      </c>
      <c r="O347">
        <f>'2 transformar y limpiar'!O361</f>
        <v/>
      </c>
      <c r="P347">
        <f>'2 transformar y limpiar'!P361</f>
        <v/>
      </c>
      <c r="Q347">
        <f>'2 transformar y limpiar'!Q361</f>
        <v/>
      </c>
      <c r="R347">
        <f>'2 transformar y limpiar'!R361</f>
        <v/>
      </c>
      <c r="S347">
        <f>'2 transformar y limpiar'!S361</f>
        <v/>
      </c>
      <c r="T347">
        <f>'2 transformar y limpiar'!T361</f>
        <v/>
      </c>
      <c r="U347" s="5">
        <f>'2 transformar y limpiar'!U361</f>
        <v/>
      </c>
    </row>
    <row r="348">
      <c r="A348">
        <f>'2 transformar y limpiar'!A362</f>
        <v/>
      </c>
      <c r="B348">
        <f>'2 transformar y limpiar'!B362</f>
        <v/>
      </c>
      <c r="C348" s="6">
        <f>('2 transformar y limpiar'!C362-$B$6)/$C$6</f>
        <v/>
      </c>
      <c r="D348" s="6">
        <f>('2 transformar y limpiar'!D362-$B$7)/$C$7</f>
        <v/>
      </c>
      <c r="E348" s="6">
        <f>('2 transformar y limpiar'!E362-$B$8)/$C$8</f>
        <v/>
      </c>
      <c r="F348" s="6">
        <f>('2 transformar y limpiar'!F362-$B$9)/$C$9</f>
        <v/>
      </c>
      <c r="G348">
        <f>'2 transformar y limpiar'!G362</f>
        <v/>
      </c>
      <c r="H348">
        <f>'2 transformar y limpiar'!H362</f>
        <v/>
      </c>
      <c r="I348">
        <f>'2 transformar y limpiar'!I362</f>
        <v/>
      </c>
      <c r="J348">
        <f>'2 transformar y limpiar'!J362</f>
        <v/>
      </c>
      <c r="K348">
        <f>'2 transformar y limpiar'!K362</f>
        <v/>
      </c>
      <c r="L348">
        <f>'2 transformar y limpiar'!L362</f>
        <v/>
      </c>
      <c r="M348">
        <f>'2 transformar y limpiar'!M362</f>
        <v/>
      </c>
      <c r="N348">
        <f>'2 transformar y limpiar'!N362</f>
        <v/>
      </c>
      <c r="O348">
        <f>'2 transformar y limpiar'!O362</f>
        <v/>
      </c>
      <c r="P348">
        <f>'2 transformar y limpiar'!P362</f>
        <v/>
      </c>
      <c r="Q348">
        <f>'2 transformar y limpiar'!Q362</f>
        <v/>
      </c>
      <c r="R348">
        <f>'2 transformar y limpiar'!R362</f>
        <v/>
      </c>
      <c r="S348">
        <f>'2 transformar y limpiar'!S362</f>
        <v/>
      </c>
      <c r="T348">
        <f>'2 transformar y limpiar'!T362</f>
        <v/>
      </c>
      <c r="U348" s="5">
        <f>'2 transformar y limpiar'!U362</f>
        <v/>
      </c>
    </row>
    <row r="349">
      <c r="A349">
        <f>'2 transformar y limpiar'!A363</f>
        <v/>
      </c>
      <c r="B349">
        <f>'2 transformar y limpiar'!B363</f>
        <v/>
      </c>
      <c r="C349" s="6">
        <f>('2 transformar y limpiar'!C363-$B$6)/$C$6</f>
        <v/>
      </c>
      <c r="D349" s="6">
        <f>('2 transformar y limpiar'!D363-$B$7)/$C$7</f>
        <v/>
      </c>
      <c r="E349" s="6">
        <f>('2 transformar y limpiar'!E363-$B$8)/$C$8</f>
        <v/>
      </c>
      <c r="F349" s="6">
        <f>('2 transformar y limpiar'!F363-$B$9)/$C$9</f>
        <v/>
      </c>
      <c r="G349">
        <f>'2 transformar y limpiar'!G363</f>
        <v/>
      </c>
      <c r="H349">
        <f>'2 transformar y limpiar'!H363</f>
        <v/>
      </c>
      <c r="I349">
        <f>'2 transformar y limpiar'!I363</f>
        <v/>
      </c>
      <c r="J349">
        <f>'2 transformar y limpiar'!J363</f>
        <v/>
      </c>
      <c r="K349">
        <f>'2 transformar y limpiar'!K363</f>
        <v/>
      </c>
      <c r="L349">
        <f>'2 transformar y limpiar'!L363</f>
        <v/>
      </c>
      <c r="M349">
        <f>'2 transformar y limpiar'!M363</f>
        <v/>
      </c>
      <c r="N349">
        <f>'2 transformar y limpiar'!N363</f>
        <v/>
      </c>
      <c r="O349">
        <f>'2 transformar y limpiar'!O363</f>
        <v/>
      </c>
      <c r="P349">
        <f>'2 transformar y limpiar'!P363</f>
        <v/>
      </c>
      <c r="Q349">
        <f>'2 transformar y limpiar'!Q363</f>
        <v/>
      </c>
      <c r="R349">
        <f>'2 transformar y limpiar'!R363</f>
        <v/>
      </c>
      <c r="S349">
        <f>'2 transformar y limpiar'!S363</f>
        <v/>
      </c>
      <c r="T349">
        <f>'2 transformar y limpiar'!T363</f>
        <v/>
      </c>
      <c r="U349" s="5">
        <f>'2 transformar y limpiar'!U363</f>
        <v/>
      </c>
    </row>
    <row r="350">
      <c r="A350">
        <f>'2 transformar y limpiar'!A364</f>
        <v/>
      </c>
      <c r="B350">
        <f>'2 transformar y limpiar'!B364</f>
        <v/>
      </c>
      <c r="C350" s="6">
        <f>('2 transformar y limpiar'!C364-$B$6)/$C$6</f>
        <v/>
      </c>
      <c r="D350" s="6">
        <f>('2 transformar y limpiar'!D364-$B$7)/$C$7</f>
        <v/>
      </c>
      <c r="E350" s="6">
        <f>('2 transformar y limpiar'!E364-$B$8)/$C$8</f>
        <v/>
      </c>
      <c r="F350" s="6">
        <f>('2 transformar y limpiar'!F364-$B$9)/$C$9</f>
        <v/>
      </c>
      <c r="G350">
        <f>'2 transformar y limpiar'!G364</f>
        <v/>
      </c>
      <c r="H350">
        <f>'2 transformar y limpiar'!H364</f>
        <v/>
      </c>
      <c r="I350">
        <f>'2 transformar y limpiar'!I364</f>
        <v/>
      </c>
      <c r="J350">
        <f>'2 transformar y limpiar'!J364</f>
        <v/>
      </c>
      <c r="K350">
        <f>'2 transformar y limpiar'!K364</f>
        <v/>
      </c>
      <c r="L350">
        <f>'2 transformar y limpiar'!L364</f>
        <v/>
      </c>
      <c r="M350">
        <f>'2 transformar y limpiar'!M364</f>
        <v/>
      </c>
      <c r="N350">
        <f>'2 transformar y limpiar'!N364</f>
        <v/>
      </c>
      <c r="O350">
        <f>'2 transformar y limpiar'!O364</f>
        <v/>
      </c>
      <c r="P350">
        <f>'2 transformar y limpiar'!P364</f>
        <v/>
      </c>
      <c r="Q350">
        <f>'2 transformar y limpiar'!Q364</f>
        <v/>
      </c>
      <c r="R350">
        <f>'2 transformar y limpiar'!R364</f>
        <v/>
      </c>
      <c r="S350">
        <f>'2 transformar y limpiar'!S364</f>
        <v/>
      </c>
      <c r="T350">
        <f>'2 transformar y limpiar'!T364</f>
        <v/>
      </c>
      <c r="U350" s="5">
        <f>'2 transformar y limpiar'!U364</f>
        <v/>
      </c>
    </row>
    <row r="351">
      <c r="A351">
        <f>'2 transformar y limpiar'!A365</f>
        <v/>
      </c>
      <c r="B351">
        <f>'2 transformar y limpiar'!B365</f>
        <v/>
      </c>
      <c r="C351" s="6">
        <f>('2 transformar y limpiar'!C365-$B$6)/$C$6</f>
        <v/>
      </c>
      <c r="D351" s="6">
        <f>('2 transformar y limpiar'!D365-$B$7)/$C$7</f>
        <v/>
      </c>
      <c r="E351" s="6">
        <f>('2 transformar y limpiar'!E365-$B$8)/$C$8</f>
        <v/>
      </c>
      <c r="F351" s="6">
        <f>('2 transformar y limpiar'!F365-$B$9)/$C$9</f>
        <v/>
      </c>
      <c r="G351">
        <f>'2 transformar y limpiar'!G365</f>
        <v/>
      </c>
      <c r="H351">
        <f>'2 transformar y limpiar'!H365</f>
        <v/>
      </c>
      <c r="I351">
        <f>'2 transformar y limpiar'!I365</f>
        <v/>
      </c>
      <c r="J351">
        <f>'2 transformar y limpiar'!J365</f>
        <v/>
      </c>
      <c r="K351">
        <f>'2 transformar y limpiar'!K365</f>
        <v/>
      </c>
      <c r="L351">
        <f>'2 transformar y limpiar'!L365</f>
        <v/>
      </c>
      <c r="M351">
        <f>'2 transformar y limpiar'!M365</f>
        <v/>
      </c>
      <c r="N351">
        <f>'2 transformar y limpiar'!N365</f>
        <v/>
      </c>
      <c r="O351">
        <f>'2 transformar y limpiar'!O365</f>
        <v/>
      </c>
      <c r="P351">
        <f>'2 transformar y limpiar'!P365</f>
        <v/>
      </c>
      <c r="Q351">
        <f>'2 transformar y limpiar'!Q365</f>
        <v/>
      </c>
      <c r="R351">
        <f>'2 transformar y limpiar'!R365</f>
        <v/>
      </c>
      <c r="S351">
        <f>'2 transformar y limpiar'!S365</f>
        <v/>
      </c>
      <c r="T351">
        <f>'2 transformar y limpiar'!T365</f>
        <v/>
      </c>
      <c r="U351" s="5">
        <f>'2 transformar y limpiar'!U365</f>
        <v/>
      </c>
    </row>
    <row r="352">
      <c r="A352">
        <f>'2 transformar y limpiar'!A366</f>
        <v/>
      </c>
      <c r="B352">
        <f>'2 transformar y limpiar'!B366</f>
        <v/>
      </c>
      <c r="C352" s="6">
        <f>('2 transformar y limpiar'!C366-$B$6)/$C$6</f>
        <v/>
      </c>
      <c r="D352" s="6">
        <f>('2 transformar y limpiar'!D366-$B$7)/$C$7</f>
        <v/>
      </c>
      <c r="E352" s="6">
        <f>('2 transformar y limpiar'!E366-$B$8)/$C$8</f>
        <v/>
      </c>
      <c r="F352" s="6">
        <f>('2 transformar y limpiar'!F366-$B$9)/$C$9</f>
        <v/>
      </c>
      <c r="G352">
        <f>'2 transformar y limpiar'!G366</f>
        <v/>
      </c>
      <c r="H352">
        <f>'2 transformar y limpiar'!H366</f>
        <v/>
      </c>
      <c r="I352">
        <f>'2 transformar y limpiar'!I366</f>
        <v/>
      </c>
      <c r="J352">
        <f>'2 transformar y limpiar'!J366</f>
        <v/>
      </c>
      <c r="K352">
        <f>'2 transformar y limpiar'!K366</f>
        <v/>
      </c>
      <c r="L352">
        <f>'2 transformar y limpiar'!L366</f>
        <v/>
      </c>
      <c r="M352">
        <f>'2 transformar y limpiar'!M366</f>
        <v/>
      </c>
      <c r="N352">
        <f>'2 transformar y limpiar'!N366</f>
        <v/>
      </c>
      <c r="O352">
        <f>'2 transformar y limpiar'!O366</f>
        <v/>
      </c>
      <c r="P352">
        <f>'2 transformar y limpiar'!P366</f>
        <v/>
      </c>
      <c r="Q352">
        <f>'2 transformar y limpiar'!Q366</f>
        <v/>
      </c>
      <c r="R352">
        <f>'2 transformar y limpiar'!R366</f>
        <v/>
      </c>
      <c r="S352">
        <f>'2 transformar y limpiar'!S366</f>
        <v/>
      </c>
      <c r="T352">
        <f>'2 transformar y limpiar'!T366</f>
        <v/>
      </c>
      <c r="U352" s="5">
        <f>'2 transformar y limpiar'!U366</f>
        <v/>
      </c>
    </row>
    <row r="353">
      <c r="A353">
        <f>'2 transformar y limpiar'!A367</f>
        <v/>
      </c>
      <c r="B353">
        <f>'2 transformar y limpiar'!B367</f>
        <v/>
      </c>
      <c r="C353" s="6">
        <f>('2 transformar y limpiar'!C367-$B$6)/$C$6</f>
        <v/>
      </c>
      <c r="D353" s="6">
        <f>('2 transformar y limpiar'!D367-$B$7)/$C$7</f>
        <v/>
      </c>
      <c r="E353" s="6">
        <f>('2 transformar y limpiar'!E367-$B$8)/$C$8</f>
        <v/>
      </c>
      <c r="F353" s="6">
        <f>('2 transformar y limpiar'!F367-$B$9)/$C$9</f>
        <v/>
      </c>
      <c r="G353">
        <f>'2 transformar y limpiar'!G367</f>
        <v/>
      </c>
      <c r="H353">
        <f>'2 transformar y limpiar'!H367</f>
        <v/>
      </c>
      <c r="I353">
        <f>'2 transformar y limpiar'!I367</f>
        <v/>
      </c>
      <c r="J353">
        <f>'2 transformar y limpiar'!J367</f>
        <v/>
      </c>
      <c r="K353">
        <f>'2 transformar y limpiar'!K367</f>
        <v/>
      </c>
      <c r="L353">
        <f>'2 transformar y limpiar'!L367</f>
        <v/>
      </c>
      <c r="M353">
        <f>'2 transformar y limpiar'!M367</f>
        <v/>
      </c>
      <c r="N353">
        <f>'2 transformar y limpiar'!N367</f>
        <v/>
      </c>
      <c r="O353">
        <f>'2 transformar y limpiar'!O367</f>
        <v/>
      </c>
      <c r="P353">
        <f>'2 transformar y limpiar'!P367</f>
        <v/>
      </c>
      <c r="Q353">
        <f>'2 transformar y limpiar'!Q367</f>
        <v/>
      </c>
      <c r="R353">
        <f>'2 transformar y limpiar'!R367</f>
        <v/>
      </c>
      <c r="S353">
        <f>'2 transformar y limpiar'!S367</f>
        <v/>
      </c>
      <c r="T353">
        <f>'2 transformar y limpiar'!T367</f>
        <v/>
      </c>
      <c r="U353" s="5">
        <f>'2 transformar y limpiar'!U367</f>
        <v/>
      </c>
    </row>
    <row r="354">
      <c r="A354">
        <f>'2 transformar y limpiar'!A368</f>
        <v/>
      </c>
      <c r="B354">
        <f>'2 transformar y limpiar'!B368</f>
        <v/>
      </c>
      <c r="C354" s="6">
        <f>('2 transformar y limpiar'!C368-$B$6)/$C$6</f>
        <v/>
      </c>
      <c r="D354" s="6">
        <f>('2 transformar y limpiar'!D368-$B$7)/$C$7</f>
        <v/>
      </c>
      <c r="E354" s="6">
        <f>('2 transformar y limpiar'!E368-$B$8)/$C$8</f>
        <v/>
      </c>
      <c r="F354" s="6">
        <f>('2 transformar y limpiar'!F368-$B$9)/$C$9</f>
        <v/>
      </c>
      <c r="G354">
        <f>'2 transformar y limpiar'!G368</f>
        <v/>
      </c>
      <c r="H354">
        <f>'2 transformar y limpiar'!H368</f>
        <v/>
      </c>
      <c r="I354">
        <f>'2 transformar y limpiar'!I368</f>
        <v/>
      </c>
      <c r="J354">
        <f>'2 transformar y limpiar'!J368</f>
        <v/>
      </c>
      <c r="K354">
        <f>'2 transformar y limpiar'!K368</f>
        <v/>
      </c>
      <c r="L354">
        <f>'2 transformar y limpiar'!L368</f>
        <v/>
      </c>
      <c r="M354">
        <f>'2 transformar y limpiar'!M368</f>
        <v/>
      </c>
      <c r="N354">
        <f>'2 transformar y limpiar'!N368</f>
        <v/>
      </c>
      <c r="O354">
        <f>'2 transformar y limpiar'!O368</f>
        <v/>
      </c>
      <c r="P354">
        <f>'2 transformar y limpiar'!P368</f>
        <v/>
      </c>
      <c r="Q354">
        <f>'2 transformar y limpiar'!Q368</f>
        <v/>
      </c>
      <c r="R354">
        <f>'2 transformar y limpiar'!R368</f>
        <v/>
      </c>
      <c r="S354">
        <f>'2 transformar y limpiar'!S368</f>
        <v/>
      </c>
      <c r="T354">
        <f>'2 transformar y limpiar'!T368</f>
        <v/>
      </c>
      <c r="U354" s="5">
        <f>'2 transformar y limpiar'!U368</f>
        <v/>
      </c>
    </row>
    <row r="355">
      <c r="A355">
        <f>'2 transformar y limpiar'!A369</f>
        <v/>
      </c>
      <c r="B355">
        <f>'2 transformar y limpiar'!B369</f>
        <v/>
      </c>
      <c r="C355" s="6">
        <f>('2 transformar y limpiar'!C369-$B$6)/$C$6</f>
        <v/>
      </c>
      <c r="D355" s="6">
        <f>('2 transformar y limpiar'!D369-$B$7)/$C$7</f>
        <v/>
      </c>
      <c r="E355" s="6">
        <f>('2 transformar y limpiar'!E369-$B$8)/$C$8</f>
        <v/>
      </c>
      <c r="F355" s="6">
        <f>('2 transformar y limpiar'!F369-$B$9)/$C$9</f>
        <v/>
      </c>
      <c r="G355">
        <f>'2 transformar y limpiar'!G369</f>
        <v/>
      </c>
      <c r="H355">
        <f>'2 transformar y limpiar'!H369</f>
        <v/>
      </c>
      <c r="I355">
        <f>'2 transformar y limpiar'!I369</f>
        <v/>
      </c>
      <c r="J355">
        <f>'2 transformar y limpiar'!J369</f>
        <v/>
      </c>
      <c r="K355">
        <f>'2 transformar y limpiar'!K369</f>
        <v/>
      </c>
      <c r="L355">
        <f>'2 transformar y limpiar'!L369</f>
        <v/>
      </c>
      <c r="M355">
        <f>'2 transformar y limpiar'!M369</f>
        <v/>
      </c>
      <c r="N355">
        <f>'2 transformar y limpiar'!N369</f>
        <v/>
      </c>
      <c r="O355">
        <f>'2 transformar y limpiar'!O369</f>
        <v/>
      </c>
      <c r="P355">
        <f>'2 transformar y limpiar'!P369</f>
        <v/>
      </c>
      <c r="Q355">
        <f>'2 transformar y limpiar'!Q369</f>
        <v/>
      </c>
      <c r="R355">
        <f>'2 transformar y limpiar'!R369</f>
        <v/>
      </c>
      <c r="S355">
        <f>'2 transformar y limpiar'!S369</f>
        <v/>
      </c>
      <c r="T355">
        <f>'2 transformar y limpiar'!T369</f>
        <v/>
      </c>
      <c r="U355" s="5">
        <f>'2 transformar y limpiar'!U369</f>
        <v/>
      </c>
    </row>
    <row r="356">
      <c r="A356">
        <f>'2 transformar y limpiar'!A370</f>
        <v/>
      </c>
      <c r="B356">
        <f>'2 transformar y limpiar'!B370</f>
        <v/>
      </c>
      <c r="C356" s="6">
        <f>('2 transformar y limpiar'!C370-$B$6)/$C$6</f>
        <v/>
      </c>
      <c r="D356" s="6">
        <f>('2 transformar y limpiar'!D370-$B$7)/$C$7</f>
        <v/>
      </c>
      <c r="E356" s="6">
        <f>('2 transformar y limpiar'!E370-$B$8)/$C$8</f>
        <v/>
      </c>
      <c r="F356" s="6">
        <f>('2 transformar y limpiar'!F370-$B$9)/$C$9</f>
        <v/>
      </c>
      <c r="G356">
        <f>'2 transformar y limpiar'!G370</f>
        <v/>
      </c>
      <c r="H356">
        <f>'2 transformar y limpiar'!H370</f>
        <v/>
      </c>
      <c r="I356">
        <f>'2 transformar y limpiar'!I370</f>
        <v/>
      </c>
      <c r="J356">
        <f>'2 transformar y limpiar'!J370</f>
        <v/>
      </c>
      <c r="K356">
        <f>'2 transformar y limpiar'!K370</f>
        <v/>
      </c>
      <c r="L356">
        <f>'2 transformar y limpiar'!L370</f>
        <v/>
      </c>
      <c r="M356">
        <f>'2 transformar y limpiar'!M370</f>
        <v/>
      </c>
      <c r="N356">
        <f>'2 transformar y limpiar'!N370</f>
        <v/>
      </c>
      <c r="O356">
        <f>'2 transformar y limpiar'!O370</f>
        <v/>
      </c>
      <c r="P356">
        <f>'2 transformar y limpiar'!P370</f>
        <v/>
      </c>
      <c r="Q356">
        <f>'2 transformar y limpiar'!Q370</f>
        <v/>
      </c>
      <c r="R356">
        <f>'2 transformar y limpiar'!R370</f>
        <v/>
      </c>
      <c r="S356">
        <f>'2 transformar y limpiar'!S370</f>
        <v/>
      </c>
      <c r="T356">
        <f>'2 transformar y limpiar'!T370</f>
        <v/>
      </c>
      <c r="U356" s="5">
        <f>'2 transformar y limpiar'!U370</f>
        <v/>
      </c>
    </row>
    <row r="357">
      <c r="A357">
        <f>'2 transformar y limpiar'!A371</f>
        <v/>
      </c>
      <c r="B357">
        <f>'2 transformar y limpiar'!B371</f>
        <v/>
      </c>
      <c r="C357" s="6">
        <f>('2 transformar y limpiar'!C371-$B$6)/$C$6</f>
        <v/>
      </c>
      <c r="D357" s="6">
        <f>('2 transformar y limpiar'!D371-$B$7)/$C$7</f>
        <v/>
      </c>
      <c r="E357" s="6">
        <f>('2 transformar y limpiar'!E371-$B$8)/$C$8</f>
        <v/>
      </c>
      <c r="F357" s="6">
        <f>('2 transformar y limpiar'!F371-$B$9)/$C$9</f>
        <v/>
      </c>
      <c r="G357">
        <f>'2 transformar y limpiar'!G371</f>
        <v/>
      </c>
      <c r="H357">
        <f>'2 transformar y limpiar'!H371</f>
        <v/>
      </c>
      <c r="I357">
        <f>'2 transformar y limpiar'!I371</f>
        <v/>
      </c>
      <c r="J357">
        <f>'2 transformar y limpiar'!J371</f>
        <v/>
      </c>
      <c r="K357">
        <f>'2 transformar y limpiar'!K371</f>
        <v/>
      </c>
      <c r="L357">
        <f>'2 transformar y limpiar'!L371</f>
        <v/>
      </c>
      <c r="M357">
        <f>'2 transformar y limpiar'!M371</f>
        <v/>
      </c>
      <c r="N357">
        <f>'2 transformar y limpiar'!N371</f>
        <v/>
      </c>
      <c r="O357">
        <f>'2 transformar y limpiar'!O371</f>
        <v/>
      </c>
      <c r="P357">
        <f>'2 transformar y limpiar'!P371</f>
        <v/>
      </c>
      <c r="Q357">
        <f>'2 transformar y limpiar'!Q371</f>
        <v/>
      </c>
      <c r="R357">
        <f>'2 transformar y limpiar'!R371</f>
        <v/>
      </c>
      <c r="S357">
        <f>'2 transformar y limpiar'!S371</f>
        <v/>
      </c>
      <c r="T357">
        <f>'2 transformar y limpiar'!T371</f>
        <v/>
      </c>
      <c r="U357" s="5">
        <f>'2 transformar y limpiar'!U371</f>
        <v/>
      </c>
    </row>
    <row r="358">
      <c r="A358">
        <f>'2 transformar y limpiar'!A372</f>
        <v/>
      </c>
      <c r="B358">
        <f>'2 transformar y limpiar'!B372</f>
        <v/>
      </c>
      <c r="C358" s="6">
        <f>('2 transformar y limpiar'!C372-$B$6)/$C$6</f>
        <v/>
      </c>
      <c r="D358" s="6">
        <f>('2 transformar y limpiar'!D372-$B$7)/$C$7</f>
        <v/>
      </c>
      <c r="E358" s="6">
        <f>('2 transformar y limpiar'!E372-$B$8)/$C$8</f>
        <v/>
      </c>
      <c r="F358" s="6">
        <f>('2 transformar y limpiar'!F372-$B$9)/$C$9</f>
        <v/>
      </c>
      <c r="G358">
        <f>'2 transformar y limpiar'!G372</f>
        <v/>
      </c>
      <c r="H358">
        <f>'2 transformar y limpiar'!H372</f>
        <v/>
      </c>
      <c r="I358">
        <f>'2 transformar y limpiar'!I372</f>
        <v/>
      </c>
      <c r="J358">
        <f>'2 transformar y limpiar'!J372</f>
        <v/>
      </c>
      <c r="K358">
        <f>'2 transformar y limpiar'!K372</f>
        <v/>
      </c>
      <c r="L358">
        <f>'2 transformar y limpiar'!L372</f>
        <v/>
      </c>
      <c r="M358">
        <f>'2 transformar y limpiar'!M372</f>
        <v/>
      </c>
      <c r="N358">
        <f>'2 transformar y limpiar'!N372</f>
        <v/>
      </c>
      <c r="O358">
        <f>'2 transformar y limpiar'!O372</f>
        <v/>
      </c>
      <c r="P358">
        <f>'2 transformar y limpiar'!P372</f>
        <v/>
      </c>
      <c r="Q358">
        <f>'2 transformar y limpiar'!Q372</f>
        <v/>
      </c>
      <c r="R358">
        <f>'2 transformar y limpiar'!R372</f>
        <v/>
      </c>
      <c r="S358">
        <f>'2 transformar y limpiar'!S372</f>
        <v/>
      </c>
      <c r="T358">
        <f>'2 transformar y limpiar'!T372</f>
        <v/>
      </c>
      <c r="U358" s="5">
        <f>'2 transformar y limpiar'!U372</f>
        <v/>
      </c>
    </row>
    <row r="359">
      <c r="A359">
        <f>'2 transformar y limpiar'!A373</f>
        <v/>
      </c>
      <c r="B359">
        <f>'2 transformar y limpiar'!B373</f>
        <v/>
      </c>
      <c r="C359" s="6">
        <f>('2 transformar y limpiar'!C373-$B$6)/$C$6</f>
        <v/>
      </c>
      <c r="D359" s="6">
        <f>('2 transformar y limpiar'!D373-$B$7)/$C$7</f>
        <v/>
      </c>
      <c r="E359" s="6">
        <f>('2 transformar y limpiar'!E373-$B$8)/$C$8</f>
        <v/>
      </c>
      <c r="F359" s="6">
        <f>('2 transformar y limpiar'!F373-$B$9)/$C$9</f>
        <v/>
      </c>
      <c r="G359">
        <f>'2 transformar y limpiar'!G373</f>
        <v/>
      </c>
      <c r="H359">
        <f>'2 transformar y limpiar'!H373</f>
        <v/>
      </c>
      <c r="I359">
        <f>'2 transformar y limpiar'!I373</f>
        <v/>
      </c>
      <c r="J359">
        <f>'2 transformar y limpiar'!J373</f>
        <v/>
      </c>
      <c r="K359">
        <f>'2 transformar y limpiar'!K373</f>
        <v/>
      </c>
      <c r="L359">
        <f>'2 transformar y limpiar'!L373</f>
        <v/>
      </c>
      <c r="M359">
        <f>'2 transformar y limpiar'!M373</f>
        <v/>
      </c>
      <c r="N359">
        <f>'2 transformar y limpiar'!N373</f>
        <v/>
      </c>
      <c r="O359">
        <f>'2 transformar y limpiar'!O373</f>
        <v/>
      </c>
      <c r="P359">
        <f>'2 transformar y limpiar'!P373</f>
        <v/>
      </c>
      <c r="Q359">
        <f>'2 transformar y limpiar'!Q373</f>
        <v/>
      </c>
      <c r="R359">
        <f>'2 transformar y limpiar'!R373</f>
        <v/>
      </c>
      <c r="S359">
        <f>'2 transformar y limpiar'!S373</f>
        <v/>
      </c>
      <c r="T359">
        <f>'2 transformar y limpiar'!T373</f>
        <v/>
      </c>
      <c r="U359" s="5">
        <f>'2 transformar y limpiar'!U373</f>
        <v/>
      </c>
    </row>
    <row r="360">
      <c r="A360">
        <f>'2 transformar y limpiar'!A374</f>
        <v/>
      </c>
      <c r="B360">
        <f>'2 transformar y limpiar'!B374</f>
        <v/>
      </c>
      <c r="C360" s="6">
        <f>('2 transformar y limpiar'!C374-$B$6)/$C$6</f>
        <v/>
      </c>
      <c r="D360" s="6">
        <f>('2 transformar y limpiar'!D374-$B$7)/$C$7</f>
        <v/>
      </c>
      <c r="E360" s="6">
        <f>('2 transformar y limpiar'!E374-$B$8)/$C$8</f>
        <v/>
      </c>
      <c r="F360" s="6">
        <f>('2 transformar y limpiar'!F374-$B$9)/$C$9</f>
        <v/>
      </c>
      <c r="G360">
        <f>'2 transformar y limpiar'!G374</f>
        <v/>
      </c>
      <c r="H360">
        <f>'2 transformar y limpiar'!H374</f>
        <v/>
      </c>
      <c r="I360">
        <f>'2 transformar y limpiar'!I374</f>
        <v/>
      </c>
      <c r="J360">
        <f>'2 transformar y limpiar'!J374</f>
        <v/>
      </c>
      <c r="K360">
        <f>'2 transformar y limpiar'!K374</f>
        <v/>
      </c>
      <c r="L360">
        <f>'2 transformar y limpiar'!L374</f>
        <v/>
      </c>
      <c r="M360">
        <f>'2 transformar y limpiar'!M374</f>
        <v/>
      </c>
      <c r="N360">
        <f>'2 transformar y limpiar'!N374</f>
        <v/>
      </c>
      <c r="O360">
        <f>'2 transformar y limpiar'!O374</f>
        <v/>
      </c>
      <c r="P360">
        <f>'2 transformar y limpiar'!P374</f>
        <v/>
      </c>
      <c r="Q360">
        <f>'2 transformar y limpiar'!Q374</f>
        <v/>
      </c>
      <c r="R360">
        <f>'2 transformar y limpiar'!R374</f>
        <v/>
      </c>
      <c r="S360">
        <f>'2 transformar y limpiar'!S374</f>
        <v/>
      </c>
      <c r="T360">
        <f>'2 transformar y limpiar'!T374</f>
        <v/>
      </c>
      <c r="U360" s="5">
        <f>'2 transformar y limpiar'!U374</f>
        <v/>
      </c>
    </row>
    <row r="361">
      <c r="A361">
        <f>'2 transformar y limpiar'!A375</f>
        <v/>
      </c>
      <c r="B361">
        <f>'2 transformar y limpiar'!B375</f>
        <v/>
      </c>
      <c r="C361" s="6">
        <f>('2 transformar y limpiar'!C375-$B$6)/$C$6</f>
        <v/>
      </c>
      <c r="D361" s="6">
        <f>('2 transformar y limpiar'!D375-$B$7)/$C$7</f>
        <v/>
      </c>
      <c r="E361" s="6">
        <f>('2 transformar y limpiar'!E375-$B$8)/$C$8</f>
        <v/>
      </c>
      <c r="F361" s="6">
        <f>('2 transformar y limpiar'!F375-$B$9)/$C$9</f>
        <v/>
      </c>
      <c r="G361">
        <f>'2 transformar y limpiar'!G375</f>
        <v/>
      </c>
      <c r="H361">
        <f>'2 transformar y limpiar'!H375</f>
        <v/>
      </c>
      <c r="I361">
        <f>'2 transformar y limpiar'!I375</f>
        <v/>
      </c>
      <c r="J361">
        <f>'2 transformar y limpiar'!J375</f>
        <v/>
      </c>
      <c r="K361">
        <f>'2 transformar y limpiar'!K375</f>
        <v/>
      </c>
      <c r="L361">
        <f>'2 transformar y limpiar'!L375</f>
        <v/>
      </c>
      <c r="M361">
        <f>'2 transformar y limpiar'!M375</f>
        <v/>
      </c>
      <c r="N361">
        <f>'2 transformar y limpiar'!N375</f>
        <v/>
      </c>
      <c r="O361">
        <f>'2 transformar y limpiar'!O375</f>
        <v/>
      </c>
      <c r="P361">
        <f>'2 transformar y limpiar'!P375</f>
        <v/>
      </c>
      <c r="Q361">
        <f>'2 transformar y limpiar'!Q375</f>
        <v/>
      </c>
      <c r="R361">
        <f>'2 transformar y limpiar'!R375</f>
        <v/>
      </c>
      <c r="S361">
        <f>'2 transformar y limpiar'!S375</f>
        <v/>
      </c>
      <c r="T361">
        <f>'2 transformar y limpiar'!T375</f>
        <v/>
      </c>
      <c r="U361" s="5">
        <f>'2 transformar y limpiar'!U375</f>
        <v/>
      </c>
    </row>
    <row r="362">
      <c r="A362">
        <f>'2 transformar y limpiar'!A376</f>
        <v/>
      </c>
      <c r="B362">
        <f>'2 transformar y limpiar'!B376</f>
        <v/>
      </c>
      <c r="C362" s="6">
        <f>('2 transformar y limpiar'!C376-$B$6)/$C$6</f>
        <v/>
      </c>
      <c r="D362" s="6">
        <f>('2 transformar y limpiar'!D376-$B$7)/$C$7</f>
        <v/>
      </c>
      <c r="E362" s="6">
        <f>('2 transformar y limpiar'!E376-$B$8)/$C$8</f>
        <v/>
      </c>
      <c r="F362" s="6">
        <f>('2 transformar y limpiar'!F376-$B$9)/$C$9</f>
        <v/>
      </c>
      <c r="G362">
        <f>'2 transformar y limpiar'!G376</f>
        <v/>
      </c>
      <c r="H362">
        <f>'2 transformar y limpiar'!H376</f>
        <v/>
      </c>
      <c r="I362">
        <f>'2 transformar y limpiar'!I376</f>
        <v/>
      </c>
      <c r="J362">
        <f>'2 transformar y limpiar'!J376</f>
        <v/>
      </c>
      <c r="K362">
        <f>'2 transformar y limpiar'!K376</f>
        <v/>
      </c>
      <c r="L362">
        <f>'2 transformar y limpiar'!L376</f>
        <v/>
      </c>
      <c r="M362">
        <f>'2 transformar y limpiar'!M376</f>
        <v/>
      </c>
      <c r="N362">
        <f>'2 transformar y limpiar'!N376</f>
        <v/>
      </c>
      <c r="O362">
        <f>'2 transformar y limpiar'!O376</f>
        <v/>
      </c>
      <c r="P362">
        <f>'2 transformar y limpiar'!P376</f>
        <v/>
      </c>
      <c r="Q362">
        <f>'2 transformar y limpiar'!Q376</f>
        <v/>
      </c>
      <c r="R362">
        <f>'2 transformar y limpiar'!R376</f>
        <v/>
      </c>
      <c r="S362">
        <f>'2 transformar y limpiar'!S376</f>
        <v/>
      </c>
      <c r="T362">
        <f>'2 transformar y limpiar'!T376</f>
        <v/>
      </c>
      <c r="U362" s="5">
        <f>'2 transformar y limpiar'!U376</f>
        <v/>
      </c>
    </row>
    <row r="363">
      <c r="A363">
        <f>'2 transformar y limpiar'!A377</f>
        <v/>
      </c>
      <c r="B363">
        <f>'2 transformar y limpiar'!B377</f>
        <v/>
      </c>
      <c r="C363" s="6">
        <f>('2 transformar y limpiar'!C377-$B$6)/$C$6</f>
        <v/>
      </c>
      <c r="D363" s="6">
        <f>('2 transformar y limpiar'!D377-$B$7)/$C$7</f>
        <v/>
      </c>
      <c r="E363" s="6">
        <f>('2 transformar y limpiar'!E377-$B$8)/$C$8</f>
        <v/>
      </c>
      <c r="F363" s="6">
        <f>('2 transformar y limpiar'!F377-$B$9)/$C$9</f>
        <v/>
      </c>
      <c r="G363">
        <f>'2 transformar y limpiar'!G377</f>
        <v/>
      </c>
      <c r="H363">
        <f>'2 transformar y limpiar'!H377</f>
        <v/>
      </c>
      <c r="I363">
        <f>'2 transformar y limpiar'!I377</f>
        <v/>
      </c>
      <c r="J363">
        <f>'2 transformar y limpiar'!J377</f>
        <v/>
      </c>
      <c r="K363">
        <f>'2 transformar y limpiar'!K377</f>
        <v/>
      </c>
      <c r="L363">
        <f>'2 transformar y limpiar'!L377</f>
        <v/>
      </c>
      <c r="M363">
        <f>'2 transformar y limpiar'!M377</f>
        <v/>
      </c>
      <c r="N363">
        <f>'2 transformar y limpiar'!N377</f>
        <v/>
      </c>
      <c r="O363">
        <f>'2 transformar y limpiar'!O377</f>
        <v/>
      </c>
      <c r="P363">
        <f>'2 transformar y limpiar'!P377</f>
        <v/>
      </c>
      <c r="Q363">
        <f>'2 transformar y limpiar'!Q377</f>
        <v/>
      </c>
      <c r="R363">
        <f>'2 transformar y limpiar'!R377</f>
        <v/>
      </c>
      <c r="S363">
        <f>'2 transformar y limpiar'!S377</f>
        <v/>
      </c>
      <c r="T363">
        <f>'2 transformar y limpiar'!T377</f>
        <v/>
      </c>
      <c r="U363" s="5">
        <f>'2 transformar y limpiar'!U377</f>
        <v/>
      </c>
    </row>
    <row r="364">
      <c r="A364">
        <f>'2 transformar y limpiar'!A378</f>
        <v/>
      </c>
      <c r="B364">
        <f>'2 transformar y limpiar'!B378</f>
        <v/>
      </c>
      <c r="C364" s="6">
        <f>('2 transformar y limpiar'!C378-$B$6)/$C$6</f>
        <v/>
      </c>
      <c r="D364" s="6">
        <f>('2 transformar y limpiar'!D378-$B$7)/$C$7</f>
        <v/>
      </c>
      <c r="E364" s="6">
        <f>('2 transformar y limpiar'!E378-$B$8)/$C$8</f>
        <v/>
      </c>
      <c r="F364" s="6">
        <f>('2 transformar y limpiar'!F378-$B$9)/$C$9</f>
        <v/>
      </c>
      <c r="G364">
        <f>'2 transformar y limpiar'!G378</f>
        <v/>
      </c>
      <c r="H364">
        <f>'2 transformar y limpiar'!H378</f>
        <v/>
      </c>
      <c r="I364">
        <f>'2 transformar y limpiar'!I378</f>
        <v/>
      </c>
      <c r="J364">
        <f>'2 transformar y limpiar'!J378</f>
        <v/>
      </c>
      <c r="K364">
        <f>'2 transformar y limpiar'!K378</f>
        <v/>
      </c>
      <c r="L364">
        <f>'2 transformar y limpiar'!L378</f>
        <v/>
      </c>
      <c r="M364">
        <f>'2 transformar y limpiar'!M378</f>
        <v/>
      </c>
      <c r="N364">
        <f>'2 transformar y limpiar'!N378</f>
        <v/>
      </c>
      <c r="O364">
        <f>'2 transformar y limpiar'!O378</f>
        <v/>
      </c>
      <c r="P364">
        <f>'2 transformar y limpiar'!P378</f>
        <v/>
      </c>
      <c r="Q364">
        <f>'2 transformar y limpiar'!Q378</f>
        <v/>
      </c>
      <c r="R364">
        <f>'2 transformar y limpiar'!R378</f>
        <v/>
      </c>
      <c r="S364">
        <f>'2 transformar y limpiar'!S378</f>
        <v/>
      </c>
      <c r="T364">
        <f>'2 transformar y limpiar'!T378</f>
        <v/>
      </c>
      <c r="U364" s="5">
        <f>'2 transformar y limpiar'!U378</f>
        <v/>
      </c>
    </row>
    <row r="365">
      <c r="A365">
        <f>'2 transformar y limpiar'!A379</f>
        <v/>
      </c>
      <c r="B365">
        <f>'2 transformar y limpiar'!B379</f>
        <v/>
      </c>
      <c r="C365" s="6">
        <f>('2 transformar y limpiar'!C379-$B$6)/$C$6</f>
        <v/>
      </c>
      <c r="D365" s="6">
        <f>('2 transformar y limpiar'!D379-$B$7)/$C$7</f>
        <v/>
      </c>
      <c r="E365" s="6">
        <f>('2 transformar y limpiar'!E379-$B$8)/$C$8</f>
        <v/>
      </c>
      <c r="F365" s="6">
        <f>('2 transformar y limpiar'!F379-$B$9)/$C$9</f>
        <v/>
      </c>
      <c r="G365">
        <f>'2 transformar y limpiar'!G379</f>
        <v/>
      </c>
      <c r="H365">
        <f>'2 transformar y limpiar'!H379</f>
        <v/>
      </c>
      <c r="I365">
        <f>'2 transformar y limpiar'!I379</f>
        <v/>
      </c>
      <c r="J365">
        <f>'2 transformar y limpiar'!J379</f>
        <v/>
      </c>
      <c r="K365">
        <f>'2 transformar y limpiar'!K379</f>
        <v/>
      </c>
      <c r="L365">
        <f>'2 transformar y limpiar'!L379</f>
        <v/>
      </c>
      <c r="M365">
        <f>'2 transformar y limpiar'!M379</f>
        <v/>
      </c>
      <c r="N365">
        <f>'2 transformar y limpiar'!N379</f>
        <v/>
      </c>
      <c r="O365">
        <f>'2 transformar y limpiar'!O379</f>
        <v/>
      </c>
      <c r="P365">
        <f>'2 transformar y limpiar'!P379</f>
        <v/>
      </c>
      <c r="Q365">
        <f>'2 transformar y limpiar'!Q379</f>
        <v/>
      </c>
      <c r="R365">
        <f>'2 transformar y limpiar'!R379</f>
        <v/>
      </c>
      <c r="S365">
        <f>'2 transformar y limpiar'!S379</f>
        <v/>
      </c>
      <c r="T365">
        <f>'2 transformar y limpiar'!T379</f>
        <v/>
      </c>
      <c r="U365" s="5">
        <f>'2 transformar y limpiar'!U379</f>
        <v/>
      </c>
    </row>
    <row r="366">
      <c r="A366">
        <f>'2 transformar y limpiar'!A380</f>
        <v/>
      </c>
      <c r="B366">
        <f>'2 transformar y limpiar'!B380</f>
        <v/>
      </c>
      <c r="C366" s="6">
        <f>('2 transformar y limpiar'!C380-$B$6)/$C$6</f>
        <v/>
      </c>
      <c r="D366" s="6">
        <f>('2 transformar y limpiar'!D380-$B$7)/$C$7</f>
        <v/>
      </c>
      <c r="E366" s="6">
        <f>('2 transformar y limpiar'!E380-$B$8)/$C$8</f>
        <v/>
      </c>
      <c r="F366" s="6">
        <f>('2 transformar y limpiar'!F380-$B$9)/$C$9</f>
        <v/>
      </c>
      <c r="G366">
        <f>'2 transformar y limpiar'!G380</f>
        <v/>
      </c>
      <c r="H366">
        <f>'2 transformar y limpiar'!H380</f>
        <v/>
      </c>
      <c r="I366">
        <f>'2 transformar y limpiar'!I380</f>
        <v/>
      </c>
      <c r="J366">
        <f>'2 transformar y limpiar'!J380</f>
        <v/>
      </c>
      <c r="K366">
        <f>'2 transformar y limpiar'!K380</f>
        <v/>
      </c>
      <c r="L366">
        <f>'2 transformar y limpiar'!L380</f>
        <v/>
      </c>
      <c r="M366">
        <f>'2 transformar y limpiar'!M380</f>
        <v/>
      </c>
      <c r="N366">
        <f>'2 transformar y limpiar'!N380</f>
        <v/>
      </c>
      <c r="O366">
        <f>'2 transformar y limpiar'!O380</f>
        <v/>
      </c>
      <c r="P366">
        <f>'2 transformar y limpiar'!P380</f>
        <v/>
      </c>
      <c r="Q366">
        <f>'2 transformar y limpiar'!Q380</f>
        <v/>
      </c>
      <c r="R366">
        <f>'2 transformar y limpiar'!R380</f>
        <v/>
      </c>
      <c r="S366">
        <f>'2 transformar y limpiar'!S380</f>
        <v/>
      </c>
      <c r="T366">
        <f>'2 transformar y limpiar'!T380</f>
        <v/>
      </c>
      <c r="U366" s="5">
        <f>'2 transformar y limpiar'!U380</f>
        <v/>
      </c>
    </row>
    <row r="367">
      <c r="A367">
        <f>'2 transformar y limpiar'!A381</f>
        <v/>
      </c>
      <c r="B367">
        <f>'2 transformar y limpiar'!B381</f>
        <v/>
      </c>
      <c r="C367" s="6">
        <f>('2 transformar y limpiar'!C381-$B$6)/$C$6</f>
        <v/>
      </c>
      <c r="D367" s="6">
        <f>('2 transformar y limpiar'!D381-$B$7)/$C$7</f>
        <v/>
      </c>
      <c r="E367" s="6">
        <f>('2 transformar y limpiar'!E381-$B$8)/$C$8</f>
        <v/>
      </c>
      <c r="F367" s="6">
        <f>('2 transformar y limpiar'!F381-$B$9)/$C$9</f>
        <v/>
      </c>
      <c r="G367">
        <f>'2 transformar y limpiar'!G381</f>
        <v/>
      </c>
      <c r="H367">
        <f>'2 transformar y limpiar'!H381</f>
        <v/>
      </c>
      <c r="I367">
        <f>'2 transformar y limpiar'!I381</f>
        <v/>
      </c>
      <c r="J367">
        <f>'2 transformar y limpiar'!J381</f>
        <v/>
      </c>
      <c r="K367">
        <f>'2 transformar y limpiar'!K381</f>
        <v/>
      </c>
      <c r="L367">
        <f>'2 transformar y limpiar'!L381</f>
        <v/>
      </c>
      <c r="M367">
        <f>'2 transformar y limpiar'!M381</f>
        <v/>
      </c>
      <c r="N367">
        <f>'2 transformar y limpiar'!N381</f>
        <v/>
      </c>
      <c r="O367">
        <f>'2 transformar y limpiar'!O381</f>
        <v/>
      </c>
      <c r="P367">
        <f>'2 transformar y limpiar'!P381</f>
        <v/>
      </c>
      <c r="Q367">
        <f>'2 transformar y limpiar'!Q381</f>
        <v/>
      </c>
      <c r="R367">
        <f>'2 transformar y limpiar'!R381</f>
        <v/>
      </c>
      <c r="S367">
        <f>'2 transformar y limpiar'!S381</f>
        <v/>
      </c>
      <c r="T367">
        <f>'2 transformar y limpiar'!T381</f>
        <v/>
      </c>
      <c r="U367" s="5">
        <f>'2 transformar y limpiar'!U381</f>
        <v/>
      </c>
    </row>
    <row r="368">
      <c r="A368">
        <f>'2 transformar y limpiar'!A382</f>
        <v/>
      </c>
      <c r="B368">
        <f>'2 transformar y limpiar'!B382</f>
        <v/>
      </c>
      <c r="C368" s="6">
        <f>('2 transformar y limpiar'!C382-$B$6)/$C$6</f>
        <v/>
      </c>
      <c r="D368" s="6">
        <f>('2 transformar y limpiar'!D382-$B$7)/$C$7</f>
        <v/>
      </c>
      <c r="E368" s="6">
        <f>('2 transformar y limpiar'!E382-$B$8)/$C$8</f>
        <v/>
      </c>
      <c r="F368" s="6">
        <f>('2 transformar y limpiar'!F382-$B$9)/$C$9</f>
        <v/>
      </c>
      <c r="G368">
        <f>'2 transformar y limpiar'!G382</f>
        <v/>
      </c>
      <c r="H368">
        <f>'2 transformar y limpiar'!H382</f>
        <v/>
      </c>
      <c r="I368">
        <f>'2 transformar y limpiar'!I382</f>
        <v/>
      </c>
      <c r="J368">
        <f>'2 transformar y limpiar'!J382</f>
        <v/>
      </c>
      <c r="K368">
        <f>'2 transformar y limpiar'!K382</f>
        <v/>
      </c>
      <c r="L368">
        <f>'2 transformar y limpiar'!L382</f>
        <v/>
      </c>
      <c r="M368">
        <f>'2 transformar y limpiar'!M382</f>
        <v/>
      </c>
      <c r="N368">
        <f>'2 transformar y limpiar'!N382</f>
        <v/>
      </c>
      <c r="O368">
        <f>'2 transformar y limpiar'!O382</f>
        <v/>
      </c>
      <c r="P368">
        <f>'2 transformar y limpiar'!P382</f>
        <v/>
      </c>
      <c r="Q368">
        <f>'2 transformar y limpiar'!Q382</f>
        <v/>
      </c>
      <c r="R368">
        <f>'2 transformar y limpiar'!R382</f>
        <v/>
      </c>
      <c r="S368">
        <f>'2 transformar y limpiar'!S382</f>
        <v/>
      </c>
      <c r="T368">
        <f>'2 transformar y limpiar'!T382</f>
        <v/>
      </c>
      <c r="U368" s="5">
        <f>'2 transformar y limpiar'!U382</f>
        <v/>
      </c>
    </row>
    <row r="369">
      <c r="A369">
        <f>'2 transformar y limpiar'!A383</f>
        <v/>
      </c>
      <c r="B369">
        <f>'2 transformar y limpiar'!B383</f>
        <v/>
      </c>
      <c r="C369" s="6">
        <f>('2 transformar y limpiar'!C383-$B$6)/$C$6</f>
        <v/>
      </c>
      <c r="D369" s="6">
        <f>('2 transformar y limpiar'!D383-$B$7)/$C$7</f>
        <v/>
      </c>
      <c r="E369" s="6">
        <f>('2 transformar y limpiar'!E383-$B$8)/$C$8</f>
        <v/>
      </c>
      <c r="F369" s="6">
        <f>('2 transformar y limpiar'!F383-$B$9)/$C$9</f>
        <v/>
      </c>
      <c r="G369">
        <f>'2 transformar y limpiar'!G383</f>
        <v/>
      </c>
      <c r="H369">
        <f>'2 transformar y limpiar'!H383</f>
        <v/>
      </c>
      <c r="I369">
        <f>'2 transformar y limpiar'!I383</f>
        <v/>
      </c>
      <c r="J369">
        <f>'2 transformar y limpiar'!J383</f>
        <v/>
      </c>
      <c r="K369">
        <f>'2 transformar y limpiar'!K383</f>
        <v/>
      </c>
      <c r="L369">
        <f>'2 transformar y limpiar'!L383</f>
        <v/>
      </c>
      <c r="M369">
        <f>'2 transformar y limpiar'!M383</f>
        <v/>
      </c>
      <c r="N369">
        <f>'2 transformar y limpiar'!N383</f>
        <v/>
      </c>
      <c r="O369">
        <f>'2 transformar y limpiar'!O383</f>
        <v/>
      </c>
      <c r="P369">
        <f>'2 transformar y limpiar'!P383</f>
        <v/>
      </c>
      <c r="Q369">
        <f>'2 transformar y limpiar'!Q383</f>
        <v/>
      </c>
      <c r="R369">
        <f>'2 transformar y limpiar'!R383</f>
        <v/>
      </c>
      <c r="S369">
        <f>'2 transformar y limpiar'!S383</f>
        <v/>
      </c>
      <c r="T369">
        <f>'2 transformar y limpiar'!T383</f>
        <v/>
      </c>
      <c r="U369" s="5">
        <f>'2 transformar y limpiar'!U383</f>
        <v/>
      </c>
    </row>
    <row r="370">
      <c r="A370">
        <f>'2 transformar y limpiar'!A384</f>
        <v/>
      </c>
      <c r="B370">
        <f>'2 transformar y limpiar'!B384</f>
        <v/>
      </c>
      <c r="C370" s="6">
        <f>('2 transformar y limpiar'!C384-$B$6)/$C$6</f>
        <v/>
      </c>
      <c r="D370" s="6">
        <f>('2 transformar y limpiar'!D384-$B$7)/$C$7</f>
        <v/>
      </c>
      <c r="E370" s="6">
        <f>('2 transformar y limpiar'!E384-$B$8)/$C$8</f>
        <v/>
      </c>
      <c r="F370" s="6">
        <f>('2 transformar y limpiar'!F384-$B$9)/$C$9</f>
        <v/>
      </c>
      <c r="G370">
        <f>'2 transformar y limpiar'!G384</f>
        <v/>
      </c>
      <c r="H370">
        <f>'2 transformar y limpiar'!H384</f>
        <v/>
      </c>
      <c r="I370">
        <f>'2 transformar y limpiar'!I384</f>
        <v/>
      </c>
      <c r="J370">
        <f>'2 transformar y limpiar'!J384</f>
        <v/>
      </c>
      <c r="K370">
        <f>'2 transformar y limpiar'!K384</f>
        <v/>
      </c>
      <c r="L370">
        <f>'2 transformar y limpiar'!L384</f>
        <v/>
      </c>
      <c r="M370">
        <f>'2 transformar y limpiar'!M384</f>
        <v/>
      </c>
      <c r="N370">
        <f>'2 transformar y limpiar'!N384</f>
        <v/>
      </c>
      <c r="O370">
        <f>'2 transformar y limpiar'!O384</f>
        <v/>
      </c>
      <c r="P370">
        <f>'2 transformar y limpiar'!P384</f>
        <v/>
      </c>
      <c r="Q370">
        <f>'2 transformar y limpiar'!Q384</f>
        <v/>
      </c>
      <c r="R370">
        <f>'2 transformar y limpiar'!R384</f>
        <v/>
      </c>
      <c r="S370">
        <f>'2 transformar y limpiar'!S384</f>
        <v/>
      </c>
      <c r="T370">
        <f>'2 transformar y limpiar'!T384</f>
        <v/>
      </c>
      <c r="U370" s="5">
        <f>'2 transformar y limpiar'!U384</f>
        <v/>
      </c>
    </row>
    <row r="371">
      <c r="A371">
        <f>'2 transformar y limpiar'!A385</f>
        <v/>
      </c>
      <c r="B371">
        <f>'2 transformar y limpiar'!B385</f>
        <v/>
      </c>
      <c r="C371" s="6">
        <f>('2 transformar y limpiar'!C385-$B$6)/$C$6</f>
        <v/>
      </c>
      <c r="D371" s="6">
        <f>('2 transformar y limpiar'!D385-$B$7)/$C$7</f>
        <v/>
      </c>
      <c r="E371" s="6">
        <f>('2 transformar y limpiar'!E385-$B$8)/$C$8</f>
        <v/>
      </c>
      <c r="F371" s="6">
        <f>('2 transformar y limpiar'!F385-$B$9)/$C$9</f>
        <v/>
      </c>
      <c r="G371">
        <f>'2 transformar y limpiar'!G385</f>
        <v/>
      </c>
      <c r="H371">
        <f>'2 transformar y limpiar'!H385</f>
        <v/>
      </c>
      <c r="I371">
        <f>'2 transformar y limpiar'!I385</f>
        <v/>
      </c>
      <c r="J371">
        <f>'2 transformar y limpiar'!J385</f>
        <v/>
      </c>
      <c r="K371">
        <f>'2 transformar y limpiar'!K385</f>
        <v/>
      </c>
      <c r="L371">
        <f>'2 transformar y limpiar'!L385</f>
        <v/>
      </c>
      <c r="M371">
        <f>'2 transformar y limpiar'!M385</f>
        <v/>
      </c>
      <c r="N371">
        <f>'2 transformar y limpiar'!N385</f>
        <v/>
      </c>
      <c r="O371">
        <f>'2 transformar y limpiar'!O385</f>
        <v/>
      </c>
      <c r="P371">
        <f>'2 transformar y limpiar'!P385</f>
        <v/>
      </c>
      <c r="Q371">
        <f>'2 transformar y limpiar'!Q385</f>
        <v/>
      </c>
      <c r="R371">
        <f>'2 transformar y limpiar'!R385</f>
        <v/>
      </c>
      <c r="S371">
        <f>'2 transformar y limpiar'!S385</f>
        <v/>
      </c>
      <c r="T371">
        <f>'2 transformar y limpiar'!T385</f>
        <v/>
      </c>
      <c r="U371" s="5">
        <f>'2 transformar y limpiar'!U385</f>
        <v/>
      </c>
    </row>
    <row r="372">
      <c r="A372">
        <f>'2 transformar y limpiar'!A386</f>
        <v/>
      </c>
      <c r="B372">
        <f>'2 transformar y limpiar'!B386</f>
        <v/>
      </c>
      <c r="C372" s="6">
        <f>('2 transformar y limpiar'!C386-$B$6)/$C$6</f>
        <v/>
      </c>
      <c r="D372" s="6">
        <f>('2 transformar y limpiar'!D386-$B$7)/$C$7</f>
        <v/>
      </c>
      <c r="E372" s="6">
        <f>('2 transformar y limpiar'!E386-$B$8)/$C$8</f>
        <v/>
      </c>
      <c r="F372" s="6">
        <f>('2 transformar y limpiar'!F386-$B$9)/$C$9</f>
        <v/>
      </c>
      <c r="G372">
        <f>'2 transformar y limpiar'!G386</f>
        <v/>
      </c>
      <c r="H372">
        <f>'2 transformar y limpiar'!H386</f>
        <v/>
      </c>
      <c r="I372">
        <f>'2 transformar y limpiar'!I386</f>
        <v/>
      </c>
      <c r="J372">
        <f>'2 transformar y limpiar'!J386</f>
        <v/>
      </c>
      <c r="K372">
        <f>'2 transformar y limpiar'!K386</f>
        <v/>
      </c>
      <c r="L372">
        <f>'2 transformar y limpiar'!L386</f>
        <v/>
      </c>
      <c r="M372">
        <f>'2 transformar y limpiar'!M386</f>
        <v/>
      </c>
      <c r="N372">
        <f>'2 transformar y limpiar'!N386</f>
        <v/>
      </c>
      <c r="O372">
        <f>'2 transformar y limpiar'!O386</f>
        <v/>
      </c>
      <c r="P372">
        <f>'2 transformar y limpiar'!P386</f>
        <v/>
      </c>
      <c r="Q372">
        <f>'2 transformar y limpiar'!Q386</f>
        <v/>
      </c>
      <c r="R372">
        <f>'2 transformar y limpiar'!R386</f>
        <v/>
      </c>
      <c r="S372">
        <f>'2 transformar y limpiar'!S386</f>
        <v/>
      </c>
      <c r="T372">
        <f>'2 transformar y limpiar'!T386</f>
        <v/>
      </c>
      <c r="U372" s="5">
        <f>'2 transformar y limpiar'!U386</f>
        <v/>
      </c>
    </row>
    <row r="373">
      <c r="A373">
        <f>'2 transformar y limpiar'!A387</f>
        <v/>
      </c>
      <c r="B373">
        <f>'2 transformar y limpiar'!B387</f>
        <v/>
      </c>
      <c r="C373" s="6">
        <f>('2 transformar y limpiar'!C387-$B$6)/$C$6</f>
        <v/>
      </c>
      <c r="D373" s="6">
        <f>('2 transformar y limpiar'!D387-$B$7)/$C$7</f>
        <v/>
      </c>
      <c r="E373" s="6">
        <f>('2 transformar y limpiar'!E387-$B$8)/$C$8</f>
        <v/>
      </c>
      <c r="F373" s="6">
        <f>('2 transformar y limpiar'!F387-$B$9)/$C$9</f>
        <v/>
      </c>
      <c r="G373">
        <f>'2 transformar y limpiar'!G387</f>
        <v/>
      </c>
      <c r="H373">
        <f>'2 transformar y limpiar'!H387</f>
        <v/>
      </c>
      <c r="I373">
        <f>'2 transformar y limpiar'!I387</f>
        <v/>
      </c>
      <c r="J373">
        <f>'2 transformar y limpiar'!J387</f>
        <v/>
      </c>
      <c r="K373">
        <f>'2 transformar y limpiar'!K387</f>
        <v/>
      </c>
      <c r="L373">
        <f>'2 transformar y limpiar'!L387</f>
        <v/>
      </c>
      <c r="M373">
        <f>'2 transformar y limpiar'!M387</f>
        <v/>
      </c>
      <c r="N373">
        <f>'2 transformar y limpiar'!N387</f>
        <v/>
      </c>
      <c r="O373">
        <f>'2 transformar y limpiar'!O387</f>
        <v/>
      </c>
      <c r="P373">
        <f>'2 transformar y limpiar'!P387</f>
        <v/>
      </c>
      <c r="Q373">
        <f>'2 transformar y limpiar'!Q387</f>
        <v/>
      </c>
      <c r="R373">
        <f>'2 transformar y limpiar'!R387</f>
        <v/>
      </c>
      <c r="S373">
        <f>'2 transformar y limpiar'!S387</f>
        <v/>
      </c>
      <c r="T373">
        <f>'2 transformar y limpiar'!T387</f>
        <v/>
      </c>
      <c r="U373" s="5">
        <f>'2 transformar y limpiar'!U387</f>
        <v/>
      </c>
    </row>
    <row r="374">
      <c r="A374">
        <f>'2 transformar y limpiar'!A388</f>
        <v/>
      </c>
      <c r="B374">
        <f>'2 transformar y limpiar'!B388</f>
        <v/>
      </c>
      <c r="C374" s="6">
        <f>('2 transformar y limpiar'!C388-$B$6)/$C$6</f>
        <v/>
      </c>
      <c r="D374" s="6">
        <f>('2 transformar y limpiar'!D388-$B$7)/$C$7</f>
        <v/>
      </c>
      <c r="E374" s="6">
        <f>('2 transformar y limpiar'!E388-$B$8)/$C$8</f>
        <v/>
      </c>
      <c r="F374" s="6">
        <f>('2 transformar y limpiar'!F388-$B$9)/$C$9</f>
        <v/>
      </c>
      <c r="G374">
        <f>'2 transformar y limpiar'!G388</f>
        <v/>
      </c>
      <c r="H374">
        <f>'2 transformar y limpiar'!H388</f>
        <v/>
      </c>
      <c r="I374">
        <f>'2 transformar y limpiar'!I388</f>
        <v/>
      </c>
      <c r="J374">
        <f>'2 transformar y limpiar'!J388</f>
        <v/>
      </c>
      <c r="K374">
        <f>'2 transformar y limpiar'!K388</f>
        <v/>
      </c>
      <c r="L374">
        <f>'2 transformar y limpiar'!L388</f>
        <v/>
      </c>
      <c r="M374">
        <f>'2 transformar y limpiar'!M388</f>
        <v/>
      </c>
      <c r="N374">
        <f>'2 transformar y limpiar'!N388</f>
        <v/>
      </c>
      <c r="O374">
        <f>'2 transformar y limpiar'!O388</f>
        <v/>
      </c>
      <c r="P374">
        <f>'2 transformar y limpiar'!P388</f>
        <v/>
      </c>
      <c r="Q374">
        <f>'2 transformar y limpiar'!Q388</f>
        <v/>
      </c>
      <c r="R374">
        <f>'2 transformar y limpiar'!R388</f>
        <v/>
      </c>
      <c r="S374">
        <f>'2 transformar y limpiar'!S388</f>
        <v/>
      </c>
      <c r="T374">
        <f>'2 transformar y limpiar'!T388</f>
        <v/>
      </c>
      <c r="U374" s="5">
        <f>'2 transformar y limpiar'!U388</f>
        <v/>
      </c>
    </row>
    <row r="375">
      <c r="A375">
        <f>'2 transformar y limpiar'!A389</f>
        <v/>
      </c>
      <c r="B375">
        <f>'2 transformar y limpiar'!B389</f>
        <v/>
      </c>
      <c r="C375" s="6">
        <f>('2 transformar y limpiar'!C389-$B$6)/$C$6</f>
        <v/>
      </c>
      <c r="D375" s="6">
        <f>('2 transformar y limpiar'!D389-$B$7)/$C$7</f>
        <v/>
      </c>
      <c r="E375" s="6">
        <f>('2 transformar y limpiar'!E389-$B$8)/$C$8</f>
        <v/>
      </c>
      <c r="F375" s="6">
        <f>('2 transformar y limpiar'!F389-$B$9)/$C$9</f>
        <v/>
      </c>
      <c r="G375">
        <f>'2 transformar y limpiar'!G389</f>
        <v/>
      </c>
      <c r="H375">
        <f>'2 transformar y limpiar'!H389</f>
        <v/>
      </c>
      <c r="I375">
        <f>'2 transformar y limpiar'!I389</f>
        <v/>
      </c>
      <c r="J375">
        <f>'2 transformar y limpiar'!J389</f>
        <v/>
      </c>
      <c r="K375">
        <f>'2 transformar y limpiar'!K389</f>
        <v/>
      </c>
      <c r="L375">
        <f>'2 transformar y limpiar'!L389</f>
        <v/>
      </c>
      <c r="M375">
        <f>'2 transformar y limpiar'!M389</f>
        <v/>
      </c>
      <c r="N375">
        <f>'2 transformar y limpiar'!N389</f>
        <v/>
      </c>
      <c r="O375">
        <f>'2 transformar y limpiar'!O389</f>
        <v/>
      </c>
      <c r="P375">
        <f>'2 transformar y limpiar'!P389</f>
        <v/>
      </c>
      <c r="Q375">
        <f>'2 transformar y limpiar'!Q389</f>
        <v/>
      </c>
      <c r="R375">
        <f>'2 transformar y limpiar'!R389</f>
        <v/>
      </c>
      <c r="S375">
        <f>'2 transformar y limpiar'!S389</f>
        <v/>
      </c>
      <c r="T375">
        <f>'2 transformar y limpiar'!T389</f>
        <v/>
      </c>
      <c r="U375" s="5">
        <f>'2 transformar y limpiar'!U389</f>
        <v/>
      </c>
    </row>
    <row r="376">
      <c r="A376">
        <f>'2 transformar y limpiar'!A390</f>
        <v/>
      </c>
      <c r="B376">
        <f>'2 transformar y limpiar'!B390</f>
        <v/>
      </c>
      <c r="C376" s="6">
        <f>('2 transformar y limpiar'!C390-$B$6)/$C$6</f>
        <v/>
      </c>
      <c r="D376" s="6">
        <f>('2 transformar y limpiar'!D390-$B$7)/$C$7</f>
        <v/>
      </c>
      <c r="E376" s="6">
        <f>('2 transformar y limpiar'!E390-$B$8)/$C$8</f>
        <v/>
      </c>
      <c r="F376" s="6">
        <f>('2 transformar y limpiar'!F390-$B$9)/$C$9</f>
        <v/>
      </c>
      <c r="G376">
        <f>'2 transformar y limpiar'!G390</f>
        <v/>
      </c>
      <c r="H376">
        <f>'2 transformar y limpiar'!H390</f>
        <v/>
      </c>
      <c r="I376">
        <f>'2 transformar y limpiar'!I390</f>
        <v/>
      </c>
      <c r="J376">
        <f>'2 transformar y limpiar'!J390</f>
        <v/>
      </c>
      <c r="K376">
        <f>'2 transformar y limpiar'!K390</f>
        <v/>
      </c>
      <c r="L376">
        <f>'2 transformar y limpiar'!L390</f>
        <v/>
      </c>
      <c r="M376">
        <f>'2 transformar y limpiar'!M390</f>
        <v/>
      </c>
      <c r="N376">
        <f>'2 transformar y limpiar'!N390</f>
        <v/>
      </c>
      <c r="O376">
        <f>'2 transformar y limpiar'!O390</f>
        <v/>
      </c>
      <c r="P376">
        <f>'2 transformar y limpiar'!P390</f>
        <v/>
      </c>
      <c r="Q376">
        <f>'2 transformar y limpiar'!Q390</f>
        <v/>
      </c>
      <c r="R376">
        <f>'2 transformar y limpiar'!R390</f>
        <v/>
      </c>
      <c r="S376">
        <f>'2 transformar y limpiar'!S390</f>
        <v/>
      </c>
      <c r="T376">
        <f>'2 transformar y limpiar'!T390</f>
        <v/>
      </c>
      <c r="U376" s="5">
        <f>'2 transformar y limpiar'!U390</f>
        <v/>
      </c>
    </row>
    <row r="377">
      <c r="A377">
        <f>'2 transformar y limpiar'!A391</f>
        <v/>
      </c>
      <c r="B377">
        <f>'2 transformar y limpiar'!B391</f>
        <v/>
      </c>
      <c r="C377" s="6">
        <f>('2 transformar y limpiar'!C391-$B$6)/$C$6</f>
        <v/>
      </c>
      <c r="D377" s="6">
        <f>('2 transformar y limpiar'!D391-$B$7)/$C$7</f>
        <v/>
      </c>
      <c r="E377" s="6">
        <f>('2 transformar y limpiar'!E391-$B$8)/$C$8</f>
        <v/>
      </c>
      <c r="F377" s="6">
        <f>('2 transformar y limpiar'!F391-$B$9)/$C$9</f>
        <v/>
      </c>
      <c r="G377">
        <f>'2 transformar y limpiar'!G391</f>
        <v/>
      </c>
      <c r="H377">
        <f>'2 transformar y limpiar'!H391</f>
        <v/>
      </c>
      <c r="I377">
        <f>'2 transformar y limpiar'!I391</f>
        <v/>
      </c>
      <c r="J377">
        <f>'2 transformar y limpiar'!J391</f>
        <v/>
      </c>
      <c r="K377">
        <f>'2 transformar y limpiar'!K391</f>
        <v/>
      </c>
      <c r="L377">
        <f>'2 transformar y limpiar'!L391</f>
        <v/>
      </c>
      <c r="M377">
        <f>'2 transformar y limpiar'!M391</f>
        <v/>
      </c>
      <c r="N377">
        <f>'2 transformar y limpiar'!N391</f>
        <v/>
      </c>
      <c r="O377">
        <f>'2 transformar y limpiar'!O391</f>
        <v/>
      </c>
      <c r="P377">
        <f>'2 transformar y limpiar'!P391</f>
        <v/>
      </c>
      <c r="Q377">
        <f>'2 transformar y limpiar'!Q391</f>
        <v/>
      </c>
      <c r="R377">
        <f>'2 transformar y limpiar'!R391</f>
        <v/>
      </c>
      <c r="S377">
        <f>'2 transformar y limpiar'!S391</f>
        <v/>
      </c>
      <c r="T377">
        <f>'2 transformar y limpiar'!T391</f>
        <v/>
      </c>
      <c r="U377" s="5">
        <f>'2 transformar y limpiar'!U391</f>
        <v/>
      </c>
    </row>
    <row r="378">
      <c r="A378">
        <f>'2 transformar y limpiar'!A392</f>
        <v/>
      </c>
      <c r="B378">
        <f>'2 transformar y limpiar'!B392</f>
        <v/>
      </c>
      <c r="C378" s="6">
        <f>('2 transformar y limpiar'!C392-$B$6)/$C$6</f>
        <v/>
      </c>
      <c r="D378" s="6">
        <f>('2 transformar y limpiar'!D392-$B$7)/$C$7</f>
        <v/>
      </c>
      <c r="E378" s="6">
        <f>('2 transformar y limpiar'!E392-$B$8)/$C$8</f>
        <v/>
      </c>
      <c r="F378" s="6">
        <f>('2 transformar y limpiar'!F392-$B$9)/$C$9</f>
        <v/>
      </c>
      <c r="G378">
        <f>'2 transformar y limpiar'!G392</f>
        <v/>
      </c>
      <c r="H378">
        <f>'2 transformar y limpiar'!H392</f>
        <v/>
      </c>
      <c r="I378">
        <f>'2 transformar y limpiar'!I392</f>
        <v/>
      </c>
      <c r="J378">
        <f>'2 transformar y limpiar'!J392</f>
        <v/>
      </c>
      <c r="K378">
        <f>'2 transformar y limpiar'!K392</f>
        <v/>
      </c>
      <c r="L378">
        <f>'2 transformar y limpiar'!L392</f>
        <v/>
      </c>
      <c r="M378">
        <f>'2 transformar y limpiar'!M392</f>
        <v/>
      </c>
      <c r="N378">
        <f>'2 transformar y limpiar'!N392</f>
        <v/>
      </c>
      <c r="O378">
        <f>'2 transformar y limpiar'!O392</f>
        <v/>
      </c>
      <c r="P378">
        <f>'2 transformar y limpiar'!P392</f>
        <v/>
      </c>
      <c r="Q378">
        <f>'2 transformar y limpiar'!Q392</f>
        <v/>
      </c>
      <c r="R378">
        <f>'2 transformar y limpiar'!R392</f>
        <v/>
      </c>
      <c r="S378">
        <f>'2 transformar y limpiar'!S392</f>
        <v/>
      </c>
      <c r="T378">
        <f>'2 transformar y limpiar'!T392</f>
        <v/>
      </c>
      <c r="U378" s="5">
        <f>'2 transformar y limpiar'!U392</f>
        <v/>
      </c>
    </row>
    <row r="379">
      <c r="A379">
        <f>'2 transformar y limpiar'!A393</f>
        <v/>
      </c>
      <c r="B379">
        <f>'2 transformar y limpiar'!B393</f>
        <v/>
      </c>
      <c r="C379" s="6">
        <f>('2 transformar y limpiar'!C393-$B$6)/$C$6</f>
        <v/>
      </c>
      <c r="D379" s="6">
        <f>('2 transformar y limpiar'!D393-$B$7)/$C$7</f>
        <v/>
      </c>
      <c r="E379" s="6">
        <f>('2 transformar y limpiar'!E393-$B$8)/$C$8</f>
        <v/>
      </c>
      <c r="F379" s="6">
        <f>('2 transformar y limpiar'!F393-$B$9)/$C$9</f>
        <v/>
      </c>
      <c r="G379">
        <f>'2 transformar y limpiar'!G393</f>
        <v/>
      </c>
      <c r="H379">
        <f>'2 transformar y limpiar'!H393</f>
        <v/>
      </c>
      <c r="I379">
        <f>'2 transformar y limpiar'!I393</f>
        <v/>
      </c>
      <c r="J379">
        <f>'2 transformar y limpiar'!J393</f>
        <v/>
      </c>
      <c r="K379">
        <f>'2 transformar y limpiar'!K393</f>
        <v/>
      </c>
      <c r="L379">
        <f>'2 transformar y limpiar'!L393</f>
        <v/>
      </c>
      <c r="M379">
        <f>'2 transformar y limpiar'!M393</f>
        <v/>
      </c>
      <c r="N379">
        <f>'2 transformar y limpiar'!N393</f>
        <v/>
      </c>
      <c r="O379">
        <f>'2 transformar y limpiar'!O393</f>
        <v/>
      </c>
      <c r="P379">
        <f>'2 transformar y limpiar'!P393</f>
        <v/>
      </c>
      <c r="Q379">
        <f>'2 transformar y limpiar'!Q393</f>
        <v/>
      </c>
      <c r="R379">
        <f>'2 transformar y limpiar'!R393</f>
        <v/>
      </c>
      <c r="S379">
        <f>'2 transformar y limpiar'!S393</f>
        <v/>
      </c>
      <c r="T379">
        <f>'2 transformar y limpiar'!T393</f>
        <v/>
      </c>
      <c r="U379" s="5">
        <f>'2 transformar y limpiar'!U393</f>
        <v/>
      </c>
    </row>
    <row r="380">
      <c r="A380">
        <f>'2 transformar y limpiar'!A394</f>
        <v/>
      </c>
      <c r="B380">
        <f>'2 transformar y limpiar'!B394</f>
        <v/>
      </c>
      <c r="C380" s="6">
        <f>('2 transformar y limpiar'!C394-$B$6)/$C$6</f>
        <v/>
      </c>
      <c r="D380" s="6">
        <f>('2 transformar y limpiar'!D394-$B$7)/$C$7</f>
        <v/>
      </c>
      <c r="E380" s="6">
        <f>('2 transformar y limpiar'!E394-$B$8)/$C$8</f>
        <v/>
      </c>
      <c r="F380" s="6">
        <f>('2 transformar y limpiar'!F394-$B$9)/$C$9</f>
        <v/>
      </c>
      <c r="G380">
        <f>'2 transformar y limpiar'!G394</f>
        <v/>
      </c>
      <c r="H380">
        <f>'2 transformar y limpiar'!H394</f>
        <v/>
      </c>
      <c r="I380">
        <f>'2 transformar y limpiar'!I394</f>
        <v/>
      </c>
      <c r="J380">
        <f>'2 transformar y limpiar'!J394</f>
        <v/>
      </c>
      <c r="K380">
        <f>'2 transformar y limpiar'!K394</f>
        <v/>
      </c>
      <c r="L380">
        <f>'2 transformar y limpiar'!L394</f>
        <v/>
      </c>
      <c r="M380">
        <f>'2 transformar y limpiar'!M394</f>
        <v/>
      </c>
      <c r="N380">
        <f>'2 transformar y limpiar'!N394</f>
        <v/>
      </c>
      <c r="O380">
        <f>'2 transformar y limpiar'!O394</f>
        <v/>
      </c>
      <c r="P380">
        <f>'2 transformar y limpiar'!P394</f>
        <v/>
      </c>
      <c r="Q380">
        <f>'2 transformar y limpiar'!Q394</f>
        <v/>
      </c>
      <c r="R380">
        <f>'2 transformar y limpiar'!R394</f>
        <v/>
      </c>
      <c r="S380">
        <f>'2 transformar y limpiar'!S394</f>
        <v/>
      </c>
      <c r="T380">
        <f>'2 transformar y limpiar'!T394</f>
        <v/>
      </c>
      <c r="U380" s="5">
        <f>'2 transformar y limpiar'!U394</f>
        <v/>
      </c>
    </row>
    <row r="381">
      <c r="A381">
        <f>'2 transformar y limpiar'!A395</f>
        <v/>
      </c>
      <c r="B381">
        <f>'2 transformar y limpiar'!B395</f>
        <v/>
      </c>
      <c r="C381" s="6">
        <f>('2 transformar y limpiar'!C395-$B$6)/$C$6</f>
        <v/>
      </c>
      <c r="D381" s="6">
        <f>('2 transformar y limpiar'!D395-$B$7)/$C$7</f>
        <v/>
      </c>
      <c r="E381" s="6">
        <f>('2 transformar y limpiar'!E395-$B$8)/$C$8</f>
        <v/>
      </c>
      <c r="F381" s="6">
        <f>('2 transformar y limpiar'!F395-$B$9)/$C$9</f>
        <v/>
      </c>
      <c r="G381">
        <f>'2 transformar y limpiar'!G395</f>
        <v/>
      </c>
      <c r="H381">
        <f>'2 transformar y limpiar'!H395</f>
        <v/>
      </c>
      <c r="I381">
        <f>'2 transformar y limpiar'!I395</f>
        <v/>
      </c>
      <c r="J381">
        <f>'2 transformar y limpiar'!J395</f>
        <v/>
      </c>
      <c r="K381">
        <f>'2 transformar y limpiar'!K395</f>
        <v/>
      </c>
      <c r="L381">
        <f>'2 transformar y limpiar'!L395</f>
        <v/>
      </c>
      <c r="M381">
        <f>'2 transformar y limpiar'!M395</f>
        <v/>
      </c>
      <c r="N381">
        <f>'2 transformar y limpiar'!N395</f>
        <v/>
      </c>
      <c r="O381">
        <f>'2 transformar y limpiar'!O395</f>
        <v/>
      </c>
      <c r="P381">
        <f>'2 transformar y limpiar'!P395</f>
        <v/>
      </c>
      <c r="Q381">
        <f>'2 transformar y limpiar'!Q395</f>
        <v/>
      </c>
      <c r="R381">
        <f>'2 transformar y limpiar'!R395</f>
        <v/>
      </c>
      <c r="S381">
        <f>'2 transformar y limpiar'!S395</f>
        <v/>
      </c>
      <c r="T381">
        <f>'2 transformar y limpiar'!T395</f>
        <v/>
      </c>
      <c r="U381" s="5">
        <f>'2 transformar y limpiar'!U395</f>
        <v/>
      </c>
    </row>
    <row r="382">
      <c r="A382">
        <f>'2 transformar y limpiar'!A396</f>
        <v/>
      </c>
      <c r="B382">
        <f>'2 transformar y limpiar'!B396</f>
        <v/>
      </c>
      <c r="C382" s="6">
        <f>('2 transformar y limpiar'!C396-$B$6)/$C$6</f>
        <v/>
      </c>
      <c r="D382" s="6">
        <f>('2 transformar y limpiar'!D396-$B$7)/$C$7</f>
        <v/>
      </c>
      <c r="E382" s="6">
        <f>('2 transformar y limpiar'!E396-$B$8)/$C$8</f>
        <v/>
      </c>
      <c r="F382" s="6">
        <f>('2 transformar y limpiar'!F396-$B$9)/$C$9</f>
        <v/>
      </c>
      <c r="G382">
        <f>'2 transformar y limpiar'!G396</f>
        <v/>
      </c>
      <c r="H382">
        <f>'2 transformar y limpiar'!H396</f>
        <v/>
      </c>
      <c r="I382">
        <f>'2 transformar y limpiar'!I396</f>
        <v/>
      </c>
      <c r="J382">
        <f>'2 transformar y limpiar'!J396</f>
        <v/>
      </c>
      <c r="K382">
        <f>'2 transformar y limpiar'!K396</f>
        <v/>
      </c>
      <c r="L382">
        <f>'2 transformar y limpiar'!L396</f>
        <v/>
      </c>
      <c r="M382">
        <f>'2 transformar y limpiar'!M396</f>
        <v/>
      </c>
      <c r="N382">
        <f>'2 transformar y limpiar'!N396</f>
        <v/>
      </c>
      <c r="O382">
        <f>'2 transformar y limpiar'!O396</f>
        <v/>
      </c>
      <c r="P382">
        <f>'2 transformar y limpiar'!P396</f>
        <v/>
      </c>
      <c r="Q382">
        <f>'2 transformar y limpiar'!Q396</f>
        <v/>
      </c>
      <c r="R382">
        <f>'2 transformar y limpiar'!R396</f>
        <v/>
      </c>
      <c r="S382">
        <f>'2 transformar y limpiar'!S396</f>
        <v/>
      </c>
      <c r="T382">
        <f>'2 transformar y limpiar'!T396</f>
        <v/>
      </c>
      <c r="U382" s="5">
        <f>'2 transformar y limpiar'!U396</f>
        <v/>
      </c>
    </row>
    <row r="383">
      <c r="A383">
        <f>'2 transformar y limpiar'!A397</f>
        <v/>
      </c>
      <c r="B383">
        <f>'2 transformar y limpiar'!B397</f>
        <v/>
      </c>
      <c r="C383" s="6">
        <f>('2 transformar y limpiar'!C397-$B$6)/$C$6</f>
        <v/>
      </c>
      <c r="D383" s="6">
        <f>('2 transformar y limpiar'!D397-$B$7)/$C$7</f>
        <v/>
      </c>
      <c r="E383" s="6">
        <f>('2 transformar y limpiar'!E397-$B$8)/$C$8</f>
        <v/>
      </c>
      <c r="F383" s="6">
        <f>('2 transformar y limpiar'!F397-$B$9)/$C$9</f>
        <v/>
      </c>
      <c r="G383">
        <f>'2 transformar y limpiar'!G397</f>
        <v/>
      </c>
      <c r="H383">
        <f>'2 transformar y limpiar'!H397</f>
        <v/>
      </c>
      <c r="I383">
        <f>'2 transformar y limpiar'!I397</f>
        <v/>
      </c>
      <c r="J383">
        <f>'2 transformar y limpiar'!J397</f>
        <v/>
      </c>
      <c r="K383">
        <f>'2 transformar y limpiar'!K397</f>
        <v/>
      </c>
      <c r="L383">
        <f>'2 transformar y limpiar'!L397</f>
        <v/>
      </c>
      <c r="M383">
        <f>'2 transformar y limpiar'!M397</f>
        <v/>
      </c>
      <c r="N383">
        <f>'2 transformar y limpiar'!N397</f>
        <v/>
      </c>
      <c r="O383">
        <f>'2 transformar y limpiar'!O397</f>
        <v/>
      </c>
      <c r="P383">
        <f>'2 transformar y limpiar'!P397</f>
        <v/>
      </c>
      <c r="Q383">
        <f>'2 transformar y limpiar'!Q397</f>
        <v/>
      </c>
      <c r="R383">
        <f>'2 transformar y limpiar'!R397</f>
        <v/>
      </c>
      <c r="S383">
        <f>'2 transformar y limpiar'!S397</f>
        <v/>
      </c>
      <c r="T383">
        <f>'2 transformar y limpiar'!T397</f>
        <v/>
      </c>
      <c r="U383" s="5">
        <f>'2 transformar y limpiar'!U397</f>
        <v/>
      </c>
    </row>
    <row r="384">
      <c r="A384">
        <f>'2 transformar y limpiar'!A398</f>
        <v/>
      </c>
      <c r="B384">
        <f>'2 transformar y limpiar'!B398</f>
        <v/>
      </c>
      <c r="C384" s="6">
        <f>('2 transformar y limpiar'!C398-$B$6)/$C$6</f>
        <v/>
      </c>
      <c r="D384" s="6">
        <f>('2 transformar y limpiar'!D398-$B$7)/$C$7</f>
        <v/>
      </c>
      <c r="E384" s="6">
        <f>('2 transformar y limpiar'!E398-$B$8)/$C$8</f>
        <v/>
      </c>
      <c r="F384" s="6">
        <f>('2 transformar y limpiar'!F398-$B$9)/$C$9</f>
        <v/>
      </c>
      <c r="G384">
        <f>'2 transformar y limpiar'!G398</f>
        <v/>
      </c>
      <c r="H384">
        <f>'2 transformar y limpiar'!H398</f>
        <v/>
      </c>
      <c r="I384">
        <f>'2 transformar y limpiar'!I398</f>
        <v/>
      </c>
      <c r="J384">
        <f>'2 transformar y limpiar'!J398</f>
        <v/>
      </c>
      <c r="K384">
        <f>'2 transformar y limpiar'!K398</f>
        <v/>
      </c>
      <c r="L384">
        <f>'2 transformar y limpiar'!L398</f>
        <v/>
      </c>
      <c r="M384">
        <f>'2 transformar y limpiar'!M398</f>
        <v/>
      </c>
      <c r="N384">
        <f>'2 transformar y limpiar'!N398</f>
        <v/>
      </c>
      <c r="O384">
        <f>'2 transformar y limpiar'!O398</f>
        <v/>
      </c>
      <c r="P384">
        <f>'2 transformar y limpiar'!P398</f>
        <v/>
      </c>
      <c r="Q384">
        <f>'2 transformar y limpiar'!Q398</f>
        <v/>
      </c>
      <c r="R384">
        <f>'2 transformar y limpiar'!R398</f>
        <v/>
      </c>
      <c r="S384">
        <f>'2 transformar y limpiar'!S398</f>
        <v/>
      </c>
      <c r="T384">
        <f>'2 transformar y limpiar'!T398</f>
        <v/>
      </c>
      <c r="U384" s="5">
        <f>'2 transformar y limpiar'!U398</f>
        <v/>
      </c>
    </row>
    <row r="385">
      <c r="A385">
        <f>'2 transformar y limpiar'!A399</f>
        <v/>
      </c>
      <c r="B385">
        <f>'2 transformar y limpiar'!B399</f>
        <v/>
      </c>
      <c r="C385" s="6">
        <f>('2 transformar y limpiar'!C399-$B$6)/$C$6</f>
        <v/>
      </c>
      <c r="D385" s="6">
        <f>('2 transformar y limpiar'!D399-$B$7)/$C$7</f>
        <v/>
      </c>
      <c r="E385" s="6">
        <f>('2 transformar y limpiar'!E399-$B$8)/$C$8</f>
        <v/>
      </c>
      <c r="F385" s="6">
        <f>('2 transformar y limpiar'!F399-$B$9)/$C$9</f>
        <v/>
      </c>
      <c r="G385">
        <f>'2 transformar y limpiar'!G399</f>
        <v/>
      </c>
      <c r="H385">
        <f>'2 transformar y limpiar'!H399</f>
        <v/>
      </c>
      <c r="I385">
        <f>'2 transformar y limpiar'!I399</f>
        <v/>
      </c>
      <c r="J385">
        <f>'2 transformar y limpiar'!J399</f>
        <v/>
      </c>
      <c r="K385">
        <f>'2 transformar y limpiar'!K399</f>
        <v/>
      </c>
      <c r="L385">
        <f>'2 transformar y limpiar'!L399</f>
        <v/>
      </c>
      <c r="M385">
        <f>'2 transformar y limpiar'!M399</f>
        <v/>
      </c>
      <c r="N385">
        <f>'2 transformar y limpiar'!N399</f>
        <v/>
      </c>
      <c r="O385">
        <f>'2 transformar y limpiar'!O399</f>
        <v/>
      </c>
      <c r="P385">
        <f>'2 transformar y limpiar'!P399</f>
        <v/>
      </c>
      <c r="Q385">
        <f>'2 transformar y limpiar'!Q399</f>
        <v/>
      </c>
      <c r="R385">
        <f>'2 transformar y limpiar'!R399</f>
        <v/>
      </c>
      <c r="S385">
        <f>'2 transformar y limpiar'!S399</f>
        <v/>
      </c>
      <c r="T385">
        <f>'2 transformar y limpiar'!T399</f>
        <v/>
      </c>
      <c r="U385" s="5">
        <f>'2 transformar y limpiar'!U399</f>
        <v/>
      </c>
    </row>
    <row r="386">
      <c r="A386">
        <f>'2 transformar y limpiar'!A400</f>
        <v/>
      </c>
      <c r="B386">
        <f>'2 transformar y limpiar'!B400</f>
        <v/>
      </c>
      <c r="C386" s="6">
        <f>('2 transformar y limpiar'!C400-$B$6)/$C$6</f>
        <v/>
      </c>
      <c r="D386" s="6">
        <f>('2 transformar y limpiar'!D400-$B$7)/$C$7</f>
        <v/>
      </c>
      <c r="E386" s="6">
        <f>('2 transformar y limpiar'!E400-$B$8)/$C$8</f>
        <v/>
      </c>
      <c r="F386" s="6">
        <f>('2 transformar y limpiar'!F400-$B$9)/$C$9</f>
        <v/>
      </c>
      <c r="G386">
        <f>'2 transformar y limpiar'!G400</f>
        <v/>
      </c>
      <c r="H386">
        <f>'2 transformar y limpiar'!H400</f>
        <v/>
      </c>
      <c r="I386">
        <f>'2 transformar y limpiar'!I400</f>
        <v/>
      </c>
      <c r="J386">
        <f>'2 transformar y limpiar'!J400</f>
        <v/>
      </c>
      <c r="K386">
        <f>'2 transformar y limpiar'!K400</f>
        <v/>
      </c>
      <c r="L386">
        <f>'2 transformar y limpiar'!L400</f>
        <v/>
      </c>
      <c r="M386">
        <f>'2 transformar y limpiar'!M400</f>
        <v/>
      </c>
      <c r="N386">
        <f>'2 transformar y limpiar'!N400</f>
        <v/>
      </c>
      <c r="O386">
        <f>'2 transformar y limpiar'!O400</f>
        <v/>
      </c>
      <c r="P386">
        <f>'2 transformar y limpiar'!P400</f>
        <v/>
      </c>
      <c r="Q386">
        <f>'2 transformar y limpiar'!Q400</f>
        <v/>
      </c>
      <c r="R386">
        <f>'2 transformar y limpiar'!R400</f>
        <v/>
      </c>
      <c r="S386">
        <f>'2 transformar y limpiar'!S400</f>
        <v/>
      </c>
      <c r="T386">
        <f>'2 transformar y limpiar'!T400</f>
        <v/>
      </c>
      <c r="U386" s="5">
        <f>'2 transformar y limpiar'!U400</f>
        <v/>
      </c>
    </row>
    <row r="387">
      <c r="A387">
        <f>'2 transformar y limpiar'!A401</f>
        <v/>
      </c>
      <c r="B387">
        <f>'2 transformar y limpiar'!B401</f>
        <v/>
      </c>
      <c r="C387" s="6">
        <f>('2 transformar y limpiar'!C401-$B$6)/$C$6</f>
        <v/>
      </c>
      <c r="D387" s="6">
        <f>('2 transformar y limpiar'!D401-$B$7)/$C$7</f>
        <v/>
      </c>
      <c r="E387" s="6">
        <f>('2 transformar y limpiar'!E401-$B$8)/$C$8</f>
        <v/>
      </c>
      <c r="F387" s="6">
        <f>('2 transformar y limpiar'!F401-$B$9)/$C$9</f>
        <v/>
      </c>
      <c r="G387">
        <f>'2 transformar y limpiar'!G401</f>
        <v/>
      </c>
      <c r="H387">
        <f>'2 transformar y limpiar'!H401</f>
        <v/>
      </c>
      <c r="I387">
        <f>'2 transformar y limpiar'!I401</f>
        <v/>
      </c>
      <c r="J387">
        <f>'2 transformar y limpiar'!J401</f>
        <v/>
      </c>
      <c r="K387">
        <f>'2 transformar y limpiar'!K401</f>
        <v/>
      </c>
      <c r="L387">
        <f>'2 transformar y limpiar'!L401</f>
        <v/>
      </c>
      <c r="M387">
        <f>'2 transformar y limpiar'!M401</f>
        <v/>
      </c>
      <c r="N387">
        <f>'2 transformar y limpiar'!N401</f>
        <v/>
      </c>
      <c r="O387">
        <f>'2 transformar y limpiar'!O401</f>
        <v/>
      </c>
      <c r="P387">
        <f>'2 transformar y limpiar'!P401</f>
        <v/>
      </c>
      <c r="Q387">
        <f>'2 transformar y limpiar'!Q401</f>
        <v/>
      </c>
      <c r="R387">
        <f>'2 transformar y limpiar'!R401</f>
        <v/>
      </c>
      <c r="S387">
        <f>'2 transformar y limpiar'!S401</f>
        <v/>
      </c>
      <c r="T387">
        <f>'2 transformar y limpiar'!T401</f>
        <v/>
      </c>
      <c r="U387" s="5">
        <f>'2 transformar y limpiar'!U401</f>
        <v/>
      </c>
    </row>
    <row r="388">
      <c r="A388">
        <f>'2 transformar y limpiar'!A402</f>
        <v/>
      </c>
      <c r="B388">
        <f>'2 transformar y limpiar'!B402</f>
        <v/>
      </c>
      <c r="C388" s="6">
        <f>('2 transformar y limpiar'!C402-$B$6)/$C$6</f>
        <v/>
      </c>
      <c r="D388" s="6">
        <f>('2 transformar y limpiar'!D402-$B$7)/$C$7</f>
        <v/>
      </c>
      <c r="E388" s="6">
        <f>('2 transformar y limpiar'!E402-$B$8)/$C$8</f>
        <v/>
      </c>
      <c r="F388" s="6">
        <f>('2 transformar y limpiar'!F402-$B$9)/$C$9</f>
        <v/>
      </c>
      <c r="G388">
        <f>'2 transformar y limpiar'!G402</f>
        <v/>
      </c>
      <c r="H388">
        <f>'2 transformar y limpiar'!H402</f>
        <v/>
      </c>
      <c r="I388">
        <f>'2 transformar y limpiar'!I402</f>
        <v/>
      </c>
      <c r="J388">
        <f>'2 transformar y limpiar'!J402</f>
        <v/>
      </c>
      <c r="K388">
        <f>'2 transformar y limpiar'!K402</f>
        <v/>
      </c>
      <c r="L388">
        <f>'2 transformar y limpiar'!L402</f>
        <v/>
      </c>
      <c r="M388">
        <f>'2 transformar y limpiar'!M402</f>
        <v/>
      </c>
      <c r="N388">
        <f>'2 transformar y limpiar'!N402</f>
        <v/>
      </c>
      <c r="O388">
        <f>'2 transformar y limpiar'!O402</f>
        <v/>
      </c>
      <c r="P388">
        <f>'2 transformar y limpiar'!P402</f>
        <v/>
      </c>
      <c r="Q388">
        <f>'2 transformar y limpiar'!Q402</f>
        <v/>
      </c>
      <c r="R388">
        <f>'2 transformar y limpiar'!R402</f>
        <v/>
      </c>
      <c r="S388">
        <f>'2 transformar y limpiar'!S402</f>
        <v/>
      </c>
      <c r="T388">
        <f>'2 transformar y limpiar'!T402</f>
        <v/>
      </c>
      <c r="U388" s="5">
        <f>'2 transformar y limpiar'!U402</f>
        <v/>
      </c>
    </row>
    <row r="389">
      <c r="A389">
        <f>'2 transformar y limpiar'!A403</f>
        <v/>
      </c>
      <c r="B389">
        <f>'2 transformar y limpiar'!B403</f>
        <v/>
      </c>
      <c r="C389" s="6">
        <f>('2 transformar y limpiar'!C403-$B$6)/$C$6</f>
        <v/>
      </c>
      <c r="D389" s="6">
        <f>('2 transformar y limpiar'!D403-$B$7)/$C$7</f>
        <v/>
      </c>
      <c r="E389" s="6">
        <f>('2 transformar y limpiar'!E403-$B$8)/$C$8</f>
        <v/>
      </c>
      <c r="F389" s="6">
        <f>('2 transformar y limpiar'!F403-$B$9)/$C$9</f>
        <v/>
      </c>
      <c r="G389">
        <f>'2 transformar y limpiar'!G403</f>
        <v/>
      </c>
      <c r="H389">
        <f>'2 transformar y limpiar'!H403</f>
        <v/>
      </c>
      <c r="I389">
        <f>'2 transformar y limpiar'!I403</f>
        <v/>
      </c>
      <c r="J389">
        <f>'2 transformar y limpiar'!J403</f>
        <v/>
      </c>
      <c r="K389">
        <f>'2 transformar y limpiar'!K403</f>
        <v/>
      </c>
      <c r="L389">
        <f>'2 transformar y limpiar'!L403</f>
        <v/>
      </c>
      <c r="M389">
        <f>'2 transformar y limpiar'!M403</f>
        <v/>
      </c>
      <c r="N389">
        <f>'2 transformar y limpiar'!N403</f>
        <v/>
      </c>
      <c r="O389">
        <f>'2 transformar y limpiar'!O403</f>
        <v/>
      </c>
      <c r="P389">
        <f>'2 transformar y limpiar'!P403</f>
        <v/>
      </c>
      <c r="Q389">
        <f>'2 transformar y limpiar'!Q403</f>
        <v/>
      </c>
      <c r="R389">
        <f>'2 transformar y limpiar'!R403</f>
        <v/>
      </c>
      <c r="S389">
        <f>'2 transformar y limpiar'!S403</f>
        <v/>
      </c>
      <c r="T389">
        <f>'2 transformar y limpiar'!T403</f>
        <v/>
      </c>
      <c r="U389" s="5">
        <f>'2 transformar y limpiar'!U403</f>
        <v/>
      </c>
    </row>
    <row r="390">
      <c r="A390">
        <f>'2 transformar y limpiar'!A404</f>
        <v/>
      </c>
      <c r="B390">
        <f>'2 transformar y limpiar'!B404</f>
        <v/>
      </c>
      <c r="C390" s="6">
        <f>('2 transformar y limpiar'!C404-$B$6)/$C$6</f>
        <v/>
      </c>
      <c r="D390" s="6">
        <f>('2 transformar y limpiar'!D404-$B$7)/$C$7</f>
        <v/>
      </c>
      <c r="E390" s="6">
        <f>('2 transformar y limpiar'!E404-$B$8)/$C$8</f>
        <v/>
      </c>
      <c r="F390" s="6">
        <f>('2 transformar y limpiar'!F404-$B$9)/$C$9</f>
        <v/>
      </c>
      <c r="G390">
        <f>'2 transformar y limpiar'!G404</f>
        <v/>
      </c>
      <c r="H390">
        <f>'2 transformar y limpiar'!H404</f>
        <v/>
      </c>
      <c r="I390">
        <f>'2 transformar y limpiar'!I404</f>
        <v/>
      </c>
      <c r="J390">
        <f>'2 transformar y limpiar'!J404</f>
        <v/>
      </c>
      <c r="K390">
        <f>'2 transformar y limpiar'!K404</f>
        <v/>
      </c>
      <c r="L390">
        <f>'2 transformar y limpiar'!L404</f>
        <v/>
      </c>
      <c r="M390">
        <f>'2 transformar y limpiar'!M404</f>
        <v/>
      </c>
      <c r="N390">
        <f>'2 transformar y limpiar'!N404</f>
        <v/>
      </c>
      <c r="O390">
        <f>'2 transformar y limpiar'!O404</f>
        <v/>
      </c>
      <c r="P390">
        <f>'2 transformar y limpiar'!P404</f>
        <v/>
      </c>
      <c r="Q390">
        <f>'2 transformar y limpiar'!Q404</f>
        <v/>
      </c>
      <c r="R390">
        <f>'2 transformar y limpiar'!R404</f>
        <v/>
      </c>
      <c r="S390">
        <f>'2 transformar y limpiar'!S404</f>
        <v/>
      </c>
      <c r="T390">
        <f>'2 transformar y limpiar'!T404</f>
        <v/>
      </c>
      <c r="U390" s="5">
        <f>'2 transformar y limpiar'!U404</f>
        <v/>
      </c>
    </row>
    <row r="391">
      <c r="A391">
        <f>'2 transformar y limpiar'!A405</f>
        <v/>
      </c>
      <c r="B391">
        <f>'2 transformar y limpiar'!B405</f>
        <v/>
      </c>
      <c r="C391" s="6">
        <f>('2 transformar y limpiar'!C405-$B$6)/$C$6</f>
        <v/>
      </c>
      <c r="D391" s="6">
        <f>('2 transformar y limpiar'!D405-$B$7)/$C$7</f>
        <v/>
      </c>
      <c r="E391" s="6">
        <f>('2 transformar y limpiar'!E405-$B$8)/$C$8</f>
        <v/>
      </c>
      <c r="F391" s="6">
        <f>('2 transformar y limpiar'!F405-$B$9)/$C$9</f>
        <v/>
      </c>
      <c r="G391">
        <f>'2 transformar y limpiar'!G405</f>
        <v/>
      </c>
      <c r="H391">
        <f>'2 transformar y limpiar'!H405</f>
        <v/>
      </c>
      <c r="I391">
        <f>'2 transformar y limpiar'!I405</f>
        <v/>
      </c>
      <c r="J391">
        <f>'2 transformar y limpiar'!J405</f>
        <v/>
      </c>
      <c r="K391">
        <f>'2 transformar y limpiar'!K405</f>
        <v/>
      </c>
      <c r="L391">
        <f>'2 transformar y limpiar'!L405</f>
        <v/>
      </c>
      <c r="M391">
        <f>'2 transformar y limpiar'!M405</f>
        <v/>
      </c>
      <c r="N391">
        <f>'2 transformar y limpiar'!N405</f>
        <v/>
      </c>
      <c r="O391">
        <f>'2 transformar y limpiar'!O405</f>
        <v/>
      </c>
      <c r="P391">
        <f>'2 transformar y limpiar'!P405</f>
        <v/>
      </c>
      <c r="Q391">
        <f>'2 transformar y limpiar'!Q405</f>
        <v/>
      </c>
      <c r="R391">
        <f>'2 transformar y limpiar'!R405</f>
        <v/>
      </c>
      <c r="S391">
        <f>'2 transformar y limpiar'!S405</f>
        <v/>
      </c>
      <c r="T391">
        <f>'2 transformar y limpiar'!T405</f>
        <v/>
      </c>
      <c r="U391" s="5">
        <f>'2 transformar y limpiar'!U405</f>
        <v/>
      </c>
    </row>
    <row r="392">
      <c r="A392">
        <f>'2 transformar y limpiar'!A406</f>
        <v/>
      </c>
      <c r="B392">
        <f>'2 transformar y limpiar'!B406</f>
        <v/>
      </c>
      <c r="C392" s="6">
        <f>('2 transformar y limpiar'!C406-$B$6)/$C$6</f>
        <v/>
      </c>
      <c r="D392" s="6">
        <f>('2 transformar y limpiar'!D406-$B$7)/$C$7</f>
        <v/>
      </c>
      <c r="E392" s="6">
        <f>('2 transformar y limpiar'!E406-$B$8)/$C$8</f>
        <v/>
      </c>
      <c r="F392" s="6">
        <f>('2 transformar y limpiar'!F406-$B$9)/$C$9</f>
        <v/>
      </c>
      <c r="G392">
        <f>'2 transformar y limpiar'!G406</f>
        <v/>
      </c>
      <c r="H392">
        <f>'2 transformar y limpiar'!H406</f>
        <v/>
      </c>
      <c r="I392">
        <f>'2 transformar y limpiar'!I406</f>
        <v/>
      </c>
      <c r="J392">
        <f>'2 transformar y limpiar'!J406</f>
        <v/>
      </c>
      <c r="K392">
        <f>'2 transformar y limpiar'!K406</f>
        <v/>
      </c>
      <c r="L392">
        <f>'2 transformar y limpiar'!L406</f>
        <v/>
      </c>
      <c r="M392">
        <f>'2 transformar y limpiar'!M406</f>
        <v/>
      </c>
      <c r="N392">
        <f>'2 transformar y limpiar'!N406</f>
        <v/>
      </c>
      <c r="O392">
        <f>'2 transformar y limpiar'!O406</f>
        <v/>
      </c>
      <c r="P392">
        <f>'2 transformar y limpiar'!P406</f>
        <v/>
      </c>
      <c r="Q392">
        <f>'2 transformar y limpiar'!Q406</f>
        <v/>
      </c>
      <c r="R392">
        <f>'2 transformar y limpiar'!R406</f>
        <v/>
      </c>
      <c r="S392">
        <f>'2 transformar y limpiar'!S406</f>
        <v/>
      </c>
      <c r="T392">
        <f>'2 transformar y limpiar'!T406</f>
        <v/>
      </c>
      <c r="U392" s="5">
        <f>'2 transformar y limpiar'!U406</f>
        <v/>
      </c>
    </row>
    <row r="393">
      <c r="A393">
        <f>'2 transformar y limpiar'!A407</f>
        <v/>
      </c>
      <c r="B393">
        <f>'2 transformar y limpiar'!B407</f>
        <v/>
      </c>
      <c r="C393" s="6">
        <f>('2 transformar y limpiar'!C407-$B$6)/$C$6</f>
        <v/>
      </c>
      <c r="D393" s="6">
        <f>('2 transformar y limpiar'!D407-$B$7)/$C$7</f>
        <v/>
      </c>
      <c r="E393" s="6">
        <f>('2 transformar y limpiar'!E407-$B$8)/$C$8</f>
        <v/>
      </c>
      <c r="F393" s="6">
        <f>('2 transformar y limpiar'!F407-$B$9)/$C$9</f>
        <v/>
      </c>
      <c r="G393">
        <f>'2 transformar y limpiar'!G407</f>
        <v/>
      </c>
      <c r="H393">
        <f>'2 transformar y limpiar'!H407</f>
        <v/>
      </c>
      <c r="I393">
        <f>'2 transformar y limpiar'!I407</f>
        <v/>
      </c>
      <c r="J393">
        <f>'2 transformar y limpiar'!J407</f>
        <v/>
      </c>
      <c r="K393">
        <f>'2 transformar y limpiar'!K407</f>
        <v/>
      </c>
      <c r="L393">
        <f>'2 transformar y limpiar'!L407</f>
        <v/>
      </c>
      <c r="M393">
        <f>'2 transformar y limpiar'!M407</f>
        <v/>
      </c>
      <c r="N393">
        <f>'2 transformar y limpiar'!N407</f>
        <v/>
      </c>
      <c r="O393">
        <f>'2 transformar y limpiar'!O407</f>
        <v/>
      </c>
      <c r="P393">
        <f>'2 transformar y limpiar'!P407</f>
        <v/>
      </c>
      <c r="Q393">
        <f>'2 transformar y limpiar'!Q407</f>
        <v/>
      </c>
      <c r="R393">
        <f>'2 transformar y limpiar'!R407</f>
        <v/>
      </c>
      <c r="S393">
        <f>'2 transformar y limpiar'!S407</f>
        <v/>
      </c>
      <c r="T393">
        <f>'2 transformar y limpiar'!T407</f>
        <v/>
      </c>
      <c r="U393" s="5">
        <f>'2 transformar y limpiar'!U407</f>
        <v/>
      </c>
    </row>
    <row r="394">
      <c r="A394">
        <f>'2 transformar y limpiar'!A408</f>
        <v/>
      </c>
      <c r="B394">
        <f>'2 transformar y limpiar'!B408</f>
        <v/>
      </c>
      <c r="C394" s="6">
        <f>('2 transformar y limpiar'!C408-$B$6)/$C$6</f>
        <v/>
      </c>
      <c r="D394" s="6">
        <f>('2 transformar y limpiar'!D408-$B$7)/$C$7</f>
        <v/>
      </c>
      <c r="E394" s="6">
        <f>('2 transformar y limpiar'!E408-$B$8)/$C$8</f>
        <v/>
      </c>
      <c r="F394" s="6">
        <f>('2 transformar y limpiar'!F408-$B$9)/$C$9</f>
        <v/>
      </c>
      <c r="G394">
        <f>'2 transformar y limpiar'!G408</f>
        <v/>
      </c>
      <c r="H394">
        <f>'2 transformar y limpiar'!H408</f>
        <v/>
      </c>
      <c r="I394">
        <f>'2 transformar y limpiar'!I408</f>
        <v/>
      </c>
      <c r="J394">
        <f>'2 transformar y limpiar'!J408</f>
        <v/>
      </c>
      <c r="K394">
        <f>'2 transformar y limpiar'!K408</f>
        <v/>
      </c>
      <c r="L394">
        <f>'2 transformar y limpiar'!L408</f>
        <v/>
      </c>
      <c r="M394">
        <f>'2 transformar y limpiar'!M408</f>
        <v/>
      </c>
      <c r="N394">
        <f>'2 transformar y limpiar'!N408</f>
        <v/>
      </c>
      <c r="O394">
        <f>'2 transformar y limpiar'!O408</f>
        <v/>
      </c>
      <c r="P394">
        <f>'2 transformar y limpiar'!P408</f>
        <v/>
      </c>
      <c r="Q394">
        <f>'2 transformar y limpiar'!Q408</f>
        <v/>
      </c>
      <c r="R394">
        <f>'2 transformar y limpiar'!R408</f>
        <v/>
      </c>
      <c r="S394">
        <f>'2 transformar y limpiar'!S408</f>
        <v/>
      </c>
      <c r="T394">
        <f>'2 transformar y limpiar'!T408</f>
        <v/>
      </c>
      <c r="U394" s="5">
        <f>'2 transformar y limpiar'!U408</f>
        <v/>
      </c>
    </row>
    <row r="395">
      <c r="A395">
        <f>'2 transformar y limpiar'!A409</f>
        <v/>
      </c>
      <c r="B395">
        <f>'2 transformar y limpiar'!B409</f>
        <v/>
      </c>
      <c r="C395" s="6">
        <f>('2 transformar y limpiar'!C409-$B$6)/$C$6</f>
        <v/>
      </c>
      <c r="D395" s="6">
        <f>('2 transformar y limpiar'!D409-$B$7)/$C$7</f>
        <v/>
      </c>
      <c r="E395" s="6">
        <f>('2 transformar y limpiar'!E409-$B$8)/$C$8</f>
        <v/>
      </c>
      <c r="F395" s="6">
        <f>('2 transformar y limpiar'!F409-$B$9)/$C$9</f>
        <v/>
      </c>
      <c r="G395">
        <f>'2 transformar y limpiar'!G409</f>
        <v/>
      </c>
      <c r="H395">
        <f>'2 transformar y limpiar'!H409</f>
        <v/>
      </c>
      <c r="I395">
        <f>'2 transformar y limpiar'!I409</f>
        <v/>
      </c>
      <c r="J395">
        <f>'2 transformar y limpiar'!J409</f>
        <v/>
      </c>
      <c r="K395">
        <f>'2 transformar y limpiar'!K409</f>
        <v/>
      </c>
      <c r="L395">
        <f>'2 transformar y limpiar'!L409</f>
        <v/>
      </c>
      <c r="M395">
        <f>'2 transformar y limpiar'!M409</f>
        <v/>
      </c>
      <c r="N395">
        <f>'2 transformar y limpiar'!N409</f>
        <v/>
      </c>
      <c r="O395">
        <f>'2 transformar y limpiar'!O409</f>
        <v/>
      </c>
      <c r="P395">
        <f>'2 transformar y limpiar'!P409</f>
        <v/>
      </c>
      <c r="Q395">
        <f>'2 transformar y limpiar'!Q409</f>
        <v/>
      </c>
      <c r="R395">
        <f>'2 transformar y limpiar'!R409</f>
        <v/>
      </c>
      <c r="S395">
        <f>'2 transformar y limpiar'!S409</f>
        <v/>
      </c>
      <c r="T395">
        <f>'2 transformar y limpiar'!T409</f>
        <v/>
      </c>
      <c r="U395" s="5">
        <f>'2 transformar y limpiar'!U409</f>
        <v/>
      </c>
    </row>
    <row r="396">
      <c r="A396">
        <f>'2 transformar y limpiar'!A410</f>
        <v/>
      </c>
      <c r="B396">
        <f>'2 transformar y limpiar'!B410</f>
        <v/>
      </c>
      <c r="C396" s="6">
        <f>('2 transformar y limpiar'!C410-$B$6)/$C$6</f>
        <v/>
      </c>
      <c r="D396" s="6">
        <f>('2 transformar y limpiar'!D410-$B$7)/$C$7</f>
        <v/>
      </c>
      <c r="E396" s="6">
        <f>('2 transformar y limpiar'!E410-$B$8)/$C$8</f>
        <v/>
      </c>
      <c r="F396" s="6">
        <f>('2 transformar y limpiar'!F410-$B$9)/$C$9</f>
        <v/>
      </c>
      <c r="G396">
        <f>'2 transformar y limpiar'!G410</f>
        <v/>
      </c>
      <c r="H396">
        <f>'2 transformar y limpiar'!H410</f>
        <v/>
      </c>
      <c r="I396">
        <f>'2 transformar y limpiar'!I410</f>
        <v/>
      </c>
      <c r="J396">
        <f>'2 transformar y limpiar'!J410</f>
        <v/>
      </c>
      <c r="K396">
        <f>'2 transformar y limpiar'!K410</f>
        <v/>
      </c>
      <c r="L396">
        <f>'2 transformar y limpiar'!L410</f>
        <v/>
      </c>
      <c r="M396">
        <f>'2 transformar y limpiar'!M410</f>
        <v/>
      </c>
      <c r="N396">
        <f>'2 transformar y limpiar'!N410</f>
        <v/>
      </c>
      <c r="O396">
        <f>'2 transformar y limpiar'!O410</f>
        <v/>
      </c>
      <c r="P396">
        <f>'2 transformar y limpiar'!P410</f>
        <v/>
      </c>
      <c r="Q396">
        <f>'2 transformar y limpiar'!Q410</f>
        <v/>
      </c>
      <c r="R396">
        <f>'2 transformar y limpiar'!R410</f>
        <v/>
      </c>
      <c r="S396">
        <f>'2 transformar y limpiar'!S410</f>
        <v/>
      </c>
      <c r="T396">
        <f>'2 transformar y limpiar'!T410</f>
        <v/>
      </c>
      <c r="U396" s="5">
        <f>'2 transformar y limpiar'!U410</f>
        <v/>
      </c>
    </row>
    <row r="397">
      <c r="A397">
        <f>'2 transformar y limpiar'!A411</f>
        <v/>
      </c>
      <c r="B397">
        <f>'2 transformar y limpiar'!B411</f>
        <v/>
      </c>
      <c r="C397" s="6">
        <f>('2 transformar y limpiar'!C411-$B$6)/$C$6</f>
        <v/>
      </c>
      <c r="D397" s="6">
        <f>('2 transformar y limpiar'!D411-$B$7)/$C$7</f>
        <v/>
      </c>
      <c r="E397" s="6">
        <f>('2 transformar y limpiar'!E411-$B$8)/$C$8</f>
        <v/>
      </c>
      <c r="F397" s="6">
        <f>('2 transformar y limpiar'!F411-$B$9)/$C$9</f>
        <v/>
      </c>
      <c r="G397">
        <f>'2 transformar y limpiar'!G411</f>
        <v/>
      </c>
      <c r="H397">
        <f>'2 transformar y limpiar'!H411</f>
        <v/>
      </c>
      <c r="I397">
        <f>'2 transformar y limpiar'!I411</f>
        <v/>
      </c>
      <c r="J397">
        <f>'2 transformar y limpiar'!J411</f>
        <v/>
      </c>
      <c r="K397">
        <f>'2 transformar y limpiar'!K411</f>
        <v/>
      </c>
      <c r="L397">
        <f>'2 transformar y limpiar'!L411</f>
        <v/>
      </c>
      <c r="M397">
        <f>'2 transformar y limpiar'!M411</f>
        <v/>
      </c>
      <c r="N397">
        <f>'2 transformar y limpiar'!N411</f>
        <v/>
      </c>
      <c r="O397">
        <f>'2 transformar y limpiar'!O411</f>
        <v/>
      </c>
      <c r="P397">
        <f>'2 transformar y limpiar'!P411</f>
        <v/>
      </c>
      <c r="Q397">
        <f>'2 transformar y limpiar'!Q411</f>
        <v/>
      </c>
      <c r="R397">
        <f>'2 transformar y limpiar'!R411</f>
        <v/>
      </c>
      <c r="S397">
        <f>'2 transformar y limpiar'!S411</f>
        <v/>
      </c>
      <c r="T397">
        <f>'2 transformar y limpiar'!T411</f>
        <v/>
      </c>
      <c r="U397" s="5">
        <f>'2 transformar y limpiar'!U411</f>
        <v/>
      </c>
    </row>
    <row r="398">
      <c r="A398">
        <f>'2 transformar y limpiar'!A412</f>
        <v/>
      </c>
      <c r="B398">
        <f>'2 transformar y limpiar'!B412</f>
        <v/>
      </c>
      <c r="C398" s="6">
        <f>('2 transformar y limpiar'!C412-$B$6)/$C$6</f>
        <v/>
      </c>
      <c r="D398" s="6">
        <f>('2 transformar y limpiar'!D412-$B$7)/$C$7</f>
        <v/>
      </c>
      <c r="E398" s="6">
        <f>('2 transformar y limpiar'!E412-$B$8)/$C$8</f>
        <v/>
      </c>
      <c r="F398" s="6">
        <f>('2 transformar y limpiar'!F412-$B$9)/$C$9</f>
        <v/>
      </c>
      <c r="G398">
        <f>'2 transformar y limpiar'!G412</f>
        <v/>
      </c>
      <c r="H398">
        <f>'2 transformar y limpiar'!H412</f>
        <v/>
      </c>
      <c r="I398">
        <f>'2 transformar y limpiar'!I412</f>
        <v/>
      </c>
      <c r="J398">
        <f>'2 transformar y limpiar'!J412</f>
        <v/>
      </c>
      <c r="K398">
        <f>'2 transformar y limpiar'!K412</f>
        <v/>
      </c>
      <c r="L398">
        <f>'2 transformar y limpiar'!L412</f>
        <v/>
      </c>
      <c r="M398">
        <f>'2 transformar y limpiar'!M412</f>
        <v/>
      </c>
      <c r="N398">
        <f>'2 transformar y limpiar'!N412</f>
        <v/>
      </c>
      <c r="O398">
        <f>'2 transformar y limpiar'!O412</f>
        <v/>
      </c>
      <c r="P398">
        <f>'2 transformar y limpiar'!P412</f>
        <v/>
      </c>
      <c r="Q398">
        <f>'2 transformar y limpiar'!Q412</f>
        <v/>
      </c>
      <c r="R398">
        <f>'2 transformar y limpiar'!R412</f>
        <v/>
      </c>
      <c r="S398">
        <f>'2 transformar y limpiar'!S412</f>
        <v/>
      </c>
      <c r="T398">
        <f>'2 transformar y limpiar'!T412</f>
        <v/>
      </c>
      <c r="U398" s="5">
        <f>'2 transformar y limpiar'!U412</f>
        <v/>
      </c>
    </row>
    <row r="399">
      <c r="A399">
        <f>'2 transformar y limpiar'!A413</f>
        <v/>
      </c>
      <c r="B399">
        <f>'2 transformar y limpiar'!B413</f>
        <v/>
      </c>
      <c r="C399" s="6">
        <f>('2 transformar y limpiar'!C413-$B$6)/$C$6</f>
        <v/>
      </c>
      <c r="D399" s="6">
        <f>('2 transformar y limpiar'!D413-$B$7)/$C$7</f>
        <v/>
      </c>
      <c r="E399" s="6">
        <f>('2 transformar y limpiar'!E413-$B$8)/$C$8</f>
        <v/>
      </c>
      <c r="F399" s="6">
        <f>('2 transformar y limpiar'!F413-$B$9)/$C$9</f>
        <v/>
      </c>
      <c r="G399">
        <f>'2 transformar y limpiar'!G413</f>
        <v/>
      </c>
      <c r="H399">
        <f>'2 transformar y limpiar'!H413</f>
        <v/>
      </c>
      <c r="I399">
        <f>'2 transformar y limpiar'!I413</f>
        <v/>
      </c>
      <c r="J399">
        <f>'2 transformar y limpiar'!J413</f>
        <v/>
      </c>
      <c r="K399">
        <f>'2 transformar y limpiar'!K413</f>
        <v/>
      </c>
      <c r="L399">
        <f>'2 transformar y limpiar'!L413</f>
        <v/>
      </c>
      <c r="M399">
        <f>'2 transformar y limpiar'!M413</f>
        <v/>
      </c>
      <c r="N399">
        <f>'2 transformar y limpiar'!N413</f>
        <v/>
      </c>
      <c r="O399">
        <f>'2 transformar y limpiar'!O413</f>
        <v/>
      </c>
      <c r="P399">
        <f>'2 transformar y limpiar'!P413</f>
        <v/>
      </c>
      <c r="Q399">
        <f>'2 transformar y limpiar'!Q413</f>
        <v/>
      </c>
      <c r="R399">
        <f>'2 transformar y limpiar'!R413</f>
        <v/>
      </c>
      <c r="S399">
        <f>'2 transformar y limpiar'!S413</f>
        <v/>
      </c>
      <c r="T399">
        <f>'2 transformar y limpiar'!T413</f>
        <v/>
      </c>
      <c r="U399" s="5">
        <f>'2 transformar y limpiar'!U413</f>
        <v/>
      </c>
    </row>
    <row r="400">
      <c r="A400">
        <f>'2 transformar y limpiar'!A414</f>
        <v/>
      </c>
      <c r="B400">
        <f>'2 transformar y limpiar'!B414</f>
        <v/>
      </c>
      <c r="C400" s="6">
        <f>('2 transformar y limpiar'!C414-$B$6)/$C$6</f>
        <v/>
      </c>
      <c r="D400" s="6">
        <f>('2 transformar y limpiar'!D414-$B$7)/$C$7</f>
        <v/>
      </c>
      <c r="E400" s="6">
        <f>('2 transformar y limpiar'!E414-$B$8)/$C$8</f>
        <v/>
      </c>
      <c r="F400" s="6">
        <f>('2 transformar y limpiar'!F414-$B$9)/$C$9</f>
        <v/>
      </c>
      <c r="G400">
        <f>'2 transformar y limpiar'!G414</f>
        <v/>
      </c>
      <c r="H400">
        <f>'2 transformar y limpiar'!H414</f>
        <v/>
      </c>
      <c r="I400">
        <f>'2 transformar y limpiar'!I414</f>
        <v/>
      </c>
      <c r="J400">
        <f>'2 transformar y limpiar'!J414</f>
        <v/>
      </c>
      <c r="K400">
        <f>'2 transformar y limpiar'!K414</f>
        <v/>
      </c>
      <c r="L400">
        <f>'2 transformar y limpiar'!L414</f>
        <v/>
      </c>
      <c r="M400">
        <f>'2 transformar y limpiar'!M414</f>
        <v/>
      </c>
      <c r="N400">
        <f>'2 transformar y limpiar'!N414</f>
        <v/>
      </c>
      <c r="O400">
        <f>'2 transformar y limpiar'!O414</f>
        <v/>
      </c>
      <c r="P400">
        <f>'2 transformar y limpiar'!P414</f>
        <v/>
      </c>
      <c r="Q400">
        <f>'2 transformar y limpiar'!Q414</f>
        <v/>
      </c>
      <c r="R400">
        <f>'2 transformar y limpiar'!R414</f>
        <v/>
      </c>
      <c r="S400">
        <f>'2 transformar y limpiar'!S414</f>
        <v/>
      </c>
      <c r="T400">
        <f>'2 transformar y limpiar'!T414</f>
        <v/>
      </c>
      <c r="U400" s="5">
        <f>'2 transformar y limpiar'!U414</f>
        <v/>
      </c>
    </row>
    <row r="401">
      <c r="A401">
        <f>'2 transformar y limpiar'!A415</f>
        <v/>
      </c>
      <c r="B401">
        <f>'2 transformar y limpiar'!B415</f>
        <v/>
      </c>
      <c r="C401" s="6">
        <f>('2 transformar y limpiar'!C415-$B$6)/$C$6</f>
        <v/>
      </c>
      <c r="D401" s="6">
        <f>('2 transformar y limpiar'!D415-$B$7)/$C$7</f>
        <v/>
      </c>
      <c r="E401" s="6">
        <f>('2 transformar y limpiar'!E415-$B$8)/$C$8</f>
        <v/>
      </c>
      <c r="F401" s="6">
        <f>('2 transformar y limpiar'!F415-$B$9)/$C$9</f>
        <v/>
      </c>
      <c r="G401">
        <f>'2 transformar y limpiar'!G415</f>
        <v/>
      </c>
      <c r="H401">
        <f>'2 transformar y limpiar'!H415</f>
        <v/>
      </c>
      <c r="I401">
        <f>'2 transformar y limpiar'!I415</f>
        <v/>
      </c>
      <c r="J401">
        <f>'2 transformar y limpiar'!J415</f>
        <v/>
      </c>
      <c r="K401">
        <f>'2 transformar y limpiar'!K415</f>
        <v/>
      </c>
      <c r="L401">
        <f>'2 transformar y limpiar'!L415</f>
        <v/>
      </c>
      <c r="M401">
        <f>'2 transformar y limpiar'!M415</f>
        <v/>
      </c>
      <c r="N401">
        <f>'2 transformar y limpiar'!N415</f>
        <v/>
      </c>
      <c r="O401">
        <f>'2 transformar y limpiar'!O415</f>
        <v/>
      </c>
      <c r="P401">
        <f>'2 transformar y limpiar'!P415</f>
        <v/>
      </c>
      <c r="Q401">
        <f>'2 transformar y limpiar'!Q415</f>
        <v/>
      </c>
      <c r="R401">
        <f>'2 transformar y limpiar'!R415</f>
        <v/>
      </c>
      <c r="S401">
        <f>'2 transformar y limpiar'!S415</f>
        <v/>
      </c>
      <c r="T401">
        <f>'2 transformar y limpiar'!T415</f>
        <v/>
      </c>
      <c r="U401" s="5">
        <f>'2 transformar y limpiar'!U415</f>
        <v/>
      </c>
    </row>
    <row r="402">
      <c r="A402">
        <f>'2 transformar y limpiar'!A416</f>
        <v/>
      </c>
      <c r="B402">
        <f>'2 transformar y limpiar'!B416</f>
        <v/>
      </c>
      <c r="C402" s="6">
        <f>('2 transformar y limpiar'!C416-$B$6)/$C$6</f>
        <v/>
      </c>
      <c r="D402" s="6">
        <f>('2 transformar y limpiar'!D416-$B$7)/$C$7</f>
        <v/>
      </c>
      <c r="E402" s="6">
        <f>('2 transformar y limpiar'!E416-$B$8)/$C$8</f>
        <v/>
      </c>
      <c r="F402" s="6">
        <f>('2 transformar y limpiar'!F416-$B$9)/$C$9</f>
        <v/>
      </c>
      <c r="G402">
        <f>'2 transformar y limpiar'!G416</f>
        <v/>
      </c>
      <c r="H402">
        <f>'2 transformar y limpiar'!H416</f>
        <v/>
      </c>
      <c r="I402">
        <f>'2 transformar y limpiar'!I416</f>
        <v/>
      </c>
      <c r="J402">
        <f>'2 transformar y limpiar'!J416</f>
        <v/>
      </c>
      <c r="K402">
        <f>'2 transformar y limpiar'!K416</f>
        <v/>
      </c>
      <c r="L402">
        <f>'2 transformar y limpiar'!L416</f>
        <v/>
      </c>
      <c r="M402">
        <f>'2 transformar y limpiar'!M416</f>
        <v/>
      </c>
      <c r="N402">
        <f>'2 transformar y limpiar'!N416</f>
        <v/>
      </c>
      <c r="O402">
        <f>'2 transformar y limpiar'!O416</f>
        <v/>
      </c>
      <c r="P402">
        <f>'2 transformar y limpiar'!P416</f>
        <v/>
      </c>
      <c r="Q402">
        <f>'2 transformar y limpiar'!Q416</f>
        <v/>
      </c>
      <c r="R402">
        <f>'2 transformar y limpiar'!R416</f>
        <v/>
      </c>
      <c r="S402">
        <f>'2 transformar y limpiar'!S416</f>
        <v/>
      </c>
      <c r="T402">
        <f>'2 transformar y limpiar'!T416</f>
        <v/>
      </c>
      <c r="U402" s="5">
        <f>'2 transformar y limpiar'!U416</f>
        <v/>
      </c>
    </row>
    <row r="403">
      <c r="A403">
        <f>'2 transformar y limpiar'!A417</f>
        <v/>
      </c>
      <c r="B403">
        <f>'2 transformar y limpiar'!B417</f>
        <v/>
      </c>
      <c r="C403" s="6">
        <f>('2 transformar y limpiar'!C417-$B$6)/$C$6</f>
        <v/>
      </c>
      <c r="D403" s="6">
        <f>('2 transformar y limpiar'!D417-$B$7)/$C$7</f>
        <v/>
      </c>
      <c r="E403" s="6">
        <f>('2 transformar y limpiar'!E417-$B$8)/$C$8</f>
        <v/>
      </c>
      <c r="F403" s="6">
        <f>('2 transformar y limpiar'!F417-$B$9)/$C$9</f>
        <v/>
      </c>
      <c r="G403">
        <f>'2 transformar y limpiar'!G417</f>
        <v/>
      </c>
      <c r="H403">
        <f>'2 transformar y limpiar'!H417</f>
        <v/>
      </c>
      <c r="I403">
        <f>'2 transformar y limpiar'!I417</f>
        <v/>
      </c>
      <c r="J403">
        <f>'2 transformar y limpiar'!J417</f>
        <v/>
      </c>
      <c r="K403">
        <f>'2 transformar y limpiar'!K417</f>
        <v/>
      </c>
      <c r="L403">
        <f>'2 transformar y limpiar'!L417</f>
        <v/>
      </c>
      <c r="M403">
        <f>'2 transformar y limpiar'!M417</f>
        <v/>
      </c>
      <c r="N403">
        <f>'2 transformar y limpiar'!N417</f>
        <v/>
      </c>
      <c r="O403">
        <f>'2 transformar y limpiar'!O417</f>
        <v/>
      </c>
      <c r="P403">
        <f>'2 transformar y limpiar'!P417</f>
        <v/>
      </c>
      <c r="Q403">
        <f>'2 transformar y limpiar'!Q417</f>
        <v/>
      </c>
      <c r="R403">
        <f>'2 transformar y limpiar'!R417</f>
        <v/>
      </c>
      <c r="S403">
        <f>'2 transformar y limpiar'!S417</f>
        <v/>
      </c>
      <c r="T403">
        <f>'2 transformar y limpiar'!T417</f>
        <v/>
      </c>
      <c r="U403" s="5">
        <f>'2 transformar y limpiar'!U417</f>
        <v/>
      </c>
    </row>
    <row r="404">
      <c r="A404">
        <f>'2 transformar y limpiar'!A418</f>
        <v/>
      </c>
      <c r="B404">
        <f>'2 transformar y limpiar'!B418</f>
        <v/>
      </c>
      <c r="C404" s="6">
        <f>('2 transformar y limpiar'!C418-$B$6)/$C$6</f>
        <v/>
      </c>
      <c r="D404" s="6">
        <f>('2 transformar y limpiar'!D418-$B$7)/$C$7</f>
        <v/>
      </c>
      <c r="E404" s="6">
        <f>('2 transformar y limpiar'!E418-$B$8)/$C$8</f>
        <v/>
      </c>
      <c r="F404" s="6">
        <f>('2 transformar y limpiar'!F418-$B$9)/$C$9</f>
        <v/>
      </c>
      <c r="G404">
        <f>'2 transformar y limpiar'!G418</f>
        <v/>
      </c>
      <c r="H404">
        <f>'2 transformar y limpiar'!H418</f>
        <v/>
      </c>
      <c r="I404">
        <f>'2 transformar y limpiar'!I418</f>
        <v/>
      </c>
      <c r="J404">
        <f>'2 transformar y limpiar'!J418</f>
        <v/>
      </c>
      <c r="K404">
        <f>'2 transformar y limpiar'!K418</f>
        <v/>
      </c>
      <c r="L404">
        <f>'2 transformar y limpiar'!L418</f>
        <v/>
      </c>
      <c r="M404">
        <f>'2 transformar y limpiar'!M418</f>
        <v/>
      </c>
      <c r="N404">
        <f>'2 transformar y limpiar'!N418</f>
        <v/>
      </c>
      <c r="O404">
        <f>'2 transformar y limpiar'!O418</f>
        <v/>
      </c>
      <c r="P404">
        <f>'2 transformar y limpiar'!P418</f>
        <v/>
      </c>
      <c r="Q404">
        <f>'2 transformar y limpiar'!Q418</f>
        <v/>
      </c>
      <c r="R404">
        <f>'2 transformar y limpiar'!R418</f>
        <v/>
      </c>
      <c r="S404">
        <f>'2 transformar y limpiar'!S418</f>
        <v/>
      </c>
      <c r="T404">
        <f>'2 transformar y limpiar'!T418</f>
        <v/>
      </c>
      <c r="U404" s="5">
        <f>'2 transformar y limpiar'!U418</f>
        <v/>
      </c>
    </row>
    <row r="405">
      <c r="A405">
        <f>'2 transformar y limpiar'!A419</f>
        <v/>
      </c>
      <c r="B405">
        <f>'2 transformar y limpiar'!B419</f>
        <v/>
      </c>
      <c r="C405" s="6">
        <f>('2 transformar y limpiar'!C419-$B$6)/$C$6</f>
        <v/>
      </c>
      <c r="D405" s="6">
        <f>('2 transformar y limpiar'!D419-$B$7)/$C$7</f>
        <v/>
      </c>
      <c r="E405" s="6">
        <f>('2 transformar y limpiar'!E419-$B$8)/$C$8</f>
        <v/>
      </c>
      <c r="F405" s="6">
        <f>('2 transformar y limpiar'!F419-$B$9)/$C$9</f>
        <v/>
      </c>
      <c r="G405">
        <f>'2 transformar y limpiar'!G419</f>
        <v/>
      </c>
      <c r="H405">
        <f>'2 transformar y limpiar'!H419</f>
        <v/>
      </c>
      <c r="I405">
        <f>'2 transformar y limpiar'!I419</f>
        <v/>
      </c>
      <c r="J405">
        <f>'2 transformar y limpiar'!J419</f>
        <v/>
      </c>
      <c r="K405">
        <f>'2 transformar y limpiar'!K419</f>
        <v/>
      </c>
      <c r="L405">
        <f>'2 transformar y limpiar'!L419</f>
        <v/>
      </c>
      <c r="M405">
        <f>'2 transformar y limpiar'!M419</f>
        <v/>
      </c>
      <c r="N405">
        <f>'2 transformar y limpiar'!N419</f>
        <v/>
      </c>
      <c r="O405">
        <f>'2 transformar y limpiar'!O419</f>
        <v/>
      </c>
      <c r="P405">
        <f>'2 transformar y limpiar'!P419</f>
        <v/>
      </c>
      <c r="Q405">
        <f>'2 transformar y limpiar'!Q419</f>
        <v/>
      </c>
      <c r="R405">
        <f>'2 transformar y limpiar'!R419</f>
        <v/>
      </c>
      <c r="S405">
        <f>'2 transformar y limpiar'!S419</f>
        <v/>
      </c>
      <c r="T405">
        <f>'2 transformar y limpiar'!T419</f>
        <v/>
      </c>
      <c r="U405" s="5">
        <f>'2 transformar y limpiar'!U419</f>
        <v/>
      </c>
    </row>
    <row r="406">
      <c r="A406">
        <f>'2 transformar y limpiar'!A420</f>
        <v/>
      </c>
      <c r="B406">
        <f>'2 transformar y limpiar'!B420</f>
        <v/>
      </c>
      <c r="C406" s="6">
        <f>('2 transformar y limpiar'!C420-$B$6)/$C$6</f>
        <v/>
      </c>
      <c r="D406" s="6">
        <f>('2 transformar y limpiar'!D420-$B$7)/$C$7</f>
        <v/>
      </c>
      <c r="E406" s="6">
        <f>('2 transformar y limpiar'!E420-$B$8)/$C$8</f>
        <v/>
      </c>
      <c r="F406" s="6">
        <f>('2 transformar y limpiar'!F420-$B$9)/$C$9</f>
        <v/>
      </c>
      <c r="G406">
        <f>'2 transformar y limpiar'!G420</f>
        <v/>
      </c>
      <c r="H406">
        <f>'2 transformar y limpiar'!H420</f>
        <v/>
      </c>
      <c r="I406">
        <f>'2 transformar y limpiar'!I420</f>
        <v/>
      </c>
      <c r="J406">
        <f>'2 transformar y limpiar'!J420</f>
        <v/>
      </c>
      <c r="K406">
        <f>'2 transformar y limpiar'!K420</f>
        <v/>
      </c>
      <c r="L406">
        <f>'2 transformar y limpiar'!L420</f>
        <v/>
      </c>
      <c r="M406">
        <f>'2 transformar y limpiar'!M420</f>
        <v/>
      </c>
      <c r="N406">
        <f>'2 transformar y limpiar'!N420</f>
        <v/>
      </c>
      <c r="O406">
        <f>'2 transformar y limpiar'!O420</f>
        <v/>
      </c>
      <c r="P406">
        <f>'2 transformar y limpiar'!P420</f>
        <v/>
      </c>
      <c r="Q406">
        <f>'2 transformar y limpiar'!Q420</f>
        <v/>
      </c>
      <c r="R406">
        <f>'2 transformar y limpiar'!R420</f>
        <v/>
      </c>
      <c r="S406">
        <f>'2 transformar y limpiar'!S420</f>
        <v/>
      </c>
      <c r="T406">
        <f>'2 transformar y limpiar'!T420</f>
        <v/>
      </c>
      <c r="U406" s="5">
        <f>'2 transformar y limpiar'!U420</f>
        <v/>
      </c>
    </row>
    <row r="407">
      <c r="A407">
        <f>'2 transformar y limpiar'!A421</f>
        <v/>
      </c>
      <c r="B407">
        <f>'2 transformar y limpiar'!B421</f>
        <v/>
      </c>
      <c r="C407" s="6">
        <f>('2 transformar y limpiar'!C421-$B$6)/$C$6</f>
        <v/>
      </c>
      <c r="D407" s="6">
        <f>('2 transformar y limpiar'!D421-$B$7)/$C$7</f>
        <v/>
      </c>
      <c r="E407" s="6">
        <f>('2 transformar y limpiar'!E421-$B$8)/$C$8</f>
        <v/>
      </c>
      <c r="F407" s="6">
        <f>('2 transformar y limpiar'!F421-$B$9)/$C$9</f>
        <v/>
      </c>
      <c r="G407">
        <f>'2 transformar y limpiar'!G421</f>
        <v/>
      </c>
      <c r="H407">
        <f>'2 transformar y limpiar'!H421</f>
        <v/>
      </c>
      <c r="I407">
        <f>'2 transformar y limpiar'!I421</f>
        <v/>
      </c>
      <c r="J407">
        <f>'2 transformar y limpiar'!J421</f>
        <v/>
      </c>
      <c r="K407">
        <f>'2 transformar y limpiar'!K421</f>
        <v/>
      </c>
      <c r="L407">
        <f>'2 transformar y limpiar'!L421</f>
        <v/>
      </c>
      <c r="M407">
        <f>'2 transformar y limpiar'!M421</f>
        <v/>
      </c>
      <c r="N407">
        <f>'2 transformar y limpiar'!N421</f>
        <v/>
      </c>
      <c r="O407">
        <f>'2 transformar y limpiar'!O421</f>
        <v/>
      </c>
      <c r="P407">
        <f>'2 transformar y limpiar'!P421</f>
        <v/>
      </c>
      <c r="Q407">
        <f>'2 transformar y limpiar'!Q421</f>
        <v/>
      </c>
      <c r="R407">
        <f>'2 transformar y limpiar'!R421</f>
        <v/>
      </c>
      <c r="S407">
        <f>'2 transformar y limpiar'!S421</f>
        <v/>
      </c>
      <c r="T407">
        <f>'2 transformar y limpiar'!T421</f>
        <v/>
      </c>
      <c r="U407" s="5">
        <f>'2 transformar y limpiar'!U421</f>
        <v/>
      </c>
    </row>
    <row r="408">
      <c r="A408">
        <f>'2 transformar y limpiar'!A422</f>
        <v/>
      </c>
      <c r="B408">
        <f>'2 transformar y limpiar'!B422</f>
        <v/>
      </c>
      <c r="C408" s="6">
        <f>('2 transformar y limpiar'!C422-$B$6)/$C$6</f>
        <v/>
      </c>
      <c r="D408" s="6">
        <f>('2 transformar y limpiar'!D422-$B$7)/$C$7</f>
        <v/>
      </c>
      <c r="E408" s="6">
        <f>('2 transformar y limpiar'!E422-$B$8)/$C$8</f>
        <v/>
      </c>
      <c r="F408" s="6">
        <f>('2 transformar y limpiar'!F422-$B$9)/$C$9</f>
        <v/>
      </c>
      <c r="G408">
        <f>'2 transformar y limpiar'!G422</f>
        <v/>
      </c>
      <c r="H408">
        <f>'2 transformar y limpiar'!H422</f>
        <v/>
      </c>
      <c r="I408">
        <f>'2 transformar y limpiar'!I422</f>
        <v/>
      </c>
      <c r="J408">
        <f>'2 transformar y limpiar'!J422</f>
        <v/>
      </c>
      <c r="K408">
        <f>'2 transformar y limpiar'!K422</f>
        <v/>
      </c>
      <c r="L408">
        <f>'2 transformar y limpiar'!L422</f>
        <v/>
      </c>
      <c r="M408">
        <f>'2 transformar y limpiar'!M422</f>
        <v/>
      </c>
      <c r="N408">
        <f>'2 transformar y limpiar'!N422</f>
        <v/>
      </c>
      <c r="O408">
        <f>'2 transformar y limpiar'!O422</f>
        <v/>
      </c>
      <c r="P408">
        <f>'2 transformar y limpiar'!P422</f>
        <v/>
      </c>
      <c r="Q408">
        <f>'2 transformar y limpiar'!Q422</f>
        <v/>
      </c>
      <c r="R408">
        <f>'2 transformar y limpiar'!R422</f>
        <v/>
      </c>
      <c r="S408">
        <f>'2 transformar y limpiar'!S422</f>
        <v/>
      </c>
      <c r="T408">
        <f>'2 transformar y limpiar'!T422</f>
        <v/>
      </c>
      <c r="U408" s="5">
        <f>'2 transformar y limpiar'!U422</f>
        <v/>
      </c>
    </row>
    <row r="409">
      <c r="A409">
        <f>'2 transformar y limpiar'!A423</f>
        <v/>
      </c>
      <c r="B409">
        <f>'2 transformar y limpiar'!B423</f>
        <v/>
      </c>
      <c r="C409" s="6">
        <f>('2 transformar y limpiar'!C423-$B$6)/$C$6</f>
        <v/>
      </c>
      <c r="D409" s="6">
        <f>('2 transformar y limpiar'!D423-$B$7)/$C$7</f>
        <v/>
      </c>
      <c r="E409" s="6">
        <f>('2 transformar y limpiar'!E423-$B$8)/$C$8</f>
        <v/>
      </c>
      <c r="F409" s="6">
        <f>('2 transformar y limpiar'!F423-$B$9)/$C$9</f>
        <v/>
      </c>
      <c r="G409">
        <f>'2 transformar y limpiar'!G423</f>
        <v/>
      </c>
      <c r="H409">
        <f>'2 transformar y limpiar'!H423</f>
        <v/>
      </c>
      <c r="I409">
        <f>'2 transformar y limpiar'!I423</f>
        <v/>
      </c>
      <c r="J409">
        <f>'2 transformar y limpiar'!J423</f>
        <v/>
      </c>
      <c r="K409">
        <f>'2 transformar y limpiar'!K423</f>
        <v/>
      </c>
      <c r="L409">
        <f>'2 transformar y limpiar'!L423</f>
        <v/>
      </c>
      <c r="M409">
        <f>'2 transformar y limpiar'!M423</f>
        <v/>
      </c>
      <c r="N409">
        <f>'2 transformar y limpiar'!N423</f>
        <v/>
      </c>
      <c r="O409">
        <f>'2 transformar y limpiar'!O423</f>
        <v/>
      </c>
      <c r="P409">
        <f>'2 transformar y limpiar'!P423</f>
        <v/>
      </c>
      <c r="Q409">
        <f>'2 transformar y limpiar'!Q423</f>
        <v/>
      </c>
      <c r="R409">
        <f>'2 transformar y limpiar'!R423</f>
        <v/>
      </c>
      <c r="S409">
        <f>'2 transformar y limpiar'!S423</f>
        <v/>
      </c>
      <c r="T409">
        <f>'2 transformar y limpiar'!T423</f>
        <v/>
      </c>
      <c r="U409" s="5">
        <f>'2 transformar y limpiar'!U423</f>
        <v/>
      </c>
    </row>
    <row r="410">
      <c r="A410">
        <f>'2 transformar y limpiar'!A424</f>
        <v/>
      </c>
      <c r="B410">
        <f>'2 transformar y limpiar'!B424</f>
        <v/>
      </c>
      <c r="C410" s="6">
        <f>('2 transformar y limpiar'!C424-$B$6)/$C$6</f>
        <v/>
      </c>
      <c r="D410" s="6">
        <f>('2 transformar y limpiar'!D424-$B$7)/$C$7</f>
        <v/>
      </c>
      <c r="E410" s="6">
        <f>('2 transformar y limpiar'!E424-$B$8)/$C$8</f>
        <v/>
      </c>
      <c r="F410" s="6">
        <f>('2 transformar y limpiar'!F424-$B$9)/$C$9</f>
        <v/>
      </c>
      <c r="G410">
        <f>'2 transformar y limpiar'!G424</f>
        <v/>
      </c>
      <c r="H410">
        <f>'2 transformar y limpiar'!H424</f>
        <v/>
      </c>
      <c r="I410">
        <f>'2 transformar y limpiar'!I424</f>
        <v/>
      </c>
      <c r="J410">
        <f>'2 transformar y limpiar'!J424</f>
        <v/>
      </c>
      <c r="K410">
        <f>'2 transformar y limpiar'!K424</f>
        <v/>
      </c>
      <c r="L410">
        <f>'2 transformar y limpiar'!L424</f>
        <v/>
      </c>
      <c r="M410">
        <f>'2 transformar y limpiar'!M424</f>
        <v/>
      </c>
      <c r="N410">
        <f>'2 transformar y limpiar'!N424</f>
        <v/>
      </c>
      <c r="O410">
        <f>'2 transformar y limpiar'!O424</f>
        <v/>
      </c>
      <c r="P410">
        <f>'2 transformar y limpiar'!P424</f>
        <v/>
      </c>
      <c r="Q410">
        <f>'2 transformar y limpiar'!Q424</f>
        <v/>
      </c>
      <c r="R410">
        <f>'2 transformar y limpiar'!R424</f>
        <v/>
      </c>
      <c r="S410">
        <f>'2 transformar y limpiar'!S424</f>
        <v/>
      </c>
      <c r="T410">
        <f>'2 transformar y limpiar'!T424</f>
        <v/>
      </c>
      <c r="U410" s="5">
        <f>'2 transformar y limpiar'!U424</f>
        <v/>
      </c>
    </row>
    <row r="411">
      <c r="A411">
        <f>'2 transformar y limpiar'!A425</f>
        <v/>
      </c>
      <c r="B411">
        <f>'2 transformar y limpiar'!B425</f>
        <v/>
      </c>
      <c r="C411" s="6">
        <f>('2 transformar y limpiar'!C425-$B$6)/$C$6</f>
        <v/>
      </c>
      <c r="D411" s="6">
        <f>('2 transformar y limpiar'!D425-$B$7)/$C$7</f>
        <v/>
      </c>
      <c r="E411" s="6">
        <f>('2 transformar y limpiar'!E425-$B$8)/$C$8</f>
        <v/>
      </c>
      <c r="F411" s="6">
        <f>('2 transformar y limpiar'!F425-$B$9)/$C$9</f>
        <v/>
      </c>
      <c r="G411">
        <f>'2 transformar y limpiar'!G425</f>
        <v/>
      </c>
      <c r="H411">
        <f>'2 transformar y limpiar'!H425</f>
        <v/>
      </c>
      <c r="I411">
        <f>'2 transformar y limpiar'!I425</f>
        <v/>
      </c>
      <c r="J411">
        <f>'2 transformar y limpiar'!J425</f>
        <v/>
      </c>
      <c r="K411">
        <f>'2 transformar y limpiar'!K425</f>
        <v/>
      </c>
      <c r="L411">
        <f>'2 transformar y limpiar'!L425</f>
        <v/>
      </c>
      <c r="M411">
        <f>'2 transformar y limpiar'!M425</f>
        <v/>
      </c>
      <c r="N411">
        <f>'2 transformar y limpiar'!N425</f>
        <v/>
      </c>
      <c r="O411">
        <f>'2 transformar y limpiar'!O425</f>
        <v/>
      </c>
      <c r="P411">
        <f>'2 transformar y limpiar'!P425</f>
        <v/>
      </c>
      <c r="Q411">
        <f>'2 transformar y limpiar'!Q425</f>
        <v/>
      </c>
      <c r="R411">
        <f>'2 transformar y limpiar'!R425</f>
        <v/>
      </c>
      <c r="S411">
        <f>'2 transformar y limpiar'!S425</f>
        <v/>
      </c>
      <c r="T411">
        <f>'2 transformar y limpiar'!T425</f>
        <v/>
      </c>
      <c r="U411" s="5">
        <f>'2 transformar y limpiar'!U425</f>
        <v/>
      </c>
    </row>
    <row r="412">
      <c r="A412">
        <f>'2 transformar y limpiar'!A426</f>
        <v/>
      </c>
      <c r="B412">
        <f>'2 transformar y limpiar'!B426</f>
        <v/>
      </c>
      <c r="C412" s="6">
        <f>('2 transformar y limpiar'!C426-$B$6)/$C$6</f>
        <v/>
      </c>
      <c r="D412" s="6">
        <f>('2 transformar y limpiar'!D426-$B$7)/$C$7</f>
        <v/>
      </c>
      <c r="E412" s="6">
        <f>('2 transformar y limpiar'!E426-$B$8)/$C$8</f>
        <v/>
      </c>
      <c r="F412" s="6">
        <f>('2 transformar y limpiar'!F426-$B$9)/$C$9</f>
        <v/>
      </c>
      <c r="G412">
        <f>'2 transformar y limpiar'!G426</f>
        <v/>
      </c>
      <c r="H412">
        <f>'2 transformar y limpiar'!H426</f>
        <v/>
      </c>
      <c r="I412">
        <f>'2 transformar y limpiar'!I426</f>
        <v/>
      </c>
      <c r="J412">
        <f>'2 transformar y limpiar'!J426</f>
        <v/>
      </c>
      <c r="K412">
        <f>'2 transformar y limpiar'!K426</f>
        <v/>
      </c>
      <c r="L412">
        <f>'2 transformar y limpiar'!L426</f>
        <v/>
      </c>
      <c r="M412">
        <f>'2 transformar y limpiar'!M426</f>
        <v/>
      </c>
      <c r="N412">
        <f>'2 transformar y limpiar'!N426</f>
        <v/>
      </c>
      <c r="O412">
        <f>'2 transformar y limpiar'!O426</f>
        <v/>
      </c>
      <c r="P412">
        <f>'2 transformar y limpiar'!P426</f>
        <v/>
      </c>
      <c r="Q412">
        <f>'2 transformar y limpiar'!Q426</f>
        <v/>
      </c>
      <c r="R412">
        <f>'2 transformar y limpiar'!R426</f>
        <v/>
      </c>
      <c r="S412">
        <f>'2 transformar y limpiar'!S426</f>
        <v/>
      </c>
      <c r="T412">
        <f>'2 transformar y limpiar'!T426</f>
        <v/>
      </c>
      <c r="U412" s="5">
        <f>'2 transformar y limpiar'!U426</f>
        <v/>
      </c>
    </row>
    <row r="413">
      <c r="A413">
        <f>'2 transformar y limpiar'!A427</f>
        <v/>
      </c>
      <c r="B413">
        <f>'2 transformar y limpiar'!B427</f>
        <v/>
      </c>
      <c r="C413" s="6">
        <f>('2 transformar y limpiar'!C427-$B$6)/$C$6</f>
        <v/>
      </c>
      <c r="D413" s="6">
        <f>('2 transformar y limpiar'!D427-$B$7)/$C$7</f>
        <v/>
      </c>
      <c r="E413" s="6">
        <f>('2 transformar y limpiar'!E427-$B$8)/$C$8</f>
        <v/>
      </c>
      <c r="F413" s="6">
        <f>('2 transformar y limpiar'!F427-$B$9)/$C$9</f>
        <v/>
      </c>
      <c r="G413">
        <f>'2 transformar y limpiar'!G427</f>
        <v/>
      </c>
      <c r="H413">
        <f>'2 transformar y limpiar'!H427</f>
        <v/>
      </c>
      <c r="I413">
        <f>'2 transformar y limpiar'!I427</f>
        <v/>
      </c>
      <c r="J413">
        <f>'2 transformar y limpiar'!J427</f>
        <v/>
      </c>
      <c r="K413">
        <f>'2 transformar y limpiar'!K427</f>
        <v/>
      </c>
      <c r="L413">
        <f>'2 transformar y limpiar'!L427</f>
        <v/>
      </c>
      <c r="M413">
        <f>'2 transformar y limpiar'!M427</f>
        <v/>
      </c>
      <c r="N413">
        <f>'2 transformar y limpiar'!N427</f>
        <v/>
      </c>
      <c r="O413">
        <f>'2 transformar y limpiar'!O427</f>
        <v/>
      </c>
      <c r="P413">
        <f>'2 transformar y limpiar'!P427</f>
        <v/>
      </c>
      <c r="Q413">
        <f>'2 transformar y limpiar'!Q427</f>
        <v/>
      </c>
      <c r="R413">
        <f>'2 transformar y limpiar'!R427</f>
        <v/>
      </c>
      <c r="S413">
        <f>'2 transformar y limpiar'!S427</f>
        <v/>
      </c>
      <c r="T413">
        <f>'2 transformar y limpiar'!T427</f>
        <v/>
      </c>
      <c r="U413" s="5">
        <f>'2 transformar y limpiar'!U427</f>
        <v/>
      </c>
    </row>
    <row r="414">
      <c r="A414">
        <f>'2 transformar y limpiar'!A428</f>
        <v/>
      </c>
      <c r="B414">
        <f>'2 transformar y limpiar'!B428</f>
        <v/>
      </c>
      <c r="C414" s="6">
        <f>('2 transformar y limpiar'!C428-$B$6)/$C$6</f>
        <v/>
      </c>
      <c r="D414" s="6">
        <f>('2 transformar y limpiar'!D428-$B$7)/$C$7</f>
        <v/>
      </c>
      <c r="E414" s="6">
        <f>('2 transformar y limpiar'!E428-$B$8)/$C$8</f>
        <v/>
      </c>
      <c r="F414" s="6">
        <f>('2 transformar y limpiar'!F428-$B$9)/$C$9</f>
        <v/>
      </c>
      <c r="G414">
        <f>'2 transformar y limpiar'!G428</f>
        <v/>
      </c>
      <c r="H414">
        <f>'2 transformar y limpiar'!H428</f>
        <v/>
      </c>
      <c r="I414">
        <f>'2 transformar y limpiar'!I428</f>
        <v/>
      </c>
      <c r="J414">
        <f>'2 transformar y limpiar'!J428</f>
        <v/>
      </c>
      <c r="K414">
        <f>'2 transformar y limpiar'!K428</f>
        <v/>
      </c>
      <c r="L414">
        <f>'2 transformar y limpiar'!L428</f>
        <v/>
      </c>
      <c r="M414">
        <f>'2 transformar y limpiar'!M428</f>
        <v/>
      </c>
      <c r="N414">
        <f>'2 transformar y limpiar'!N428</f>
        <v/>
      </c>
      <c r="O414">
        <f>'2 transformar y limpiar'!O428</f>
        <v/>
      </c>
      <c r="P414">
        <f>'2 transformar y limpiar'!P428</f>
        <v/>
      </c>
      <c r="Q414">
        <f>'2 transformar y limpiar'!Q428</f>
        <v/>
      </c>
      <c r="R414">
        <f>'2 transformar y limpiar'!R428</f>
        <v/>
      </c>
      <c r="S414">
        <f>'2 transformar y limpiar'!S428</f>
        <v/>
      </c>
      <c r="T414">
        <f>'2 transformar y limpiar'!T428</f>
        <v/>
      </c>
      <c r="U414" s="5">
        <f>'2 transformar y limpiar'!U428</f>
        <v/>
      </c>
    </row>
    <row r="415">
      <c r="A415">
        <f>'2 transformar y limpiar'!A429</f>
        <v/>
      </c>
      <c r="B415">
        <f>'2 transformar y limpiar'!B429</f>
        <v/>
      </c>
      <c r="C415" s="6">
        <f>('2 transformar y limpiar'!C429-$B$6)/$C$6</f>
        <v/>
      </c>
      <c r="D415" s="6">
        <f>('2 transformar y limpiar'!D429-$B$7)/$C$7</f>
        <v/>
      </c>
      <c r="E415" s="6">
        <f>('2 transformar y limpiar'!E429-$B$8)/$C$8</f>
        <v/>
      </c>
      <c r="F415" s="6">
        <f>('2 transformar y limpiar'!F429-$B$9)/$C$9</f>
        <v/>
      </c>
      <c r="G415">
        <f>'2 transformar y limpiar'!G429</f>
        <v/>
      </c>
      <c r="H415">
        <f>'2 transformar y limpiar'!H429</f>
        <v/>
      </c>
      <c r="I415">
        <f>'2 transformar y limpiar'!I429</f>
        <v/>
      </c>
      <c r="J415">
        <f>'2 transformar y limpiar'!J429</f>
        <v/>
      </c>
      <c r="K415">
        <f>'2 transformar y limpiar'!K429</f>
        <v/>
      </c>
      <c r="L415">
        <f>'2 transformar y limpiar'!L429</f>
        <v/>
      </c>
      <c r="M415">
        <f>'2 transformar y limpiar'!M429</f>
        <v/>
      </c>
      <c r="N415">
        <f>'2 transformar y limpiar'!N429</f>
        <v/>
      </c>
      <c r="O415">
        <f>'2 transformar y limpiar'!O429</f>
        <v/>
      </c>
      <c r="P415">
        <f>'2 transformar y limpiar'!P429</f>
        <v/>
      </c>
      <c r="Q415">
        <f>'2 transformar y limpiar'!Q429</f>
        <v/>
      </c>
      <c r="R415">
        <f>'2 transformar y limpiar'!R429</f>
        <v/>
      </c>
      <c r="S415">
        <f>'2 transformar y limpiar'!S429</f>
        <v/>
      </c>
      <c r="T415">
        <f>'2 transformar y limpiar'!T429</f>
        <v/>
      </c>
      <c r="U415" s="5">
        <f>'2 transformar y limpiar'!U429</f>
        <v/>
      </c>
    </row>
    <row r="416">
      <c r="A416">
        <f>'2 transformar y limpiar'!A430</f>
        <v/>
      </c>
      <c r="B416">
        <f>'2 transformar y limpiar'!B430</f>
        <v/>
      </c>
      <c r="C416" s="6">
        <f>('2 transformar y limpiar'!C430-$B$6)/$C$6</f>
        <v/>
      </c>
      <c r="D416" s="6">
        <f>('2 transformar y limpiar'!D430-$B$7)/$C$7</f>
        <v/>
      </c>
      <c r="E416" s="6">
        <f>('2 transformar y limpiar'!E430-$B$8)/$C$8</f>
        <v/>
      </c>
      <c r="F416" s="6">
        <f>('2 transformar y limpiar'!F430-$B$9)/$C$9</f>
        <v/>
      </c>
      <c r="G416">
        <f>'2 transformar y limpiar'!G430</f>
        <v/>
      </c>
      <c r="H416">
        <f>'2 transformar y limpiar'!H430</f>
        <v/>
      </c>
      <c r="I416">
        <f>'2 transformar y limpiar'!I430</f>
        <v/>
      </c>
      <c r="J416">
        <f>'2 transformar y limpiar'!J430</f>
        <v/>
      </c>
      <c r="K416">
        <f>'2 transformar y limpiar'!K430</f>
        <v/>
      </c>
      <c r="L416">
        <f>'2 transformar y limpiar'!L430</f>
        <v/>
      </c>
      <c r="M416">
        <f>'2 transformar y limpiar'!M430</f>
        <v/>
      </c>
      <c r="N416">
        <f>'2 transformar y limpiar'!N430</f>
        <v/>
      </c>
      <c r="O416">
        <f>'2 transformar y limpiar'!O430</f>
        <v/>
      </c>
      <c r="P416">
        <f>'2 transformar y limpiar'!P430</f>
        <v/>
      </c>
      <c r="Q416">
        <f>'2 transformar y limpiar'!Q430</f>
        <v/>
      </c>
      <c r="R416">
        <f>'2 transformar y limpiar'!R430</f>
        <v/>
      </c>
      <c r="S416">
        <f>'2 transformar y limpiar'!S430</f>
        <v/>
      </c>
      <c r="T416">
        <f>'2 transformar y limpiar'!T430</f>
        <v/>
      </c>
      <c r="U416" s="5">
        <f>'2 transformar y limpiar'!U430</f>
        <v/>
      </c>
    </row>
    <row r="417">
      <c r="A417">
        <f>'2 transformar y limpiar'!A431</f>
        <v/>
      </c>
      <c r="B417">
        <f>'2 transformar y limpiar'!B431</f>
        <v/>
      </c>
      <c r="C417" s="6">
        <f>('2 transformar y limpiar'!C431-$B$6)/$C$6</f>
        <v/>
      </c>
      <c r="D417" s="6">
        <f>('2 transformar y limpiar'!D431-$B$7)/$C$7</f>
        <v/>
      </c>
      <c r="E417" s="6">
        <f>('2 transformar y limpiar'!E431-$B$8)/$C$8</f>
        <v/>
      </c>
      <c r="F417" s="6">
        <f>('2 transformar y limpiar'!F431-$B$9)/$C$9</f>
        <v/>
      </c>
      <c r="G417">
        <f>'2 transformar y limpiar'!G431</f>
        <v/>
      </c>
      <c r="H417">
        <f>'2 transformar y limpiar'!H431</f>
        <v/>
      </c>
      <c r="I417">
        <f>'2 transformar y limpiar'!I431</f>
        <v/>
      </c>
      <c r="J417">
        <f>'2 transformar y limpiar'!J431</f>
        <v/>
      </c>
      <c r="K417">
        <f>'2 transformar y limpiar'!K431</f>
        <v/>
      </c>
      <c r="L417">
        <f>'2 transformar y limpiar'!L431</f>
        <v/>
      </c>
      <c r="M417">
        <f>'2 transformar y limpiar'!M431</f>
        <v/>
      </c>
      <c r="N417">
        <f>'2 transformar y limpiar'!N431</f>
        <v/>
      </c>
      <c r="O417">
        <f>'2 transformar y limpiar'!O431</f>
        <v/>
      </c>
      <c r="P417">
        <f>'2 transformar y limpiar'!P431</f>
        <v/>
      </c>
      <c r="Q417">
        <f>'2 transformar y limpiar'!Q431</f>
        <v/>
      </c>
      <c r="R417">
        <f>'2 transformar y limpiar'!R431</f>
        <v/>
      </c>
      <c r="S417">
        <f>'2 transformar y limpiar'!S431</f>
        <v/>
      </c>
      <c r="T417">
        <f>'2 transformar y limpiar'!T431</f>
        <v/>
      </c>
      <c r="U417" s="5">
        <f>'2 transformar y limpiar'!U431</f>
        <v/>
      </c>
    </row>
    <row r="418">
      <c r="A418">
        <f>'2 transformar y limpiar'!A432</f>
        <v/>
      </c>
      <c r="B418">
        <f>'2 transformar y limpiar'!B432</f>
        <v/>
      </c>
      <c r="C418" s="6">
        <f>('2 transformar y limpiar'!C432-$B$6)/$C$6</f>
        <v/>
      </c>
      <c r="D418" s="6">
        <f>('2 transformar y limpiar'!D432-$B$7)/$C$7</f>
        <v/>
      </c>
      <c r="E418" s="6">
        <f>('2 transformar y limpiar'!E432-$B$8)/$C$8</f>
        <v/>
      </c>
      <c r="F418" s="6">
        <f>('2 transformar y limpiar'!F432-$B$9)/$C$9</f>
        <v/>
      </c>
      <c r="G418">
        <f>'2 transformar y limpiar'!G432</f>
        <v/>
      </c>
      <c r="H418">
        <f>'2 transformar y limpiar'!H432</f>
        <v/>
      </c>
      <c r="I418">
        <f>'2 transformar y limpiar'!I432</f>
        <v/>
      </c>
      <c r="J418">
        <f>'2 transformar y limpiar'!J432</f>
        <v/>
      </c>
      <c r="K418">
        <f>'2 transformar y limpiar'!K432</f>
        <v/>
      </c>
      <c r="L418">
        <f>'2 transformar y limpiar'!L432</f>
        <v/>
      </c>
      <c r="M418">
        <f>'2 transformar y limpiar'!M432</f>
        <v/>
      </c>
      <c r="N418">
        <f>'2 transformar y limpiar'!N432</f>
        <v/>
      </c>
      <c r="O418">
        <f>'2 transformar y limpiar'!O432</f>
        <v/>
      </c>
      <c r="P418">
        <f>'2 transformar y limpiar'!P432</f>
        <v/>
      </c>
      <c r="Q418">
        <f>'2 transformar y limpiar'!Q432</f>
        <v/>
      </c>
      <c r="R418">
        <f>'2 transformar y limpiar'!R432</f>
        <v/>
      </c>
      <c r="S418">
        <f>'2 transformar y limpiar'!S432</f>
        <v/>
      </c>
      <c r="T418">
        <f>'2 transformar y limpiar'!T432</f>
        <v/>
      </c>
      <c r="U418" s="5">
        <f>'2 transformar y limpiar'!U432</f>
        <v/>
      </c>
    </row>
    <row r="419">
      <c r="A419">
        <f>'2 transformar y limpiar'!A433</f>
        <v/>
      </c>
      <c r="B419">
        <f>'2 transformar y limpiar'!B433</f>
        <v/>
      </c>
      <c r="C419" s="6">
        <f>('2 transformar y limpiar'!C433-$B$6)/$C$6</f>
        <v/>
      </c>
      <c r="D419" s="6">
        <f>('2 transformar y limpiar'!D433-$B$7)/$C$7</f>
        <v/>
      </c>
      <c r="E419" s="6">
        <f>('2 transformar y limpiar'!E433-$B$8)/$C$8</f>
        <v/>
      </c>
      <c r="F419" s="6">
        <f>('2 transformar y limpiar'!F433-$B$9)/$C$9</f>
        <v/>
      </c>
      <c r="G419">
        <f>'2 transformar y limpiar'!G433</f>
        <v/>
      </c>
      <c r="H419">
        <f>'2 transformar y limpiar'!H433</f>
        <v/>
      </c>
      <c r="I419">
        <f>'2 transformar y limpiar'!I433</f>
        <v/>
      </c>
      <c r="J419">
        <f>'2 transformar y limpiar'!J433</f>
        <v/>
      </c>
      <c r="K419">
        <f>'2 transformar y limpiar'!K433</f>
        <v/>
      </c>
      <c r="L419">
        <f>'2 transformar y limpiar'!L433</f>
        <v/>
      </c>
      <c r="M419">
        <f>'2 transformar y limpiar'!M433</f>
        <v/>
      </c>
      <c r="N419">
        <f>'2 transformar y limpiar'!N433</f>
        <v/>
      </c>
      <c r="O419">
        <f>'2 transformar y limpiar'!O433</f>
        <v/>
      </c>
      <c r="P419">
        <f>'2 transformar y limpiar'!P433</f>
        <v/>
      </c>
      <c r="Q419">
        <f>'2 transformar y limpiar'!Q433</f>
        <v/>
      </c>
      <c r="R419">
        <f>'2 transformar y limpiar'!R433</f>
        <v/>
      </c>
      <c r="S419">
        <f>'2 transformar y limpiar'!S433</f>
        <v/>
      </c>
      <c r="T419">
        <f>'2 transformar y limpiar'!T433</f>
        <v/>
      </c>
      <c r="U419" s="5">
        <f>'2 transformar y limpiar'!U433</f>
        <v/>
      </c>
    </row>
    <row r="420">
      <c r="A420">
        <f>'2 transformar y limpiar'!A434</f>
        <v/>
      </c>
      <c r="B420">
        <f>'2 transformar y limpiar'!B434</f>
        <v/>
      </c>
      <c r="C420" s="6">
        <f>('2 transformar y limpiar'!C434-$B$6)/$C$6</f>
        <v/>
      </c>
      <c r="D420" s="6">
        <f>('2 transformar y limpiar'!D434-$B$7)/$C$7</f>
        <v/>
      </c>
      <c r="E420" s="6">
        <f>('2 transformar y limpiar'!E434-$B$8)/$C$8</f>
        <v/>
      </c>
      <c r="F420" s="6">
        <f>('2 transformar y limpiar'!F434-$B$9)/$C$9</f>
        <v/>
      </c>
      <c r="G420">
        <f>'2 transformar y limpiar'!G434</f>
        <v/>
      </c>
      <c r="H420">
        <f>'2 transformar y limpiar'!H434</f>
        <v/>
      </c>
      <c r="I420">
        <f>'2 transformar y limpiar'!I434</f>
        <v/>
      </c>
      <c r="J420">
        <f>'2 transformar y limpiar'!J434</f>
        <v/>
      </c>
      <c r="K420">
        <f>'2 transformar y limpiar'!K434</f>
        <v/>
      </c>
      <c r="L420">
        <f>'2 transformar y limpiar'!L434</f>
        <v/>
      </c>
      <c r="M420">
        <f>'2 transformar y limpiar'!M434</f>
        <v/>
      </c>
      <c r="N420">
        <f>'2 transformar y limpiar'!N434</f>
        <v/>
      </c>
      <c r="O420">
        <f>'2 transformar y limpiar'!O434</f>
        <v/>
      </c>
      <c r="P420">
        <f>'2 transformar y limpiar'!P434</f>
        <v/>
      </c>
      <c r="Q420">
        <f>'2 transformar y limpiar'!Q434</f>
        <v/>
      </c>
      <c r="R420">
        <f>'2 transformar y limpiar'!R434</f>
        <v/>
      </c>
      <c r="S420">
        <f>'2 transformar y limpiar'!S434</f>
        <v/>
      </c>
      <c r="T420">
        <f>'2 transformar y limpiar'!T434</f>
        <v/>
      </c>
      <c r="U420" s="5">
        <f>'2 transformar y limpiar'!U434</f>
        <v/>
      </c>
    </row>
    <row r="421">
      <c r="A421">
        <f>'2 transformar y limpiar'!A435</f>
        <v/>
      </c>
      <c r="B421">
        <f>'2 transformar y limpiar'!B435</f>
        <v/>
      </c>
      <c r="C421" s="6">
        <f>('2 transformar y limpiar'!C435-$B$6)/$C$6</f>
        <v/>
      </c>
      <c r="D421" s="6">
        <f>('2 transformar y limpiar'!D435-$B$7)/$C$7</f>
        <v/>
      </c>
      <c r="E421" s="6">
        <f>('2 transformar y limpiar'!E435-$B$8)/$C$8</f>
        <v/>
      </c>
      <c r="F421" s="6">
        <f>('2 transformar y limpiar'!F435-$B$9)/$C$9</f>
        <v/>
      </c>
      <c r="G421">
        <f>'2 transformar y limpiar'!G435</f>
        <v/>
      </c>
      <c r="H421">
        <f>'2 transformar y limpiar'!H435</f>
        <v/>
      </c>
      <c r="I421">
        <f>'2 transformar y limpiar'!I435</f>
        <v/>
      </c>
      <c r="J421">
        <f>'2 transformar y limpiar'!J435</f>
        <v/>
      </c>
      <c r="K421">
        <f>'2 transformar y limpiar'!K435</f>
        <v/>
      </c>
      <c r="L421">
        <f>'2 transformar y limpiar'!L435</f>
        <v/>
      </c>
      <c r="M421">
        <f>'2 transformar y limpiar'!M435</f>
        <v/>
      </c>
      <c r="N421">
        <f>'2 transformar y limpiar'!N435</f>
        <v/>
      </c>
      <c r="O421">
        <f>'2 transformar y limpiar'!O435</f>
        <v/>
      </c>
      <c r="P421">
        <f>'2 transformar y limpiar'!P435</f>
        <v/>
      </c>
      <c r="Q421">
        <f>'2 transformar y limpiar'!Q435</f>
        <v/>
      </c>
      <c r="R421">
        <f>'2 transformar y limpiar'!R435</f>
        <v/>
      </c>
      <c r="S421">
        <f>'2 transformar y limpiar'!S435</f>
        <v/>
      </c>
      <c r="T421">
        <f>'2 transformar y limpiar'!T435</f>
        <v/>
      </c>
      <c r="U421" s="5">
        <f>'2 transformar y limpiar'!U435</f>
        <v/>
      </c>
    </row>
    <row r="422">
      <c r="A422">
        <f>'2 transformar y limpiar'!A436</f>
        <v/>
      </c>
      <c r="B422">
        <f>'2 transformar y limpiar'!B436</f>
        <v/>
      </c>
      <c r="C422" s="6">
        <f>('2 transformar y limpiar'!C436-$B$6)/$C$6</f>
        <v/>
      </c>
      <c r="D422" s="6">
        <f>('2 transformar y limpiar'!D436-$B$7)/$C$7</f>
        <v/>
      </c>
      <c r="E422" s="6">
        <f>('2 transformar y limpiar'!E436-$B$8)/$C$8</f>
        <v/>
      </c>
      <c r="F422" s="6">
        <f>('2 transformar y limpiar'!F436-$B$9)/$C$9</f>
        <v/>
      </c>
      <c r="G422">
        <f>'2 transformar y limpiar'!G436</f>
        <v/>
      </c>
      <c r="H422">
        <f>'2 transformar y limpiar'!H436</f>
        <v/>
      </c>
      <c r="I422">
        <f>'2 transformar y limpiar'!I436</f>
        <v/>
      </c>
      <c r="J422">
        <f>'2 transformar y limpiar'!J436</f>
        <v/>
      </c>
      <c r="K422">
        <f>'2 transformar y limpiar'!K436</f>
        <v/>
      </c>
      <c r="L422">
        <f>'2 transformar y limpiar'!L436</f>
        <v/>
      </c>
      <c r="M422">
        <f>'2 transformar y limpiar'!M436</f>
        <v/>
      </c>
      <c r="N422">
        <f>'2 transformar y limpiar'!N436</f>
        <v/>
      </c>
      <c r="O422">
        <f>'2 transformar y limpiar'!O436</f>
        <v/>
      </c>
      <c r="P422">
        <f>'2 transformar y limpiar'!P436</f>
        <v/>
      </c>
      <c r="Q422">
        <f>'2 transformar y limpiar'!Q436</f>
        <v/>
      </c>
      <c r="R422">
        <f>'2 transformar y limpiar'!R436</f>
        <v/>
      </c>
      <c r="S422">
        <f>'2 transformar y limpiar'!S436</f>
        <v/>
      </c>
      <c r="T422">
        <f>'2 transformar y limpiar'!T436</f>
        <v/>
      </c>
      <c r="U422" s="5">
        <f>'2 transformar y limpiar'!U436</f>
        <v/>
      </c>
    </row>
    <row r="423">
      <c r="A423">
        <f>'2 transformar y limpiar'!A437</f>
        <v/>
      </c>
      <c r="B423">
        <f>'2 transformar y limpiar'!B437</f>
        <v/>
      </c>
      <c r="C423" s="6">
        <f>('2 transformar y limpiar'!C437-$B$6)/$C$6</f>
        <v/>
      </c>
      <c r="D423" s="6">
        <f>('2 transformar y limpiar'!D437-$B$7)/$C$7</f>
        <v/>
      </c>
      <c r="E423" s="6">
        <f>('2 transformar y limpiar'!E437-$B$8)/$C$8</f>
        <v/>
      </c>
      <c r="F423" s="6">
        <f>('2 transformar y limpiar'!F437-$B$9)/$C$9</f>
        <v/>
      </c>
      <c r="G423">
        <f>'2 transformar y limpiar'!G437</f>
        <v/>
      </c>
      <c r="H423">
        <f>'2 transformar y limpiar'!H437</f>
        <v/>
      </c>
      <c r="I423">
        <f>'2 transformar y limpiar'!I437</f>
        <v/>
      </c>
      <c r="J423">
        <f>'2 transformar y limpiar'!J437</f>
        <v/>
      </c>
      <c r="K423">
        <f>'2 transformar y limpiar'!K437</f>
        <v/>
      </c>
      <c r="L423">
        <f>'2 transformar y limpiar'!L437</f>
        <v/>
      </c>
      <c r="M423">
        <f>'2 transformar y limpiar'!M437</f>
        <v/>
      </c>
      <c r="N423">
        <f>'2 transformar y limpiar'!N437</f>
        <v/>
      </c>
      <c r="O423">
        <f>'2 transformar y limpiar'!O437</f>
        <v/>
      </c>
      <c r="P423">
        <f>'2 transformar y limpiar'!P437</f>
        <v/>
      </c>
      <c r="Q423">
        <f>'2 transformar y limpiar'!Q437</f>
        <v/>
      </c>
      <c r="R423">
        <f>'2 transformar y limpiar'!R437</f>
        <v/>
      </c>
      <c r="S423">
        <f>'2 transformar y limpiar'!S437</f>
        <v/>
      </c>
      <c r="T423">
        <f>'2 transformar y limpiar'!T437</f>
        <v/>
      </c>
      <c r="U423" s="5">
        <f>'2 transformar y limpiar'!U437</f>
        <v/>
      </c>
    </row>
    <row r="424">
      <c r="A424">
        <f>'2 transformar y limpiar'!A438</f>
        <v/>
      </c>
      <c r="B424">
        <f>'2 transformar y limpiar'!B438</f>
        <v/>
      </c>
      <c r="C424" s="6">
        <f>('2 transformar y limpiar'!C438-$B$6)/$C$6</f>
        <v/>
      </c>
      <c r="D424" s="6">
        <f>('2 transformar y limpiar'!D438-$B$7)/$C$7</f>
        <v/>
      </c>
      <c r="E424" s="6">
        <f>('2 transformar y limpiar'!E438-$B$8)/$C$8</f>
        <v/>
      </c>
      <c r="F424" s="6">
        <f>('2 transformar y limpiar'!F438-$B$9)/$C$9</f>
        <v/>
      </c>
      <c r="G424">
        <f>'2 transformar y limpiar'!G438</f>
        <v/>
      </c>
      <c r="H424">
        <f>'2 transformar y limpiar'!H438</f>
        <v/>
      </c>
      <c r="I424">
        <f>'2 transformar y limpiar'!I438</f>
        <v/>
      </c>
      <c r="J424">
        <f>'2 transformar y limpiar'!J438</f>
        <v/>
      </c>
      <c r="K424">
        <f>'2 transformar y limpiar'!K438</f>
        <v/>
      </c>
      <c r="L424">
        <f>'2 transformar y limpiar'!L438</f>
        <v/>
      </c>
      <c r="M424">
        <f>'2 transformar y limpiar'!M438</f>
        <v/>
      </c>
      <c r="N424">
        <f>'2 transformar y limpiar'!N438</f>
        <v/>
      </c>
      <c r="O424">
        <f>'2 transformar y limpiar'!O438</f>
        <v/>
      </c>
      <c r="P424">
        <f>'2 transformar y limpiar'!P438</f>
        <v/>
      </c>
      <c r="Q424">
        <f>'2 transformar y limpiar'!Q438</f>
        <v/>
      </c>
      <c r="R424">
        <f>'2 transformar y limpiar'!R438</f>
        <v/>
      </c>
      <c r="S424">
        <f>'2 transformar y limpiar'!S438</f>
        <v/>
      </c>
      <c r="T424">
        <f>'2 transformar y limpiar'!T438</f>
        <v/>
      </c>
      <c r="U424" s="5">
        <f>'2 transformar y limpiar'!U438</f>
        <v/>
      </c>
    </row>
    <row r="425">
      <c r="A425">
        <f>'2 transformar y limpiar'!A439</f>
        <v/>
      </c>
      <c r="B425">
        <f>'2 transformar y limpiar'!B439</f>
        <v/>
      </c>
      <c r="C425" s="6">
        <f>('2 transformar y limpiar'!C439-$B$6)/$C$6</f>
        <v/>
      </c>
      <c r="D425" s="6">
        <f>('2 transformar y limpiar'!D439-$B$7)/$C$7</f>
        <v/>
      </c>
      <c r="E425" s="6">
        <f>('2 transformar y limpiar'!E439-$B$8)/$C$8</f>
        <v/>
      </c>
      <c r="F425" s="6">
        <f>('2 transformar y limpiar'!F439-$B$9)/$C$9</f>
        <v/>
      </c>
      <c r="G425">
        <f>'2 transformar y limpiar'!G439</f>
        <v/>
      </c>
      <c r="H425">
        <f>'2 transformar y limpiar'!H439</f>
        <v/>
      </c>
      <c r="I425">
        <f>'2 transformar y limpiar'!I439</f>
        <v/>
      </c>
      <c r="J425">
        <f>'2 transformar y limpiar'!J439</f>
        <v/>
      </c>
      <c r="K425">
        <f>'2 transformar y limpiar'!K439</f>
        <v/>
      </c>
      <c r="L425">
        <f>'2 transformar y limpiar'!L439</f>
        <v/>
      </c>
      <c r="M425">
        <f>'2 transformar y limpiar'!M439</f>
        <v/>
      </c>
      <c r="N425">
        <f>'2 transformar y limpiar'!N439</f>
        <v/>
      </c>
      <c r="O425">
        <f>'2 transformar y limpiar'!O439</f>
        <v/>
      </c>
      <c r="P425">
        <f>'2 transformar y limpiar'!P439</f>
        <v/>
      </c>
      <c r="Q425">
        <f>'2 transformar y limpiar'!Q439</f>
        <v/>
      </c>
      <c r="R425">
        <f>'2 transformar y limpiar'!R439</f>
        <v/>
      </c>
      <c r="S425">
        <f>'2 transformar y limpiar'!S439</f>
        <v/>
      </c>
      <c r="T425">
        <f>'2 transformar y limpiar'!T439</f>
        <v/>
      </c>
      <c r="U425" s="5">
        <f>'2 transformar y limpiar'!U439</f>
        <v/>
      </c>
    </row>
    <row r="426">
      <c r="A426">
        <f>'2 transformar y limpiar'!A440</f>
        <v/>
      </c>
      <c r="B426">
        <f>'2 transformar y limpiar'!B440</f>
        <v/>
      </c>
      <c r="C426" s="6">
        <f>('2 transformar y limpiar'!C440-$B$6)/$C$6</f>
        <v/>
      </c>
      <c r="D426" s="6">
        <f>('2 transformar y limpiar'!D440-$B$7)/$C$7</f>
        <v/>
      </c>
      <c r="E426" s="6">
        <f>('2 transformar y limpiar'!E440-$B$8)/$C$8</f>
        <v/>
      </c>
      <c r="F426" s="6">
        <f>('2 transformar y limpiar'!F440-$B$9)/$C$9</f>
        <v/>
      </c>
      <c r="G426">
        <f>'2 transformar y limpiar'!G440</f>
        <v/>
      </c>
      <c r="H426">
        <f>'2 transformar y limpiar'!H440</f>
        <v/>
      </c>
      <c r="I426">
        <f>'2 transformar y limpiar'!I440</f>
        <v/>
      </c>
      <c r="J426">
        <f>'2 transformar y limpiar'!J440</f>
        <v/>
      </c>
      <c r="K426">
        <f>'2 transformar y limpiar'!K440</f>
        <v/>
      </c>
      <c r="L426">
        <f>'2 transformar y limpiar'!L440</f>
        <v/>
      </c>
      <c r="M426">
        <f>'2 transformar y limpiar'!M440</f>
        <v/>
      </c>
      <c r="N426">
        <f>'2 transformar y limpiar'!N440</f>
        <v/>
      </c>
      <c r="O426">
        <f>'2 transformar y limpiar'!O440</f>
        <v/>
      </c>
      <c r="P426">
        <f>'2 transformar y limpiar'!P440</f>
        <v/>
      </c>
      <c r="Q426">
        <f>'2 transformar y limpiar'!Q440</f>
        <v/>
      </c>
      <c r="R426">
        <f>'2 transformar y limpiar'!R440</f>
        <v/>
      </c>
      <c r="S426">
        <f>'2 transformar y limpiar'!S440</f>
        <v/>
      </c>
      <c r="T426">
        <f>'2 transformar y limpiar'!T440</f>
        <v/>
      </c>
      <c r="U426" s="5">
        <f>'2 transformar y limpiar'!U440</f>
        <v/>
      </c>
    </row>
    <row r="427">
      <c r="A427">
        <f>'2 transformar y limpiar'!A441</f>
        <v/>
      </c>
      <c r="B427">
        <f>'2 transformar y limpiar'!B441</f>
        <v/>
      </c>
      <c r="C427" s="6">
        <f>('2 transformar y limpiar'!C441-$B$6)/$C$6</f>
        <v/>
      </c>
      <c r="D427" s="6">
        <f>('2 transformar y limpiar'!D441-$B$7)/$C$7</f>
        <v/>
      </c>
      <c r="E427" s="6">
        <f>('2 transformar y limpiar'!E441-$B$8)/$C$8</f>
        <v/>
      </c>
      <c r="F427" s="6">
        <f>('2 transformar y limpiar'!F441-$B$9)/$C$9</f>
        <v/>
      </c>
      <c r="G427">
        <f>'2 transformar y limpiar'!G441</f>
        <v/>
      </c>
      <c r="H427">
        <f>'2 transformar y limpiar'!H441</f>
        <v/>
      </c>
      <c r="I427">
        <f>'2 transformar y limpiar'!I441</f>
        <v/>
      </c>
      <c r="J427">
        <f>'2 transformar y limpiar'!J441</f>
        <v/>
      </c>
      <c r="K427">
        <f>'2 transformar y limpiar'!K441</f>
        <v/>
      </c>
      <c r="L427">
        <f>'2 transformar y limpiar'!L441</f>
        <v/>
      </c>
      <c r="M427">
        <f>'2 transformar y limpiar'!M441</f>
        <v/>
      </c>
      <c r="N427">
        <f>'2 transformar y limpiar'!N441</f>
        <v/>
      </c>
      <c r="O427">
        <f>'2 transformar y limpiar'!O441</f>
        <v/>
      </c>
      <c r="P427">
        <f>'2 transformar y limpiar'!P441</f>
        <v/>
      </c>
      <c r="Q427">
        <f>'2 transformar y limpiar'!Q441</f>
        <v/>
      </c>
      <c r="R427">
        <f>'2 transformar y limpiar'!R441</f>
        <v/>
      </c>
      <c r="S427">
        <f>'2 transformar y limpiar'!S441</f>
        <v/>
      </c>
      <c r="T427">
        <f>'2 transformar y limpiar'!T441</f>
        <v/>
      </c>
      <c r="U427" s="5">
        <f>'2 transformar y limpiar'!U441</f>
        <v/>
      </c>
    </row>
    <row r="428">
      <c r="A428">
        <f>'2 transformar y limpiar'!A442</f>
        <v/>
      </c>
      <c r="B428">
        <f>'2 transformar y limpiar'!B442</f>
        <v/>
      </c>
      <c r="C428" s="6">
        <f>('2 transformar y limpiar'!C442-$B$6)/$C$6</f>
        <v/>
      </c>
      <c r="D428" s="6">
        <f>('2 transformar y limpiar'!D442-$B$7)/$C$7</f>
        <v/>
      </c>
      <c r="E428" s="6">
        <f>('2 transformar y limpiar'!E442-$B$8)/$C$8</f>
        <v/>
      </c>
      <c r="F428" s="6">
        <f>('2 transformar y limpiar'!F442-$B$9)/$C$9</f>
        <v/>
      </c>
      <c r="G428">
        <f>'2 transformar y limpiar'!G442</f>
        <v/>
      </c>
      <c r="H428">
        <f>'2 transformar y limpiar'!H442</f>
        <v/>
      </c>
      <c r="I428">
        <f>'2 transformar y limpiar'!I442</f>
        <v/>
      </c>
      <c r="J428">
        <f>'2 transformar y limpiar'!J442</f>
        <v/>
      </c>
      <c r="K428">
        <f>'2 transformar y limpiar'!K442</f>
        <v/>
      </c>
      <c r="L428">
        <f>'2 transformar y limpiar'!L442</f>
        <v/>
      </c>
      <c r="M428">
        <f>'2 transformar y limpiar'!M442</f>
        <v/>
      </c>
      <c r="N428">
        <f>'2 transformar y limpiar'!N442</f>
        <v/>
      </c>
      <c r="O428">
        <f>'2 transformar y limpiar'!O442</f>
        <v/>
      </c>
      <c r="P428">
        <f>'2 transformar y limpiar'!P442</f>
        <v/>
      </c>
      <c r="Q428">
        <f>'2 transformar y limpiar'!Q442</f>
        <v/>
      </c>
      <c r="R428">
        <f>'2 transformar y limpiar'!R442</f>
        <v/>
      </c>
      <c r="S428">
        <f>'2 transformar y limpiar'!S442</f>
        <v/>
      </c>
      <c r="T428">
        <f>'2 transformar y limpiar'!T442</f>
        <v/>
      </c>
      <c r="U428" s="5">
        <f>'2 transformar y limpiar'!U442</f>
        <v/>
      </c>
    </row>
    <row r="429">
      <c r="A429">
        <f>'2 transformar y limpiar'!A443</f>
        <v/>
      </c>
      <c r="B429">
        <f>'2 transformar y limpiar'!B443</f>
        <v/>
      </c>
      <c r="C429" s="6">
        <f>('2 transformar y limpiar'!C443-$B$6)/$C$6</f>
        <v/>
      </c>
      <c r="D429" s="6">
        <f>('2 transformar y limpiar'!D443-$B$7)/$C$7</f>
        <v/>
      </c>
      <c r="E429" s="6">
        <f>('2 transformar y limpiar'!E443-$B$8)/$C$8</f>
        <v/>
      </c>
      <c r="F429" s="6">
        <f>('2 transformar y limpiar'!F443-$B$9)/$C$9</f>
        <v/>
      </c>
      <c r="G429">
        <f>'2 transformar y limpiar'!G443</f>
        <v/>
      </c>
      <c r="H429">
        <f>'2 transformar y limpiar'!H443</f>
        <v/>
      </c>
      <c r="I429">
        <f>'2 transformar y limpiar'!I443</f>
        <v/>
      </c>
      <c r="J429">
        <f>'2 transformar y limpiar'!J443</f>
        <v/>
      </c>
      <c r="K429">
        <f>'2 transformar y limpiar'!K443</f>
        <v/>
      </c>
      <c r="L429">
        <f>'2 transformar y limpiar'!L443</f>
        <v/>
      </c>
      <c r="M429">
        <f>'2 transformar y limpiar'!M443</f>
        <v/>
      </c>
      <c r="N429">
        <f>'2 transformar y limpiar'!N443</f>
        <v/>
      </c>
      <c r="O429">
        <f>'2 transformar y limpiar'!O443</f>
        <v/>
      </c>
      <c r="P429">
        <f>'2 transformar y limpiar'!P443</f>
        <v/>
      </c>
      <c r="Q429">
        <f>'2 transformar y limpiar'!Q443</f>
        <v/>
      </c>
      <c r="R429">
        <f>'2 transformar y limpiar'!R443</f>
        <v/>
      </c>
      <c r="S429">
        <f>'2 transformar y limpiar'!S443</f>
        <v/>
      </c>
      <c r="T429">
        <f>'2 transformar y limpiar'!T443</f>
        <v/>
      </c>
      <c r="U429" s="5">
        <f>'2 transformar y limpiar'!U443</f>
        <v/>
      </c>
    </row>
    <row r="430">
      <c r="A430">
        <f>'2 transformar y limpiar'!A444</f>
        <v/>
      </c>
      <c r="B430">
        <f>'2 transformar y limpiar'!B444</f>
        <v/>
      </c>
      <c r="C430" s="6">
        <f>('2 transformar y limpiar'!C444-$B$6)/$C$6</f>
        <v/>
      </c>
      <c r="D430" s="6">
        <f>('2 transformar y limpiar'!D444-$B$7)/$C$7</f>
        <v/>
      </c>
      <c r="E430" s="6">
        <f>('2 transformar y limpiar'!E444-$B$8)/$C$8</f>
        <v/>
      </c>
      <c r="F430" s="6">
        <f>('2 transformar y limpiar'!F444-$B$9)/$C$9</f>
        <v/>
      </c>
      <c r="G430">
        <f>'2 transformar y limpiar'!G444</f>
        <v/>
      </c>
      <c r="H430">
        <f>'2 transformar y limpiar'!H444</f>
        <v/>
      </c>
      <c r="I430">
        <f>'2 transformar y limpiar'!I444</f>
        <v/>
      </c>
      <c r="J430">
        <f>'2 transformar y limpiar'!J444</f>
        <v/>
      </c>
      <c r="K430">
        <f>'2 transformar y limpiar'!K444</f>
        <v/>
      </c>
      <c r="L430">
        <f>'2 transformar y limpiar'!L444</f>
        <v/>
      </c>
      <c r="M430">
        <f>'2 transformar y limpiar'!M444</f>
        <v/>
      </c>
      <c r="N430">
        <f>'2 transformar y limpiar'!N444</f>
        <v/>
      </c>
      <c r="O430">
        <f>'2 transformar y limpiar'!O444</f>
        <v/>
      </c>
      <c r="P430">
        <f>'2 transformar y limpiar'!P444</f>
        <v/>
      </c>
      <c r="Q430">
        <f>'2 transformar y limpiar'!Q444</f>
        <v/>
      </c>
      <c r="R430">
        <f>'2 transformar y limpiar'!R444</f>
        <v/>
      </c>
      <c r="S430">
        <f>'2 transformar y limpiar'!S444</f>
        <v/>
      </c>
      <c r="T430">
        <f>'2 transformar y limpiar'!T444</f>
        <v/>
      </c>
      <c r="U430" s="5">
        <f>'2 transformar y limpiar'!U444</f>
        <v/>
      </c>
    </row>
    <row r="431">
      <c r="A431">
        <f>'2 transformar y limpiar'!A445</f>
        <v/>
      </c>
      <c r="B431">
        <f>'2 transformar y limpiar'!B445</f>
        <v/>
      </c>
      <c r="C431" s="6">
        <f>('2 transformar y limpiar'!C445-$B$6)/$C$6</f>
        <v/>
      </c>
      <c r="D431" s="6">
        <f>('2 transformar y limpiar'!D445-$B$7)/$C$7</f>
        <v/>
      </c>
      <c r="E431" s="6">
        <f>('2 transformar y limpiar'!E445-$B$8)/$C$8</f>
        <v/>
      </c>
      <c r="F431" s="6">
        <f>('2 transformar y limpiar'!F445-$B$9)/$C$9</f>
        <v/>
      </c>
      <c r="G431">
        <f>'2 transformar y limpiar'!G445</f>
        <v/>
      </c>
      <c r="H431">
        <f>'2 transformar y limpiar'!H445</f>
        <v/>
      </c>
      <c r="I431">
        <f>'2 transformar y limpiar'!I445</f>
        <v/>
      </c>
      <c r="J431">
        <f>'2 transformar y limpiar'!J445</f>
        <v/>
      </c>
      <c r="K431">
        <f>'2 transformar y limpiar'!K445</f>
        <v/>
      </c>
      <c r="L431">
        <f>'2 transformar y limpiar'!L445</f>
        <v/>
      </c>
      <c r="M431">
        <f>'2 transformar y limpiar'!M445</f>
        <v/>
      </c>
      <c r="N431">
        <f>'2 transformar y limpiar'!N445</f>
        <v/>
      </c>
      <c r="O431">
        <f>'2 transformar y limpiar'!O445</f>
        <v/>
      </c>
      <c r="P431">
        <f>'2 transformar y limpiar'!P445</f>
        <v/>
      </c>
      <c r="Q431">
        <f>'2 transformar y limpiar'!Q445</f>
        <v/>
      </c>
      <c r="R431">
        <f>'2 transformar y limpiar'!R445</f>
        <v/>
      </c>
      <c r="S431">
        <f>'2 transformar y limpiar'!S445</f>
        <v/>
      </c>
      <c r="T431">
        <f>'2 transformar y limpiar'!T445</f>
        <v/>
      </c>
      <c r="U431" s="5">
        <f>'2 transformar y limpiar'!U445</f>
        <v/>
      </c>
    </row>
    <row r="432">
      <c r="A432">
        <f>'2 transformar y limpiar'!A446</f>
        <v/>
      </c>
      <c r="B432">
        <f>'2 transformar y limpiar'!B446</f>
        <v/>
      </c>
      <c r="C432" s="6">
        <f>('2 transformar y limpiar'!C446-$B$6)/$C$6</f>
        <v/>
      </c>
      <c r="D432" s="6">
        <f>('2 transformar y limpiar'!D446-$B$7)/$C$7</f>
        <v/>
      </c>
      <c r="E432" s="6">
        <f>('2 transformar y limpiar'!E446-$B$8)/$C$8</f>
        <v/>
      </c>
      <c r="F432" s="6">
        <f>('2 transformar y limpiar'!F446-$B$9)/$C$9</f>
        <v/>
      </c>
      <c r="G432">
        <f>'2 transformar y limpiar'!G446</f>
        <v/>
      </c>
      <c r="H432">
        <f>'2 transformar y limpiar'!H446</f>
        <v/>
      </c>
      <c r="I432">
        <f>'2 transformar y limpiar'!I446</f>
        <v/>
      </c>
      <c r="J432">
        <f>'2 transformar y limpiar'!J446</f>
        <v/>
      </c>
      <c r="K432">
        <f>'2 transformar y limpiar'!K446</f>
        <v/>
      </c>
      <c r="L432">
        <f>'2 transformar y limpiar'!L446</f>
        <v/>
      </c>
      <c r="M432">
        <f>'2 transformar y limpiar'!M446</f>
        <v/>
      </c>
      <c r="N432">
        <f>'2 transformar y limpiar'!N446</f>
        <v/>
      </c>
      <c r="O432">
        <f>'2 transformar y limpiar'!O446</f>
        <v/>
      </c>
      <c r="P432">
        <f>'2 transformar y limpiar'!P446</f>
        <v/>
      </c>
      <c r="Q432">
        <f>'2 transformar y limpiar'!Q446</f>
        <v/>
      </c>
      <c r="R432">
        <f>'2 transformar y limpiar'!R446</f>
        <v/>
      </c>
      <c r="S432">
        <f>'2 transformar y limpiar'!S446</f>
        <v/>
      </c>
      <c r="T432">
        <f>'2 transformar y limpiar'!T446</f>
        <v/>
      </c>
      <c r="U432" s="5">
        <f>'2 transformar y limpiar'!U446</f>
        <v/>
      </c>
    </row>
    <row r="433">
      <c r="A433">
        <f>'2 transformar y limpiar'!A447</f>
        <v/>
      </c>
      <c r="B433">
        <f>'2 transformar y limpiar'!B447</f>
        <v/>
      </c>
      <c r="C433" s="6">
        <f>('2 transformar y limpiar'!C447-$B$6)/$C$6</f>
        <v/>
      </c>
      <c r="D433" s="6">
        <f>('2 transformar y limpiar'!D447-$B$7)/$C$7</f>
        <v/>
      </c>
      <c r="E433" s="6">
        <f>('2 transformar y limpiar'!E447-$B$8)/$C$8</f>
        <v/>
      </c>
      <c r="F433" s="6">
        <f>('2 transformar y limpiar'!F447-$B$9)/$C$9</f>
        <v/>
      </c>
      <c r="G433">
        <f>'2 transformar y limpiar'!G447</f>
        <v/>
      </c>
      <c r="H433">
        <f>'2 transformar y limpiar'!H447</f>
        <v/>
      </c>
      <c r="I433">
        <f>'2 transformar y limpiar'!I447</f>
        <v/>
      </c>
      <c r="J433">
        <f>'2 transformar y limpiar'!J447</f>
        <v/>
      </c>
      <c r="K433">
        <f>'2 transformar y limpiar'!K447</f>
        <v/>
      </c>
      <c r="L433">
        <f>'2 transformar y limpiar'!L447</f>
        <v/>
      </c>
      <c r="M433">
        <f>'2 transformar y limpiar'!M447</f>
        <v/>
      </c>
      <c r="N433">
        <f>'2 transformar y limpiar'!N447</f>
        <v/>
      </c>
      <c r="O433">
        <f>'2 transformar y limpiar'!O447</f>
        <v/>
      </c>
      <c r="P433">
        <f>'2 transformar y limpiar'!P447</f>
        <v/>
      </c>
      <c r="Q433">
        <f>'2 transformar y limpiar'!Q447</f>
        <v/>
      </c>
      <c r="R433">
        <f>'2 transformar y limpiar'!R447</f>
        <v/>
      </c>
      <c r="S433">
        <f>'2 transformar y limpiar'!S447</f>
        <v/>
      </c>
      <c r="T433">
        <f>'2 transformar y limpiar'!T447</f>
        <v/>
      </c>
      <c r="U433" s="5">
        <f>'2 transformar y limpiar'!U447</f>
        <v/>
      </c>
    </row>
    <row r="434">
      <c r="A434">
        <f>'2 transformar y limpiar'!A448</f>
        <v/>
      </c>
      <c r="B434">
        <f>'2 transformar y limpiar'!B448</f>
        <v/>
      </c>
      <c r="C434" s="6">
        <f>('2 transformar y limpiar'!C448-$B$6)/$C$6</f>
        <v/>
      </c>
      <c r="D434" s="6">
        <f>('2 transformar y limpiar'!D448-$B$7)/$C$7</f>
        <v/>
      </c>
      <c r="E434" s="6">
        <f>('2 transformar y limpiar'!E448-$B$8)/$C$8</f>
        <v/>
      </c>
      <c r="F434" s="6">
        <f>('2 transformar y limpiar'!F448-$B$9)/$C$9</f>
        <v/>
      </c>
      <c r="G434">
        <f>'2 transformar y limpiar'!G448</f>
        <v/>
      </c>
      <c r="H434">
        <f>'2 transformar y limpiar'!H448</f>
        <v/>
      </c>
      <c r="I434">
        <f>'2 transformar y limpiar'!I448</f>
        <v/>
      </c>
      <c r="J434">
        <f>'2 transformar y limpiar'!J448</f>
        <v/>
      </c>
      <c r="K434">
        <f>'2 transformar y limpiar'!K448</f>
        <v/>
      </c>
      <c r="L434">
        <f>'2 transformar y limpiar'!L448</f>
        <v/>
      </c>
      <c r="M434">
        <f>'2 transformar y limpiar'!M448</f>
        <v/>
      </c>
      <c r="N434">
        <f>'2 transformar y limpiar'!N448</f>
        <v/>
      </c>
      <c r="O434">
        <f>'2 transformar y limpiar'!O448</f>
        <v/>
      </c>
      <c r="P434">
        <f>'2 transformar y limpiar'!P448</f>
        <v/>
      </c>
      <c r="Q434">
        <f>'2 transformar y limpiar'!Q448</f>
        <v/>
      </c>
      <c r="R434">
        <f>'2 transformar y limpiar'!R448</f>
        <v/>
      </c>
      <c r="S434">
        <f>'2 transformar y limpiar'!S448</f>
        <v/>
      </c>
      <c r="T434">
        <f>'2 transformar y limpiar'!T448</f>
        <v/>
      </c>
      <c r="U434" s="5">
        <f>'2 transformar y limpiar'!U448</f>
        <v/>
      </c>
    </row>
    <row r="435">
      <c r="A435">
        <f>'2 transformar y limpiar'!A449</f>
        <v/>
      </c>
      <c r="B435">
        <f>'2 transformar y limpiar'!B449</f>
        <v/>
      </c>
      <c r="C435" s="6">
        <f>('2 transformar y limpiar'!C449-$B$6)/$C$6</f>
        <v/>
      </c>
      <c r="D435" s="6">
        <f>('2 transformar y limpiar'!D449-$B$7)/$C$7</f>
        <v/>
      </c>
      <c r="E435" s="6">
        <f>('2 transformar y limpiar'!E449-$B$8)/$C$8</f>
        <v/>
      </c>
      <c r="F435" s="6">
        <f>('2 transformar y limpiar'!F449-$B$9)/$C$9</f>
        <v/>
      </c>
      <c r="G435">
        <f>'2 transformar y limpiar'!G449</f>
        <v/>
      </c>
      <c r="H435">
        <f>'2 transformar y limpiar'!H449</f>
        <v/>
      </c>
      <c r="I435">
        <f>'2 transformar y limpiar'!I449</f>
        <v/>
      </c>
      <c r="J435">
        <f>'2 transformar y limpiar'!J449</f>
        <v/>
      </c>
      <c r="K435">
        <f>'2 transformar y limpiar'!K449</f>
        <v/>
      </c>
      <c r="L435">
        <f>'2 transformar y limpiar'!L449</f>
        <v/>
      </c>
      <c r="M435">
        <f>'2 transformar y limpiar'!M449</f>
        <v/>
      </c>
      <c r="N435">
        <f>'2 transformar y limpiar'!N449</f>
        <v/>
      </c>
      <c r="O435">
        <f>'2 transformar y limpiar'!O449</f>
        <v/>
      </c>
      <c r="P435">
        <f>'2 transformar y limpiar'!P449</f>
        <v/>
      </c>
      <c r="Q435">
        <f>'2 transformar y limpiar'!Q449</f>
        <v/>
      </c>
      <c r="R435">
        <f>'2 transformar y limpiar'!R449</f>
        <v/>
      </c>
      <c r="S435">
        <f>'2 transformar y limpiar'!S449</f>
        <v/>
      </c>
      <c r="T435">
        <f>'2 transformar y limpiar'!T449</f>
        <v/>
      </c>
      <c r="U435" s="5">
        <f>'2 transformar y limpiar'!U449</f>
        <v/>
      </c>
    </row>
    <row r="436">
      <c r="A436">
        <f>'2 transformar y limpiar'!A450</f>
        <v/>
      </c>
      <c r="B436">
        <f>'2 transformar y limpiar'!B450</f>
        <v/>
      </c>
      <c r="C436" s="6">
        <f>('2 transformar y limpiar'!C450-$B$6)/$C$6</f>
        <v/>
      </c>
      <c r="D436" s="6">
        <f>('2 transformar y limpiar'!D450-$B$7)/$C$7</f>
        <v/>
      </c>
      <c r="E436" s="6">
        <f>('2 transformar y limpiar'!E450-$B$8)/$C$8</f>
        <v/>
      </c>
      <c r="F436" s="6">
        <f>('2 transformar y limpiar'!F450-$B$9)/$C$9</f>
        <v/>
      </c>
      <c r="G436">
        <f>'2 transformar y limpiar'!G450</f>
        <v/>
      </c>
      <c r="H436">
        <f>'2 transformar y limpiar'!H450</f>
        <v/>
      </c>
      <c r="I436">
        <f>'2 transformar y limpiar'!I450</f>
        <v/>
      </c>
      <c r="J436">
        <f>'2 transformar y limpiar'!J450</f>
        <v/>
      </c>
      <c r="K436">
        <f>'2 transformar y limpiar'!K450</f>
        <v/>
      </c>
      <c r="L436">
        <f>'2 transformar y limpiar'!L450</f>
        <v/>
      </c>
      <c r="M436">
        <f>'2 transformar y limpiar'!M450</f>
        <v/>
      </c>
      <c r="N436">
        <f>'2 transformar y limpiar'!N450</f>
        <v/>
      </c>
      <c r="O436">
        <f>'2 transformar y limpiar'!O450</f>
        <v/>
      </c>
      <c r="P436">
        <f>'2 transformar y limpiar'!P450</f>
        <v/>
      </c>
      <c r="Q436">
        <f>'2 transformar y limpiar'!Q450</f>
        <v/>
      </c>
      <c r="R436">
        <f>'2 transformar y limpiar'!R450</f>
        <v/>
      </c>
      <c r="S436">
        <f>'2 transformar y limpiar'!S450</f>
        <v/>
      </c>
      <c r="T436">
        <f>'2 transformar y limpiar'!T450</f>
        <v/>
      </c>
      <c r="U436" s="5">
        <f>'2 transformar y limpiar'!U450</f>
        <v/>
      </c>
    </row>
    <row r="437">
      <c r="A437">
        <f>'2 transformar y limpiar'!A451</f>
        <v/>
      </c>
      <c r="B437">
        <f>'2 transformar y limpiar'!B451</f>
        <v/>
      </c>
      <c r="C437" s="6">
        <f>('2 transformar y limpiar'!C451-$B$6)/$C$6</f>
        <v/>
      </c>
      <c r="D437" s="6">
        <f>('2 transformar y limpiar'!D451-$B$7)/$C$7</f>
        <v/>
      </c>
      <c r="E437" s="6">
        <f>('2 transformar y limpiar'!E451-$B$8)/$C$8</f>
        <v/>
      </c>
      <c r="F437" s="6">
        <f>('2 transformar y limpiar'!F451-$B$9)/$C$9</f>
        <v/>
      </c>
      <c r="G437">
        <f>'2 transformar y limpiar'!G451</f>
        <v/>
      </c>
      <c r="H437">
        <f>'2 transformar y limpiar'!H451</f>
        <v/>
      </c>
      <c r="I437">
        <f>'2 transformar y limpiar'!I451</f>
        <v/>
      </c>
      <c r="J437">
        <f>'2 transformar y limpiar'!J451</f>
        <v/>
      </c>
      <c r="K437">
        <f>'2 transformar y limpiar'!K451</f>
        <v/>
      </c>
      <c r="L437">
        <f>'2 transformar y limpiar'!L451</f>
        <v/>
      </c>
      <c r="M437">
        <f>'2 transformar y limpiar'!M451</f>
        <v/>
      </c>
      <c r="N437">
        <f>'2 transformar y limpiar'!N451</f>
        <v/>
      </c>
      <c r="O437">
        <f>'2 transformar y limpiar'!O451</f>
        <v/>
      </c>
      <c r="P437">
        <f>'2 transformar y limpiar'!P451</f>
        <v/>
      </c>
      <c r="Q437">
        <f>'2 transformar y limpiar'!Q451</f>
        <v/>
      </c>
      <c r="R437">
        <f>'2 transformar y limpiar'!R451</f>
        <v/>
      </c>
      <c r="S437">
        <f>'2 transformar y limpiar'!S451</f>
        <v/>
      </c>
      <c r="T437">
        <f>'2 transformar y limpiar'!T451</f>
        <v/>
      </c>
      <c r="U437" s="5">
        <f>'2 transformar y limpiar'!U451</f>
        <v/>
      </c>
    </row>
    <row r="438">
      <c r="A438">
        <f>'2 transformar y limpiar'!A452</f>
        <v/>
      </c>
      <c r="B438">
        <f>'2 transformar y limpiar'!B452</f>
        <v/>
      </c>
      <c r="C438" s="6">
        <f>('2 transformar y limpiar'!C452-$B$6)/$C$6</f>
        <v/>
      </c>
      <c r="D438" s="6">
        <f>('2 transformar y limpiar'!D452-$B$7)/$C$7</f>
        <v/>
      </c>
      <c r="E438" s="6">
        <f>('2 transformar y limpiar'!E452-$B$8)/$C$8</f>
        <v/>
      </c>
      <c r="F438" s="6">
        <f>('2 transformar y limpiar'!F452-$B$9)/$C$9</f>
        <v/>
      </c>
      <c r="G438">
        <f>'2 transformar y limpiar'!G452</f>
        <v/>
      </c>
      <c r="H438">
        <f>'2 transformar y limpiar'!H452</f>
        <v/>
      </c>
      <c r="I438">
        <f>'2 transformar y limpiar'!I452</f>
        <v/>
      </c>
      <c r="J438">
        <f>'2 transformar y limpiar'!J452</f>
        <v/>
      </c>
      <c r="K438">
        <f>'2 transformar y limpiar'!K452</f>
        <v/>
      </c>
      <c r="L438">
        <f>'2 transformar y limpiar'!L452</f>
        <v/>
      </c>
      <c r="M438">
        <f>'2 transformar y limpiar'!M452</f>
        <v/>
      </c>
      <c r="N438">
        <f>'2 transformar y limpiar'!N452</f>
        <v/>
      </c>
      <c r="O438">
        <f>'2 transformar y limpiar'!O452</f>
        <v/>
      </c>
      <c r="P438">
        <f>'2 transformar y limpiar'!P452</f>
        <v/>
      </c>
      <c r="Q438">
        <f>'2 transformar y limpiar'!Q452</f>
        <v/>
      </c>
      <c r="R438">
        <f>'2 transformar y limpiar'!R452</f>
        <v/>
      </c>
      <c r="S438">
        <f>'2 transformar y limpiar'!S452</f>
        <v/>
      </c>
      <c r="T438">
        <f>'2 transformar y limpiar'!T452</f>
        <v/>
      </c>
      <c r="U438" s="5">
        <f>'2 transformar y limpiar'!U452</f>
        <v/>
      </c>
    </row>
    <row r="439">
      <c r="A439">
        <f>'2 transformar y limpiar'!A453</f>
        <v/>
      </c>
      <c r="B439">
        <f>'2 transformar y limpiar'!B453</f>
        <v/>
      </c>
      <c r="C439" s="6">
        <f>('2 transformar y limpiar'!C453-$B$6)/$C$6</f>
        <v/>
      </c>
      <c r="D439" s="6">
        <f>('2 transformar y limpiar'!D453-$B$7)/$C$7</f>
        <v/>
      </c>
      <c r="E439" s="6">
        <f>('2 transformar y limpiar'!E453-$B$8)/$C$8</f>
        <v/>
      </c>
      <c r="F439" s="6">
        <f>('2 transformar y limpiar'!F453-$B$9)/$C$9</f>
        <v/>
      </c>
      <c r="G439">
        <f>'2 transformar y limpiar'!G453</f>
        <v/>
      </c>
      <c r="H439">
        <f>'2 transformar y limpiar'!H453</f>
        <v/>
      </c>
      <c r="I439">
        <f>'2 transformar y limpiar'!I453</f>
        <v/>
      </c>
      <c r="J439">
        <f>'2 transformar y limpiar'!J453</f>
        <v/>
      </c>
      <c r="K439">
        <f>'2 transformar y limpiar'!K453</f>
        <v/>
      </c>
      <c r="L439">
        <f>'2 transformar y limpiar'!L453</f>
        <v/>
      </c>
      <c r="M439">
        <f>'2 transformar y limpiar'!M453</f>
        <v/>
      </c>
      <c r="N439">
        <f>'2 transformar y limpiar'!N453</f>
        <v/>
      </c>
      <c r="O439">
        <f>'2 transformar y limpiar'!O453</f>
        <v/>
      </c>
      <c r="P439">
        <f>'2 transformar y limpiar'!P453</f>
        <v/>
      </c>
      <c r="Q439">
        <f>'2 transformar y limpiar'!Q453</f>
        <v/>
      </c>
      <c r="R439">
        <f>'2 transformar y limpiar'!R453</f>
        <v/>
      </c>
      <c r="S439">
        <f>'2 transformar y limpiar'!S453</f>
        <v/>
      </c>
      <c r="T439">
        <f>'2 transformar y limpiar'!T453</f>
        <v/>
      </c>
      <c r="U439" s="5">
        <f>'2 transformar y limpiar'!U453</f>
        <v/>
      </c>
    </row>
    <row r="440">
      <c r="A440">
        <f>'2 transformar y limpiar'!A454</f>
        <v/>
      </c>
      <c r="B440">
        <f>'2 transformar y limpiar'!B454</f>
        <v/>
      </c>
      <c r="C440" s="6">
        <f>('2 transformar y limpiar'!C454-$B$6)/$C$6</f>
        <v/>
      </c>
      <c r="D440" s="6">
        <f>('2 transformar y limpiar'!D454-$B$7)/$C$7</f>
        <v/>
      </c>
      <c r="E440" s="6">
        <f>('2 transformar y limpiar'!E454-$B$8)/$C$8</f>
        <v/>
      </c>
      <c r="F440" s="6">
        <f>('2 transformar y limpiar'!F454-$B$9)/$C$9</f>
        <v/>
      </c>
      <c r="G440">
        <f>'2 transformar y limpiar'!G454</f>
        <v/>
      </c>
      <c r="H440">
        <f>'2 transformar y limpiar'!H454</f>
        <v/>
      </c>
      <c r="I440">
        <f>'2 transformar y limpiar'!I454</f>
        <v/>
      </c>
      <c r="J440">
        <f>'2 transformar y limpiar'!J454</f>
        <v/>
      </c>
      <c r="K440">
        <f>'2 transformar y limpiar'!K454</f>
        <v/>
      </c>
      <c r="L440">
        <f>'2 transformar y limpiar'!L454</f>
        <v/>
      </c>
      <c r="M440">
        <f>'2 transformar y limpiar'!M454</f>
        <v/>
      </c>
      <c r="N440">
        <f>'2 transformar y limpiar'!N454</f>
        <v/>
      </c>
      <c r="O440">
        <f>'2 transformar y limpiar'!O454</f>
        <v/>
      </c>
      <c r="P440">
        <f>'2 transformar y limpiar'!P454</f>
        <v/>
      </c>
      <c r="Q440">
        <f>'2 transformar y limpiar'!Q454</f>
        <v/>
      </c>
      <c r="R440">
        <f>'2 transformar y limpiar'!R454</f>
        <v/>
      </c>
      <c r="S440">
        <f>'2 transformar y limpiar'!S454</f>
        <v/>
      </c>
      <c r="T440">
        <f>'2 transformar y limpiar'!T454</f>
        <v/>
      </c>
      <c r="U440" s="5">
        <f>'2 transformar y limpiar'!U454</f>
        <v/>
      </c>
    </row>
    <row r="441">
      <c r="A441">
        <f>'2 transformar y limpiar'!A455</f>
        <v/>
      </c>
      <c r="B441">
        <f>'2 transformar y limpiar'!B455</f>
        <v/>
      </c>
      <c r="C441" s="6">
        <f>('2 transformar y limpiar'!C455-$B$6)/$C$6</f>
        <v/>
      </c>
      <c r="D441" s="6">
        <f>('2 transformar y limpiar'!D455-$B$7)/$C$7</f>
        <v/>
      </c>
      <c r="E441" s="6">
        <f>('2 transformar y limpiar'!E455-$B$8)/$C$8</f>
        <v/>
      </c>
      <c r="F441" s="6">
        <f>('2 transformar y limpiar'!F455-$B$9)/$C$9</f>
        <v/>
      </c>
      <c r="G441">
        <f>'2 transformar y limpiar'!G455</f>
        <v/>
      </c>
      <c r="H441">
        <f>'2 transformar y limpiar'!H455</f>
        <v/>
      </c>
      <c r="I441">
        <f>'2 transformar y limpiar'!I455</f>
        <v/>
      </c>
      <c r="J441">
        <f>'2 transformar y limpiar'!J455</f>
        <v/>
      </c>
      <c r="K441">
        <f>'2 transformar y limpiar'!K455</f>
        <v/>
      </c>
      <c r="L441">
        <f>'2 transformar y limpiar'!L455</f>
        <v/>
      </c>
      <c r="M441">
        <f>'2 transformar y limpiar'!M455</f>
        <v/>
      </c>
      <c r="N441">
        <f>'2 transformar y limpiar'!N455</f>
        <v/>
      </c>
      <c r="O441">
        <f>'2 transformar y limpiar'!O455</f>
        <v/>
      </c>
      <c r="P441">
        <f>'2 transformar y limpiar'!P455</f>
        <v/>
      </c>
      <c r="Q441">
        <f>'2 transformar y limpiar'!Q455</f>
        <v/>
      </c>
      <c r="R441">
        <f>'2 transformar y limpiar'!R455</f>
        <v/>
      </c>
      <c r="S441">
        <f>'2 transformar y limpiar'!S455</f>
        <v/>
      </c>
      <c r="T441">
        <f>'2 transformar y limpiar'!T455</f>
        <v/>
      </c>
      <c r="U441" s="5">
        <f>'2 transformar y limpiar'!U455</f>
        <v/>
      </c>
    </row>
    <row r="442">
      <c r="A442">
        <f>'2 transformar y limpiar'!A456</f>
        <v/>
      </c>
      <c r="B442">
        <f>'2 transformar y limpiar'!B456</f>
        <v/>
      </c>
      <c r="C442" s="6">
        <f>('2 transformar y limpiar'!C456-$B$6)/$C$6</f>
        <v/>
      </c>
      <c r="D442" s="6">
        <f>('2 transformar y limpiar'!D456-$B$7)/$C$7</f>
        <v/>
      </c>
      <c r="E442" s="6">
        <f>('2 transformar y limpiar'!E456-$B$8)/$C$8</f>
        <v/>
      </c>
      <c r="F442" s="6">
        <f>('2 transformar y limpiar'!F456-$B$9)/$C$9</f>
        <v/>
      </c>
      <c r="G442">
        <f>'2 transformar y limpiar'!G456</f>
        <v/>
      </c>
      <c r="H442">
        <f>'2 transformar y limpiar'!H456</f>
        <v/>
      </c>
      <c r="I442">
        <f>'2 transformar y limpiar'!I456</f>
        <v/>
      </c>
      <c r="J442">
        <f>'2 transformar y limpiar'!J456</f>
        <v/>
      </c>
      <c r="K442">
        <f>'2 transformar y limpiar'!K456</f>
        <v/>
      </c>
      <c r="L442">
        <f>'2 transformar y limpiar'!L456</f>
        <v/>
      </c>
      <c r="M442">
        <f>'2 transformar y limpiar'!M456</f>
        <v/>
      </c>
      <c r="N442">
        <f>'2 transformar y limpiar'!N456</f>
        <v/>
      </c>
      <c r="O442">
        <f>'2 transformar y limpiar'!O456</f>
        <v/>
      </c>
      <c r="P442">
        <f>'2 transformar y limpiar'!P456</f>
        <v/>
      </c>
      <c r="Q442">
        <f>'2 transformar y limpiar'!Q456</f>
        <v/>
      </c>
      <c r="R442">
        <f>'2 transformar y limpiar'!R456</f>
        <v/>
      </c>
      <c r="S442">
        <f>'2 transformar y limpiar'!S456</f>
        <v/>
      </c>
      <c r="T442">
        <f>'2 transformar y limpiar'!T456</f>
        <v/>
      </c>
      <c r="U442" s="5">
        <f>'2 transformar y limpiar'!U456</f>
        <v/>
      </c>
    </row>
    <row r="443">
      <c r="A443">
        <f>'2 transformar y limpiar'!A457</f>
        <v/>
      </c>
      <c r="B443">
        <f>'2 transformar y limpiar'!B457</f>
        <v/>
      </c>
      <c r="C443" s="6">
        <f>('2 transformar y limpiar'!C457-$B$6)/$C$6</f>
        <v/>
      </c>
      <c r="D443" s="6">
        <f>('2 transformar y limpiar'!D457-$B$7)/$C$7</f>
        <v/>
      </c>
      <c r="E443" s="6">
        <f>('2 transformar y limpiar'!E457-$B$8)/$C$8</f>
        <v/>
      </c>
      <c r="F443" s="6">
        <f>('2 transformar y limpiar'!F457-$B$9)/$C$9</f>
        <v/>
      </c>
      <c r="G443">
        <f>'2 transformar y limpiar'!G457</f>
        <v/>
      </c>
      <c r="H443">
        <f>'2 transformar y limpiar'!H457</f>
        <v/>
      </c>
      <c r="I443">
        <f>'2 transformar y limpiar'!I457</f>
        <v/>
      </c>
      <c r="J443">
        <f>'2 transformar y limpiar'!J457</f>
        <v/>
      </c>
      <c r="K443">
        <f>'2 transformar y limpiar'!K457</f>
        <v/>
      </c>
      <c r="L443">
        <f>'2 transformar y limpiar'!L457</f>
        <v/>
      </c>
      <c r="M443">
        <f>'2 transformar y limpiar'!M457</f>
        <v/>
      </c>
      <c r="N443">
        <f>'2 transformar y limpiar'!N457</f>
        <v/>
      </c>
      <c r="O443">
        <f>'2 transformar y limpiar'!O457</f>
        <v/>
      </c>
      <c r="P443">
        <f>'2 transformar y limpiar'!P457</f>
        <v/>
      </c>
      <c r="Q443">
        <f>'2 transformar y limpiar'!Q457</f>
        <v/>
      </c>
      <c r="R443">
        <f>'2 transformar y limpiar'!R457</f>
        <v/>
      </c>
      <c r="S443">
        <f>'2 transformar y limpiar'!S457</f>
        <v/>
      </c>
      <c r="T443">
        <f>'2 transformar y limpiar'!T457</f>
        <v/>
      </c>
      <c r="U443" s="5">
        <f>'2 transformar y limpiar'!U457</f>
        <v/>
      </c>
    </row>
    <row r="444">
      <c r="A444">
        <f>'2 transformar y limpiar'!A458</f>
        <v/>
      </c>
      <c r="B444">
        <f>'2 transformar y limpiar'!B458</f>
        <v/>
      </c>
      <c r="C444" s="6">
        <f>('2 transformar y limpiar'!C458-$B$6)/$C$6</f>
        <v/>
      </c>
      <c r="D444" s="6">
        <f>('2 transformar y limpiar'!D458-$B$7)/$C$7</f>
        <v/>
      </c>
      <c r="E444" s="6">
        <f>('2 transformar y limpiar'!E458-$B$8)/$C$8</f>
        <v/>
      </c>
      <c r="F444" s="6">
        <f>('2 transformar y limpiar'!F458-$B$9)/$C$9</f>
        <v/>
      </c>
      <c r="G444">
        <f>'2 transformar y limpiar'!G458</f>
        <v/>
      </c>
      <c r="H444">
        <f>'2 transformar y limpiar'!H458</f>
        <v/>
      </c>
      <c r="I444">
        <f>'2 transformar y limpiar'!I458</f>
        <v/>
      </c>
      <c r="J444">
        <f>'2 transformar y limpiar'!J458</f>
        <v/>
      </c>
      <c r="K444">
        <f>'2 transformar y limpiar'!K458</f>
        <v/>
      </c>
      <c r="L444">
        <f>'2 transformar y limpiar'!L458</f>
        <v/>
      </c>
      <c r="M444">
        <f>'2 transformar y limpiar'!M458</f>
        <v/>
      </c>
      <c r="N444">
        <f>'2 transformar y limpiar'!N458</f>
        <v/>
      </c>
      <c r="O444">
        <f>'2 transformar y limpiar'!O458</f>
        <v/>
      </c>
      <c r="P444">
        <f>'2 transformar y limpiar'!P458</f>
        <v/>
      </c>
      <c r="Q444">
        <f>'2 transformar y limpiar'!Q458</f>
        <v/>
      </c>
      <c r="R444">
        <f>'2 transformar y limpiar'!R458</f>
        <v/>
      </c>
      <c r="S444">
        <f>'2 transformar y limpiar'!S458</f>
        <v/>
      </c>
      <c r="T444">
        <f>'2 transformar y limpiar'!T458</f>
        <v/>
      </c>
      <c r="U444" s="5">
        <f>'2 transformar y limpiar'!U458</f>
        <v/>
      </c>
    </row>
    <row r="445">
      <c r="A445">
        <f>'2 transformar y limpiar'!A459</f>
        <v/>
      </c>
      <c r="B445">
        <f>'2 transformar y limpiar'!B459</f>
        <v/>
      </c>
      <c r="C445" s="6">
        <f>('2 transformar y limpiar'!C459-$B$6)/$C$6</f>
        <v/>
      </c>
      <c r="D445" s="6">
        <f>('2 transformar y limpiar'!D459-$B$7)/$C$7</f>
        <v/>
      </c>
      <c r="E445" s="6">
        <f>('2 transformar y limpiar'!E459-$B$8)/$C$8</f>
        <v/>
      </c>
      <c r="F445" s="6">
        <f>('2 transformar y limpiar'!F459-$B$9)/$C$9</f>
        <v/>
      </c>
      <c r="G445">
        <f>'2 transformar y limpiar'!G459</f>
        <v/>
      </c>
      <c r="H445">
        <f>'2 transformar y limpiar'!H459</f>
        <v/>
      </c>
      <c r="I445">
        <f>'2 transformar y limpiar'!I459</f>
        <v/>
      </c>
      <c r="J445">
        <f>'2 transformar y limpiar'!J459</f>
        <v/>
      </c>
      <c r="K445">
        <f>'2 transformar y limpiar'!K459</f>
        <v/>
      </c>
      <c r="L445">
        <f>'2 transformar y limpiar'!L459</f>
        <v/>
      </c>
      <c r="M445">
        <f>'2 transformar y limpiar'!M459</f>
        <v/>
      </c>
      <c r="N445">
        <f>'2 transformar y limpiar'!N459</f>
        <v/>
      </c>
      <c r="O445">
        <f>'2 transformar y limpiar'!O459</f>
        <v/>
      </c>
      <c r="P445">
        <f>'2 transformar y limpiar'!P459</f>
        <v/>
      </c>
      <c r="Q445">
        <f>'2 transformar y limpiar'!Q459</f>
        <v/>
      </c>
      <c r="R445">
        <f>'2 transformar y limpiar'!R459</f>
        <v/>
      </c>
      <c r="S445">
        <f>'2 transformar y limpiar'!S459</f>
        <v/>
      </c>
      <c r="T445">
        <f>'2 transformar y limpiar'!T459</f>
        <v/>
      </c>
      <c r="U445" s="5">
        <f>'2 transformar y limpiar'!U459</f>
        <v/>
      </c>
    </row>
    <row r="446">
      <c r="A446">
        <f>'2 transformar y limpiar'!A460</f>
        <v/>
      </c>
      <c r="B446">
        <f>'2 transformar y limpiar'!B460</f>
        <v/>
      </c>
      <c r="C446" s="6">
        <f>('2 transformar y limpiar'!C460-$B$6)/$C$6</f>
        <v/>
      </c>
      <c r="D446" s="6">
        <f>('2 transformar y limpiar'!D460-$B$7)/$C$7</f>
        <v/>
      </c>
      <c r="E446" s="6">
        <f>('2 transformar y limpiar'!E460-$B$8)/$C$8</f>
        <v/>
      </c>
      <c r="F446" s="6">
        <f>('2 transformar y limpiar'!F460-$B$9)/$C$9</f>
        <v/>
      </c>
      <c r="G446">
        <f>'2 transformar y limpiar'!G460</f>
        <v/>
      </c>
      <c r="H446">
        <f>'2 transformar y limpiar'!H460</f>
        <v/>
      </c>
      <c r="I446">
        <f>'2 transformar y limpiar'!I460</f>
        <v/>
      </c>
      <c r="J446">
        <f>'2 transformar y limpiar'!J460</f>
        <v/>
      </c>
      <c r="K446">
        <f>'2 transformar y limpiar'!K460</f>
        <v/>
      </c>
      <c r="L446">
        <f>'2 transformar y limpiar'!L460</f>
        <v/>
      </c>
      <c r="M446">
        <f>'2 transformar y limpiar'!M460</f>
        <v/>
      </c>
      <c r="N446">
        <f>'2 transformar y limpiar'!N460</f>
        <v/>
      </c>
      <c r="O446">
        <f>'2 transformar y limpiar'!O460</f>
        <v/>
      </c>
      <c r="P446">
        <f>'2 transformar y limpiar'!P460</f>
        <v/>
      </c>
      <c r="Q446">
        <f>'2 transformar y limpiar'!Q460</f>
        <v/>
      </c>
      <c r="R446">
        <f>'2 transformar y limpiar'!R460</f>
        <v/>
      </c>
      <c r="S446">
        <f>'2 transformar y limpiar'!S460</f>
        <v/>
      </c>
      <c r="T446">
        <f>'2 transformar y limpiar'!T460</f>
        <v/>
      </c>
      <c r="U446" s="5">
        <f>'2 transformar y limpiar'!U460</f>
        <v/>
      </c>
    </row>
    <row r="447">
      <c r="A447">
        <f>'2 transformar y limpiar'!A461</f>
        <v/>
      </c>
      <c r="B447">
        <f>'2 transformar y limpiar'!B461</f>
        <v/>
      </c>
      <c r="C447" s="6">
        <f>('2 transformar y limpiar'!C461-$B$6)/$C$6</f>
        <v/>
      </c>
      <c r="D447" s="6">
        <f>('2 transformar y limpiar'!D461-$B$7)/$C$7</f>
        <v/>
      </c>
      <c r="E447" s="6">
        <f>('2 transformar y limpiar'!E461-$B$8)/$C$8</f>
        <v/>
      </c>
      <c r="F447" s="6">
        <f>('2 transformar y limpiar'!F461-$B$9)/$C$9</f>
        <v/>
      </c>
      <c r="G447">
        <f>'2 transformar y limpiar'!G461</f>
        <v/>
      </c>
      <c r="H447">
        <f>'2 transformar y limpiar'!H461</f>
        <v/>
      </c>
      <c r="I447">
        <f>'2 transformar y limpiar'!I461</f>
        <v/>
      </c>
      <c r="J447">
        <f>'2 transformar y limpiar'!J461</f>
        <v/>
      </c>
      <c r="K447">
        <f>'2 transformar y limpiar'!K461</f>
        <v/>
      </c>
      <c r="L447">
        <f>'2 transformar y limpiar'!L461</f>
        <v/>
      </c>
      <c r="M447">
        <f>'2 transformar y limpiar'!M461</f>
        <v/>
      </c>
      <c r="N447">
        <f>'2 transformar y limpiar'!N461</f>
        <v/>
      </c>
      <c r="O447">
        <f>'2 transformar y limpiar'!O461</f>
        <v/>
      </c>
      <c r="P447">
        <f>'2 transformar y limpiar'!P461</f>
        <v/>
      </c>
      <c r="Q447">
        <f>'2 transformar y limpiar'!Q461</f>
        <v/>
      </c>
      <c r="R447">
        <f>'2 transformar y limpiar'!R461</f>
        <v/>
      </c>
      <c r="S447">
        <f>'2 transformar y limpiar'!S461</f>
        <v/>
      </c>
      <c r="T447">
        <f>'2 transformar y limpiar'!T461</f>
        <v/>
      </c>
      <c r="U447" s="5">
        <f>'2 transformar y limpiar'!U461</f>
        <v/>
      </c>
    </row>
    <row r="448">
      <c r="A448">
        <f>'2 transformar y limpiar'!A462</f>
        <v/>
      </c>
      <c r="B448">
        <f>'2 transformar y limpiar'!B462</f>
        <v/>
      </c>
      <c r="C448" s="6">
        <f>('2 transformar y limpiar'!C462-$B$6)/$C$6</f>
        <v/>
      </c>
      <c r="D448" s="6">
        <f>('2 transformar y limpiar'!D462-$B$7)/$C$7</f>
        <v/>
      </c>
      <c r="E448" s="6">
        <f>('2 transformar y limpiar'!E462-$B$8)/$C$8</f>
        <v/>
      </c>
      <c r="F448" s="6">
        <f>('2 transformar y limpiar'!F462-$B$9)/$C$9</f>
        <v/>
      </c>
      <c r="G448">
        <f>'2 transformar y limpiar'!G462</f>
        <v/>
      </c>
      <c r="H448">
        <f>'2 transformar y limpiar'!H462</f>
        <v/>
      </c>
      <c r="I448">
        <f>'2 transformar y limpiar'!I462</f>
        <v/>
      </c>
      <c r="J448">
        <f>'2 transformar y limpiar'!J462</f>
        <v/>
      </c>
      <c r="K448">
        <f>'2 transformar y limpiar'!K462</f>
        <v/>
      </c>
      <c r="L448">
        <f>'2 transformar y limpiar'!L462</f>
        <v/>
      </c>
      <c r="M448">
        <f>'2 transformar y limpiar'!M462</f>
        <v/>
      </c>
      <c r="N448">
        <f>'2 transformar y limpiar'!N462</f>
        <v/>
      </c>
      <c r="O448">
        <f>'2 transformar y limpiar'!O462</f>
        <v/>
      </c>
      <c r="P448">
        <f>'2 transformar y limpiar'!P462</f>
        <v/>
      </c>
      <c r="Q448">
        <f>'2 transformar y limpiar'!Q462</f>
        <v/>
      </c>
      <c r="R448">
        <f>'2 transformar y limpiar'!R462</f>
        <v/>
      </c>
      <c r="S448">
        <f>'2 transformar y limpiar'!S462</f>
        <v/>
      </c>
      <c r="T448">
        <f>'2 transformar y limpiar'!T462</f>
        <v/>
      </c>
      <c r="U448" s="5">
        <f>'2 transformar y limpiar'!U462</f>
        <v/>
      </c>
    </row>
    <row r="449">
      <c r="A449">
        <f>'2 transformar y limpiar'!A463</f>
        <v/>
      </c>
      <c r="B449">
        <f>'2 transformar y limpiar'!B463</f>
        <v/>
      </c>
      <c r="C449" s="6">
        <f>('2 transformar y limpiar'!C463-$B$6)/$C$6</f>
        <v/>
      </c>
      <c r="D449" s="6">
        <f>('2 transformar y limpiar'!D463-$B$7)/$C$7</f>
        <v/>
      </c>
      <c r="E449" s="6">
        <f>('2 transformar y limpiar'!E463-$B$8)/$C$8</f>
        <v/>
      </c>
      <c r="F449" s="6">
        <f>('2 transformar y limpiar'!F463-$B$9)/$C$9</f>
        <v/>
      </c>
      <c r="G449">
        <f>'2 transformar y limpiar'!G463</f>
        <v/>
      </c>
      <c r="H449">
        <f>'2 transformar y limpiar'!H463</f>
        <v/>
      </c>
      <c r="I449">
        <f>'2 transformar y limpiar'!I463</f>
        <v/>
      </c>
      <c r="J449">
        <f>'2 transformar y limpiar'!J463</f>
        <v/>
      </c>
      <c r="K449">
        <f>'2 transformar y limpiar'!K463</f>
        <v/>
      </c>
      <c r="L449">
        <f>'2 transformar y limpiar'!L463</f>
        <v/>
      </c>
      <c r="M449">
        <f>'2 transformar y limpiar'!M463</f>
        <v/>
      </c>
      <c r="N449">
        <f>'2 transformar y limpiar'!N463</f>
        <v/>
      </c>
      <c r="O449">
        <f>'2 transformar y limpiar'!O463</f>
        <v/>
      </c>
      <c r="P449">
        <f>'2 transformar y limpiar'!P463</f>
        <v/>
      </c>
      <c r="Q449">
        <f>'2 transformar y limpiar'!Q463</f>
        <v/>
      </c>
      <c r="R449">
        <f>'2 transformar y limpiar'!R463</f>
        <v/>
      </c>
      <c r="S449">
        <f>'2 transformar y limpiar'!S463</f>
        <v/>
      </c>
      <c r="T449">
        <f>'2 transformar y limpiar'!T463</f>
        <v/>
      </c>
      <c r="U449" s="5">
        <f>'2 transformar y limpiar'!U463</f>
        <v/>
      </c>
    </row>
    <row r="450">
      <c r="A450">
        <f>'2 transformar y limpiar'!A464</f>
        <v/>
      </c>
      <c r="B450">
        <f>'2 transformar y limpiar'!B464</f>
        <v/>
      </c>
      <c r="C450" s="6">
        <f>('2 transformar y limpiar'!C464-$B$6)/$C$6</f>
        <v/>
      </c>
      <c r="D450" s="6">
        <f>('2 transformar y limpiar'!D464-$B$7)/$C$7</f>
        <v/>
      </c>
      <c r="E450" s="6">
        <f>('2 transformar y limpiar'!E464-$B$8)/$C$8</f>
        <v/>
      </c>
      <c r="F450" s="6">
        <f>('2 transformar y limpiar'!F464-$B$9)/$C$9</f>
        <v/>
      </c>
      <c r="G450">
        <f>'2 transformar y limpiar'!G464</f>
        <v/>
      </c>
      <c r="H450">
        <f>'2 transformar y limpiar'!H464</f>
        <v/>
      </c>
      <c r="I450">
        <f>'2 transformar y limpiar'!I464</f>
        <v/>
      </c>
      <c r="J450">
        <f>'2 transformar y limpiar'!J464</f>
        <v/>
      </c>
      <c r="K450">
        <f>'2 transformar y limpiar'!K464</f>
        <v/>
      </c>
      <c r="L450">
        <f>'2 transformar y limpiar'!L464</f>
        <v/>
      </c>
      <c r="M450">
        <f>'2 transformar y limpiar'!M464</f>
        <v/>
      </c>
      <c r="N450">
        <f>'2 transformar y limpiar'!N464</f>
        <v/>
      </c>
      <c r="O450">
        <f>'2 transformar y limpiar'!O464</f>
        <v/>
      </c>
      <c r="P450">
        <f>'2 transformar y limpiar'!P464</f>
        <v/>
      </c>
      <c r="Q450">
        <f>'2 transformar y limpiar'!Q464</f>
        <v/>
      </c>
      <c r="R450">
        <f>'2 transformar y limpiar'!R464</f>
        <v/>
      </c>
      <c r="S450">
        <f>'2 transformar y limpiar'!S464</f>
        <v/>
      </c>
      <c r="T450">
        <f>'2 transformar y limpiar'!T464</f>
        <v/>
      </c>
      <c r="U450" s="5">
        <f>'2 transformar y limpiar'!U464</f>
        <v/>
      </c>
    </row>
    <row r="451">
      <c r="A451">
        <f>'2 transformar y limpiar'!A465</f>
        <v/>
      </c>
      <c r="B451">
        <f>'2 transformar y limpiar'!B465</f>
        <v/>
      </c>
      <c r="C451" s="6">
        <f>('2 transformar y limpiar'!C465-$B$6)/$C$6</f>
        <v/>
      </c>
      <c r="D451" s="6">
        <f>('2 transformar y limpiar'!D465-$B$7)/$C$7</f>
        <v/>
      </c>
      <c r="E451" s="6">
        <f>('2 transformar y limpiar'!E465-$B$8)/$C$8</f>
        <v/>
      </c>
      <c r="F451" s="6">
        <f>('2 transformar y limpiar'!F465-$B$9)/$C$9</f>
        <v/>
      </c>
      <c r="G451">
        <f>'2 transformar y limpiar'!G465</f>
        <v/>
      </c>
      <c r="H451">
        <f>'2 transformar y limpiar'!H465</f>
        <v/>
      </c>
      <c r="I451">
        <f>'2 transformar y limpiar'!I465</f>
        <v/>
      </c>
      <c r="J451">
        <f>'2 transformar y limpiar'!J465</f>
        <v/>
      </c>
      <c r="K451">
        <f>'2 transformar y limpiar'!K465</f>
        <v/>
      </c>
      <c r="L451">
        <f>'2 transformar y limpiar'!L465</f>
        <v/>
      </c>
      <c r="M451">
        <f>'2 transformar y limpiar'!M465</f>
        <v/>
      </c>
      <c r="N451">
        <f>'2 transformar y limpiar'!N465</f>
        <v/>
      </c>
      <c r="O451">
        <f>'2 transformar y limpiar'!O465</f>
        <v/>
      </c>
      <c r="P451">
        <f>'2 transformar y limpiar'!P465</f>
        <v/>
      </c>
      <c r="Q451">
        <f>'2 transformar y limpiar'!Q465</f>
        <v/>
      </c>
      <c r="R451">
        <f>'2 transformar y limpiar'!R465</f>
        <v/>
      </c>
      <c r="S451">
        <f>'2 transformar y limpiar'!S465</f>
        <v/>
      </c>
      <c r="T451">
        <f>'2 transformar y limpiar'!T465</f>
        <v/>
      </c>
      <c r="U451" s="5">
        <f>'2 transformar y limpiar'!U465</f>
        <v/>
      </c>
    </row>
    <row r="452">
      <c r="A452">
        <f>'2 transformar y limpiar'!A466</f>
        <v/>
      </c>
      <c r="B452">
        <f>'2 transformar y limpiar'!B466</f>
        <v/>
      </c>
      <c r="C452" s="6">
        <f>('2 transformar y limpiar'!C466-$B$6)/$C$6</f>
        <v/>
      </c>
      <c r="D452" s="6">
        <f>('2 transformar y limpiar'!D466-$B$7)/$C$7</f>
        <v/>
      </c>
      <c r="E452" s="6">
        <f>('2 transformar y limpiar'!E466-$B$8)/$C$8</f>
        <v/>
      </c>
      <c r="F452" s="6">
        <f>('2 transformar y limpiar'!F466-$B$9)/$C$9</f>
        <v/>
      </c>
      <c r="G452">
        <f>'2 transformar y limpiar'!G466</f>
        <v/>
      </c>
      <c r="H452">
        <f>'2 transformar y limpiar'!H466</f>
        <v/>
      </c>
      <c r="I452">
        <f>'2 transformar y limpiar'!I466</f>
        <v/>
      </c>
      <c r="J452">
        <f>'2 transformar y limpiar'!J466</f>
        <v/>
      </c>
      <c r="K452">
        <f>'2 transformar y limpiar'!K466</f>
        <v/>
      </c>
      <c r="L452">
        <f>'2 transformar y limpiar'!L466</f>
        <v/>
      </c>
      <c r="M452">
        <f>'2 transformar y limpiar'!M466</f>
        <v/>
      </c>
      <c r="N452">
        <f>'2 transformar y limpiar'!N466</f>
        <v/>
      </c>
      <c r="O452">
        <f>'2 transformar y limpiar'!O466</f>
        <v/>
      </c>
      <c r="P452">
        <f>'2 transformar y limpiar'!P466</f>
        <v/>
      </c>
      <c r="Q452">
        <f>'2 transformar y limpiar'!Q466</f>
        <v/>
      </c>
      <c r="R452">
        <f>'2 transformar y limpiar'!R466</f>
        <v/>
      </c>
      <c r="S452">
        <f>'2 transformar y limpiar'!S466</f>
        <v/>
      </c>
      <c r="T452">
        <f>'2 transformar y limpiar'!T466</f>
        <v/>
      </c>
      <c r="U452" s="5">
        <f>'2 transformar y limpiar'!U466</f>
        <v/>
      </c>
    </row>
    <row r="453">
      <c r="A453">
        <f>'2 transformar y limpiar'!A467</f>
        <v/>
      </c>
      <c r="B453">
        <f>'2 transformar y limpiar'!B467</f>
        <v/>
      </c>
      <c r="C453" s="6">
        <f>('2 transformar y limpiar'!C467-$B$6)/$C$6</f>
        <v/>
      </c>
      <c r="D453" s="6">
        <f>('2 transformar y limpiar'!D467-$B$7)/$C$7</f>
        <v/>
      </c>
      <c r="E453" s="6">
        <f>('2 transformar y limpiar'!E467-$B$8)/$C$8</f>
        <v/>
      </c>
      <c r="F453" s="6">
        <f>('2 transformar y limpiar'!F467-$B$9)/$C$9</f>
        <v/>
      </c>
      <c r="G453">
        <f>'2 transformar y limpiar'!G467</f>
        <v/>
      </c>
      <c r="H453">
        <f>'2 transformar y limpiar'!H467</f>
        <v/>
      </c>
      <c r="I453">
        <f>'2 transformar y limpiar'!I467</f>
        <v/>
      </c>
      <c r="J453">
        <f>'2 transformar y limpiar'!J467</f>
        <v/>
      </c>
      <c r="K453">
        <f>'2 transformar y limpiar'!K467</f>
        <v/>
      </c>
      <c r="L453">
        <f>'2 transformar y limpiar'!L467</f>
        <v/>
      </c>
      <c r="M453">
        <f>'2 transformar y limpiar'!M467</f>
        <v/>
      </c>
      <c r="N453">
        <f>'2 transformar y limpiar'!N467</f>
        <v/>
      </c>
      <c r="O453">
        <f>'2 transformar y limpiar'!O467</f>
        <v/>
      </c>
      <c r="P453">
        <f>'2 transformar y limpiar'!P467</f>
        <v/>
      </c>
      <c r="Q453">
        <f>'2 transformar y limpiar'!Q467</f>
        <v/>
      </c>
      <c r="R453">
        <f>'2 transformar y limpiar'!R467</f>
        <v/>
      </c>
      <c r="S453">
        <f>'2 transformar y limpiar'!S467</f>
        <v/>
      </c>
      <c r="T453">
        <f>'2 transformar y limpiar'!T467</f>
        <v/>
      </c>
      <c r="U453" s="5">
        <f>'2 transformar y limpiar'!U467</f>
        <v/>
      </c>
    </row>
    <row r="454">
      <c r="A454">
        <f>'2 transformar y limpiar'!A468</f>
        <v/>
      </c>
      <c r="B454">
        <f>'2 transformar y limpiar'!B468</f>
        <v/>
      </c>
      <c r="C454" s="6">
        <f>('2 transformar y limpiar'!C468-$B$6)/$C$6</f>
        <v/>
      </c>
      <c r="D454" s="6">
        <f>('2 transformar y limpiar'!D468-$B$7)/$C$7</f>
        <v/>
      </c>
      <c r="E454" s="6">
        <f>('2 transformar y limpiar'!E468-$B$8)/$C$8</f>
        <v/>
      </c>
      <c r="F454" s="6">
        <f>('2 transformar y limpiar'!F468-$B$9)/$C$9</f>
        <v/>
      </c>
      <c r="G454">
        <f>'2 transformar y limpiar'!G468</f>
        <v/>
      </c>
      <c r="H454">
        <f>'2 transformar y limpiar'!H468</f>
        <v/>
      </c>
      <c r="I454">
        <f>'2 transformar y limpiar'!I468</f>
        <v/>
      </c>
      <c r="J454">
        <f>'2 transformar y limpiar'!J468</f>
        <v/>
      </c>
      <c r="K454">
        <f>'2 transformar y limpiar'!K468</f>
        <v/>
      </c>
      <c r="L454">
        <f>'2 transformar y limpiar'!L468</f>
        <v/>
      </c>
      <c r="M454">
        <f>'2 transformar y limpiar'!M468</f>
        <v/>
      </c>
      <c r="N454">
        <f>'2 transformar y limpiar'!N468</f>
        <v/>
      </c>
      <c r="O454">
        <f>'2 transformar y limpiar'!O468</f>
        <v/>
      </c>
      <c r="P454">
        <f>'2 transformar y limpiar'!P468</f>
        <v/>
      </c>
      <c r="Q454">
        <f>'2 transformar y limpiar'!Q468</f>
        <v/>
      </c>
      <c r="R454">
        <f>'2 transformar y limpiar'!R468</f>
        <v/>
      </c>
      <c r="S454">
        <f>'2 transformar y limpiar'!S468</f>
        <v/>
      </c>
      <c r="T454">
        <f>'2 transformar y limpiar'!T468</f>
        <v/>
      </c>
      <c r="U454" s="5">
        <f>'2 transformar y limpiar'!U468</f>
        <v/>
      </c>
    </row>
    <row r="455">
      <c r="A455">
        <f>'2 transformar y limpiar'!A469</f>
        <v/>
      </c>
      <c r="B455">
        <f>'2 transformar y limpiar'!B469</f>
        <v/>
      </c>
      <c r="C455" s="6">
        <f>('2 transformar y limpiar'!C469-$B$6)/$C$6</f>
        <v/>
      </c>
      <c r="D455" s="6">
        <f>('2 transformar y limpiar'!D469-$B$7)/$C$7</f>
        <v/>
      </c>
      <c r="E455" s="6">
        <f>('2 transformar y limpiar'!E469-$B$8)/$C$8</f>
        <v/>
      </c>
      <c r="F455" s="6">
        <f>('2 transformar y limpiar'!F469-$B$9)/$C$9</f>
        <v/>
      </c>
      <c r="G455">
        <f>'2 transformar y limpiar'!G469</f>
        <v/>
      </c>
      <c r="H455">
        <f>'2 transformar y limpiar'!H469</f>
        <v/>
      </c>
      <c r="I455">
        <f>'2 transformar y limpiar'!I469</f>
        <v/>
      </c>
      <c r="J455">
        <f>'2 transformar y limpiar'!J469</f>
        <v/>
      </c>
      <c r="K455">
        <f>'2 transformar y limpiar'!K469</f>
        <v/>
      </c>
      <c r="L455">
        <f>'2 transformar y limpiar'!L469</f>
        <v/>
      </c>
      <c r="M455">
        <f>'2 transformar y limpiar'!M469</f>
        <v/>
      </c>
      <c r="N455">
        <f>'2 transformar y limpiar'!N469</f>
        <v/>
      </c>
      <c r="O455">
        <f>'2 transformar y limpiar'!O469</f>
        <v/>
      </c>
      <c r="P455">
        <f>'2 transformar y limpiar'!P469</f>
        <v/>
      </c>
      <c r="Q455">
        <f>'2 transformar y limpiar'!Q469</f>
        <v/>
      </c>
      <c r="R455">
        <f>'2 transformar y limpiar'!R469</f>
        <v/>
      </c>
      <c r="S455">
        <f>'2 transformar y limpiar'!S469</f>
        <v/>
      </c>
      <c r="T455">
        <f>'2 transformar y limpiar'!T469</f>
        <v/>
      </c>
      <c r="U455" s="5">
        <f>'2 transformar y limpiar'!U469</f>
        <v/>
      </c>
    </row>
    <row r="456">
      <c r="A456">
        <f>'2 transformar y limpiar'!A470</f>
        <v/>
      </c>
      <c r="B456">
        <f>'2 transformar y limpiar'!B470</f>
        <v/>
      </c>
      <c r="C456" s="6">
        <f>('2 transformar y limpiar'!C470-$B$6)/$C$6</f>
        <v/>
      </c>
      <c r="D456" s="6">
        <f>('2 transformar y limpiar'!D470-$B$7)/$C$7</f>
        <v/>
      </c>
      <c r="E456" s="6">
        <f>('2 transformar y limpiar'!E470-$B$8)/$C$8</f>
        <v/>
      </c>
      <c r="F456" s="6">
        <f>('2 transformar y limpiar'!F470-$B$9)/$C$9</f>
        <v/>
      </c>
      <c r="G456">
        <f>'2 transformar y limpiar'!G470</f>
        <v/>
      </c>
      <c r="H456">
        <f>'2 transformar y limpiar'!H470</f>
        <v/>
      </c>
      <c r="I456">
        <f>'2 transformar y limpiar'!I470</f>
        <v/>
      </c>
      <c r="J456">
        <f>'2 transformar y limpiar'!J470</f>
        <v/>
      </c>
      <c r="K456">
        <f>'2 transformar y limpiar'!K470</f>
        <v/>
      </c>
      <c r="L456">
        <f>'2 transformar y limpiar'!L470</f>
        <v/>
      </c>
      <c r="M456">
        <f>'2 transformar y limpiar'!M470</f>
        <v/>
      </c>
      <c r="N456">
        <f>'2 transformar y limpiar'!N470</f>
        <v/>
      </c>
      <c r="O456">
        <f>'2 transformar y limpiar'!O470</f>
        <v/>
      </c>
      <c r="P456">
        <f>'2 transformar y limpiar'!P470</f>
        <v/>
      </c>
      <c r="Q456">
        <f>'2 transformar y limpiar'!Q470</f>
        <v/>
      </c>
      <c r="R456">
        <f>'2 transformar y limpiar'!R470</f>
        <v/>
      </c>
      <c r="S456">
        <f>'2 transformar y limpiar'!S470</f>
        <v/>
      </c>
      <c r="T456">
        <f>'2 transformar y limpiar'!T470</f>
        <v/>
      </c>
      <c r="U456" s="5">
        <f>'2 transformar y limpiar'!U470</f>
        <v/>
      </c>
    </row>
    <row r="457">
      <c r="A457">
        <f>'2 transformar y limpiar'!A471</f>
        <v/>
      </c>
      <c r="B457">
        <f>'2 transformar y limpiar'!B471</f>
        <v/>
      </c>
      <c r="C457" s="6">
        <f>('2 transformar y limpiar'!C471-$B$6)/$C$6</f>
        <v/>
      </c>
      <c r="D457" s="6">
        <f>('2 transformar y limpiar'!D471-$B$7)/$C$7</f>
        <v/>
      </c>
      <c r="E457" s="6">
        <f>('2 transformar y limpiar'!E471-$B$8)/$C$8</f>
        <v/>
      </c>
      <c r="F457" s="6">
        <f>('2 transformar y limpiar'!F471-$B$9)/$C$9</f>
        <v/>
      </c>
      <c r="G457">
        <f>'2 transformar y limpiar'!G471</f>
        <v/>
      </c>
      <c r="H457">
        <f>'2 transformar y limpiar'!H471</f>
        <v/>
      </c>
      <c r="I457">
        <f>'2 transformar y limpiar'!I471</f>
        <v/>
      </c>
      <c r="J457">
        <f>'2 transformar y limpiar'!J471</f>
        <v/>
      </c>
      <c r="K457">
        <f>'2 transformar y limpiar'!K471</f>
        <v/>
      </c>
      <c r="L457">
        <f>'2 transformar y limpiar'!L471</f>
        <v/>
      </c>
      <c r="M457">
        <f>'2 transformar y limpiar'!M471</f>
        <v/>
      </c>
      <c r="N457">
        <f>'2 transformar y limpiar'!N471</f>
        <v/>
      </c>
      <c r="O457">
        <f>'2 transformar y limpiar'!O471</f>
        <v/>
      </c>
      <c r="P457">
        <f>'2 transformar y limpiar'!P471</f>
        <v/>
      </c>
      <c r="Q457">
        <f>'2 transformar y limpiar'!Q471</f>
        <v/>
      </c>
      <c r="R457">
        <f>'2 transformar y limpiar'!R471</f>
        <v/>
      </c>
      <c r="S457">
        <f>'2 transformar y limpiar'!S471</f>
        <v/>
      </c>
      <c r="T457">
        <f>'2 transformar y limpiar'!T471</f>
        <v/>
      </c>
      <c r="U457" s="5">
        <f>'2 transformar y limpiar'!U471</f>
        <v/>
      </c>
    </row>
    <row r="458">
      <c r="A458">
        <f>'2 transformar y limpiar'!A472</f>
        <v/>
      </c>
      <c r="B458">
        <f>'2 transformar y limpiar'!B472</f>
        <v/>
      </c>
      <c r="C458" s="6">
        <f>('2 transformar y limpiar'!C472-$B$6)/$C$6</f>
        <v/>
      </c>
      <c r="D458" s="6">
        <f>('2 transformar y limpiar'!D472-$B$7)/$C$7</f>
        <v/>
      </c>
      <c r="E458" s="6">
        <f>('2 transformar y limpiar'!E472-$B$8)/$C$8</f>
        <v/>
      </c>
      <c r="F458" s="6">
        <f>('2 transformar y limpiar'!F472-$B$9)/$C$9</f>
        <v/>
      </c>
      <c r="G458">
        <f>'2 transformar y limpiar'!G472</f>
        <v/>
      </c>
      <c r="H458">
        <f>'2 transformar y limpiar'!H472</f>
        <v/>
      </c>
      <c r="I458">
        <f>'2 transformar y limpiar'!I472</f>
        <v/>
      </c>
      <c r="J458">
        <f>'2 transformar y limpiar'!J472</f>
        <v/>
      </c>
      <c r="K458">
        <f>'2 transformar y limpiar'!K472</f>
        <v/>
      </c>
      <c r="L458">
        <f>'2 transformar y limpiar'!L472</f>
        <v/>
      </c>
      <c r="M458">
        <f>'2 transformar y limpiar'!M472</f>
        <v/>
      </c>
      <c r="N458">
        <f>'2 transformar y limpiar'!N472</f>
        <v/>
      </c>
      <c r="O458">
        <f>'2 transformar y limpiar'!O472</f>
        <v/>
      </c>
      <c r="P458">
        <f>'2 transformar y limpiar'!P472</f>
        <v/>
      </c>
      <c r="Q458">
        <f>'2 transformar y limpiar'!Q472</f>
        <v/>
      </c>
      <c r="R458">
        <f>'2 transformar y limpiar'!R472</f>
        <v/>
      </c>
      <c r="S458">
        <f>'2 transformar y limpiar'!S472</f>
        <v/>
      </c>
      <c r="T458">
        <f>'2 transformar y limpiar'!T472</f>
        <v/>
      </c>
      <c r="U458" s="5">
        <f>'2 transformar y limpiar'!U472</f>
        <v/>
      </c>
    </row>
    <row r="459">
      <c r="A459">
        <f>'2 transformar y limpiar'!A473</f>
        <v/>
      </c>
      <c r="B459">
        <f>'2 transformar y limpiar'!B473</f>
        <v/>
      </c>
      <c r="C459" s="6">
        <f>('2 transformar y limpiar'!C473-$B$6)/$C$6</f>
        <v/>
      </c>
      <c r="D459" s="6">
        <f>('2 transformar y limpiar'!D473-$B$7)/$C$7</f>
        <v/>
      </c>
      <c r="E459" s="6">
        <f>('2 transformar y limpiar'!E473-$B$8)/$C$8</f>
        <v/>
      </c>
      <c r="F459" s="6">
        <f>('2 transformar y limpiar'!F473-$B$9)/$C$9</f>
        <v/>
      </c>
      <c r="G459">
        <f>'2 transformar y limpiar'!G473</f>
        <v/>
      </c>
      <c r="H459">
        <f>'2 transformar y limpiar'!H473</f>
        <v/>
      </c>
      <c r="I459">
        <f>'2 transformar y limpiar'!I473</f>
        <v/>
      </c>
      <c r="J459">
        <f>'2 transformar y limpiar'!J473</f>
        <v/>
      </c>
      <c r="K459">
        <f>'2 transformar y limpiar'!K473</f>
        <v/>
      </c>
      <c r="L459">
        <f>'2 transformar y limpiar'!L473</f>
        <v/>
      </c>
      <c r="M459">
        <f>'2 transformar y limpiar'!M473</f>
        <v/>
      </c>
      <c r="N459">
        <f>'2 transformar y limpiar'!N473</f>
        <v/>
      </c>
      <c r="O459">
        <f>'2 transformar y limpiar'!O473</f>
        <v/>
      </c>
      <c r="P459">
        <f>'2 transformar y limpiar'!P473</f>
        <v/>
      </c>
      <c r="Q459">
        <f>'2 transformar y limpiar'!Q473</f>
        <v/>
      </c>
      <c r="R459">
        <f>'2 transformar y limpiar'!R473</f>
        <v/>
      </c>
      <c r="S459">
        <f>'2 transformar y limpiar'!S473</f>
        <v/>
      </c>
      <c r="T459">
        <f>'2 transformar y limpiar'!T473</f>
        <v/>
      </c>
      <c r="U459" s="5">
        <f>'2 transformar y limpiar'!U473</f>
        <v/>
      </c>
    </row>
    <row r="460">
      <c r="A460">
        <f>'2 transformar y limpiar'!A474</f>
        <v/>
      </c>
      <c r="B460">
        <f>'2 transformar y limpiar'!B474</f>
        <v/>
      </c>
      <c r="C460" s="6">
        <f>('2 transformar y limpiar'!C474-$B$6)/$C$6</f>
        <v/>
      </c>
      <c r="D460" s="6">
        <f>('2 transformar y limpiar'!D474-$B$7)/$C$7</f>
        <v/>
      </c>
      <c r="E460" s="6">
        <f>('2 transformar y limpiar'!E474-$B$8)/$C$8</f>
        <v/>
      </c>
      <c r="F460" s="6">
        <f>('2 transformar y limpiar'!F474-$B$9)/$C$9</f>
        <v/>
      </c>
      <c r="G460">
        <f>'2 transformar y limpiar'!G474</f>
        <v/>
      </c>
      <c r="H460">
        <f>'2 transformar y limpiar'!H474</f>
        <v/>
      </c>
      <c r="I460">
        <f>'2 transformar y limpiar'!I474</f>
        <v/>
      </c>
      <c r="J460">
        <f>'2 transformar y limpiar'!J474</f>
        <v/>
      </c>
      <c r="K460">
        <f>'2 transformar y limpiar'!K474</f>
        <v/>
      </c>
      <c r="L460">
        <f>'2 transformar y limpiar'!L474</f>
        <v/>
      </c>
      <c r="M460">
        <f>'2 transformar y limpiar'!M474</f>
        <v/>
      </c>
      <c r="N460">
        <f>'2 transformar y limpiar'!N474</f>
        <v/>
      </c>
      <c r="O460">
        <f>'2 transformar y limpiar'!O474</f>
        <v/>
      </c>
      <c r="P460">
        <f>'2 transformar y limpiar'!P474</f>
        <v/>
      </c>
      <c r="Q460">
        <f>'2 transformar y limpiar'!Q474</f>
        <v/>
      </c>
      <c r="R460">
        <f>'2 transformar y limpiar'!R474</f>
        <v/>
      </c>
      <c r="S460">
        <f>'2 transformar y limpiar'!S474</f>
        <v/>
      </c>
      <c r="T460">
        <f>'2 transformar y limpiar'!T474</f>
        <v/>
      </c>
      <c r="U460" s="5">
        <f>'2 transformar y limpiar'!U474</f>
        <v/>
      </c>
    </row>
    <row r="461">
      <c r="A461">
        <f>'2 transformar y limpiar'!A475</f>
        <v/>
      </c>
      <c r="B461">
        <f>'2 transformar y limpiar'!B475</f>
        <v/>
      </c>
      <c r="C461" s="6">
        <f>('2 transformar y limpiar'!C475-$B$6)/$C$6</f>
        <v/>
      </c>
      <c r="D461" s="6">
        <f>('2 transformar y limpiar'!D475-$B$7)/$C$7</f>
        <v/>
      </c>
      <c r="E461" s="6">
        <f>('2 transformar y limpiar'!E475-$B$8)/$C$8</f>
        <v/>
      </c>
      <c r="F461" s="6">
        <f>('2 transformar y limpiar'!F475-$B$9)/$C$9</f>
        <v/>
      </c>
      <c r="G461">
        <f>'2 transformar y limpiar'!G475</f>
        <v/>
      </c>
      <c r="H461">
        <f>'2 transformar y limpiar'!H475</f>
        <v/>
      </c>
      <c r="I461">
        <f>'2 transformar y limpiar'!I475</f>
        <v/>
      </c>
      <c r="J461">
        <f>'2 transformar y limpiar'!J475</f>
        <v/>
      </c>
      <c r="K461">
        <f>'2 transformar y limpiar'!K475</f>
        <v/>
      </c>
      <c r="L461">
        <f>'2 transformar y limpiar'!L475</f>
        <v/>
      </c>
      <c r="M461">
        <f>'2 transformar y limpiar'!M475</f>
        <v/>
      </c>
      <c r="N461">
        <f>'2 transformar y limpiar'!N475</f>
        <v/>
      </c>
      <c r="O461">
        <f>'2 transformar y limpiar'!O475</f>
        <v/>
      </c>
      <c r="P461">
        <f>'2 transformar y limpiar'!P475</f>
        <v/>
      </c>
      <c r="Q461">
        <f>'2 transformar y limpiar'!Q475</f>
        <v/>
      </c>
      <c r="R461">
        <f>'2 transformar y limpiar'!R475</f>
        <v/>
      </c>
      <c r="S461">
        <f>'2 transformar y limpiar'!S475</f>
        <v/>
      </c>
      <c r="T461">
        <f>'2 transformar y limpiar'!T475</f>
        <v/>
      </c>
      <c r="U461" s="5">
        <f>'2 transformar y limpiar'!U475</f>
        <v/>
      </c>
    </row>
    <row r="462">
      <c r="A462">
        <f>'2 transformar y limpiar'!A476</f>
        <v/>
      </c>
      <c r="B462">
        <f>'2 transformar y limpiar'!B476</f>
        <v/>
      </c>
      <c r="C462" s="6">
        <f>('2 transformar y limpiar'!C476-$B$6)/$C$6</f>
        <v/>
      </c>
      <c r="D462" s="6">
        <f>('2 transformar y limpiar'!D476-$B$7)/$C$7</f>
        <v/>
      </c>
      <c r="E462" s="6">
        <f>('2 transformar y limpiar'!E476-$B$8)/$C$8</f>
        <v/>
      </c>
      <c r="F462" s="6">
        <f>('2 transformar y limpiar'!F476-$B$9)/$C$9</f>
        <v/>
      </c>
      <c r="G462">
        <f>'2 transformar y limpiar'!G476</f>
        <v/>
      </c>
      <c r="H462">
        <f>'2 transformar y limpiar'!H476</f>
        <v/>
      </c>
      <c r="I462">
        <f>'2 transformar y limpiar'!I476</f>
        <v/>
      </c>
      <c r="J462">
        <f>'2 transformar y limpiar'!J476</f>
        <v/>
      </c>
      <c r="K462">
        <f>'2 transformar y limpiar'!K476</f>
        <v/>
      </c>
      <c r="L462">
        <f>'2 transformar y limpiar'!L476</f>
        <v/>
      </c>
      <c r="M462">
        <f>'2 transformar y limpiar'!M476</f>
        <v/>
      </c>
      <c r="N462">
        <f>'2 transformar y limpiar'!N476</f>
        <v/>
      </c>
      <c r="O462">
        <f>'2 transformar y limpiar'!O476</f>
        <v/>
      </c>
      <c r="P462">
        <f>'2 transformar y limpiar'!P476</f>
        <v/>
      </c>
      <c r="Q462">
        <f>'2 transformar y limpiar'!Q476</f>
        <v/>
      </c>
      <c r="R462">
        <f>'2 transformar y limpiar'!R476</f>
        <v/>
      </c>
      <c r="S462">
        <f>'2 transformar y limpiar'!S476</f>
        <v/>
      </c>
      <c r="T462">
        <f>'2 transformar y limpiar'!T476</f>
        <v/>
      </c>
      <c r="U462" s="5">
        <f>'2 transformar y limpiar'!U476</f>
        <v/>
      </c>
    </row>
    <row r="463">
      <c r="A463">
        <f>'2 transformar y limpiar'!A477</f>
        <v/>
      </c>
      <c r="B463">
        <f>'2 transformar y limpiar'!B477</f>
        <v/>
      </c>
      <c r="C463" s="6">
        <f>('2 transformar y limpiar'!C477-$B$6)/$C$6</f>
        <v/>
      </c>
      <c r="D463" s="6">
        <f>('2 transformar y limpiar'!D477-$B$7)/$C$7</f>
        <v/>
      </c>
      <c r="E463" s="6">
        <f>('2 transformar y limpiar'!E477-$B$8)/$C$8</f>
        <v/>
      </c>
      <c r="F463" s="6">
        <f>('2 transformar y limpiar'!F477-$B$9)/$C$9</f>
        <v/>
      </c>
      <c r="G463">
        <f>'2 transformar y limpiar'!G477</f>
        <v/>
      </c>
      <c r="H463">
        <f>'2 transformar y limpiar'!H477</f>
        <v/>
      </c>
      <c r="I463">
        <f>'2 transformar y limpiar'!I477</f>
        <v/>
      </c>
      <c r="J463">
        <f>'2 transformar y limpiar'!J477</f>
        <v/>
      </c>
      <c r="K463">
        <f>'2 transformar y limpiar'!K477</f>
        <v/>
      </c>
      <c r="L463">
        <f>'2 transformar y limpiar'!L477</f>
        <v/>
      </c>
      <c r="M463">
        <f>'2 transformar y limpiar'!M477</f>
        <v/>
      </c>
      <c r="N463">
        <f>'2 transformar y limpiar'!N477</f>
        <v/>
      </c>
      <c r="O463">
        <f>'2 transformar y limpiar'!O477</f>
        <v/>
      </c>
      <c r="P463">
        <f>'2 transformar y limpiar'!P477</f>
        <v/>
      </c>
      <c r="Q463">
        <f>'2 transformar y limpiar'!Q477</f>
        <v/>
      </c>
      <c r="R463">
        <f>'2 transformar y limpiar'!R477</f>
        <v/>
      </c>
      <c r="S463">
        <f>'2 transformar y limpiar'!S477</f>
        <v/>
      </c>
      <c r="T463">
        <f>'2 transformar y limpiar'!T477</f>
        <v/>
      </c>
      <c r="U463" s="5">
        <f>'2 transformar y limpiar'!U477</f>
        <v/>
      </c>
    </row>
    <row r="464">
      <c r="A464">
        <f>'2 transformar y limpiar'!A478</f>
        <v/>
      </c>
      <c r="B464">
        <f>'2 transformar y limpiar'!B478</f>
        <v/>
      </c>
      <c r="C464" s="6">
        <f>('2 transformar y limpiar'!C478-$B$6)/$C$6</f>
        <v/>
      </c>
      <c r="D464" s="6">
        <f>('2 transformar y limpiar'!D478-$B$7)/$C$7</f>
        <v/>
      </c>
      <c r="E464" s="6">
        <f>('2 transformar y limpiar'!E478-$B$8)/$C$8</f>
        <v/>
      </c>
      <c r="F464" s="6">
        <f>('2 transformar y limpiar'!F478-$B$9)/$C$9</f>
        <v/>
      </c>
      <c r="G464">
        <f>'2 transformar y limpiar'!G478</f>
        <v/>
      </c>
      <c r="H464">
        <f>'2 transformar y limpiar'!H478</f>
        <v/>
      </c>
      <c r="I464">
        <f>'2 transformar y limpiar'!I478</f>
        <v/>
      </c>
      <c r="J464">
        <f>'2 transformar y limpiar'!J478</f>
        <v/>
      </c>
      <c r="K464">
        <f>'2 transformar y limpiar'!K478</f>
        <v/>
      </c>
      <c r="L464">
        <f>'2 transformar y limpiar'!L478</f>
        <v/>
      </c>
      <c r="M464">
        <f>'2 transformar y limpiar'!M478</f>
        <v/>
      </c>
      <c r="N464">
        <f>'2 transformar y limpiar'!N478</f>
        <v/>
      </c>
      <c r="O464">
        <f>'2 transformar y limpiar'!O478</f>
        <v/>
      </c>
      <c r="P464">
        <f>'2 transformar y limpiar'!P478</f>
        <v/>
      </c>
      <c r="Q464">
        <f>'2 transformar y limpiar'!Q478</f>
        <v/>
      </c>
      <c r="R464">
        <f>'2 transformar y limpiar'!R478</f>
        <v/>
      </c>
      <c r="S464">
        <f>'2 transformar y limpiar'!S478</f>
        <v/>
      </c>
      <c r="T464">
        <f>'2 transformar y limpiar'!T478</f>
        <v/>
      </c>
      <c r="U464" s="5">
        <f>'2 transformar y limpiar'!U478</f>
        <v/>
      </c>
    </row>
    <row r="465">
      <c r="A465">
        <f>'2 transformar y limpiar'!A479</f>
        <v/>
      </c>
      <c r="B465">
        <f>'2 transformar y limpiar'!B479</f>
        <v/>
      </c>
      <c r="C465" s="6">
        <f>('2 transformar y limpiar'!C479-$B$6)/$C$6</f>
        <v/>
      </c>
      <c r="D465" s="6">
        <f>('2 transformar y limpiar'!D479-$B$7)/$C$7</f>
        <v/>
      </c>
      <c r="E465" s="6">
        <f>('2 transformar y limpiar'!E479-$B$8)/$C$8</f>
        <v/>
      </c>
      <c r="F465" s="6">
        <f>('2 transformar y limpiar'!F479-$B$9)/$C$9</f>
        <v/>
      </c>
      <c r="G465">
        <f>'2 transformar y limpiar'!G479</f>
        <v/>
      </c>
      <c r="H465">
        <f>'2 transformar y limpiar'!H479</f>
        <v/>
      </c>
      <c r="I465">
        <f>'2 transformar y limpiar'!I479</f>
        <v/>
      </c>
      <c r="J465">
        <f>'2 transformar y limpiar'!J479</f>
        <v/>
      </c>
      <c r="K465">
        <f>'2 transformar y limpiar'!K479</f>
        <v/>
      </c>
      <c r="L465">
        <f>'2 transformar y limpiar'!L479</f>
        <v/>
      </c>
      <c r="M465">
        <f>'2 transformar y limpiar'!M479</f>
        <v/>
      </c>
      <c r="N465">
        <f>'2 transformar y limpiar'!N479</f>
        <v/>
      </c>
      <c r="O465">
        <f>'2 transformar y limpiar'!O479</f>
        <v/>
      </c>
      <c r="P465">
        <f>'2 transformar y limpiar'!P479</f>
        <v/>
      </c>
      <c r="Q465">
        <f>'2 transformar y limpiar'!Q479</f>
        <v/>
      </c>
      <c r="R465">
        <f>'2 transformar y limpiar'!R479</f>
        <v/>
      </c>
      <c r="S465">
        <f>'2 transformar y limpiar'!S479</f>
        <v/>
      </c>
      <c r="T465">
        <f>'2 transformar y limpiar'!T479</f>
        <v/>
      </c>
      <c r="U465" s="5">
        <f>'2 transformar y limpiar'!U479</f>
        <v/>
      </c>
    </row>
    <row r="466">
      <c r="A466">
        <f>'2 transformar y limpiar'!A480</f>
        <v/>
      </c>
      <c r="B466">
        <f>'2 transformar y limpiar'!B480</f>
        <v/>
      </c>
      <c r="C466" s="6">
        <f>('2 transformar y limpiar'!C480-$B$6)/$C$6</f>
        <v/>
      </c>
      <c r="D466" s="6">
        <f>('2 transformar y limpiar'!D480-$B$7)/$C$7</f>
        <v/>
      </c>
      <c r="E466" s="6">
        <f>('2 transformar y limpiar'!E480-$B$8)/$C$8</f>
        <v/>
      </c>
      <c r="F466" s="6">
        <f>('2 transformar y limpiar'!F480-$B$9)/$C$9</f>
        <v/>
      </c>
      <c r="G466">
        <f>'2 transformar y limpiar'!G480</f>
        <v/>
      </c>
      <c r="H466">
        <f>'2 transformar y limpiar'!H480</f>
        <v/>
      </c>
      <c r="I466">
        <f>'2 transformar y limpiar'!I480</f>
        <v/>
      </c>
      <c r="J466">
        <f>'2 transformar y limpiar'!J480</f>
        <v/>
      </c>
      <c r="K466">
        <f>'2 transformar y limpiar'!K480</f>
        <v/>
      </c>
      <c r="L466">
        <f>'2 transformar y limpiar'!L480</f>
        <v/>
      </c>
      <c r="M466">
        <f>'2 transformar y limpiar'!M480</f>
        <v/>
      </c>
      <c r="N466">
        <f>'2 transformar y limpiar'!N480</f>
        <v/>
      </c>
      <c r="O466">
        <f>'2 transformar y limpiar'!O480</f>
        <v/>
      </c>
      <c r="P466">
        <f>'2 transformar y limpiar'!P480</f>
        <v/>
      </c>
      <c r="Q466">
        <f>'2 transformar y limpiar'!Q480</f>
        <v/>
      </c>
      <c r="R466">
        <f>'2 transformar y limpiar'!R480</f>
        <v/>
      </c>
      <c r="S466">
        <f>'2 transformar y limpiar'!S480</f>
        <v/>
      </c>
      <c r="T466">
        <f>'2 transformar y limpiar'!T480</f>
        <v/>
      </c>
      <c r="U466" s="5">
        <f>'2 transformar y limpiar'!U480</f>
        <v/>
      </c>
    </row>
    <row r="467">
      <c r="A467">
        <f>'2 transformar y limpiar'!A481</f>
        <v/>
      </c>
      <c r="B467">
        <f>'2 transformar y limpiar'!B481</f>
        <v/>
      </c>
      <c r="C467" s="6">
        <f>('2 transformar y limpiar'!C481-$B$6)/$C$6</f>
        <v/>
      </c>
      <c r="D467" s="6">
        <f>('2 transformar y limpiar'!D481-$B$7)/$C$7</f>
        <v/>
      </c>
      <c r="E467" s="6">
        <f>('2 transformar y limpiar'!E481-$B$8)/$C$8</f>
        <v/>
      </c>
      <c r="F467" s="6">
        <f>('2 transformar y limpiar'!F481-$B$9)/$C$9</f>
        <v/>
      </c>
      <c r="G467">
        <f>'2 transformar y limpiar'!G481</f>
        <v/>
      </c>
      <c r="H467">
        <f>'2 transformar y limpiar'!H481</f>
        <v/>
      </c>
      <c r="I467">
        <f>'2 transformar y limpiar'!I481</f>
        <v/>
      </c>
      <c r="J467">
        <f>'2 transformar y limpiar'!J481</f>
        <v/>
      </c>
      <c r="K467">
        <f>'2 transformar y limpiar'!K481</f>
        <v/>
      </c>
      <c r="L467">
        <f>'2 transformar y limpiar'!L481</f>
        <v/>
      </c>
      <c r="M467">
        <f>'2 transformar y limpiar'!M481</f>
        <v/>
      </c>
      <c r="N467">
        <f>'2 transformar y limpiar'!N481</f>
        <v/>
      </c>
      <c r="O467">
        <f>'2 transformar y limpiar'!O481</f>
        <v/>
      </c>
      <c r="P467">
        <f>'2 transformar y limpiar'!P481</f>
        <v/>
      </c>
      <c r="Q467">
        <f>'2 transformar y limpiar'!Q481</f>
        <v/>
      </c>
      <c r="R467">
        <f>'2 transformar y limpiar'!R481</f>
        <v/>
      </c>
      <c r="S467">
        <f>'2 transformar y limpiar'!S481</f>
        <v/>
      </c>
      <c r="T467">
        <f>'2 transformar y limpiar'!T481</f>
        <v/>
      </c>
      <c r="U467" s="5">
        <f>'2 transformar y limpiar'!U481</f>
        <v/>
      </c>
    </row>
    <row r="468">
      <c r="A468">
        <f>'2 transformar y limpiar'!A482</f>
        <v/>
      </c>
      <c r="B468">
        <f>'2 transformar y limpiar'!B482</f>
        <v/>
      </c>
      <c r="C468" s="6">
        <f>('2 transformar y limpiar'!C482-$B$6)/$C$6</f>
        <v/>
      </c>
      <c r="D468" s="6">
        <f>('2 transformar y limpiar'!D482-$B$7)/$C$7</f>
        <v/>
      </c>
      <c r="E468" s="6">
        <f>('2 transformar y limpiar'!E482-$B$8)/$C$8</f>
        <v/>
      </c>
      <c r="F468" s="6">
        <f>('2 transformar y limpiar'!F482-$B$9)/$C$9</f>
        <v/>
      </c>
      <c r="G468">
        <f>'2 transformar y limpiar'!G482</f>
        <v/>
      </c>
      <c r="H468">
        <f>'2 transformar y limpiar'!H482</f>
        <v/>
      </c>
      <c r="I468">
        <f>'2 transformar y limpiar'!I482</f>
        <v/>
      </c>
      <c r="J468">
        <f>'2 transformar y limpiar'!J482</f>
        <v/>
      </c>
      <c r="K468">
        <f>'2 transformar y limpiar'!K482</f>
        <v/>
      </c>
      <c r="L468">
        <f>'2 transformar y limpiar'!L482</f>
        <v/>
      </c>
      <c r="M468">
        <f>'2 transformar y limpiar'!M482</f>
        <v/>
      </c>
      <c r="N468">
        <f>'2 transformar y limpiar'!N482</f>
        <v/>
      </c>
      <c r="O468">
        <f>'2 transformar y limpiar'!O482</f>
        <v/>
      </c>
      <c r="P468">
        <f>'2 transformar y limpiar'!P482</f>
        <v/>
      </c>
      <c r="Q468">
        <f>'2 transformar y limpiar'!Q482</f>
        <v/>
      </c>
      <c r="R468">
        <f>'2 transformar y limpiar'!R482</f>
        <v/>
      </c>
      <c r="S468">
        <f>'2 transformar y limpiar'!S482</f>
        <v/>
      </c>
      <c r="T468">
        <f>'2 transformar y limpiar'!T482</f>
        <v/>
      </c>
      <c r="U468" s="5">
        <f>'2 transformar y limpiar'!U482</f>
        <v/>
      </c>
    </row>
    <row r="469">
      <c r="A469">
        <f>'2 transformar y limpiar'!A483</f>
        <v/>
      </c>
      <c r="B469">
        <f>'2 transformar y limpiar'!B483</f>
        <v/>
      </c>
      <c r="C469" s="6">
        <f>('2 transformar y limpiar'!C483-$B$6)/$C$6</f>
        <v/>
      </c>
      <c r="D469" s="6">
        <f>('2 transformar y limpiar'!D483-$B$7)/$C$7</f>
        <v/>
      </c>
      <c r="E469" s="6">
        <f>('2 transformar y limpiar'!E483-$B$8)/$C$8</f>
        <v/>
      </c>
      <c r="F469" s="6">
        <f>('2 transformar y limpiar'!F483-$B$9)/$C$9</f>
        <v/>
      </c>
      <c r="G469">
        <f>'2 transformar y limpiar'!G483</f>
        <v/>
      </c>
      <c r="H469">
        <f>'2 transformar y limpiar'!H483</f>
        <v/>
      </c>
      <c r="I469">
        <f>'2 transformar y limpiar'!I483</f>
        <v/>
      </c>
      <c r="J469">
        <f>'2 transformar y limpiar'!J483</f>
        <v/>
      </c>
      <c r="K469">
        <f>'2 transformar y limpiar'!K483</f>
        <v/>
      </c>
      <c r="L469">
        <f>'2 transformar y limpiar'!L483</f>
        <v/>
      </c>
      <c r="M469">
        <f>'2 transformar y limpiar'!M483</f>
        <v/>
      </c>
      <c r="N469">
        <f>'2 transformar y limpiar'!N483</f>
        <v/>
      </c>
      <c r="O469">
        <f>'2 transformar y limpiar'!O483</f>
        <v/>
      </c>
      <c r="P469">
        <f>'2 transformar y limpiar'!P483</f>
        <v/>
      </c>
      <c r="Q469">
        <f>'2 transformar y limpiar'!Q483</f>
        <v/>
      </c>
      <c r="R469">
        <f>'2 transformar y limpiar'!R483</f>
        <v/>
      </c>
      <c r="S469">
        <f>'2 transformar y limpiar'!S483</f>
        <v/>
      </c>
      <c r="T469">
        <f>'2 transformar y limpiar'!T483</f>
        <v/>
      </c>
      <c r="U469" s="5">
        <f>'2 transformar y limpiar'!U483</f>
        <v/>
      </c>
    </row>
    <row r="470">
      <c r="A470">
        <f>'2 transformar y limpiar'!A484</f>
        <v/>
      </c>
      <c r="B470">
        <f>'2 transformar y limpiar'!B484</f>
        <v/>
      </c>
      <c r="C470" s="6">
        <f>('2 transformar y limpiar'!C484-$B$6)/$C$6</f>
        <v/>
      </c>
      <c r="D470" s="6">
        <f>('2 transformar y limpiar'!D484-$B$7)/$C$7</f>
        <v/>
      </c>
      <c r="E470" s="6">
        <f>('2 transformar y limpiar'!E484-$B$8)/$C$8</f>
        <v/>
      </c>
      <c r="F470" s="6">
        <f>('2 transformar y limpiar'!F484-$B$9)/$C$9</f>
        <v/>
      </c>
      <c r="G470">
        <f>'2 transformar y limpiar'!G484</f>
        <v/>
      </c>
      <c r="H470">
        <f>'2 transformar y limpiar'!H484</f>
        <v/>
      </c>
      <c r="I470">
        <f>'2 transformar y limpiar'!I484</f>
        <v/>
      </c>
      <c r="J470">
        <f>'2 transformar y limpiar'!J484</f>
        <v/>
      </c>
      <c r="K470">
        <f>'2 transformar y limpiar'!K484</f>
        <v/>
      </c>
      <c r="L470">
        <f>'2 transformar y limpiar'!L484</f>
        <v/>
      </c>
      <c r="M470">
        <f>'2 transformar y limpiar'!M484</f>
        <v/>
      </c>
      <c r="N470">
        <f>'2 transformar y limpiar'!N484</f>
        <v/>
      </c>
      <c r="O470">
        <f>'2 transformar y limpiar'!O484</f>
        <v/>
      </c>
      <c r="P470">
        <f>'2 transformar y limpiar'!P484</f>
        <v/>
      </c>
      <c r="Q470">
        <f>'2 transformar y limpiar'!Q484</f>
        <v/>
      </c>
      <c r="R470">
        <f>'2 transformar y limpiar'!R484</f>
        <v/>
      </c>
      <c r="S470">
        <f>'2 transformar y limpiar'!S484</f>
        <v/>
      </c>
      <c r="T470">
        <f>'2 transformar y limpiar'!T484</f>
        <v/>
      </c>
      <c r="U470" s="5">
        <f>'2 transformar y limpiar'!U484</f>
        <v/>
      </c>
    </row>
    <row r="471">
      <c r="A471">
        <f>'2 transformar y limpiar'!A485</f>
        <v/>
      </c>
      <c r="B471">
        <f>'2 transformar y limpiar'!B485</f>
        <v/>
      </c>
      <c r="C471" s="6">
        <f>('2 transformar y limpiar'!C485-$B$6)/$C$6</f>
        <v/>
      </c>
      <c r="D471" s="6">
        <f>('2 transformar y limpiar'!D485-$B$7)/$C$7</f>
        <v/>
      </c>
      <c r="E471" s="6">
        <f>('2 transformar y limpiar'!E485-$B$8)/$C$8</f>
        <v/>
      </c>
      <c r="F471" s="6">
        <f>('2 transformar y limpiar'!F485-$B$9)/$C$9</f>
        <v/>
      </c>
      <c r="G471">
        <f>'2 transformar y limpiar'!G485</f>
        <v/>
      </c>
      <c r="H471">
        <f>'2 transformar y limpiar'!H485</f>
        <v/>
      </c>
      <c r="I471">
        <f>'2 transformar y limpiar'!I485</f>
        <v/>
      </c>
      <c r="J471">
        <f>'2 transformar y limpiar'!J485</f>
        <v/>
      </c>
      <c r="K471">
        <f>'2 transformar y limpiar'!K485</f>
        <v/>
      </c>
      <c r="L471">
        <f>'2 transformar y limpiar'!L485</f>
        <v/>
      </c>
      <c r="M471">
        <f>'2 transformar y limpiar'!M485</f>
        <v/>
      </c>
      <c r="N471">
        <f>'2 transformar y limpiar'!N485</f>
        <v/>
      </c>
      <c r="O471">
        <f>'2 transformar y limpiar'!O485</f>
        <v/>
      </c>
      <c r="P471">
        <f>'2 transformar y limpiar'!P485</f>
        <v/>
      </c>
      <c r="Q471">
        <f>'2 transformar y limpiar'!Q485</f>
        <v/>
      </c>
      <c r="R471">
        <f>'2 transformar y limpiar'!R485</f>
        <v/>
      </c>
      <c r="S471">
        <f>'2 transformar y limpiar'!S485</f>
        <v/>
      </c>
      <c r="T471">
        <f>'2 transformar y limpiar'!T485</f>
        <v/>
      </c>
      <c r="U471" s="5">
        <f>'2 transformar y limpiar'!U485</f>
        <v/>
      </c>
    </row>
    <row r="472">
      <c r="A472">
        <f>'2 transformar y limpiar'!A486</f>
        <v/>
      </c>
      <c r="B472">
        <f>'2 transformar y limpiar'!B486</f>
        <v/>
      </c>
      <c r="C472" s="6">
        <f>('2 transformar y limpiar'!C486-$B$6)/$C$6</f>
        <v/>
      </c>
      <c r="D472" s="6">
        <f>('2 transformar y limpiar'!D486-$B$7)/$C$7</f>
        <v/>
      </c>
      <c r="E472" s="6">
        <f>('2 transformar y limpiar'!E486-$B$8)/$C$8</f>
        <v/>
      </c>
      <c r="F472" s="6">
        <f>('2 transformar y limpiar'!F486-$B$9)/$C$9</f>
        <v/>
      </c>
      <c r="G472">
        <f>'2 transformar y limpiar'!G486</f>
        <v/>
      </c>
      <c r="H472">
        <f>'2 transformar y limpiar'!H486</f>
        <v/>
      </c>
      <c r="I472">
        <f>'2 transformar y limpiar'!I486</f>
        <v/>
      </c>
      <c r="J472">
        <f>'2 transformar y limpiar'!J486</f>
        <v/>
      </c>
      <c r="K472">
        <f>'2 transformar y limpiar'!K486</f>
        <v/>
      </c>
      <c r="L472">
        <f>'2 transformar y limpiar'!L486</f>
        <v/>
      </c>
      <c r="M472">
        <f>'2 transformar y limpiar'!M486</f>
        <v/>
      </c>
      <c r="N472">
        <f>'2 transformar y limpiar'!N486</f>
        <v/>
      </c>
      <c r="O472">
        <f>'2 transformar y limpiar'!O486</f>
        <v/>
      </c>
      <c r="P472">
        <f>'2 transformar y limpiar'!P486</f>
        <v/>
      </c>
      <c r="Q472">
        <f>'2 transformar y limpiar'!Q486</f>
        <v/>
      </c>
      <c r="R472">
        <f>'2 transformar y limpiar'!R486</f>
        <v/>
      </c>
      <c r="S472">
        <f>'2 transformar y limpiar'!S486</f>
        <v/>
      </c>
      <c r="T472">
        <f>'2 transformar y limpiar'!T486</f>
        <v/>
      </c>
      <c r="U472" s="5">
        <f>'2 transformar y limpiar'!U486</f>
        <v/>
      </c>
    </row>
    <row r="473">
      <c r="A473">
        <f>'2 transformar y limpiar'!A487</f>
        <v/>
      </c>
      <c r="B473">
        <f>'2 transformar y limpiar'!B487</f>
        <v/>
      </c>
      <c r="C473" s="6">
        <f>('2 transformar y limpiar'!C487-$B$6)/$C$6</f>
        <v/>
      </c>
      <c r="D473" s="6">
        <f>('2 transformar y limpiar'!D487-$B$7)/$C$7</f>
        <v/>
      </c>
      <c r="E473" s="6">
        <f>('2 transformar y limpiar'!E487-$B$8)/$C$8</f>
        <v/>
      </c>
      <c r="F473" s="6">
        <f>('2 transformar y limpiar'!F487-$B$9)/$C$9</f>
        <v/>
      </c>
      <c r="G473">
        <f>'2 transformar y limpiar'!G487</f>
        <v/>
      </c>
      <c r="H473">
        <f>'2 transformar y limpiar'!H487</f>
        <v/>
      </c>
      <c r="I473">
        <f>'2 transformar y limpiar'!I487</f>
        <v/>
      </c>
      <c r="J473">
        <f>'2 transformar y limpiar'!J487</f>
        <v/>
      </c>
      <c r="K473">
        <f>'2 transformar y limpiar'!K487</f>
        <v/>
      </c>
      <c r="L473">
        <f>'2 transformar y limpiar'!L487</f>
        <v/>
      </c>
      <c r="M473">
        <f>'2 transformar y limpiar'!M487</f>
        <v/>
      </c>
      <c r="N473">
        <f>'2 transformar y limpiar'!N487</f>
        <v/>
      </c>
      <c r="O473">
        <f>'2 transformar y limpiar'!O487</f>
        <v/>
      </c>
      <c r="P473">
        <f>'2 transformar y limpiar'!P487</f>
        <v/>
      </c>
      <c r="Q473">
        <f>'2 transformar y limpiar'!Q487</f>
        <v/>
      </c>
      <c r="R473">
        <f>'2 transformar y limpiar'!R487</f>
        <v/>
      </c>
      <c r="S473">
        <f>'2 transformar y limpiar'!S487</f>
        <v/>
      </c>
      <c r="T473">
        <f>'2 transformar y limpiar'!T487</f>
        <v/>
      </c>
      <c r="U473" s="5">
        <f>'2 transformar y limpiar'!U487</f>
        <v/>
      </c>
    </row>
    <row r="474">
      <c r="A474">
        <f>'2 transformar y limpiar'!A488</f>
        <v/>
      </c>
      <c r="B474">
        <f>'2 transformar y limpiar'!B488</f>
        <v/>
      </c>
      <c r="C474" s="6">
        <f>('2 transformar y limpiar'!C488-$B$6)/$C$6</f>
        <v/>
      </c>
      <c r="D474" s="6">
        <f>('2 transformar y limpiar'!D488-$B$7)/$C$7</f>
        <v/>
      </c>
      <c r="E474" s="6">
        <f>('2 transformar y limpiar'!E488-$B$8)/$C$8</f>
        <v/>
      </c>
      <c r="F474" s="6">
        <f>('2 transformar y limpiar'!F488-$B$9)/$C$9</f>
        <v/>
      </c>
      <c r="G474">
        <f>'2 transformar y limpiar'!G488</f>
        <v/>
      </c>
      <c r="H474">
        <f>'2 transformar y limpiar'!H488</f>
        <v/>
      </c>
      <c r="I474">
        <f>'2 transformar y limpiar'!I488</f>
        <v/>
      </c>
      <c r="J474">
        <f>'2 transformar y limpiar'!J488</f>
        <v/>
      </c>
      <c r="K474">
        <f>'2 transformar y limpiar'!K488</f>
        <v/>
      </c>
      <c r="L474">
        <f>'2 transformar y limpiar'!L488</f>
        <v/>
      </c>
      <c r="M474">
        <f>'2 transformar y limpiar'!M488</f>
        <v/>
      </c>
      <c r="N474">
        <f>'2 transformar y limpiar'!N488</f>
        <v/>
      </c>
      <c r="O474">
        <f>'2 transformar y limpiar'!O488</f>
        <v/>
      </c>
      <c r="P474">
        <f>'2 transformar y limpiar'!P488</f>
        <v/>
      </c>
      <c r="Q474">
        <f>'2 transformar y limpiar'!Q488</f>
        <v/>
      </c>
      <c r="R474">
        <f>'2 transformar y limpiar'!R488</f>
        <v/>
      </c>
      <c r="S474">
        <f>'2 transformar y limpiar'!S488</f>
        <v/>
      </c>
      <c r="T474">
        <f>'2 transformar y limpiar'!T488</f>
        <v/>
      </c>
      <c r="U474" s="5">
        <f>'2 transformar y limpiar'!U488</f>
        <v/>
      </c>
    </row>
    <row r="475">
      <c r="A475">
        <f>'2 transformar y limpiar'!A489</f>
        <v/>
      </c>
      <c r="B475">
        <f>'2 transformar y limpiar'!B489</f>
        <v/>
      </c>
      <c r="C475" s="6">
        <f>('2 transformar y limpiar'!C489-$B$6)/$C$6</f>
        <v/>
      </c>
      <c r="D475" s="6">
        <f>('2 transformar y limpiar'!D489-$B$7)/$C$7</f>
        <v/>
      </c>
      <c r="E475" s="6">
        <f>('2 transformar y limpiar'!E489-$B$8)/$C$8</f>
        <v/>
      </c>
      <c r="F475" s="6">
        <f>('2 transformar y limpiar'!F489-$B$9)/$C$9</f>
        <v/>
      </c>
      <c r="G475">
        <f>'2 transformar y limpiar'!G489</f>
        <v/>
      </c>
      <c r="H475">
        <f>'2 transformar y limpiar'!H489</f>
        <v/>
      </c>
      <c r="I475">
        <f>'2 transformar y limpiar'!I489</f>
        <v/>
      </c>
      <c r="J475">
        <f>'2 transformar y limpiar'!J489</f>
        <v/>
      </c>
      <c r="K475">
        <f>'2 transformar y limpiar'!K489</f>
        <v/>
      </c>
      <c r="L475">
        <f>'2 transformar y limpiar'!L489</f>
        <v/>
      </c>
      <c r="M475">
        <f>'2 transformar y limpiar'!M489</f>
        <v/>
      </c>
      <c r="N475">
        <f>'2 transformar y limpiar'!N489</f>
        <v/>
      </c>
      <c r="O475">
        <f>'2 transformar y limpiar'!O489</f>
        <v/>
      </c>
      <c r="P475">
        <f>'2 transformar y limpiar'!P489</f>
        <v/>
      </c>
      <c r="Q475">
        <f>'2 transformar y limpiar'!Q489</f>
        <v/>
      </c>
      <c r="R475">
        <f>'2 transformar y limpiar'!R489</f>
        <v/>
      </c>
      <c r="S475">
        <f>'2 transformar y limpiar'!S489</f>
        <v/>
      </c>
      <c r="T475">
        <f>'2 transformar y limpiar'!T489</f>
        <v/>
      </c>
      <c r="U475" s="5">
        <f>'2 transformar y limpiar'!U489</f>
        <v/>
      </c>
    </row>
    <row r="476">
      <c r="A476">
        <f>'2 transformar y limpiar'!A490</f>
        <v/>
      </c>
      <c r="B476">
        <f>'2 transformar y limpiar'!B490</f>
        <v/>
      </c>
      <c r="C476" s="6">
        <f>('2 transformar y limpiar'!C490-$B$6)/$C$6</f>
        <v/>
      </c>
      <c r="D476" s="6">
        <f>('2 transformar y limpiar'!D490-$B$7)/$C$7</f>
        <v/>
      </c>
      <c r="E476" s="6">
        <f>('2 transformar y limpiar'!E490-$B$8)/$C$8</f>
        <v/>
      </c>
      <c r="F476" s="6">
        <f>('2 transformar y limpiar'!F490-$B$9)/$C$9</f>
        <v/>
      </c>
      <c r="G476">
        <f>'2 transformar y limpiar'!G490</f>
        <v/>
      </c>
      <c r="H476">
        <f>'2 transformar y limpiar'!H490</f>
        <v/>
      </c>
      <c r="I476">
        <f>'2 transformar y limpiar'!I490</f>
        <v/>
      </c>
      <c r="J476">
        <f>'2 transformar y limpiar'!J490</f>
        <v/>
      </c>
      <c r="K476">
        <f>'2 transformar y limpiar'!K490</f>
        <v/>
      </c>
      <c r="L476">
        <f>'2 transformar y limpiar'!L490</f>
        <v/>
      </c>
      <c r="M476">
        <f>'2 transformar y limpiar'!M490</f>
        <v/>
      </c>
      <c r="N476">
        <f>'2 transformar y limpiar'!N490</f>
        <v/>
      </c>
      <c r="O476">
        <f>'2 transformar y limpiar'!O490</f>
        <v/>
      </c>
      <c r="P476">
        <f>'2 transformar y limpiar'!P490</f>
        <v/>
      </c>
      <c r="Q476">
        <f>'2 transformar y limpiar'!Q490</f>
        <v/>
      </c>
      <c r="R476">
        <f>'2 transformar y limpiar'!R490</f>
        <v/>
      </c>
      <c r="S476">
        <f>'2 transformar y limpiar'!S490</f>
        <v/>
      </c>
      <c r="T476">
        <f>'2 transformar y limpiar'!T490</f>
        <v/>
      </c>
      <c r="U476" s="5">
        <f>'2 transformar y limpiar'!U490</f>
        <v/>
      </c>
    </row>
    <row r="477">
      <c r="A477">
        <f>'2 transformar y limpiar'!A491</f>
        <v/>
      </c>
      <c r="B477">
        <f>'2 transformar y limpiar'!B491</f>
        <v/>
      </c>
      <c r="C477" s="6">
        <f>('2 transformar y limpiar'!C491-$B$6)/$C$6</f>
        <v/>
      </c>
      <c r="D477" s="6">
        <f>('2 transformar y limpiar'!D491-$B$7)/$C$7</f>
        <v/>
      </c>
      <c r="E477" s="6">
        <f>('2 transformar y limpiar'!E491-$B$8)/$C$8</f>
        <v/>
      </c>
      <c r="F477" s="6">
        <f>('2 transformar y limpiar'!F491-$B$9)/$C$9</f>
        <v/>
      </c>
      <c r="G477">
        <f>'2 transformar y limpiar'!G491</f>
        <v/>
      </c>
      <c r="H477">
        <f>'2 transformar y limpiar'!H491</f>
        <v/>
      </c>
      <c r="I477">
        <f>'2 transformar y limpiar'!I491</f>
        <v/>
      </c>
      <c r="J477">
        <f>'2 transformar y limpiar'!J491</f>
        <v/>
      </c>
      <c r="K477">
        <f>'2 transformar y limpiar'!K491</f>
        <v/>
      </c>
      <c r="L477">
        <f>'2 transformar y limpiar'!L491</f>
        <v/>
      </c>
      <c r="M477">
        <f>'2 transformar y limpiar'!M491</f>
        <v/>
      </c>
      <c r="N477">
        <f>'2 transformar y limpiar'!N491</f>
        <v/>
      </c>
      <c r="O477">
        <f>'2 transformar y limpiar'!O491</f>
        <v/>
      </c>
      <c r="P477">
        <f>'2 transformar y limpiar'!P491</f>
        <v/>
      </c>
      <c r="Q477">
        <f>'2 transformar y limpiar'!Q491</f>
        <v/>
      </c>
      <c r="R477">
        <f>'2 transformar y limpiar'!R491</f>
        <v/>
      </c>
      <c r="S477">
        <f>'2 transformar y limpiar'!S491</f>
        <v/>
      </c>
      <c r="T477">
        <f>'2 transformar y limpiar'!T491</f>
        <v/>
      </c>
      <c r="U477" s="5">
        <f>'2 transformar y limpiar'!U491</f>
        <v/>
      </c>
    </row>
    <row r="478">
      <c r="A478">
        <f>'2 transformar y limpiar'!A492</f>
        <v/>
      </c>
      <c r="B478">
        <f>'2 transformar y limpiar'!B492</f>
        <v/>
      </c>
      <c r="C478" s="6">
        <f>('2 transformar y limpiar'!C492-$B$6)/$C$6</f>
        <v/>
      </c>
      <c r="D478" s="6">
        <f>('2 transformar y limpiar'!D492-$B$7)/$C$7</f>
        <v/>
      </c>
      <c r="E478" s="6">
        <f>('2 transformar y limpiar'!E492-$B$8)/$C$8</f>
        <v/>
      </c>
      <c r="F478" s="6">
        <f>('2 transformar y limpiar'!F492-$B$9)/$C$9</f>
        <v/>
      </c>
      <c r="G478">
        <f>'2 transformar y limpiar'!G492</f>
        <v/>
      </c>
      <c r="H478">
        <f>'2 transformar y limpiar'!H492</f>
        <v/>
      </c>
      <c r="I478">
        <f>'2 transformar y limpiar'!I492</f>
        <v/>
      </c>
      <c r="J478">
        <f>'2 transformar y limpiar'!J492</f>
        <v/>
      </c>
      <c r="K478">
        <f>'2 transformar y limpiar'!K492</f>
        <v/>
      </c>
      <c r="L478">
        <f>'2 transformar y limpiar'!L492</f>
        <v/>
      </c>
      <c r="M478">
        <f>'2 transformar y limpiar'!M492</f>
        <v/>
      </c>
      <c r="N478">
        <f>'2 transformar y limpiar'!N492</f>
        <v/>
      </c>
      <c r="O478">
        <f>'2 transformar y limpiar'!O492</f>
        <v/>
      </c>
      <c r="P478">
        <f>'2 transformar y limpiar'!P492</f>
        <v/>
      </c>
      <c r="Q478">
        <f>'2 transformar y limpiar'!Q492</f>
        <v/>
      </c>
      <c r="R478">
        <f>'2 transformar y limpiar'!R492</f>
        <v/>
      </c>
      <c r="S478">
        <f>'2 transformar y limpiar'!S492</f>
        <v/>
      </c>
      <c r="T478">
        <f>'2 transformar y limpiar'!T492</f>
        <v/>
      </c>
      <c r="U478" s="5">
        <f>'2 transformar y limpiar'!U492</f>
        <v/>
      </c>
    </row>
    <row r="479">
      <c r="A479">
        <f>'2 transformar y limpiar'!A493</f>
        <v/>
      </c>
      <c r="B479">
        <f>'2 transformar y limpiar'!B493</f>
        <v/>
      </c>
      <c r="C479" s="6">
        <f>('2 transformar y limpiar'!C493-$B$6)/$C$6</f>
        <v/>
      </c>
      <c r="D479" s="6">
        <f>('2 transformar y limpiar'!D493-$B$7)/$C$7</f>
        <v/>
      </c>
      <c r="E479" s="6">
        <f>('2 transformar y limpiar'!E493-$B$8)/$C$8</f>
        <v/>
      </c>
      <c r="F479" s="6">
        <f>('2 transformar y limpiar'!F493-$B$9)/$C$9</f>
        <v/>
      </c>
      <c r="G479">
        <f>'2 transformar y limpiar'!G493</f>
        <v/>
      </c>
      <c r="H479">
        <f>'2 transformar y limpiar'!H493</f>
        <v/>
      </c>
      <c r="I479">
        <f>'2 transformar y limpiar'!I493</f>
        <v/>
      </c>
      <c r="J479">
        <f>'2 transformar y limpiar'!J493</f>
        <v/>
      </c>
      <c r="K479">
        <f>'2 transformar y limpiar'!K493</f>
        <v/>
      </c>
      <c r="L479">
        <f>'2 transformar y limpiar'!L493</f>
        <v/>
      </c>
      <c r="M479">
        <f>'2 transformar y limpiar'!M493</f>
        <v/>
      </c>
      <c r="N479">
        <f>'2 transformar y limpiar'!N493</f>
        <v/>
      </c>
      <c r="O479">
        <f>'2 transformar y limpiar'!O493</f>
        <v/>
      </c>
      <c r="P479">
        <f>'2 transformar y limpiar'!P493</f>
        <v/>
      </c>
      <c r="Q479">
        <f>'2 transformar y limpiar'!Q493</f>
        <v/>
      </c>
      <c r="R479">
        <f>'2 transformar y limpiar'!R493</f>
        <v/>
      </c>
      <c r="S479">
        <f>'2 transformar y limpiar'!S493</f>
        <v/>
      </c>
      <c r="T479">
        <f>'2 transformar y limpiar'!T493</f>
        <v/>
      </c>
      <c r="U479" s="5">
        <f>'2 transformar y limpiar'!U493</f>
        <v/>
      </c>
    </row>
    <row r="480">
      <c r="A480">
        <f>'2 transformar y limpiar'!A494</f>
        <v/>
      </c>
      <c r="B480">
        <f>'2 transformar y limpiar'!B494</f>
        <v/>
      </c>
      <c r="C480" s="6">
        <f>('2 transformar y limpiar'!C494-$B$6)/$C$6</f>
        <v/>
      </c>
      <c r="D480" s="6">
        <f>('2 transformar y limpiar'!D494-$B$7)/$C$7</f>
        <v/>
      </c>
      <c r="E480" s="6">
        <f>('2 transformar y limpiar'!E494-$B$8)/$C$8</f>
        <v/>
      </c>
      <c r="F480" s="6">
        <f>('2 transformar y limpiar'!F494-$B$9)/$C$9</f>
        <v/>
      </c>
      <c r="G480">
        <f>'2 transformar y limpiar'!G494</f>
        <v/>
      </c>
      <c r="H480">
        <f>'2 transformar y limpiar'!H494</f>
        <v/>
      </c>
      <c r="I480">
        <f>'2 transformar y limpiar'!I494</f>
        <v/>
      </c>
      <c r="J480">
        <f>'2 transformar y limpiar'!J494</f>
        <v/>
      </c>
      <c r="K480">
        <f>'2 transformar y limpiar'!K494</f>
        <v/>
      </c>
      <c r="L480">
        <f>'2 transformar y limpiar'!L494</f>
        <v/>
      </c>
      <c r="M480">
        <f>'2 transformar y limpiar'!M494</f>
        <v/>
      </c>
      <c r="N480">
        <f>'2 transformar y limpiar'!N494</f>
        <v/>
      </c>
      <c r="O480">
        <f>'2 transformar y limpiar'!O494</f>
        <v/>
      </c>
      <c r="P480">
        <f>'2 transformar y limpiar'!P494</f>
        <v/>
      </c>
      <c r="Q480">
        <f>'2 transformar y limpiar'!Q494</f>
        <v/>
      </c>
      <c r="R480">
        <f>'2 transformar y limpiar'!R494</f>
        <v/>
      </c>
      <c r="S480">
        <f>'2 transformar y limpiar'!S494</f>
        <v/>
      </c>
      <c r="T480">
        <f>'2 transformar y limpiar'!T494</f>
        <v/>
      </c>
      <c r="U480" s="5">
        <f>'2 transformar y limpiar'!U494</f>
        <v/>
      </c>
    </row>
    <row r="481">
      <c r="A481">
        <f>'2 transformar y limpiar'!A495</f>
        <v/>
      </c>
      <c r="B481">
        <f>'2 transformar y limpiar'!B495</f>
        <v/>
      </c>
      <c r="C481" s="6">
        <f>('2 transformar y limpiar'!C495-$B$6)/$C$6</f>
        <v/>
      </c>
      <c r="D481" s="6">
        <f>('2 transformar y limpiar'!D495-$B$7)/$C$7</f>
        <v/>
      </c>
      <c r="E481" s="6">
        <f>('2 transformar y limpiar'!E495-$B$8)/$C$8</f>
        <v/>
      </c>
      <c r="F481" s="6">
        <f>('2 transformar y limpiar'!F495-$B$9)/$C$9</f>
        <v/>
      </c>
      <c r="G481">
        <f>'2 transformar y limpiar'!G495</f>
        <v/>
      </c>
      <c r="H481">
        <f>'2 transformar y limpiar'!H495</f>
        <v/>
      </c>
      <c r="I481">
        <f>'2 transformar y limpiar'!I495</f>
        <v/>
      </c>
      <c r="J481">
        <f>'2 transformar y limpiar'!J495</f>
        <v/>
      </c>
      <c r="K481">
        <f>'2 transformar y limpiar'!K495</f>
        <v/>
      </c>
      <c r="L481">
        <f>'2 transformar y limpiar'!L495</f>
        <v/>
      </c>
      <c r="M481">
        <f>'2 transformar y limpiar'!M495</f>
        <v/>
      </c>
      <c r="N481">
        <f>'2 transformar y limpiar'!N495</f>
        <v/>
      </c>
      <c r="O481">
        <f>'2 transformar y limpiar'!O495</f>
        <v/>
      </c>
      <c r="P481">
        <f>'2 transformar y limpiar'!P495</f>
        <v/>
      </c>
      <c r="Q481">
        <f>'2 transformar y limpiar'!Q495</f>
        <v/>
      </c>
      <c r="R481">
        <f>'2 transformar y limpiar'!R495</f>
        <v/>
      </c>
      <c r="S481">
        <f>'2 transformar y limpiar'!S495</f>
        <v/>
      </c>
      <c r="T481">
        <f>'2 transformar y limpiar'!T495</f>
        <v/>
      </c>
      <c r="U481" s="5">
        <f>'2 transformar y limpiar'!U495</f>
        <v/>
      </c>
    </row>
    <row r="482">
      <c r="A482">
        <f>'2 transformar y limpiar'!A496</f>
        <v/>
      </c>
      <c r="B482">
        <f>'2 transformar y limpiar'!B496</f>
        <v/>
      </c>
      <c r="C482" s="6">
        <f>('2 transformar y limpiar'!C496-$B$6)/$C$6</f>
        <v/>
      </c>
      <c r="D482" s="6">
        <f>('2 transformar y limpiar'!D496-$B$7)/$C$7</f>
        <v/>
      </c>
      <c r="E482" s="6">
        <f>('2 transformar y limpiar'!E496-$B$8)/$C$8</f>
        <v/>
      </c>
      <c r="F482" s="6">
        <f>('2 transformar y limpiar'!F496-$B$9)/$C$9</f>
        <v/>
      </c>
      <c r="G482">
        <f>'2 transformar y limpiar'!G496</f>
        <v/>
      </c>
      <c r="H482">
        <f>'2 transformar y limpiar'!H496</f>
        <v/>
      </c>
      <c r="I482">
        <f>'2 transformar y limpiar'!I496</f>
        <v/>
      </c>
      <c r="J482">
        <f>'2 transformar y limpiar'!J496</f>
        <v/>
      </c>
      <c r="K482">
        <f>'2 transformar y limpiar'!K496</f>
        <v/>
      </c>
      <c r="L482">
        <f>'2 transformar y limpiar'!L496</f>
        <v/>
      </c>
      <c r="M482">
        <f>'2 transformar y limpiar'!M496</f>
        <v/>
      </c>
      <c r="N482">
        <f>'2 transformar y limpiar'!N496</f>
        <v/>
      </c>
      <c r="O482">
        <f>'2 transformar y limpiar'!O496</f>
        <v/>
      </c>
      <c r="P482">
        <f>'2 transformar y limpiar'!P496</f>
        <v/>
      </c>
      <c r="Q482">
        <f>'2 transformar y limpiar'!Q496</f>
        <v/>
      </c>
      <c r="R482">
        <f>'2 transformar y limpiar'!R496</f>
        <v/>
      </c>
      <c r="S482">
        <f>'2 transformar y limpiar'!S496</f>
        <v/>
      </c>
      <c r="T482">
        <f>'2 transformar y limpiar'!T496</f>
        <v/>
      </c>
      <c r="U482" s="5">
        <f>'2 transformar y limpiar'!U496</f>
        <v/>
      </c>
    </row>
    <row r="483">
      <c r="A483">
        <f>'2 transformar y limpiar'!A497</f>
        <v/>
      </c>
      <c r="B483">
        <f>'2 transformar y limpiar'!B497</f>
        <v/>
      </c>
      <c r="C483" s="6">
        <f>('2 transformar y limpiar'!C497-$B$6)/$C$6</f>
        <v/>
      </c>
      <c r="D483" s="6">
        <f>('2 transformar y limpiar'!D497-$B$7)/$C$7</f>
        <v/>
      </c>
      <c r="E483" s="6">
        <f>('2 transformar y limpiar'!E497-$B$8)/$C$8</f>
        <v/>
      </c>
      <c r="F483" s="6">
        <f>('2 transformar y limpiar'!F497-$B$9)/$C$9</f>
        <v/>
      </c>
      <c r="G483">
        <f>'2 transformar y limpiar'!G497</f>
        <v/>
      </c>
      <c r="H483">
        <f>'2 transformar y limpiar'!H497</f>
        <v/>
      </c>
      <c r="I483">
        <f>'2 transformar y limpiar'!I497</f>
        <v/>
      </c>
      <c r="J483">
        <f>'2 transformar y limpiar'!J497</f>
        <v/>
      </c>
      <c r="K483">
        <f>'2 transformar y limpiar'!K497</f>
        <v/>
      </c>
      <c r="L483">
        <f>'2 transformar y limpiar'!L497</f>
        <v/>
      </c>
      <c r="M483">
        <f>'2 transformar y limpiar'!M497</f>
        <v/>
      </c>
      <c r="N483">
        <f>'2 transformar y limpiar'!N497</f>
        <v/>
      </c>
      <c r="O483">
        <f>'2 transformar y limpiar'!O497</f>
        <v/>
      </c>
      <c r="P483">
        <f>'2 transformar y limpiar'!P497</f>
        <v/>
      </c>
      <c r="Q483">
        <f>'2 transformar y limpiar'!Q497</f>
        <v/>
      </c>
      <c r="R483">
        <f>'2 transformar y limpiar'!R497</f>
        <v/>
      </c>
      <c r="S483">
        <f>'2 transformar y limpiar'!S497</f>
        <v/>
      </c>
      <c r="T483">
        <f>'2 transformar y limpiar'!T497</f>
        <v/>
      </c>
      <c r="U483" s="5">
        <f>'2 transformar y limpiar'!U497</f>
        <v/>
      </c>
    </row>
    <row r="484">
      <c r="A484">
        <f>'2 transformar y limpiar'!A498</f>
        <v/>
      </c>
      <c r="B484">
        <f>'2 transformar y limpiar'!B498</f>
        <v/>
      </c>
      <c r="C484" s="6">
        <f>('2 transformar y limpiar'!C498-$B$6)/$C$6</f>
        <v/>
      </c>
      <c r="D484" s="6">
        <f>('2 transformar y limpiar'!D498-$B$7)/$C$7</f>
        <v/>
      </c>
      <c r="E484" s="6">
        <f>('2 transformar y limpiar'!E498-$B$8)/$C$8</f>
        <v/>
      </c>
      <c r="F484" s="6">
        <f>('2 transformar y limpiar'!F498-$B$9)/$C$9</f>
        <v/>
      </c>
      <c r="G484">
        <f>'2 transformar y limpiar'!G498</f>
        <v/>
      </c>
      <c r="H484">
        <f>'2 transformar y limpiar'!H498</f>
        <v/>
      </c>
      <c r="I484">
        <f>'2 transformar y limpiar'!I498</f>
        <v/>
      </c>
      <c r="J484">
        <f>'2 transformar y limpiar'!J498</f>
        <v/>
      </c>
      <c r="K484">
        <f>'2 transformar y limpiar'!K498</f>
        <v/>
      </c>
      <c r="L484">
        <f>'2 transformar y limpiar'!L498</f>
        <v/>
      </c>
      <c r="M484">
        <f>'2 transformar y limpiar'!M498</f>
        <v/>
      </c>
      <c r="N484">
        <f>'2 transformar y limpiar'!N498</f>
        <v/>
      </c>
      <c r="O484">
        <f>'2 transformar y limpiar'!O498</f>
        <v/>
      </c>
      <c r="P484">
        <f>'2 transformar y limpiar'!P498</f>
        <v/>
      </c>
      <c r="Q484">
        <f>'2 transformar y limpiar'!Q498</f>
        <v/>
      </c>
      <c r="R484">
        <f>'2 transformar y limpiar'!R498</f>
        <v/>
      </c>
      <c r="S484">
        <f>'2 transformar y limpiar'!S498</f>
        <v/>
      </c>
      <c r="T484">
        <f>'2 transformar y limpiar'!T498</f>
        <v/>
      </c>
      <c r="U484" s="5">
        <f>'2 transformar y limpiar'!U498</f>
        <v/>
      </c>
    </row>
    <row r="485">
      <c r="A485">
        <f>'2 transformar y limpiar'!A499</f>
        <v/>
      </c>
      <c r="B485">
        <f>'2 transformar y limpiar'!B499</f>
        <v/>
      </c>
      <c r="C485" s="6">
        <f>('2 transformar y limpiar'!C499-$B$6)/$C$6</f>
        <v/>
      </c>
      <c r="D485" s="6">
        <f>('2 transformar y limpiar'!D499-$B$7)/$C$7</f>
        <v/>
      </c>
      <c r="E485" s="6">
        <f>('2 transformar y limpiar'!E499-$B$8)/$C$8</f>
        <v/>
      </c>
      <c r="F485" s="6">
        <f>('2 transformar y limpiar'!F499-$B$9)/$C$9</f>
        <v/>
      </c>
      <c r="G485">
        <f>'2 transformar y limpiar'!G499</f>
        <v/>
      </c>
      <c r="H485">
        <f>'2 transformar y limpiar'!H499</f>
        <v/>
      </c>
      <c r="I485">
        <f>'2 transformar y limpiar'!I499</f>
        <v/>
      </c>
      <c r="J485">
        <f>'2 transformar y limpiar'!J499</f>
        <v/>
      </c>
      <c r="K485">
        <f>'2 transformar y limpiar'!K499</f>
        <v/>
      </c>
      <c r="L485">
        <f>'2 transformar y limpiar'!L499</f>
        <v/>
      </c>
      <c r="M485">
        <f>'2 transformar y limpiar'!M499</f>
        <v/>
      </c>
      <c r="N485">
        <f>'2 transformar y limpiar'!N499</f>
        <v/>
      </c>
      <c r="O485">
        <f>'2 transformar y limpiar'!O499</f>
        <v/>
      </c>
      <c r="P485">
        <f>'2 transformar y limpiar'!P499</f>
        <v/>
      </c>
      <c r="Q485">
        <f>'2 transformar y limpiar'!Q499</f>
        <v/>
      </c>
      <c r="R485">
        <f>'2 transformar y limpiar'!R499</f>
        <v/>
      </c>
      <c r="S485">
        <f>'2 transformar y limpiar'!S499</f>
        <v/>
      </c>
      <c r="T485">
        <f>'2 transformar y limpiar'!T499</f>
        <v/>
      </c>
      <c r="U485" s="5">
        <f>'2 transformar y limpiar'!U499</f>
        <v/>
      </c>
    </row>
    <row r="486">
      <c r="A486">
        <f>'2 transformar y limpiar'!A500</f>
        <v/>
      </c>
      <c r="B486">
        <f>'2 transformar y limpiar'!B500</f>
        <v/>
      </c>
      <c r="C486" s="6">
        <f>('2 transformar y limpiar'!C500-$B$6)/$C$6</f>
        <v/>
      </c>
      <c r="D486" s="6">
        <f>('2 transformar y limpiar'!D500-$B$7)/$C$7</f>
        <v/>
      </c>
      <c r="E486" s="6">
        <f>('2 transformar y limpiar'!E500-$B$8)/$C$8</f>
        <v/>
      </c>
      <c r="F486" s="6">
        <f>('2 transformar y limpiar'!F500-$B$9)/$C$9</f>
        <v/>
      </c>
      <c r="G486">
        <f>'2 transformar y limpiar'!G500</f>
        <v/>
      </c>
      <c r="H486">
        <f>'2 transformar y limpiar'!H500</f>
        <v/>
      </c>
      <c r="I486">
        <f>'2 transformar y limpiar'!I500</f>
        <v/>
      </c>
      <c r="J486">
        <f>'2 transformar y limpiar'!J500</f>
        <v/>
      </c>
      <c r="K486">
        <f>'2 transformar y limpiar'!K500</f>
        <v/>
      </c>
      <c r="L486">
        <f>'2 transformar y limpiar'!L500</f>
        <v/>
      </c>
      <c r="M486">
        <f>'2 transformar y limpiar'!M500</f>
        <v/>
      </c>
      <c r="N486">
        <f>'2 transformar y limpiar'!N500</f>
        <v/>
      </c>
      <c r="O486">
        <f>'2 transformar y limpiar'!O500</f>
        <v/>
      </c>
      <c r="P486">
        <f>'2 transformar y limpiar'!P500</f>
        <v/>
      </c>
      <c r="Q486">
        <f>'2 transformar y limpiar'!Q500</f>
        <v/>
      </c>
      <c r="R486">
        <f>'2 transformar y limpiar'!R500</f>
        <v/>
      </c>
      <c r="S486">
        <f>'2 transformar y limpiar'!S500</f>
        <v/>
      </c>
      <c r="T486">
        <f>'2 transformar y limpiar'!T500</f>
        <v/>
      </c>
      <c r="U486" s="5">
        <f>'2 transformar y limpiar'!U500</f>
        <v/>
      </c>
    </row>
    <row r="487">
      <c r="A487">
        <f>'2 transformar y limpiar'!A501</f>
        <v/>
      </c>
      <c r="B487">
        <f>'2 transformar y limpiar'!B501</f>
        <v/>
      </c>
      <c r="C487" s="6">
        <f>('2 transformar y limpiar'!C501-$B$6)/$C$6</f>
        <v/>
      </c>
      <c r="D487" s="6">
        <f>('2 transformar y limpiar'!D501-$B$7)/$C$7</f>
        <v/>
      </c>
      <c r="E487" s="6">
        <f>('2 transformar y limpiar'!E501-$B$8)/$C$8</f>
        <v/>
      </c>
      <c r="F487" s="6">
        <f>('2 transformar y limpiar'!F501-$B$9)/$C$9</f>
        <v/>
      </c>
      <c r="G487">
        <f>'2 transformar y limpiar'!G501</f>
        <v/>
      </c>
      <c r="H487">
        <f>'2 transformar y limpiar'!H501</f>
        <v/>
      </c>
      <c r="I487">
        <f>'2 transformar y limpiar'!I501</f>
        <v/>
      </c>
      <c r="J487">
        <f>'2 transformar y limpiar'!J501</f>
        <v/>
      </c>
      <c r="K487">
        <f>'2 transformar y limpiar'!K501</f>
        <v/>
      </c>
      <c r="L487">
        <f>'2 transformar y limpiar'!L501</f>
        <v/>
      </c>
      <c r="M487">
        <f>'2 transformar y limpiar'!M501</f>
        <v/>
      </c>
      <c r="N487">
        <f>'2 transformar y limpiar'!N501</f>
        <v/>
      </c>
      <c r="O487">
        <f>'2 transformar y limpiar'!O501</f>
        <v/>
      </c>
      <c r="P487">
        <f>'2 transformar y limpiar'!P501</f>
        <v/>
      </c>
      <c r="Q487">
        <f>'2 transformar y limpiar'!Q501</f>
        <v/>
      </c>
      <c r="R487">
        <f>'2 transformar y limpiar'!R501</f>
        <v/>
      </c>
      <c r="S487">
        <f>'2 transformar y limpiar'!S501</f>
        <v/>
      </c>
      <c r="T487">
        <f>'2 transformar y limpiar'!T501</f>
        <v/>
      </c>
      <c r="U487" s="5">
        <f>'2 transformar y limpiar'!U501</f>
        <v/>
      </c>
    </row>
    <row r="488">
      <c r="A488">
        <f>'2 transformar y limpiar'!A502</f>
        <v/>
      </c>
      <c r="B488">
        <f>'2 transformar y limpiar'!B502</f>
        <v/>
      </c>
      <c r="C488" s="6">
        <f>('2 transformar y limpiar'!C502-$B$6)/$C$6</f>
        <v/>
      </c>
      <c r="D488" s="6">
        <f>('2 transformar y limpiar'!D502-$B$7)/$C$7</f>
        <v/>
      </c>
      <c r="E488" s="6">
        <f>('2 transformar y limpiar'!E502-$B$8)/$C$8</f>
        <v/>
      </c>
      <c r="F488" s="6">
        <f>('2 transformar y limpiar'!F502-$B$9)/$C$9</f>
        <v/>
      </c>
      <c r="G488">
        <f>'2 transformar y limpiar'!G502</f>
        <v/>
      </c>
      <c r="H488">
        <f>'2 transformar y limpiar'!H502</f>
        <v/>
      </c>
      <c r="I488">
        <f>'2 transformar y limpiar'!I502</f>
        <v/>
      </c>
      <c r="J488">
        <f>'2 transformar y limpiar'!J502</f>
        <v/>
      </c>
      <c r="K488">
        <f>'2 transformar y limpiar'!K502</f>
        <v/>
      </c>
      <c r="L488">
        <f>'2 transformar y limpiar'!L502</f>
        <v/>
      </c>
      <c r="M488">
        <f>'2 transformar y limpiar'!M502</f>
        <v/>
      </c>
      <c r="N488">
        <f>'2 transformar y limpiar'!N502</f>
        <v/>
      </c>
      <c r="O488">
        <f>'2 transformar y limpiar'!O502</f>
        <v/>
      </c>
      <c r="P488">
        <f>'2 transformar y limpiar'!P502</f>
        <v/>
      </c>
      <c r="Q488">
        <f>'2 transformar y limpiar'!Q502</f>
        <v/>
      </c>
      <c r="R488">
        <f>'2 transformar y limpiar'!R502</f>
        <v/>
      </c>
      <c r="S488">
        <f>'2 transformar y limpiar'!S502</f>
        <v/>
      </c>
      <c r="T488">
        <f>'2 transformar y limpiar'!T502</f>
        <v/>
      </c>
      <c r="U488" s="5">
        <f>'2 transformar y limpiar'!U502</f>
        <v/>
      </c>
    </row>
    <row r="489">
      <c r="A489">
        <f>'2 transformar y limpiar'!A503</f>
        <v/>
      </c>
      <c r="B489">
        <f>'2 transformar y limpiar'!B503</f>
        <v/>
      </c>
      <c r="C489" s="6">
        <f>('2 transformar y limpiar'!C503-$B$6)/$C$6</f>
        <v/>
      </c>
      <c r="D489" s="6">
        <f>('2 transformar y limpiar'!D503-$B$7)/$C$7</f>
        <v/>
      </c>
      <c r="E489" s="6">
        <f>('2 transformar y limpiar'!E503-$B$8)/$C$8</f>
        <v/>
      </c>
      <c r="F489" s="6">
        <f>('2 transformar y limpiar'!F503-$B$9)/$C$9</f>
        <v/>
      </c>
      <c r="G489">
        <f>'2 transformar y limpiar'!G503</f>
        <v/>
      </c>
      <c r="H489">
        <f>'2 transformar y limpiar'!H503</f>
        <v/>
      </c>
      <c r="I489">
        <f>'2 transformar y limpiar'!I503</f>
        <v/>
      </c>
      <c r="J489">
        <f>'2 transformar y limpiar'!J503</f>
        <v/>
      </c>
      <c r="K489">
        <f>'2 transformar y limpiar'!K503</f>
        <v/>
      </c>
      <c r="L489">
        <f>'2 transformar y limpiar'!L503</f>
        <v/>
      </c>
      <c r="M489">
        <f>'2 transformar y limpiar'!M503</f>
        <v/>
      </c>
      <c r="N489">
        <f>'2 transformar y limpiar'!N503</f>
        <v/>
      </c>
      <c r="O489">
        <f>'2 transformar y limpiar'!O503</f>
        <v/>
      </c>
      <c r="P489">
        <f>'2 transformar y limpiar'!P503</f>
        <v/>
      </c>
      <c r="Q489">
        <f>'2 transformar y limpiar'!Q503</f>
        <v/>
      </c>
      <c r="R489">
        <f>'2 transformar y limpiar'!R503</f>
        <v/>
      </c>
      <c r="S489">
        <f>'2 transformar y limpiar'!S503</f>
        <v/>
      </c>
      <c r="T489">
        <f>'2 transformar y limpiar'!T503</f>
        <v/>
      </c>
      <c r="U489" s="5">
        <f>'2 transformar y limpiar'!U503</f>
        <v/>
      </c>
    </row>
    <row r="490">
      <c r="A490">
        <f>'2 transformar y limpiar'!A504</f>
        <v/>
      </c>
      <c r="B490">
        <f>'2 transformar y limpiar'!B504</f>
        <v/>
      </c>
      <c r="C490" s="6">
        <f>('2 transformar y limpiar'!C504-$B$6)/$C$6</f>
        <v/>
      </c>
      <c r="D490" s="6">
        <f>('2 transformar y limpiar'!D504-$B$7)/$C$7</f>
        <v/>
      </c>
      <c r="E490" s="6">
        <f>('2 transformar y limpiar'!E504-$B$8)/$C$8</f>
        <v/>
      </c>
      <c r="F490" s="6">
        <f>('2 transformar y limpiar'!F504-$B$9)/$C$9</f>
        <v/>
      </c>
      <c r="G490">
        <f>'2 transformar y limpiar'!G504</f>
        <v/>
      </c>
      <c r="H490">
        <f>'2 transformar y limpiar'!H504</f>
        <v/>
      </c>
      <c r="I490">
        <f>'2 transformar y limpiar'!I504</f>
        <v/>
      </c>
      <c r="J490">
        <f>'2 transformar y limpiar'!J504</f>
        <v/>
      </c>
      <c r="K490">
        <f>'2 transformar y limpiar'!K504</f>
        <v/>
      </c>
      <c r="L490">
        <f>'2 transformar y limpiar'!L504</f>
        <v/>
      </c>
      <c r="M490">
        <f>'2 transformar y limpiar'!M504</f>
        <v/>
      </c>
      <c r="N490">
        <f>'2 transformar y limpiar'!N504</f>
        <v/>
      </c>
      <c r="O490">
        <f>'2 transformar y limpiar'!O504</f>
        <v/>
      </c>
      <c r="P490">
        <f>'2 transformar y limpiar'!P504</f>
        <v/>
      </c>
      <c r="Q490">
        <f>'2 transformar y limpiar'!Q504</f>
        <v/>
      </c>
      <c r="R490">
        <f>'2 transformar y limpiar'!R504</f>
        <v/>
      </c>
      <c r="S490">
        <f>'2 transformar y limpiar'!S504</f>
        <v/>
      </c>
      <c r="T490">
        <f>'2 transformar y limpiar'!T504</f>
        <v/>
      </c>
      <c r="U490" s="5">
        <f>'2 transformar y limpiar'!U504</f>
        <v/>
      </c>
    </row>
    <row r="491">
      <c r="A491">
        <f>'2 transformar y limpiar'!A505</f>
        <v/>
      </c>
      <c r="B491">
        <f>'2 transformar y limpiar'!B505</f>
        <v/>
      </c>
      <c r="C491" s="6">
        <f>('2 transformar y limpiar'!C505-$B$6)/$C$6</f>
        <v/>
      </c>
      <c r="D491" s="6">
        <f>('2 transformar y limpiar'!D505-$B$7)/$C$7</f>
        <v/>
      </c>
      <c r="E491" s="6">
        <f>('2 transformar y limpiar'!E505-$B$8)/$C$8</f>
        <v/>
      </c>
      <c r="F491" s="6">
        <f>('2 transformar y limpiar'!F505-$B$9)/$C$9</f>
        <v/>
      </c>
      <c r="G491">
        <f>'2 transformar y limpiar'!G505</f>
        <v/>
      </c>
      <c r="H491">
        <f>'2 transformar y limpiar'!H505</f>
        <v/>
      </c>
      <c r="I491">
        <f>'2 transformar y limpiar'!I505</f>
        <v/>
      </c>
      <c r="J491">
        <f>'2 transformar y limpiar'!J505</f>
        <v/>
      </c>
      <c r="K491">
        <f>'2 transformar y limpiar'!K505</f>
        <v/>
      </c>
      <c r="L491">
        <f>'2 transformar y limpiar'!L505</f>
        <v/>
      </c>
      <c r="M491">
        <f>'2 transformar y limpiar'!M505</f>
        <v/>
      </c>
      <c r="N491">
        <f>'2 transformar y limpiar'!N505</f>
        <v/>
      </c>
      <c r="O491">
        <f>'2 transformar y limpiar'!O505</f>
        <v/>
      </c>
      <c r="P491">
        <f>'2 transformar y limpiar'!P505</f>
        <v/>
      </c>
      <c r="Q491">
        <f>'2 transformar y limpiar'!Q505</f>
        <v/>
      </c>
      <c r="R491">
        <f>'2 transformar y limpiar'!R505</f>
        <v/>
      </c>
      <c r="S491">
        <f>'2 transformar y limpiar'!S505</f>
        <v/>
      </c>
      <c r="T491">
        <f>'2 transformar y limpiar'!T505</f>
        <v/>
      </c>
      <c r="U491" s="5">
        <f>'2 transformar y limpiar'!U505</f>
        <v/>
      </c>
    </row>
    <row r="492">
      <c r="A492">
        <f>'2 transformar y limpiar'!A506</f>
        <v/>
      </c>
      <c r="B492">
        <f>'2 transformar y limpiar'!B506</f>
        <v/>
      </c>
      <c r="C492" s="6">
        <f>('2 transformar y limpiar'!C506-$B$6)/$C$6</f>
        <v/>
      </c>
      <c r="D492" s="6">
        <f>('2 transformar y limpiar'!D506-$B$7)/$C$7</f>
        <v/>
      </c>
      <c r="E492" s="6">
        <f>('2 transformar y limpiar'!E506-$B$8)/$C$8</f>
        <v/>
      </c>
      <c r="F492" s="6">
        <f>('2 transformar y limpiar'!F506-$B$9)/$C$9</f>
        <v/>
      </c>
      <c r="G492">
        <f>'2 transformar y limpiar'!G506</f>
        <v/>
      </c>
      <c r="H492">
        <f>'2 transformar y limpiar'!H506</f>
        <v/>
      </c>
      <c r="I492">
        <f>'2 transformar y limpiar'!I506</f>
        <v/>
      </c>
      <c r="J492">
        <f>'2 transformar y limpiar'!J506</f>
        <v/>
      </c>
      <c r="K492">
        <f>'2 transformar y limpiar'!K506</f>
        <v/>
      </c>
      <c r="L492">
        <f>'2 transformar y limpiar'!L506</f>
        <v/>
      </c>
      <c r="M492">
        <f>'2 transformar y limpiar'!M506</f>
        <v/>
      </c>
      <c r="N492">
        <f>'2 transformar y limpiar'!N506</f>
        <v/>
      </c>
      <c r="O492">
        <f>'2 transformar y limpiar'!O506</f>
        <v/>
      </c>
      <c r="P492">
        <f>'2 transformar y limpiar'!P506</f>
        <v/>
      </c>
      <c r="Q492">
        <f>'2 transformar y limpiar'!Q506</f>
        <v/>
      </c>
      <c r="R492">
        <f>'2 transformar y limpiar'!R506</f>
        <v/>
      </c>
      <c r="S492">
        <f>'2 transformar y limpiar'!S506</f>
        <v/>
      </c>
      <c r="T492">
        <f>'2 transformar y limpiar'!T506</f>
        <v/>
      </c>
      <c r="U492" s="5">
        <f>'2 transformar y limpiar'!U506</f>
        <v/>
      </c>
    </row>
    <row r="493">
      <c r="A493">
        <f>'2 transformar y limpiar'!A507</f>
        <v/>
      </c>
      <c r="B493">
        <f>'2 transformar y limpiar'!B507</f>
        <v/>
      </c>
      <c r="C493" s="6">
        <f>('2 transformar y limpiar'!C507-$B$6)/$C$6</f>
        <v/>
      </c>
      <c r="D493" s="6">
        <f>('2 transformar y limpiar'!D507-$B$7)/$C$7</f>
        <v/>
      </c>
      <c r="E493" s="6">
        <f>('2 transformar y limpiar'!E507-$B$8)/$C$8</f>
        <v/>
      </c>
      <c r="F493" s="6">
        <f>('2 transformar y limpiar'!F507-$B$9)/$C$9</f>
        <v/>
      </c>
      <c r="G493">
        <f>'2 transformar y limpiar'!G507</f>
        <v/>
      </c>
      <c r="H493">
        <f>'2 transformar y limpiar'!H507</f>
        <v/>
      </c>
      <c r="I493">
        <f>'2 transformar y limpiar'!I507</f>
        <v/>
      </c>
      <c r="J493">
        <f>'2 transformar y limpiar'!J507</f>
        <v/>
      </c>
      <c r="K493">
        <f>'2 transformar y limpiar'!K507</f>
        <v/>
      </c>
      <c r="L493">
        <f>'2 transformar y limpiar'!L507</f>
        <v/>
      </c>
      <c r="M493">
        <f>'2 transformar y limpiar'!M507</f>
        <v/>
      </c>
      <c r="N493">
        <f>'2 transformar y limpiar'!N507</f>
        <v/>
      </c>
      <c r="O493">
        <f>'2 transformar y limpiar'!O507</f>
        <v/>
      </c>
      <c r="P493">
        <f>'2 transformar y limpiar'!P507</f>
        <v/>
      </c>
      <c r="Q493">
        <f>'2 transformar y limpiar'!Q507</f>
        <v/>
      </c>
      <c r="R493">
        <f>'2 transformar y limpiar'!R507</f>
        <v/>
      </c>
      <c r="S493">
        <f>'2 transformar y limpiar'!S507</f>
        <v/>
      </c>
      <c r="T493">
        <f>'2 transformar y limpiar'!T507</f>
        <v/>
      </c>
      <c r="U493" s="5">
        <f>'2 transformar y limpiar'!U507</f>
        <v/>
      </c>
    </row>
    <row r="494">
      <c r="A494">
        <f>'2 transformar y limpiar'!A508</f>
        <v/>
      </c>
      <c r="B494">
        <f>'2 transformar y limpiar'!B508</f>
        <v/>
      </c>
      <c r="C494" s="6">
        <f>('2 transformar y limpiar'!C508-$B$6)/$C$6</f>
        <v/>
      </c>
      <c r="D494" s="6">
        <f>('2 transformar y limpiar'!D508-$B$7)/$C$7</f>
        <v/>
      </c>
      <c r="E494" s="6">
        <f>('2 transformar y limpiar'!E508-$B$8)/$C$8</f>
        <v/>
      </c>
      <c r="F494" s="6">
        <f>('2 transformar y limpiar'!F508-$B$9)/$C$9</f>
        <v/>
      </c>
      <c r="G494">
        <f>'2 transformar y limpiar'!G508</f>
        <v/>
      </c>
      <c r="H494">
        <f>'2 transformar y limpiar'!H508</f>
        <v/>
      </c>
      <c r="I494">
        <f>'2 transformar y limpiar'!I508</f>
        <v/>
      </c>
      <c r="J494">
        <f>'2 transformar y limpiar'!J508</f>
        <v/>
      </c>
      <c r="K494">
        <f>'2 transformar y limpiar'!K508</f>
        <v/>
      </c>
      <c r="L494">
        <f>'2 transformar y limpiar'!L508</f>
        <v/>
      </c>
      <c r="M494">
        <f>'2 transformar y limpiar'!M508</f>
        <v/>
      </c>
      <c r="N494">
        <f>'2 transformar y limpiar'!N508</f>
        <v/>
      </c>
      <c r="O494">
        <f>'2 transformar y limpiar'!O508</f>
        <v/>
      </c>
      <c r="P494">
        <f>'2 transformar y limpiar'!P508</f>
        <v/>
      </c>
      <c r="Q494">
        <f>'2 transformar y limpiar'!Q508</f>
        <v/>
      </c>
      <c r="R494">
        <f>'2 transformar y limpiar'!R508</f>
        <v/>
      </c>
      <c r="S494">
        <f>'2 transformar y limpiar'!S508</f>
        <v/>
      </c>
      <c r="T494">
        <f>'2 transformar y limpiar'!T508</f>
        <v/>
      </c>
      <c r="U494" s="5">
        <f>'2 transformar y limpiar'!U508</f>
        <v/>
      </c>
    </row>
    <row r="495">
      <c r="A495">
        <f>'2 transformar y limpiar'!A509</f>
        <v/>
      </c>
      <c r="B495">
        <f>'2 transformar y limpiar'!B509</f>
        <v/>
      </c>
      <c r="C495" s="6">
        <f>('2 transformar y limpiar'!C509-$B$6)/$C$6</f>
        <v/>
      </c>
      <c r="D495" s="6">
        <f>('2 transformar y limpiar'!D509-$B$7)/$C$7</f>
        <v/>
      </c>
      <c r="E495" s="6">
        <f>('2 transformar y limpiar'!E509-$B$8)/$C$8</f>
        <v/>
      </c>
      <c r="F495" s="6">
        <f>('2 transformar y limpiar'!F509-$B$9)/$C$9</f>
        <v/>
      </c>
      <c r="G495">
        <f>'2 transformar y limpiar'!G509</f>
        <v/>
      </c>
      <c r="H495">
        <f>'2 transformar y limpiar'!H509</f>
        <v/>
      </c>
      <c r="I495">
        <f>'2 transformar y limpiar'!I509</f>
        <v/>
      </c>
      <c r="J495">
        <f>'2 transformar y limpiar'!J509</f>
        <v/>
      </c>
      <c r="K495">
        <f>'2 transformar y limpiar'!K509</f>
        <v/>
      </c>
      <c r="L495">
        <f>'2 transformar y limpiar'!L509</f>
        <v/>
      </c>
      <c r="M495">
        <f>'2 transformar y limpiar'!M509</f>
        <v/>
      </c>
      <c r="N495">
        <f>'2 transformar y limpiar'!N509</f>
        <v/>
      </c>
      <c r="O495">
        <f>'2 transformar y limpiar'!O509</f>
        <v/>
      </c>
      <c r="P495">
        <f>'2 transformar y limpiar'!P509</f>
        <v/>
      </c>
      <c r="Q495">
        <f>'2 transformar y limpiar'!Q509</f>
        <v/>
      </c>
      <c r="R495">
        <f>'2 transformar y limpiar'!R509</f>
        <v/>
      </c>
      <c r="S495">
        <f>'2 transformar y limpiar'!S509</f>
        <v/>
      </c>
      <c r="T495">
        <f>'2 transformar y limpiar'!T509</f>
        <v/>
      </c>
      <c r="U495" s="5">
        <f>'2 transformar y limpiar'!U509</f>
        <v/>
      </c>
    </row>
    <row r="496">
      <c r="A496">
        <f>'2 transformar y limpiar'!A510</f>
        <v/>
      </c>
      <c r="B496">
        <f>'2 transformar y limpiar'!B510</f>
        <v/>
      </c>
      <c r="C496" s="6">
        <f>('2 transformar y limpiar'!C510-$B$6)/$C$6</f>
        <v/>
      </c>
      <c r="D496" s="6">
        <f>('2 transformar y limpiar'!D510-$B$7)/$C$7</f>
        <v/>
      </c>
      <c r="E496" s="6">
        <f>('2 transformar y limpiar'!E510-$B$8)/$C$8</f>
        <v/>
      </c>
      <c r="F496" s="6">
        <f>('2 transformar y limpiar'!F510-$B$9)/$C$9</f>
        <v/>
      </c>
      <c r="G496">
        <f>'2 transformar y limpiar'!G510</f>
        <v/>
      </c>
      <c r="H496">
        <f>'2 transformar y limpiar'!H510</f>
        <v/>
      </c>
      <c r="I496">
        <f>'2 transformar y limpiar'!I510</f>
        <v/>
      </c>
      <c r="J496">
        <f>'2 transformar y limpiar'!J510</f>
        <v/>
      </c>
      <c r="K496">
        <f>'2 transformar y limpiar'!K510</f>
        <v/>
      </c>
      <c r="L496">
        <f>'2 transformar y limpiar'!L510</f>
        <v/>
      </c>
      <c r="M496">
        <f>'2 transformar y limpiar'!M510</f>
        <v/>
      </c>
      <c r="N496">
        <f>'2 transformar y limpiar'!N510</f>
        <v/>
      </c>
      <c r="O496">
        <f>'2 transformar y limpiar'!O510</f>
        <v/>
      </c>
      <c r="P496">
        <f>'2 transformar y limpiar'!P510</f>
        <v/>
      </c>
      <c r="Q496">
        <f>'2 transformar y limpiar'!Q510</f>
        <v/>
      </c>
      <c r="R496">
        <f>'2 transformar y limpiar'!R510</f>
        <v/>
      </c>
      <c r="S496">
        <f>'2 transformar y limpiar'!S510</f>
        <v/>
      </c>
      <c r="T496">
        <f>'2 transformar y limpiar'!T510</f>
        <v/>
      </c>
      <c r="U496" s="5">
        <f>'2 transformar y limpiar'!U510</f>
        <v/>
      </c>
    </row>
    <row r="497">
      <c r="A497">
        <f>'2 transformar y limpiar'!A511</f>
        <v/>
      </c>
      <c r="B497">
        <f>'2 transformar y limpiar'!B511</f>
        <v/>
      </c>
      <c r="C497" s="6">
        <f>('2 transformar y limpiar'!C511-$B$6)/$C$6</f>
        <v/>
      </c>
      <c r="D497" s="6">
        <f>('2 transformar y limpiar'!D511-$B$7)/$C$7</f>
        <v/>
      </c>
      <c r="E497" s="6">
        <f>('2 transformar y limpiar'!E511-$B$8)/$C$8</f>
        <v/>
      </c>
      <c r="F497" s="6">
        <f>('2 transformar y limpiar'!F511-$B$9)/$C$9</f>
        <v/>
      </c>
      <c r="G497">
        <f>'2 transformar y limpiar'!G511</f>
        <v/>
      </c>
      <c r="H497">
        <f>'2 transformar y limpiar'!H511</f>
        <v/>
      </c>
      <c r="I497">
        <f>'2 transformar y limpiar'!I511</f>
        <v/>
      </c>
      <c r="J497">
        <f>'2 transformar y limpiar'!J511</f>
        <v/>
      </c>
      <c r="K497">
        <f>'2 transformar y limpiar'!K511</f>
        <v/>
      </c>
      <c r="L497">
        <f>'2 transformar y limpiar'!L511</f>
        <v/>
      </c>
      <c r="M497">
        <f>'2 transformar y limpiar'!M511</f>
        <v/>
      </c>
      <c r="N497">
        <f>'2 transformar y limpiar'!N511</f>
        <v/>
      </c>
      <c r="O497">
        <f>'2 transformar y limpiar'!O511</f>
        <v/>
      </c>
      <c r="P497">
        <f>'2 transformar y limpiar'!P511</f>
        <v/>
      </c>
      <c r="Q497">
        <f>'2 transformar y limpiar'!Q511</f>
        <v/>
      </c>
      <c r="R497">
        <f>'2 transformar y limpiar'!R511</f>
        <v/>
      </c>
      <c r="S497">
        <f>'2 transformar y limpiar'!S511</f>
        <v/>
      </c>
      <c r="T497">
        <f>'2 transformar y limpiar'!T511</f>
        <v/>
      </c>
      <c r="U497" s="5">
        <f>'2 transformar y limpiar'!U511</f>
        <v/>
      </c>
    </row>
    <row r="498">
      <c r="A498">
        <f>'2 transformar y limpiar'!A512</f>
        <v/>
      </c>
      <c r="B498">
        <f>'2 transformar y limpiar'!B512</f>
        <v/>
      </c>
      <c r="C498" s="6">
        <f>('2 transformar y limpiar'!C512-$B$6)/$C$6</f>
        <v/>
      </c>
      <c r="D498" s="6">
        <f>('2 transformar y limpiar'!D512-$B$7)/$C$7</f>
        <v/>
      </c>
      <c r="E498" s="6">
        <f>('2 transformar y limpiar'!E512-$B$8)/$C$8</f>
        <v/>
      </c>
      <c r="F498" s="6">
        <f>('2 transformar y limpiar'!F512-$B$9)/$C$9</f>
        <v/>
      </c>
      <c r="G498">
        <f>'2 transformar y limpiar'!G512</f>
        <v/>
      </c>
      <c r="H498">
        <f>'2 transformar y limpiar'!H512</f>
        <v/>
      </c>
      <c r="I498">
        <f>'2 transformar y limpiar'!I512</f>
        <v/>
      </c>
      <c r="J498">
        <f>'2 transformar y limpiar'!J512</f>
        <v/>
      </c>
      <c r="K498">
        <f>'2 transformar y limpiar'!K512</f>
        <v/>
      </c>
      <c r="L498">
        <f>'2 transformar y limpiar'!L512</f>
        <v/>
      </c>
      <c r="M498">
        <f>'2 transformar y limpiar'!M512</f>
        <v/>
      </c>
      <c r="N498">
        <f>'2 transformar y limpiar'!N512</f>
        <v/>
      </c>
      <c r="O498">
        <f>'2 transformar y limpiar'!O512</f>
        <v/>
      </c>
      <c r="P498">
        <f>'2 transformar y limpiar'!P512</f>
        <v/>
      </c>
      <c r="Q498">
        <f>'2 transformar y limpiar'!Q512</f>
        <v/>
      </c>
      <c r="R498">
        <f>'2 transformar y limpiar'!R512</f>
        <v/>
      </c>
      <c r="S498">
        <f>'2 transformar y limpiar'!S512</f>
        <v/>
      </c>
      <c r="T498">
        <f>'2 transformar y limpiar'!T512</f>
        <v/>
      </c>
      <c r="U498" s="5">
        <f>'2 transformar y limpiar'!U512</f>
        <v/>
      </c>
    </row>
    <row r="499">
      <c r="A499">
        <f>'2 transformar y limpiar'!A513</f>
        <v/>
      </c>
      <c r="B499">
        <f>'2 transformar y limpiar'!B513</f>
        <v/>
      </c>
      <c r="C499" s="6">
        <f>('2 transformar y limpiar'!C513-$B$6)/$C$6</f>
        <v/>
      </c>
      <c r="D499" s="6">
        <f>('2 transformar y limpiar'!D513-$B$7)/$C$7</f>
        <v/>
      </c>
      <c r="E499" s="6">
        <f>('2 transformar y limpiar'!E513-$B$8)/$C$8</f>
        <v/>
      </c>
      <c r="F499" s="6">
        <f>('2 transformar y limpiar'!F513-$B$9)/$C$9</f>
        <v/>
      </c>
      <c r="G499">
        <f>'2 transformar y limpiar'!G513</f>
        <v/>
      </c>
      <c r="H499">
        <f>'2 transformar y limpiar'!H513</f>
        <v/>
      </c>
      <c r="I499">
        <f>'2 transformar y limpiar'!I513</f>
        <v/>
      </c>
      <c r="J499">
        <f>'2 transformar y limpiar'!J513</f>
        <v/>
      </c>
      <c r="K499">
        <f>'2 transformar y limpiar'!K513</f>
        <v/>
      </c>
      <c r="L499">
        <f>'2 transformar y limpiar'!L513</f>
        <v/>
      </c>
      <c r="M499">
        <f>'2 transformar y limpiar'!M513</f>
        <v/>
      </c>
      <c r="N499">
        <f>'2 transformar y limpiar'!N513</f>
        <v/>
      </c>
      <c r="O499">
        <f>'2 transformar y limpiar'!O513</f>
        <v/>
      </c>
      <c r="P499">
        <f>'2 transformar y limpiar'!P513</f>
        <v/>
      </c>
      <c r="Q499">
        <f>'2 transformar y limpiar'!Q513</f>
        <v/>
      </c>
      <c r="R499">
        <f>'2 transformar y limpiar'!R513</f>
        <v/>
      </c>
      <c r="S499">
        <f>'2 transformar y limpiar'!S513</f>
        <v/>
      </c>
      <c r="T499">
        <f>'2 transformar y limpiar'!T513</f>
        <v/>
      </c>
      <c r="U499" s="5">
        <f>'2 transformar y limpiar'!U513</f>
        <v/>
      </c>
    </row>
    <row r="500">
      <c r="A500">
        <f>'2 transformar y limpiar'!A514</f>
        <v/>
      </c>
      <c r="B500">
        <f>'2 transformar y limpiar'!B514</f>
        <v/>
      </c>
      <c r="C500" s="6">
        <f>('2 transformar y limpiar'!C514-$B$6)/$C$6</f>
        <v/>
      </c>
      <c r="D500" s="6">
        <f>('2 transformar y limpiar'!D514-$B$7)/$C$7</f>
        <v/>
      </c>
      <c r="E500" s="6">
        <f>('2 transformar y limpiar'!E514-$B$8)/$C$8</f>
        <v/>
      </c>
      <c r="F500" s="6">
        <f>('2 transformar y limpiar'!F514-$B$9)/$C$9</f>
        <v/>
      </c>
      <c r="G500">
        <f>'2 transformar y limpiar'!G514</f>
        <v/>
      </c>
      <c r="H500">
        <f>'2 transformar y limpiar'!H514</f>
        <v/>
      </c>
      <c r="I500">
        <f>'2 transformar y limpiar'!I514</f>
        <v/>
      </c>
      <c r="J500">
        <f>'2 transformar y limpiar'!J514</f>
        <v/>
      </c>
      <c r="K500">
        <f>'2 transformar y limpiar'!K514</f>
        <v/>
      </c>
      <c r="L500">
        <f>'2 transformar y limpiar'!L514</f>
        <v/>
      </c>
      <c r="M500">
        <f>'2 transformar y limpiar'!M514</f>
        <v/>
      </c>
      <c r="N500">
        <f>'2 transformar y limpiar'!N514</f>
        <v/>
      </c>
      <c r="O500">
        <f>'2 transformar y limpiar'!O514</f>
        <v/>
      </c>
      <c r="P500">
        <f>'2 transformar y limpiar'!P514</f>
        <v/>
      </c>
      <c r="Q500">
        <f>'2 transformar y limpiar'!Q514</f>
        <v/>
      </c>
      <c r="R500">
        <f>'2 transformar y limpiar'!R514</f>
        <v/>
      </c>
      <c r="S500">
        <f>'2 transformar y limpiar'!S514</f>
        <v/>
      </c>
      <c r="T500">
        <f>'2 transformar y limpiar'!T514</f>
        <v/>
      </c>
      <c r="U500" s="5">
        <f>'2 transformar y limpiar'!U514</f>
        <v/>
      </c>
    </row>
    <row r="501">
      <c r="A501">
        <f>'2 transformar y limpiar'!A515</f>
        <v/>
      </c>
      <c r="B501">
        <f>'2 transformar y limpiar'!B515</f>
        <v/>
      </c>
      <c r="C501" s="6">
        <f>('2 transformar y limpiar'!C515-$B$6)/$C$6</f>
        <v/>
      </c>
      <c r="D501" s="6">
        <f>('2 transformar y limpiar'!D515-$B$7)/$C$7</f>
        <v/>
      </c>
      <c r="E501" s="6">
        <f>('2 transformar y limpiar'!E515-$B$8)/$C$8</f>
        <v/>
      </c>
      <c r="F501" s="6">
        <f>('2 transformar y limpiar'!F515-$B$9)/$C$9</f>
        <v/>
      </c>
      <c r="G501">
        <f>'2 transformar y limpiar'!G515</f>
        <v/>
      </c>
      <c r="H501">
        <f>'2 transformar y limpiar'!H515</f>
        <v/>
      </c>
      <c r="I501">
        <f>'2 transformar y limpiar'!I515</f>
        <v/>
      </c>
      <c r="J501">
        <f>'2 transformar y limpiar'!J515</f>
        <v/>
      </c>
      <c r="K501">
        <f>'2 transformar y limpiar'!K515</f>
        <v/>
      </c>
      <c r="L501">
        <f>'2 transformar y limpiar'!L515</f>
        <v/>
      </c>
      <c r="M501">
        <f>'2 transformar y limpiar'!M515</f>
        <v/>
      </c>
      <c r="N501">
        <f>'2 transformar y limpiar'!N515</f>
        <v/>
      </c>
      <c r="O501">
        <f>'2 transformar y limpiar'!O515</f>
        <v/>
      </c>
      <c r="P501">
        <f>'2 transformar y limpiar'!P515</f>
        <v/>
      </c>
      <c r="Q501">
        <f>'2 transformar y limpiar'!Q515</f>
        <v/>
      </c>
      <c r="R501">
        <f>'2 transformar y limpiar'!R515</f>
        <v/>
      </c>
      <c r="S501">
        <f>'2 transformar y limpiar'!S515</f>
        <v/>
      </c>
      <c r="T501">
        <f>'2 transformar y limpiar'!T515</f>
        <v/>
      </c>
      <c r="U501" s="5">
        <f>'2 transformar y limpiar'!U515</f>
        <v/>
      </c>
    </row>
    <row r="502">
      <c r="A502">
        <f>'2 transformar y limpiar'!A516</f>
        <v/>
      </c>
      <c r="B502">
        <f>'2 transformar y limpiar'!B516</f>
        <v/>
      </c>
      <c r="C502" s="6">
        <f>('2 transformar y limpiar'!C516-$B$6)/$C$6</f>
        <v/>
      </c>
      <c r="D502" s="6">
        <f>('2 transformar y limpiar'!D516-$B$7)/$C$7</f>
        <v/>
      </c>
      <c r="E502" s="6">
        <f>('2 transformar y limpiar'!E516-$B$8)/$C$8</f>
        <v/>
      </c>
      <c r="F502" s="6">
        <f>('2 transformar y limpiar'!F516-$B$9)/$C$9</f>
        <v/>
      </c>
      <c r="G502">
        <f>'2 transformar y limpiar'!G516</f>
        <v/>
      </c>
      <c r="H502">
        <f>'2 transformar y limpiar'!H516</f>
        <v/>
      </c>
      <c r="I502">
        <f>'2 transformar y limpiar'!I516</f>
        <v/>
      </c>
      <c r="J502">
        <f>'2 transformar y limpiar'!J516</f>
        <v/>
      </c>
      <c r="K502">
        <f>'2 transformar y limpiar'!K516</f>
        <v/>
      </c>
      <c r="L502">
        <f>'2 transformar y limpiar'!L516</f>
        <v/>
      </c>
      <c r="M502">
        <f>'2 transformar y limpiar'!M516</f>
        <v/>
      </c>
      <c r="N502">
        <f>'2 transformar y limpiar'!N516</f>
        <v/>
      </c>
      <c r="O502">
        <f>'2 transformar y limpiar'!O516</f>
        <v/>
      </c>
      <c r="P502">
        <f>'2 transformar y limpiar'!P516</f>
        <v/>
      </c>
      <c r="Q502">
        <f>'2 transformar y limpiar'!Q516</f>
        <v/>
      </c>
      <c r="R502">
        <f>'2 transformar y limpiar'!R516</f>
        <v/>
      </c>
      <c r="S502">
        <f>'2 transformar y limpiar'!S516</f>
        <v/>
      </c>
      <c r="T502">
        <f>'2 transformar y limpiar'!T516</f>
        <v/>
      </c>
      <c r="U502" s="5">
        <f>'2 transformar y limpiar'!U516</f>
        <v/>
      </c>
    </row>
    <row r="503">
      <c r="A503">
        <f>'2 transformar y limpiar'!A517</f>
        <v/>
      </c>
      <c r="B503">
        <f>'2 transformar y limpiar'!B517</f>
        <v/>
      </c>
      <c r="C503" s="6">
        <f>('2 transformar y limpiar'!C517-$B$6)/$C$6</f>
        <v/>
      </c>
      <c r="D503" s="6">
        <f>('2 transformar y limpiar'!D517-$B$7)/$C$7</f>
        <v/>
      </c>
      <c r="E503" s="6">
        <f>('2 transformar y limpiar'!E517-$B$8)/$C$8</f>
        <v/>
      </c>
      <c r="F503" s="6">
        <f>('2 transformar y limpiar'!F517-$B$9)/$C$9</f>
        <v/>
      </c>
      <c r="G503">
        <f>'2 transformar y limpiar'!G517</f>
        <v/>
      </c>
      <c r="H503">
        <f>'2 transformar y limpiar'!H517</f>
        <v/>
      </c>
      <c r="I503">
        <f>'2 transformar y limpiar'!I517</f>
        <v/>
      </c>
      <c r="J503">
        <f>'2 transformar y limpiar'!J517</f>
        <v/>
      </c>
      <c r="K503">
        <f>'2 transformar y limpiar'!K517</f>
        <v/>
      </c>
      <c r="L503">
        <f>'2 transformar y limpiar'!L517</f>
        <v/>
      </c>
      <c r="M503">
        <f>'2 transformar y limpiar'!M517</f>
        <v/>
      </c>
      <c r="N503">
        <f>'2 transformar y limpiar'!N517</f>
        <v/>
      </c>
      <c r="O503">
        <f>'2 transformar y limpiar'!O517</f>
        <v/>
      </c>
      <c r="P503">
        <f>'2 transformar y limpiar'!P517</f>
        <v/>
      </c>
      <c r="Q503">
        <f>'2 transformar y limpiar'!Q517</f>
        <v/>
      </c>
      <c r="R503">
        <f>'2 transformar y limpiar'!R517</f>
        <v/>
      </c>
      <c r="S503">
        <f>'2 transformar y limpiar'!S517</f>
        <v/>
      </c>
      <c r="T503">
        <f>'2 transformar y limpiar'!T517</f>
        <v/>
      </c>
      <c r="U503" s="5">
        <f>'2 transformar y limpiar'!U517</f>
        <v/>
      </c>
    </row>
    <row r="504">
      <c r="A504">
        <f>'2 transformar y limpiar'!A518</f>
        <v/>
      </c>
      <c r="B504">
        <f>'2 transformar y limpiar'!B518</f>
        <v/>
      </c>
      <c r="C504" s="6">
        <f>('2 transformar y limpiar'!C518-$B$6)/$C$6</f>
        <v/>
      </c>
      <c r="D504" s="6">
        <f>('2 transformar y limpiar'!D518-$B$7)/$C$7</f>
        <v/>
      </c>
      <c r="E504" s="6">
        <f>('2 transformar y limpiar'!E518-$B$8)/$C$8</f>
        <v/>
      </c>
      <c r="F504" s="6">
        <f>('2 transformar y limpiar'!F518-$B$9)/$C$9</f>
        <v/>
      </c>
      <c r="G504">
        <f>'2 transformar y limpiar'!G518</f>
        <v/>
      </c>
      <c r="H504">
        <f>'2 transformar y limpiar'!H518</f>
        <v/>
      </c>
      <c r="I504">
        <f>'2 transformar y limpiar'!I518</f>
        <v/>
      </c>
      <c r="J504">
        <f>'2 transformar y limpiar'!J518</f>
        <v/>
      </c>
      <c r="K504">
        <f>'2 transformar y limpiar'!K518</f>
        <v/>
      </c>
      <c r="L504">
        <f>'2 transformar y limpiar'!L518</f>
        <v/>
      </c>
      <c r="M504">
        <f>'2 transformar y limpiar'!M518</f>
        <v/>
      </c>
      <c r="N504">
        <f>'2 transformar y limpiar'!N518</f>
        <v/>
      </c>
      <c r="O504">
        <f>'2 transformar y limpiar'!O518</f>
        <v/>
      </c>
      <c r="P504">
        <f>'2 transformar y limpiar'!P518</f>
        <v/>
      </c>
      <c r="Q504">
        <f>'2 transformar y limpiar'!Q518</f>
        <v/>
      </c>
      <c r="R504">
        <f>'2 transformar y limpiar'!R518</f>
        <v/>
      </c>
      <c r="S504">
        <f>'2 transformar y limpiar'!S518</f>
        <v/>
      </c>
      <c r="T504">
        <f>'2 transformar y limpiar'!T518</f>
        <v/>
      </c>
      <c r="U504" s="5">
        <f>'2 transformar y limpiar'!U518</f>
        <v/>
      </c>
    </row>
    <row r="505">
      <c r="A505">
        <f>'2 transformar y limpiar'!A519</f>
        <v/>
      </c>
      <c r="B505">
        <f>'2 transformar y limpiar'!B519</f>
        <v/>
      </c>
      <c r="C505" s="6">
        <f>('2 transformar y limpiar'!C519-$B$6)/$C$6</f>
        <v/>
      </c>
      <c r="D505" s="6">
        <f>('2 transformar y limpiar'!D519-$B$7)/$C$7</f>
        <v/>
      </c>
      <c r="E505" s="6">
        <f>('2 transformar y limpiar'!E519-$B$8)/$C$8</f>
        <v/>
      </c>
      <c r="F505" s="6">
        <f>('2 transformar y limpiar'!F519-$B$9)/$C$9</f>
        <v/>
      </c>
      <c r="G505">
        <f>'2 transformar y limpiar'!G519</f>
        <v/>
      </c>
      <c r="H505">
        <f>'2 transformar y limpiar'!H519</f>
        <v/>
      </c>
      <c r="I505">
        <f>'2 transformar y limpiar'!I519</f>
        <v/>
      </c>
      <c r="J505">
        <f>'2 transformar y limpiar'!J519</f>
        <v/>
      </c>
      <c r="K505">
        <f>'2 transformar y limpiar'!K519</f>
        <v/>
      </c>
      <c r="L505">
        <f>'2 transformar y limpiar'!L519</f>
        <v/>
      </c>
      <c r="M505">
        <f>'2 transformar y limpiar'!M519</f>
        <v/>
      </c>
      <c r="N505">
        <f>'2 transformar y limpiar'!N519</f>
        <v/>
      </c>
      <c r="O505">
        <f>'2 transformar y limpiar'!O519</f>
        <v/>
      </c>
      <c r="P505">
        <f>'2 transformar y limpiar'!P519</f>
        <v/>
      </c>
      <c r="Q505">
        <f>'2 transformar y limpiar'!Q519</f>
        <v/>
      </c>
      <c r="R505">
        <f>'2 transformar y limpiar'!R519</f>
        <v/>
      </c>
      <c r="S505">
        <f>'2 transformar y limpiar'!S519</f>
        <v/>
      </c>
      <c r="T505">
        <f>'2 transformar y limpiar'!T519</f>
        <v/>
      </c>
      <c r="U505" s="5">
        <f>'2 transformar y limpiar'!U519</f>
        <v/>
      </c>
    </row>
    <row r="506">
      <c r="A506">
        <f>'2 transformar y limpiar'!A520</f>
        <v/>
      </c>
      <c r="B506">
        <f>'2 transformar y limpiar'!B520</f>
        <v/>
      </c>
      <c r="C506" s="6">
        <f>('2 transformar y limpiar'!C520-$B$6)/$C$6</f>
        <v/>
      </c>
      <c r="D506" s="6">
        <f>('2 transformar y limpiar'!D520-$B$7)/$C$7</f>
        <v/>
      </c>
      <c r="E506" s="6">
        <f>('2 transformar y limpiar'!E520-$B$8)/$C$8</f>
        <v/>
      </c>
      <c r="F506" s="6">
        <f>('2 transformar y limpiar'!F520-$B$9)/$C$9</f>
        <v/>
      </c>
      <c r="G506">
        <f>'2 transformar y limpiar'!G520</f>
        <v/>
      </c>
      <c r="H506">
        <f>'2 transformar y limpiar'!H520</f>
        <v/>
      </c>
      <c r="I506">
        <f>'2 transformar y limpiar'!I520</f>
        <v/>
      </c>
      <c r="J506">
        <f>'2 transformar y limpiar'!J520</f>
        <v/>
      </c>
      <c r="K506">
        <f>'2 transformar y limpiar'!K520</f>
        <v/>
      </c>
      <c r="L506">
        <f>'2 transformar y limpiar'!L520</f>
        <v/>
      </c>
      <c r="M506">
        <f>'2 transformar y limpiar'!M520</f>
        <v/>
      </c>
      <c r="N506">
        <f>'2 transformar y limpiar'!N520</f>
        <v/>
      </c>
      <c r="O506">
        <f>'2 transformar y limpiar'!O520</f>
        <v/>
      </c>
      <c r="P506">
        <f>'2 transformar y limpiar'!P520</f>
        <v/>
      </c>
      <c r="Q506">
        <f>'2 transformar y limpiar'!Q520</f>
        <v/>
      </c>
      <c r="R506">
        <f>'2 transformar y limpiar'!R520</f>
        <v/>
      </c>
      <c r="S506">
        <f>'2 transformar y limpiar'!S520</f>
        <v/>
      </c>
      <c r="T506">
        <f>'2 transformar y limpiar'!T520</f>
        <v/>
      </c>
      <c r="U506" s="5">
        <f>'2 transformar y limpiar'!U520</f>
        <v/>
      </c>
    </row>
    <row r="507">
      <c r="A507">
        <f>'2 transformar y limpiar'!A521</f>
        <v/>
      </c>
      <c r="B507">
        <f>'2 transformar y limpiar'!B521</f>
        <v/>
      </c>
      <c r="C507" s="6">
        <f>('2 transformar y limpiar'!C521-$B$6)/$C$6</f>
        <v/>
      </c>
      <c r="D507" s="6">
        <f>('2 transformar y limpiar'!D521-$B$7)/$C$7</f>
        <v/>
      </c>
      <c r="E507" s="6">
        <f>('2 transformar y limpiar'!E521-$B$8)/$C$8</f>
        <v/>
      </c>
      <c r="F507" s="6">
        <f>('2 transformar y limpiar'!F521-$B$9)/$C$9</f>
        <v/>
      </c>
      <c r="G507">
        <f>'2 transformar y limpiar'!G521</f>
        <v/>
      </c>
      <c r="H507">
        <f>'2 transformar y limpiar'!H521</f>
        <v/>
      </c>
      <c r="I507">
        <f>'2 transformar y limpiar'!I521</f>
        <v/>
      </c>
      <c r="J507">
        <f>'2 transformar y limpiar'!J521</f>
        <v/>
      </c>
      <c r="K507">
        <f>'2 transformar y limpiar'!K521</f>
        <v/>
      </c>
      <c r="L507">
        <f>'2 transformar y limpiar'!L521</f>
        <v/>
      </c>
      <c r="M507">
        <f>'2 transformar y limpiar'!M521</f>
        <v/>
      </c>
      <c r="N507">
        <f>'2 transformar y limpiar'!N521</f>
        <v/>
      </c>
      <c r="O507">
        <f>'2 transformar y limpiar'!O521</f>
        <v/>
      </c>
      <c r="P507">
        <f>'2 transformar y limpiar'!P521</f>
        <v/>
      </c>
      <c r="Q507">
        <f>'2 transformar y limpiar'!Q521</f>
        <v/>
      </c>
      <c r="R507">
        <f>'2 transformar y limpiar'!R521</f>
        <v/>
      </c>
      <c r="S507">
        <f>'2 transformar y limpiar'!S521</f>
        <v/>
      </c>
      <c r="T507">
        <f>'2 transformar y limpiar'!T521</f>
        <v/>
      </c>
      <c r="U507" s="5">
        <f>'2 transformar y limpiar'!U521</f>
        <v/>
      </c>
    </row>
    <row r="508">
      <c r="A508">
        <f>'2 transformar y limpiar'!A522</f>
        <v/>
      </c>
      <c r="B508">
        <f>'2 transformar y limpiar'!B522</f>
        <v/>
      </c>
      <c r="C508" s="6">
        <f>('2 transformar y limpiar'!C522-$B$6)/$C$6</f>
        <v/>
      </c>
      <c r="D508" s="6">
        <f>('2 transformar y limpiar'!D522-$B$7)/$C$7</f>
        <v/>
      </c>
      <c r="E508" s="6">
        <f>('2 transformar y limpiar'!E522-$B$8)/$C$8</f>
        <v/>
      </c>
      <c r="F508" s="6">
        <f>('2 transformar y limpiar'!F522-$B$9)/$C$9</f>
        <v/>
      </c>
      <c r="G508">
        <f>'2 transformar y limpiar'!G522</f>
        <v/>
      </c>
      <c r="H508">
        <f>'2 transformar y limpiar'!H522</f>
        <v/>
      </c>
      <c r="I508">
        <f>'2 transformar y limpiar'!I522</f>
        <v/>
      </c>
      <c r="J508">
        <f>'2 transformar y limpiar'!J522</f>
        <v/>
      </c>
      <c r="K508">
        <f>'2 transformar y limpiar'!K522</f>
        <v/>
      </c>
      <c r="L508">
        <f>'2 transformar y limpiar'!L522</f>
        <v/>
      </c>
      <c r="M508">
        <f>'2 transformar y limpiar'!M522</f>
        <v/>
      </c>
      <c r="N508">
        <f>'2 transformar y limpiar'!N522</f>
        <v/>
      </c>
      <c r="O508">
        <f>'2 transformar y limpiar'!O522</f>
        <v/>
      </c>
      <c r="P508">
        <f>'2 transformar y limpiar'!P522</f>
        <v/>
      </c>
      <c r="Q508">
        <f>'2 transformar y limpiar'!Q522</f>
        <v/>
      </c>
      <c r="R508">
        <f>'2 transformar y limpiar'!R522</f>
        <v/>
      </c>
      <c r="S508">
        <f>'2 transformar y limpiar'!S522</f>
        <v/>
      </c>
      <c r="T508">
        <f>'2 transformar y limpiar'!T522</f>
        <v/>
      </c>
      <c r="U508" s="5">
        <f>'2 transformar y limpiar'!U522</f>
        <v/>
      </c>
    </row>
    <row r="509">
      <c r="A509">
        <f>'2 transformar y limpiar'!A523</f>
        <v/>
      </c>
      <c r="B509">
        <f>'2 transformar y limpiar'!B523</f>
        <v/>
      </c>
      <c r="C509" s="6">
        <f>('2 transformar y limpiar'!C523-$B$6)/$C$6</f>
        <v/>
      </c>
      <c r="D509" s="6">
        <f>('2 transformar y limpiar'!D523-$B$7)/$C$7</f>
        <v/>
      </c>
      <c r="E509" s="6">
        <f>('2 transformar y limpiar'!E523-$B$8)/$C$8</f>
        <v/>
      </c>
      <c r="F509" s="6">
        <f>('2 transformar y limpiar'!F523-$B$9)/$C$9</f>
        <v/>
      </c>
      <c r="G509">
        <f>'2 transformar y limpiar'!G523</f>
        <v/>
      </c>
      <c r="H509">
        <f>'2 transformar y limpiar'!H523</f>
        <v/>
      </c>
      <c r="I509">
        <f>'2 transformar y limpiar'!I523</f>
        <v/>
      </c>
      <c r="J509">
        <f>'2 transformar y limpiar'!J523</f>
        <v/>
      </c>
      <c r="K509">
        <f>'2 transformar y limpiar'!K523</f>
        <v/>
      </c>
      <c r="L509">
        <f>'2 transformar y limpiar'!L523</f>
        <v/>
      </c>
      <c r="M509">
        <f>'2 transformar y limpiar'!M523</f>
        <v/>
      </c>
      <c r="N509">
        <f>'2 transformar y limpiar'!N523</f>
        <v/>
      </c>
      <c r="O509">
        <f>'2 transformar y limpiar'!O523</f>
        <v/>
      </c>
      <c r="P509">
        <f>'2 transformar y limpiar'!P523</f>
        <v/>
      </c>
      <c r="Q509">
        <f>'2 transformar y limpiar'!Q523</f>
        <v/>
      </c>
      <c r="R509">
        <f>'2 transformar y limpiar'!R523</f>
        <v/>
      </c>
      <c r="S509">
        <f>'2 transformar y limpiar'!S523</f>
        <v/>
      </c>
      <c r="T509">
        <f>'2 transformar y limpiar'!T523</f>
        <v/>
      </c>
      <c r="U509" s="5">
        <f>'2 transformar y limpiar'!U523</f>
        <v/>
      </c>
    </row>
    <row r="510">
      <c r="A510">
        <f>'2 transformar y limpiar'!A524</f>
        <v/>
      </c>
      <c r="B510">
        <f>'2 transformar y limpiar'!B524</f>
        <v/>
      </c>
      <c r="C510" s="6">
        <f>('2 transformar y limpiar'!C524-$B$6)/$C$6</f>
        <v/>
      </c>
      <c r="D510" s="6">
        <f>('2 transformar y limpiar'!D524-$B$7)/$C$7</f>
        <v/>
      </c>
      <c r="E510" s="6">
        <f>('2 transformar y limpiar'!E524-$B$8)/$C$8</f>
        <v/>
      </c>
      <c r="F510" s="6">
        <f>('2 transformar y limpiar'!F524-$B$9)/$C$9</f>
        <v/>
      </c>
      <c r="G510">
        <f>'2 transformar y limpiar'!G524</f>
        <v/>
      </c>
      <c r="H510">
        <f>'2 transformar y limpiar'!H524</f>
        <v/>
      </c>
      <c r="I510">
        <f>'2 transformar y limpiar'!I524</f>
        <v/>
      </c>
      <c r="J510">
        <f>'2 transformar y limpiar'!J524</f>
        <v/>
      </c>
      <c r="K510">
        <f>'2 transformar y limpiar'!K524</f>
        <v/>
      </c>
      <c r="L510">
        <f>'2 transformar y limpiar'!L524</f>
        <v/>
      </c>
      <c r="M510">
        <f>'2 transformar y limpiar'!M524</f>
        <v/>
      </c>
      <c r="N510">
        <f>'2 transformar y limpiar'!N524</f>
        <v/>
      </c>
      <c r="O510">
        <f>'2 transformar y limpiar'!O524</f>
        <v/>
      </c>
      <c r="P510">
        <f>'2 transformar y limpiar'!P524</f>
        <v/>
      </c>
      <c r="Q510">
        <f>'2 transformar y limpiar'!Q524</f>
        <v/>
      </c>
      <c r="R510">
        <f>'2 transformar y limpiar'!R524</f>
        <v/>
      </c>
      <c r="S510">
        <f>'2 transformar y limpiar'!S524</f>
        <v/>
      </c>
      <c r="T510">
        <f>'2 transformar y limpiar'!T524</f>
        <v/>
      </c>
      <c r="U510" s="5">
        <f>'2 transformar y limpiar'!U524</f>
        <v/>
      </c>
    </row>
    <row r="511">
      <c r="A511">
        <f>'2 transformar y limpiar'!A525</f>
        <v/>
      </c>
      <c r="B511">
        <f>'2 transformar y limpiar'!B525</f>
        <v/>
      </c>
      <c r="C511" s="6">
        <f>('2 transformar y limpiar'!C525-$B$6)/$C$6</f>
        <v/>
      </c>
      <c r="D511" s="6">
        <f>('2 transformar y limpiar'!D525-$B$7)/$C$7</f>
        <v/>
      </c>
      <c r="E511" s="6">
        <f>('2 transformar y limpiar'!E525-$B$8)/$C$8</f>
        <v/>
      </c>
      <c r="F511" s="6">
        <f>('2 transformar y limpiar'!F525-$B$9)/$C$9</f>
        <v/>
      </c>
      <c r="G511">
        <f>'2 transformar y limpiar'!G525</f>
        <v/>
      </c>
      <c r="H511">
        <f>'2 transformar y limpiar'!H525</f>
        <v/>
      </c>
      <c r="I511">
        <f>'2 transformar y limpiar'!I525</f>
        <v/>
      </c>
      <c r="J511">
        <f>'2 transformar y limpiar'!J525</f>
        <v/>
      </c>
      <c r="K511">
        <f>'2 transformar y limpiar'!K525</f>
        <v/>
      </c>
      <c r="L511">
        <f>'2 transformar y limpiar'!L525</f>
        <v/>
      </c>
      <c r="M511">
        <f>'2 transformar y limpiar'!M525</f>
        <v/>
      </c>
      <c r="N511">
        <f>'2 transformar y limpiar'!N525</f>
        <v/>
      </c>
      <c r="O511">
        <f>'2 transformar y limpiar'!O525</f>
        <v/>
      </c>
      <c r="P511">
        <f>'2 transformar y limpiar'!P525</f>
        <v/>
      </c>
      <c r="Q511">
        <f>'2 transformar y limpiar'!Q525</f>
        <v/>
      </c>
      <c r="R511">
        <f>'2 transformar y limpiar'!R525</f>
        <v/>
      </c>
      <c r="S511">
        <f>'2 transformar y limpiar'!S525</f>
        <v/>
      </c>
      <c r="T511">
        <f>'2 transformar y limpiar'!T525</f>
        <v/>
      </c>
      <c r="U511" s="5">
        <f>'2 transformar y limpiar'!U525</f>
        <v/>
      </c>
    </row>
    <row r="512">
      <c r="A512">
        <f>'2 transformar y limpiar'!A526</f>
        <v/>
      </c>
      <c r="B512">
        <f>'2 transformar y limpiar'!B526</f>
        <v/>
      </c>
      <c r="C512" s="6">
        <f>('2 transformar y limpiar'!C526-$B$6)/$C$6</f>
        <v/>
      </c>
      <c r="D512" s="6">
        <f>('2 transformar y limpiar'!D526-$B$7)/$C$7</f>
        <v/>
      </c>
      <c r="E512" s="6">
        <f>('2 transformar y limpiar'!E526-$B$8)/$C$8</f>
        <v/>
      </c>
      <c r="F512" s="6">
        <f>('2 transformar y limpiar'!F526-$B$9)/$C$9</f>
        <v/>
      </c>
      <c r="G512">
        <f>'2 transformar y limpiar'!G526</f>
        <v/>
      </c>
      <c r="H512">
        <f>'2 transformar y limpiar'!H526</f>
        <v/>
      </c>
      <c r="I512">
        <f>'2 transformar y limpiar'!I526</f>
        <v/>
      </c>
      <c r="J512">
        <f>'2 transformar y limpiar'!J526</f>
        <v/>
      </c>
      <c r="K512">
        <f>'2 transformar y limpiar'!K526</f>
        <v/>
      </c>
      <c r="L512">
        <f>'2 transformar y limpiar'!L526</f>
        <v/>
      </c>
      <c r="M512">
        <f>'2 transformar y limpiar'!M526</f>
        <v/>
      </c>
      <c r="N512">
        <f>'2 transformar y limpiar'!N526</f>
        <v/>
      </c>
      <c r="O512">
        <f>'2 transformar y limpiar'!O526</f>
        <v/>
      </c>
      <c r="P512">
        <f>'2 transformar y limpiar'!P526</f>
        <v/>
      </c>
      <c r="Q512">
        <f>'2 transformar y limpiar'!Q526</f>
        <v/>
      </c>
      <c r="R512">
        <f>'2 transformar y limpiar'!R526</f>
        <v/>
      </c>
      <c r="S512">
        <f>'2 transformar y limpiar'!S526</f>
        <v/>
      </c>
      <c r="T512">
        <f>'2 transformar y limpiar'!T526</f>
        <v/>
      </c>
      <c r="U512" s="5">
        <f>'2 transformar y limpiar'!U526</f>
        <v/>
      </c>
    </row>
    <row r="513">
      <c r="A513">
        <f>'2 transformar y limpiar'!A527</f>
        <v/>
      </c>
      <c r="B513">
        <f>'2 transformar y limpiar'!B527</f>
        <v/>
      </c>
      <c r="C513" s="6">
        <f>('2 transformar y limpiar'!C527-$B$6)/$C$6</f>
        <v/>
      </c>
      <c r="D513" s="6">
        <f>('2 transformar y limpiar'!D527-$B$7)/$C$7</f>
        <v/>
      </c>
      <c r="E513" s="6">
        <f>('2 transformar y limpiar'!E527-$B$8)/$C$8</f>
        <v/>
      </c>
      <c r="F513" s="6">
        <f>('2 transformar y limpiar'!F527-$B$9)/$C$9</f>
        <v/>
      </c>
      <c r="G513">
        <f>'2 transformar y limpiar'!G527</f>
        <v/>
      </c>
      <c r="H513">
        <f>'2 transformar y limpiar'!H527</f>
        <v/>
      </c>
      <c r="I513">
        <f>'2 transformar y limpiar'!I527</f>
        <v/>
      </c>
      <c r="J513">
        <f>'2 transformar y limpiar'!J527</f>
        <v/>
      </c>
      <c r="K513">
        <f>'2 transformar y limpiar'!K527</f>
        <v/>
      </c>
      <c r="L513">
        <f>'2 transformar y limpiar'!L527</f>
        <v/>
      </c>
      <c r="M513">
        <f>'2 transformar y limpiar'!M527</f>
        <v/>
      </c>
      <c r="N513">
        <f>'2 transformar y limpiar'!N527</f>
        <v/>
      </c>
      <c r="O513">
        <f>'2 transformar y limpiar'!O527</f>
        <v/>
      </c>
      <c r="P513">
        <f>'2 transformar y limpiar'!P527</f>
        <v/>
      </c>
      <c r="Q513">
        <f>'2 transformar y limpiar'!Q527</f>
        <v/>
      </c>
      <c r="R513">
        <f>'2 transformar y limpiar'!R527</f>
        <v/>
      </c>
      <c r="S513">
        <f>'2 transformar y limpiar'!S527</f>
        <v/>
      </c>
      <c r="T513">
        <f>'2 transformar y limpiar'!T527</f>
        <v/>
      </c>
      <c r="U513" s="5">
        <f>'2 transformar y limpiar'!U527</f>
        <v/>
      </c>
    </row>
    <row r="514">
      <c r="A514">
        <f>'2 transformar y limpiar'!A528</f>
        <v/>
      </c>
      <c r="B514">
        <f>'2 transformar y limpiar'!B528</f>
        <v/>
      </c>
      <c r="C514" s="6">
        <f>('2 transformar y limpiar'!C528-$B$6)/$C$6</f>
        <v/>
      </c>
      <c r="D514" s="6">
        <f>('2 transformar y limpiar'!D528-$B$7)/$C$7</f>
        <v/>
      </c>
      <c r="E514" s="6">
        <f>('2 transformar y limpiar'!E528-$B$8)/$C$8</f>
        <v/>
      </c>
      <c r="F514" s="6">
        <f>('2 transformar y limpiar'!F528-$B$9)/$C$9</f>
        <v/>
      </c>
      <c r="G514">
        <f>'2 transformar y limpiar'!G528</f>
        <v/>
      </c>
      <c r="H514">
        <f>'2 transformar y limpiar'!H528</f>
        <v/>
      </c>
      <c r="I514">
        <f>'2 transformar y limpiar'!I528</f>
        <v/>
      </c>
      <c r="J514">
        <f>'2 transformar y limpiar'!J528</f>
        <v/>
      </c>
      <c r="K514">
        <f>'2 transformar y limpiar'!K528</f>
        <v/>
      </c>
      <c r="L514">
        <f>'2 transformar y limpiar'!L528</f>
        <v/>
      </c>
      <c r="M514">
        <f>'2 transformar y limpiar'!M528</f>
        <v/>
      </c>
      <c r="N514">
        <f>'2 transformar y limpiar'!N528</f>
        <v/>
      </c>
      <c r="O514">
        <f>'2 transformar y limpiar'!O528</f>
        <v/>
      </c>
      <c r="P514">
        <f>'2 transformar y limpiar'!P528</f>
        <v/>
      </c>
      <c r="Q514">
        <f>'2 transformar y limpiar'!Q528</f>
        <v/>
      </c>
      <c r="R514">
        <f>'2 transformar y limpiar'!R528</f>
        <v/>
      </c>
      <c r="S514">
        <f>'2 transformar y limpiar'!S528</f>
        <v/>
      </c>
      <c r="T514">
        <f>'2 transformar y limpiar'!T528</f>
        <v/>
      </c>
      <c r="U514" s="5">
        <f>'2 transformar y limpiar'!U528</f>
        <v/>
      </c>
    </row>
    <row r="515">
      <c r="A515">
        <f>'2 transformar y limpiar'!A529</f>
        <v/>
      </c>
      <c r="B515">
        <f>'2 transformar y limpiar'!B529</f>
        <v/>
      </c>
      <c r="C515" s="6">
        <f>('2 transformar y limpiar'!C529-$B$6)/$C$6</f>
        <v/>
      </c>
      <c r="D515" s="6">
        <f>('2 transformar y limpiar'!D529-$B$7)/$C$7</f>
        <v/>
      </c>
      <c r="E515" s="6">
        <f>('2 transformar y limpiar'!E529-$B$8)/$C$8</f>
        <v/>
      </c>
      <c r="F515" s="6">
        <f>('2 transformar y limpiar'!F529-$B$9)/$C$9</f>
        <v/>
      </c>
      <c r="G515">
        <f>'2 transformar y limpiar'!G529</f>
        <v/>
      </c>
      <c r="H515">
        <f>'2 transformar y limpiar'!H529</f>
        <v/>
      </c>
      <c r="I515">
        <f>'2 transformar y limpiar'!I529</f>
        <v/>
      </c>
      <c r="J515">
        <f>'2 transformar y limpiar'!J529</f>
        <v/>
      </c>
      <c r="K515">
        <f>'2 transformar y limpiar'!K529</f>
        <v/>
      </c>
      <c r="L515">
        <f>'2 transformar y limpiar'!L529</f>
        <v/>
      </c>
      <c r="M515">
        <f>'2 transformar y limpiar'!M529</f>
        <v/>
      </c>
      <c r="N515">
        <f>'2 transformar y limpiar'!N529</f>
        <v/>
      </c>
      <c r="O515">
        <f>'2 transformar y limpiar'!O529</f>
        <v/>
      </c>
      <c r="P515">
        <f>'2 transformar y limpiar'!P529</f>
        <v/>
      </c>
      <c r="Q515">
        <f>'2 transformar y limpiar'!Q529</f>
        <v/>
      </c>
      <c r="R515">
        <f>'2 transformar y limpiar'!R529</f>
        <v/>
      </c>
      <c r="S515">
        <f>'2 transformar y limpiar'!S529</f>
        <v/>
      </c>
      <c r="T515">
        <f>'2 transformar y limpiar'!T529</f>
        <v/>
      </c>
      <c r="U515" s="5">
        <f>'2 transformar y limpiar'!U529</f>
        <v/>
      </c>
    </row>
    <row r="516">
      <c r="A516">
        <f>'2 transformar y limpiar'!A530</f>
        <v/>
      </c>
      <c r="B516">
        <f>'2 transformar y limpiar'!B530</f>
        <v/>
      </c>
      <c r="C516" s="6">
        <f>('2 transformar y limpiar'!C530-$B$6)/$C$6</f>
        <v/>
      </c>
      <c r="D516" s="6">
        <f>('2 transformar y limpiar'!D530-$B$7)/$C$7</f>
        <v/>
      </c>
      <c r="E516" s="6">
        <f>('2 transformar y limpiar'!E530-$B$8)/$C$8</f>
        <v/>
      </c>
      <c r="F516" s="6">
        <f>('2 transformar y limpiar'!F530-$B$9)/$C$9</f>
        <v/>
      </c>
      <c r="G516">
        <f>'2 transformar y limpiar'!G530</f>
        <v/>
      </c>
      <c r="H516">
        <f>'2 transformar y limpiar'!H530</f>
        <v/>
      </c>
      <c r="I516">
        <f>'2 transformar y limpiar'!I530</f>
        <v/>
      </c>
      <c r="J516">
        <f>'2 transformar y limpiar'!J530</f>
        <v/>
      </c>
      <c r="K516">
        <f>'2 transformar y limpiar'!K530</f>
        <v/>
      </c>
      <c r="L516">
        <f>'2 transformar y limpiar'!L530</f>
        <v/>
      </c>
      <c r="M516">
        <f>'2 transformar y limpiar'!M530</f>
        <v/>
      </c>
      <c r="N516">
        <f>'2 transformar y limpiar'!N530</f>
        <v/>
      </c>
      <c r="O516">
        <f>'2 transformar y limpiar'!O530</f>
        <v/>
      </c>
      <c r="P516">
        <f>'2 transformar y limpiar'!P530</f>
        <v/>
      </c>
      <c r="Q516">
        <f>'2 transformar y limpiar'!Q530</f>
        <v/>
      </c>
      <c r="R516">
        <f>'2 transformar y limpiar'!R530</f>
        <v/>
      </c>
      <c r="S516">
        <f>'2 transformar y limpiar'!S530</f>
        <v/>
      </c>
      <c r="T516">
        <f>'2 transformar y limpiar'!T530</f>
        <v/>
      </c>
      <c r="U516" s="5">
        <f>'2 transformar y limpiar'!U530</f>
        <v/>
      </c>
    </row>
    <row r="517">
      <c r="A517">
        <f>'2 transformar y limpiar'!A531</f>
        <v/>
      </c>
      <c r="B517">
        <f>'2 transformar y limpiar'!B531</f>
        <v/>
      </c>
      <c r="C517" s="6">
        <f>('2 transformar y limpiar'!C531-$B$6)/$C$6</f>
        <v/>
      </c>
      <c r="D517" s="6">
        <f>('2 transformar y limpiar'!D531-$B$7)/$C$7</f>
        <v/>
      </c>
      <c r="E517" s="6">
        <f>('2 transformar y limpiar'!E531-$B$8)/$C$8</f>
        <v/>
      </c>
      <c r="F517" s="6">
        <f>('2 transformar y limpiar'!F531-$B$9)/$C$9</f>
        <v/>
      </c>
      <c r="G517">
        <f>'2 transformar y limpiar'!G531</f>
        <v/>
      </c>
      <c r="H517">
        <f>'2 transformar y limpiar'!H531</f>
        <v/>
      </c>
      <c r="I517">
        <f>'2 transformar y limpiar'!I531</f>
        <v/>
      </c>
      <c r="J517">
        <f>'2 transformar y limpiar'!J531</f>
        <v/>
      </c>
      <c r="K517">
        <f>'2 transformar y limpiar'!K531</f>
        <v/>
      </c>
      <c r="L517">
        <f>'2 transformar y limpiar'!L531</f>
        <v/>
      </c>
      <c r="M517">
        <f>'2 transformar y limpiar'!M531</f>
        <v/>
      </c>
      <c r="N517">
        <f>'2 transformar y limpiar'!N531</f>
        <v/>
      </c>
      <c r="O517">
        <f>'2 transformar y limpiar'!O531</f>
        <v/>
      </c>
      <c r="P517">
        <f>'2 transformar y limpiar'!P531</f>
        <v/>
      </c>
      <c r="Q517">
        <f>'2 transformar y limpiar'!Q531</f>
        <v/>
      </c>
      <c r="R517">
        <f>'2 transformar y limpiar'!R531</f>
        <v/>
      </c>
      <c r="S517">
        <f>'2 transformar y limpiar'!S531</f>
        <v/>
      </c>
      <c r="T517">
        <f>'2 transformar y limpiar'!T531</f>
        <v/>
      </c>
      <c r="U517" s="5">
        <f>'2 transformar y limpiar'!U531</f>
        <v/>
      </c>
    </row>
    <row r="518">
      <c r="A518">
        <f>'2 transformar y limpiar'!A532</f>
        <v/>
      </c>
      <c r="B518">
        <f>'2 transformar y limpiar'!B532</f>
        <v/>
      </c>
      <c r="C518" s="6">
        <f>('2 transformar y limpiar'!C532-$B$6)/$C$6</f>
        <v/>
      </c>
      <c r="D518" s="6">
        <f>('2 transformar y limpiar'!D532-$B$7)/$C$7</f>
        <v/>
      </c>
      <c r="E518" s="6">
        <f>('2 transformar y limpiar'!E532-$B$8)/$C$8</f>
        <v/>
      </c>
      <c r="F518" s="6">
        <f>('2 transformar y limpiar'!F532-$B$9)/$C$9</f>
        <v/>
      </c>
      <c r="G518">
        <f>'2 transformar y limpiar'!G532</f>
        <v/>
      </c>
      <c r="H518">
        <f>'2 transformar y limpiar'!H532</f>
        <v/>
      </c>
      <c r="I518">
        <f>'2 transformar y limpiar'!I532</f>
        <v/>
      </c>
      <c r="J518">
        <f>'2 transformar y limpiar'!J532</f>
        <v/>
      </c>
      <c r="K518">
        <f>'2 transformar y limpiar'!K532</f>
        <v/>
      </c>
      <c r="L518">
        <f>'2 transformar y limpiar'!L532</f>
        <v/>
      </c>
      <c r="M518">
        <f>'2 transformar y limpiar'!M532</f>
        <v/>
      </c>
      <c r="N518">
        <f>'2 transformar y limpiar'!N532</f>
        <v/>
      </c>
      <c r="O518">
        <f>'2 transformar y limpiar'!O532</f>
        <v/>
      </c>
      <c r="P518">
        <f>'2 transformar y limpiar'!P532</f>
        <v/>
      </c>
      <c r="Q518">
        <f>'2 transformar y limpiar'!Q532</f>
        <v/>
      </c>
      <c r="R518">
        <f>'2 transformar y limpiar'!R532</f>
        <v/>
      </c>
      <c r="S518">
        <f>'2 transformar y limpiar'!S532</f>
        <v/>
      </c>
      <c r="T518">
        <f>'2 transformar y limpiar'!T532</f>
        <v/>
      </c>
      <c r="U518" s="5">
        <f>'2 transformar y limpiar'!U532</f>
        <v/>
      </c>
    </row>
    <row r="519">
      <c r="A519">
        <f>'2 transformar y limpiar'!A533</f>
        <v/>
      </c>
      <c r="B519">
        <f>'2 transformar y limpiar'!B533</f>
        <v/>
      </c>
      <c r="C519" s="6">
        <f>('2 transformar y limpiar'!C533-$B$6)/$C$6</f>
        <v/>
      </c>
      <c r="D519" s="6">
        <f>('2 transformar y limpiar'!D533-$B$7)/$C$7</f>
        <v/>
      </c>
      <c r="E519" s="6">
        <f>('2 transformar y limpiar'!E533-$B$8)/$C$8</f>
        <v/>
      </c>
      <c r="F519" s="6">
        <f>('2 transformar y limpiar'!F533-$B$9)/$C$9</f>
        <v/>
      </c>
      <c r="G519">
        <f>'2 transformar y limpiar'!G533</f>
        <v/>
      </c>
      <c r="H519">
        <f>'2 transformar y limpiar'!H533</f>
        <v/>
      </c>
      <c r="I519">
        <f>'2 transformar y limpiar'!I533</f>
        <v/>
      </c>
      <c r="J519">
        <f>'2 transformar y limpiar'!J533</f>
        <v/>
      </c>
      <c r="K519">
        <f>'2 transformar y limpiar'!K533</f>
        <v/>
      </c>
      <c r="L519">
        <f>'2 transformar y limpiar'!L533</f>
        <v/>
      </c>
      <c r="M519">
        <f>'2 transformar y limpiar'!M533</f>
        <v/>
      </c>
      <c r="N519">
        <f>'2 transformar y limpiar'!N533</f>
        <v/>
      </c>
      <c r="O519">
        <f>'2 transformar y limpiar'!O533</f>
        <v/>
      </c>
      <c r="P519">
        <f>'2 transformar y limpiar'!P533</f>
        <v/>
      </c>
      <c r="Q519">
        <f>'2 transformar y limpiar'!Q533</f>
        <v/>
      </c>
      <c r="R519">
        <f>'2 transformar y limpiar'!R533</f>
        <v/>
      </c>
      <c r="S519">
        <f>'2 transformar y limpiar'!S533</f>
        <v/>
      </c>
      <c r="T519">
        <f>'2 transformar y limpiar'!T533</f>
        <v/>
      </c>
      <c r="U519" s="5">
        <f>'2 transformar y limpiar'!U533</f>
        <v/>
      </c>
    </row>
    <row r="520">
      <c r="A520">
        <f>'2 transformar y limpiar'!A534</f>
        <v/>
      </c>
      <c r="B520">
        <f>'2 transformar y limpiar'!B534</f>
        <v/>
      </c>
      <c r="C520" s="6">
        <f>('2 transformar y limpiar'!C534-$B$6)/$C$6</f>
        <v/>
      </c>
      <c r="D520" s="6">
        <f>('2 transformar y limpiar'!D534-$B$7)/$C$7</f>
        <v/>
      </c>
      <c r="E520" s="6">
        <f>('2 transformar y limpiar'!E534-$B$8)/$C$8</f>
        <v/>
      </c>
      <c r="F520" s="6">
        <f>('2 transformar y limpiar'!F534-$B$9)/$C$9</f>
        <v/>
      </c>
      <c r="G520">
        <f>'2 transformar y limpiar'!G534</f>
        <v/>
      </c>
      <c r="H520">
        <f>'2 transformar y limpiar'!H534</f>
        <v/>
      </c>
      <c r="I520">
        <f>'2 transformar y limpiar'!I534</f>
        <v/>
      </c>
      <c r="J520">
        <f>'2 transformar y limpiar'!J534</f>
        <v/>
      </c>
      <c r="K520">
        <f>'2 transformar y limpiar'!K534</f>
        <v/>
      </c>
      <c r="L520">
        <f>'2 transformar y limpiar'!L534</f>
        <v/>
      </c>
      <c r="M520">
        <f>'2 transformar y limpiar'!M534</f>
        <v/>
      </c>
      <c r="N520">
        <f>'2 transformar y limpiar'!N534</f>
        <v/>
      </c>
      <c r="O520">
        <f>'2 transformar y limpiar'!O534</f>
        <v/>
      </c>
      <c r="P520">
        <f>'2 transformar y limpiar'!P534</f>
        <v/>
      </c>
      <c r="Q520">
        <f>'2 transformar y limpiar'!Q534</f>
        <v/>
      </c>
      <c r="R520">
        <f>'2 transformar y limpiar'!R534</f>
        <v/>
      </c>
      <c r="S520">
        <f>'2 transformar y limpiar'!S534</f>
        <v/>
      </c>
      <c r="T520">
        <f>'2 transformar y limpiar'!T534</f>
        <v/>
      </c>
      <c r="U520" s="5">
        <f>'2 transformar y limpiar'!U534</f>
        <v/>
      </c>
    </row>
    <row r="521">
      <c r="A521">
        <f>'2 transformar y limpiar'!A535</f>
        <v/>
      </c>
      <c r="B521">
        <f>'2 transformar y limpiar'!B535</f>
        <v/>
      </c>
      <c r="C521" s="6">
        <f>('2 transformar y limpiar'!C535-$B$6)/$C$6</f>
        <v/>
      </c>
      <c r="D521" s="6">
        <f>('2 transformar y limpiar'!D535-$B$7)/$C$7</f>
        <v/>
      </c>
      <c r="E521" s="6">
        <f>('2 transformar y limpiar'!E535-$B$8)/$C$8</f>
        <v/>
      </c>
      <c r="F521" s="6">
        <f>('2 transformar y limpiar'!F535-$B$9)/$C$9</f>
        <v/>
      </c>
      <c r="G521">
        <f>'2 transformar y limpiar'!G535</f>
        <v/>
      </c>
      <c r="H521">
        <f>'2 transformar y limpiar'!H535</f>
        <v/>
      </c>
      <c r="I521">
        <f>'2 transformar y limpiar'!I535</f>
        <v/>
      </c>
      <c r="J521">
        <f>'2 transformar y limpiar'!J535</f>
        <v/>
      </c>
      <c r="K521">
        <f>'2 transformar y limpiar'!K535</f>
        <v/>
      </c>
      <c r="L521">
        <f>'2 transformar y limpiar'!L535</f>
        <v/>
      </c>
      <c r="M521">
        <f>'2 transformar y limpiar'!M535</f>
        <v/>
      </c>
      <c r="N521">
        <f>'2 transformar y limpiar'!N535</f>
        <v/>
      </c>
      <c r="O521">
        <f>'2 transformar y limpiar'!O535</f>
        <v/>
      </c>
      <c r="P521">
        <f>'2 transformar y limpiar'!P535</f>
        <v/>
      </c>
      <c r="Q521">
        <f>'2 transformar y limpiar'!Q535</f>
        <v/>
      </c>
      <c r="R521">
        <f>'2 transformar y limpiar'!R535</f>
        <v/>
      </c>
      <c r="S521">
        <f>'2 transformar y limpiar'!S535</f>
        <v/>
      </c>
      <c r="T521">
        <f>'2 transformar y limpiar'!T535</f>
        <v/>
      </c>
      <c r="U521" s="5">
        <f>'2 transformar y limpiar'!U535</f>
        <v/>
      </c>
    </row>
    <row r="522">
      <c r="A522">
        <f>'2 transformar y limpiar'!A536</f>
        <v/>
      </c>
      <c r="B522">
        <f>'2 transformar y limpiar'!B536</f>
        <v/>
      </c>
      <c r="C522" s="6">
        <f>('2 transformar y limpiar'!C536-$B$6)/$C$6</f>
        <v/>
      </c>
      <c r="D522" s="6">
        <f>('2 transformar y limpiar'!D536-$B$7)/$C$7</f>
        <v/>
      </c>
      <c r="E522" s="6">
        <f>('2 transformar y limpiar'!E536-$B$8)/$C$8</f>
        <v/>
      </c>
      <c r="F522" s="6">
        <f>('2 transformar y limpiar'!F536-$B$9)/$C$9</f>
        <v/>
      </c>
      <c r="G522">
        <f>'2 transformar y limpiar'!G536</f>
        <v/>
      </c>
      <c r="H522">
        <f>'2 transformar y limpiar'!H536</f>
        <v/>
      </c>
      <c r="I522">
        <f>'2 transformar y limpiar'!I536</f>
        <v/>
      </c>
      <c r="J522">
        <f>'2 transformar y limpiar'!J536</f>
        <v/>
      </c>
      <c r="K522">
        <f>'2 transformar y limpiar'!K536</f>
        <v/>
      </c>
      <c r="L522">
        <f>'2 transformar y limpiar'!L536</f>
        <v/>
      </c>
      <c r="M522">
        <f>'2 transformar y limpiar'!M536</f>
        <v/>
      </c>
      <c r="N522">
        <f>'2 transformar y limpiar'!N536</f>
        <v/>
      </c>
      <c r="O522">
        <f>'2 transformar y limpiar'!O536</f>
        <v/>
      </c>
      <c r="P522">
        <f>'2 transformar y limpiar'!P536</f>
        <v/>
      </c>
      <c r="Q522">
        <f>'2 transformar y limpiar'!Q536</f>
        <v/>
      </c>
      <c r="R522">
        <f>'2 transformar y limpiar'!R536</f>
        <v/>
      </c>
      <c r="S522">
        <f>'2 transformar y limpiar'!S536</f>
        <v/>
      </c>
      <c r="T522">
        <f>'2 transformar y limpiar'!T536</f>
        <v/>
      </c>
      <c r="U522" s="5">
        <f>'2 transformar y limpiar'!U536</f>
        <v/>
      </c>
    </row>
    <row r="523">
      <c r="A523">
        <f>'2 transformar y limpiar'!A537</f>
        <v/>
      </c>
      <c r="B523">
        <f>'2 transformar y limpiar'!B537</f>
        <v/>
      </c>
      <c r="C523" s="6">
        <f>('2 transformar y limpiar'!C537-$B$6)/$C$6</f>
        <v/>
      </c>
      <c r="D523" s="6">
        <f>('2 transformar y limpiar'!D537-$B$7)/$C$7</f>
        <v/>
      </c>
      <c r="E523" s="6">
        <f>('2 transformar y limpiar'!E537-$B$8)/$C$8</f>
        <v/>
      </c>
      <c r="F523" s="6">
        <f>('2 transformar y limpiar'!F537-$B$9)/$C$9</f>
        <v/>
      </c>
      <c r="G523">
        <f>'2 transformar y limpiar'!G537</f>
        <v/>
      </c>
      <c r="H523">
        <f>'2 transformar y limpiar'!H537</f>
        <v/>
      </c>
      <c r="I523">
        <f>'2 transformar y limpiar'!I537</f>
        <v/>
      </c>
      <c r="J523">
        <f>'2 transformar y limpiar'!J537</f>
        <v/>
      </c>
      <c r="K523">
        <f>'2 transformar y limpiar'!K537</f>
        <v/>
      </c>
      <c r="L523">
        <f>'2 transformar y limpiar'!L537</f>
        <v/>
      </c>
      <c r="M523">
        <f>'2 transformar y limpiar'!M537</f>
        <v/>
      </c>
      <c r="N523">
        <f>'2 transformar y limpiar'!N537</f>
        <v/>
      </c>
      <c r="O523">
        <f>'2 transformar y limpiar'!O537</f>
        <v/>
      </c>
      <c r="P523">
        <f>'2 transformar y limpiar'!P537</f>
        <v/>
      </c>
      <c r="Q523">
        <f>'2 transformar y limpiar'!Q537</f>
        <v/>
      </c>
      <c r="R523">
        <f>'2 transformar y limpiar'!R537</f>
        <v/>
      </c>
      <c r="S523">
        <f>'2 transformar y limpiar'!S537</f>
        <v/>
      </c>
      <c r="T523">
        <f>'2 transformar y limpiar'!T537</f>
        <v/>
      </c>
      <c r="U523" s="5">
        <f>'2 transformar y limpiar'!U537</f>
        <v/>
      </c>
    </row>
    <row r="524">
      <c r="A524">
        <f>'2 transformar y limpiar'!A538</f>
        <v/>
      </c>
      <c r="B524">
        <f>'2 transformar y limpiar'!B538</f>
        <v/>
      </c>
      <c r="C524" s="6">
        <f>('2 transformar y limpiar'!C538-$B$6)/$C$6</f>
        <v/>
      </c>
      <c r="D524" s="6">
        <f>('2 transformar y limpiar'!D538-$B$7)/$C$7</f>
        <v/>
      </c>
      <c r="E524" s="6">
        <f>('2 transformar y limpiar'!E538-$B$8)/$C$8</f>
        <v/>
      </c>
      <c r="F524" s="6">
        <f>('2 transformar y limpiar'!F538-$B$9)/$C$9</f>
        <v/>
      </c>
      <c r="G524">
        <f>'2 transformar y limpiar'!G538</f>
        <v/>
      </c>
      <c r="H524">
        <f>'2 transformar y limpiar'!H538</f>
        <v/>
      </c>
      <c r="I524">
        <f>'2 transformar y limpiar'!I538</f>
        <v/>
      </c>
      <c r="J524">
        <f>'2 transformar y limpiar'!J538</f>
        <v/>
      </c>
      <c r="K524">
        <f>'2 transformar y limpiar'!K538</f>
        <v/>
      </c>
      <c r="L524">
        <f>'2 transformar y limpiar'!L538</f>
        <v/>
      </c>
      <c r="M524">
        <f>'2 transformar y limpiar'!M538</f>
        <v/>
      </c>
      <c r="N524">
        <f>'2 transformar y limpiar'!N538</f>
        <v/>
      </c>
      <c r="O524">
        <f>'2 transformar y limpiar'!O538</f>
        <v/>
      </c>
      <c r="P524">
        <f>'2 transformar y limpiar'!P538</f>
        <v/>
      </c>
      <c r="Q524">
        <f>'2 transformar y limpiar'!Q538</f>
        <v/>
      </c>
      <c r="R524">
        <f>'2 transformar y limpiar'!R538</f>
        <v/>
      </c>
      <c r="S524">
        <f>'2 transformar y limpiar'!S538</f>
        <v/>
      </c>
      <c r="T524">
        <f>'2 transformar y limpiar'!T538</f>
        <v/>
      </c>
      <c r="U524" s="5">
        <f>'2 transformar y limpiar'!U538</f>
        <v/>
      </c>
    </row>
    <row r="525">
      <c r="A525">
        <f>'2 transformar y limpiar'!A539</f>
        <v/>
      </c>
      <c r="B525">
        <f>'2 transformar y limpiar'!B539</f>
        <v/>
      </c>
      <c r="C525" s="6">
        <f>('2 transformar y limpiar'!C539-$B$6)/$C$6</f>
        <v/>
      </c>
      <c r="D525" s="6">
        <f>('2 transformar y limpiar'!D539-$B$7)/$C$7</f>
        <v/>
      </c>
      <c r="E525" s="6">
        <f>('2 transformar y limpiar'!E539-$B$8)/$C$8</f>
        <v/>
      </c>
      <c r="F525" s="6">
        <f>('2 transformar y limpiar'!F539-$B$9)/$C$9</f>
        <v/>
      </c>
      <c r="G525">
        <f>'2 transformar y limpiar'!G539</f>
        <v/>
      </c>
      <c r="H525">
        <f>'2 transformar y limpiar'!H539</f>
        <v/>
      </c>
      <c r="I525">
        <f>'2 transformar y limpiar'!I539</f>
        <v/>
      </c>
      <c r="J525">
        <f>'2 transformar y limpiar'!J539</f>
        <v/>
      </c>
      <c r="K525">
        <f>'2 transformar y limpiar'!K539</f>
        <v/>
      </c>
      <c r="L525">
        <f>'2 transformar y limpiar'!L539</f>
        <v/>
      </c>
      <c r="M525">
        <f>'2 transformar y limpiar'!M539</f>
        <v/>
      </c>
      <c r="N525">
        <f>'2 transformar y limpiar'!N539</f>
        <v/>
      </c>
      <c r="O525">
        <f>'2 transformar y limpiar'!O539</f>
        <v/>
      </c>
      <c r="P525">
        <f>'2 transformar y limpiar'!P539</f>
        <v/>
      </c>
      <c r="Q525">
        <f>'2 transformar y limpiar'!Q539</f>
        <v/>
      </c>
      <c r="R525">
        <f>'2 transformar y limpiar'!R539</f>
        <v/>
      </c>
      <c r="S525">
        <f>'2 transformar y limpiar'!S539</f>
        <v/>
      </c>
      <c r="T525">
        <f>'2 transformar y limpiar'!T539</f>
        <v/>
      </c>
      <c r="U525" s="5">
        <f>'2 transformar y limpiar'!U539</f>
        <v/>
      </c>
    </row>
    <row r="526">
      <c r="A526">
        <f>'2 transformar y limpiar'!A540</f>
        <v/>
      </c>
      <c r="B526">
        <f>'2 transformar y limpiar'!B540</f>
        <v/>
      </c>
      <c r="C526" s="6">
        <f>('2 transformar y limpiar'!C540-$B$6)/$C$6</f>
        <v/>
      </c>
      <c r="D526" s="6">
        <f>('2 transformar y limpiar'!D540-$B$7)/$C$7</f>
        <v/>
      </c>
      <c r="E526" s="6">
        <f>('2 transformar y limpiar'!E540-$B$8)/$C$8</f>
        <v/>
      </c>
      <c r="F526" s="6">
        <f>('2 transformar y limpiar'!F540-$B$9)/$C$9</f>
        <v/>
      </c>
      <c r="G526">
        <f>'2 transformar y limpiar'!G540</f>
        <v/>
      </c>
      <c r="H526">
        <f>'2 transformar y limpiar'!H540</f>
        <v/>
      </c>
      <c r="I526">
        <f>'2 transformar y limpiar'!I540</f>
        <v/>
      </c>
      <c r="J526">
        <f>'2 transformar y limpiar'!J540</f>
        <v/>
      </c>
      <c r="K526">
        <f>'2 transformar y limpiar'!K540</f>
        <v/>
      </c>
      <c r="L526">
        <f>'2 transformar y limpiar'!L540</f>
        <v/>
      </c>
      <c r="M526">
        <f>'2 transformar y limpiar'!M540</f>
        <v/>
      </c>
      <c r="N526">
        <f>'2 transformar y limpiar'!N540</f>
        <v/>
      </c>
      <c r="O526">
        <f>'2 transformar y limpiar'!O540</f>
        <v/>
      </c>
      <c r="P526">
        <f>'2 transformar y limpiar'!P540</f>
        <v/>
      </c>
      <c r="Q526">
        <f>'2 transformar y limpiar'!Q540</f>
        <v/>
      </c>
      <c r="R526">
        <f>'2 transformar y limpiar'!R540</f>
        <v/>
      </c>
      <c r="S526">
        <f>'2 transformar y limpiar'!S540</f>
        <v/>
      </c>
      <c r="T526">
        <f>'2 transformar y limpiar'!T540</f>
        <v/>
      </c>
      <c r="U526" s="5">
        <f>'2 transformar y limpiar'!U540</f>
        <v/>
      </c>
    </row>
    <row r="527">
      <c r="A527">
        <f>'2 transformar y limpiar'!A541</f>
        <v/>
      </c>
      <c r="B527">
        <f>'2 transformar y limpiar'!B541</f>
        <v/>
      </c>
      <c r="C527" s="6">
        <f>('2 transformar y limpiar'!C541-$B$6)/$C$6</f>
        <v/>
      </c>
      <c r="D527" s="6">
        <f>('2 transformar y limpiar'!D541-$B$7)/$C$7</f>
        <v/>
      </c>
      <c r="E527" s="6">
        <f>('2 transformar y limpiar'!E541-$B$8)/$C$8</f>
        <v/>
      </c>
      <c r="F527" s="6">
        <f>('2 transformar y limpiar'!F541-$B$9)/$C$9</f>
        <v/>
      </c>
      <c r="G527">
        <f>'2 transformar y limpiar'!G541</f>
        <v/>
      </c>
      <c r="H527">
        <f>'2 transformar y limpiar'!H541</f>
        <v/>
      </c>
      <c r="I527">
        <f>'2 transformar y limpiar'!I541</f>
        <v/>
      </c>
      <c r="J527">
        <f>'2 transformar y limpiar'!J541</f>
        <v/>
      </c>
      <c r="K527">
        <f>'2 transformar y limpiar'!K541</f>
        <v/>
      </c>
      <c r="L527">
        <f>'2 transformar y limpiar'!L541</f>
        <v/>
      </c>
      <c r="M527">
        <f>'2 transformar y limpiar'!M541</f>
        <v/>
      </c>
      <c r="N527">
        <f>'2 transformar y limpiar'!N541</f>
        <v/>
      </c>
      <c r="O527">
        <f>'2 transformar y limpiar'!O541</f>
        <v/>
      </c>
      <c r="P527">
        <f>'2 transformar y limpiar'!P541</f>
        <v/>
      </c>
      <c r="Q527">
        <f>'2 transformar y limpiar'!Q541</f>
        <v/>
      </c>
      <c r="R527">
        <f>'2 transformar y limpiar'!R541</f>
        <v/>
      </c>
      <c r="S527">
        <f>'2 transformar y limpiar'!S541</f>
        <v/>
      </c>
      <c r="T527">
        <f>'2 transformar y limpiar'!T541</f>
        <v/>
      </c>
      <c r="U527" s="5">
        <f>'2 transformar y limpiar'!U541</f>
        <v/>
      </c>
    </row>
    <row r="528">
      <c r="A528">
        <f>'2 transformar y limpiar'!A542</f>
        <v/>
      </c>
      <c r="B528">
        <f>'2 transformar y limpiar'!B542</f>
        <v/>
      </c>
      <c r="C528" s="6">
        <f>('2 transformar y limpiar'!C542-$B$6)/$C$6</f>
        <v/>
      </c>
      <c r="D528" s="6">
        <f>('2 transformar y limpiar'!D542-$B$7)/$C$7</f>
        <v/>
      </c>
      <c r="E528" s="6">
        <f>('2 transformar y limpiar'!E542-$B$8)/$C$8</f>
        <v/>
      </c>
      <c r="F528" s="6">
        <f>('2 transformar y limpiar'!F542-$B$9)/$C$9</f>
        <v/>
      </c>
      <c r="G528">
        <f>'2 transformar y limpiar'!G542</f>
        <v/>
      </c>
      <c r="H528">
        <f>'2 transformar y limpiar'!H542</f>
        <v/>
      </c>
      <c r="I528">
        <f>'2 transformar y limpiar'!I542</f>
        <v/>
      </c>
      <c r="J528">
        <f>'2 transformar y limpiar'!J542</f>
        <v/>
      </c>
      <c r="K528">
        <f>'2 transformar y limpiar'!K542</f>
        <v/>
      </c>
      <c r="L528">
        <f>'2 transformar y limpiar'!L542</f>
        <v/>
      </c>
      <c r="M528">
        <f>'2 transformar y limpiar'!M542</f>
        <v/>
      </c>
      <c r="N528">
        <f>'2 transformar y limpiar'!N542</f>
        <v/>
      </c>
      <c r="O528">
        <f>'2 transformar y limpiar'!O542</f>
        <v/>
      </c>
      <c r="P528">
        <f>'2 transformar y limpiar'!P542</f>
        <v/>
      </c>
      <c r="Q528">
        <f>'2 transformar y limpiar'!Q542</f>
        <v/>
      </c>
      <c r="R528">
        <f>'2 transformar y limpiar'!R542</f>
        <v/>
      </c>
      <c r="S528">
        <f>'2 transformar y limpiar'!S542</f>
        <v/>
      </c>
      <c r="T528">
        <f>'2 transformar y limpiar'!T542</f>
        <v/>
      </c>
      <c r="U528" s="5">
        <f>'2 transformar y limpiar'!U542</f>
        <v/>
      </c>
    </row>
    <row r="529">
      <c r="A529">
        <f>'2 transformar y limpiar'!A543</f>
        <v/>
      </c>
      <c r="B529">
        <f>'2 transformar y limpiar'!B543</f>
        <v/>
      </c>
      <c r="C529" s="6">
        <f>('2 transformar y limpiar'!C543-$B$6)/$C$6</f>
        <v/>
      </c>
      <c r="D529" s="6">
        <f>('2 transformar y limpiar'!D543-$B$7)/$C$7</f>
        <v/>
      </c>
      <c r="E529" s="6">
        <f>('2 transformar y limpiar'!E543-$B$8)/$C$8</f>
        <v/>
      </c>
      <c r="F529" s="6">
        <f>('2 transformar y limpiar'!F543-$B$9)/$C$9</f>
        <v/>
      </c>
      <c r="G529">
        <f>'2 transformar y limpiar'!G543</f>
        <v/>
      </c>
      <c r="H529">
        <f>'2 transformar y limpiar'!H543</f>
        <v/>
      </c>
      <c r="I529">
        <f>'2 transformar y limpiar'!I543</f>
        <v/>
      </c>
      <c r="J529">
        <f>'2 transformar y limpiar'!J543</f>
        <v/>
      </c>
      <c r="K529">
        <f>'2 transformar y limpiar'!K543</f>
        <v/>
      </c>
      <c r="L529">
        <f>'2 transformar y limpiar'!L543</f>
        <v/>
      </c>
      <c r="M529">
        <f>'2 transformar y limpiar'!M543</f>
        <v/>
      </c>
      <c r="N529">
        <f>'2 transformar y limpiar'!N543</f>
        <v/>
      </c>
      <c r="O529">
        <f>'2 transformar y limpiar'!O543</f>
        <v/>
      </c>
      <c r="P529">
        <f>'2 transformar y limpiar'!P543</f>
        <v/>
      </c>
      <c r="Q529">
        <f>'2 transformar y limpiar'!Q543</f>
        <v/>
      </c>
      <c r="R529">
        <f>'2 transformar y limpiar'!R543</f>
        <v/>
      </c>
      <c r="S529">
        <f>'2 transformar y limpiar'!S543</f>
        <v/>
      </c>
      <c r="T529">
        <f>'2 transformar y limpiar'!T543</f>
        <v/>
      </c>
      <c r="U529" s="5">
        <f>'2 transformar y limpiar'!U543</f>
        <v/>
      </c>
    </row>
    <row r="530">
      <c r="A530">
        <f>'2 transformar y limpiar'!A544</f>
        <v/>
      </c>
      <c r="B530">
        <f>'2 transformar y limpiar'!B544</f>
        <v/>
      </c>
      <c r="C530" s="6">
        <f>('2 transformar y limpiar'!C544-$B$6)/$C$6</f>
        <v/>
      </c>
      <c r="D530" s="6">
        <f>('2 transformar y limpiar'!D544-$B$7)/$C$7</f>
        <v/>
      </c>
      <c r="E530" s="6">
        <f>('2 transformar y limpiar'!E544-$B$8)/$C$8</f>
        <v/>
      </c>
      <c r="F530" s="6">
        <f>('2 transformar y limpiar'!F544-$B$9)/$C$9</f>
        <v/>
      </c>
      <c r="G530">
        <f>'2 transformar y limpiar'!G544</f>
        <v/>
      </c>
      <c r="H530">
        <f>'2 transformar y limpiar'!H544</f>
        <v/>
      </c>
      <c r="I530">
        <f>'2 transformar y limpiar'!I544</f>
        <v/>
      </c>
      <c r="J530">
        <f>'2 transformar y limpiar'!J544</f>
        <v/>
      </c>
      <c r="K530">
        <f>'2 transformar y limpiar'!K544</f>
        <v/>
      </c>
      <c r="L530">
        <f>'2 transformar y limpiar'!L544</f>
        <v/>
      </c>
      <c r="M530">
        <f>'2 transformar y limpiar'!M544</f>
        <v/>
      </c>
      <c r="N530">
        <f>'2 transformar y limpiar'!N544</f>
        <v/>
      </c>
      <c r="O530">
        <f>'2 transformar y limpiar'!O544</f>
        <v/>
      </c>
      <c r="P530">
        <f>'2 transformar y limpiar'!P544</f>
        <v/>
      </c>
      <c r="Q530">
        <f>'2 transformar y limpiar'!Q544</f>
        <v/>
      </c>
      <c r="R530">
        <f>'2 transformar y limpiar'!R544</f>
        <v/>
      </c>
      <c r="S530">
        <f>'2 transformar y limpiar'!S544</f>
        <v/>
      </c>
      <c r="T530">
        <f>'2 transformar y limpiar'!T544</f>
        <v/>
      </c>
      <c r="U530" s="5">
        <f>'2 transformar y limpiar'!U544</f>
        <v/>
      </c>
    </row>
    <row r="531">
      <c r="A531">
        <f>'2 transformar y limpiar'!A545</f>
        <v/>
      </c>
      <c r="B531">
        <f>'2 transformar y limpiar'!B545</f>
        <v/>
      </c>
      <c r="C531" s="6">
        <f>('2 transformar y limpiar'!C545-$B$6)/$C$6</f>
        <v/>
      </c>
      <c r="D531" s="6">
        <f>('2 transformar y limpiar'!D545-$B$7)/$C$7</f>
        <v/>
      </c>
      <c r="E531" s="6">
        <f>('2 transformar y limpiar'!E545-$B$8)/$C$8</f>
        <v/>
      </c>
      <c r="F531" s="6">
        <f>('2 transformar y limpiar'!F545-$B$9)/$C$9</f>
        <v/>
      </c>
      <c r="G531">
        <f>'2 transformar y limpiar'!G545</f>
        <v/>
      </c>
      <c r="H531">
        <f>'2 transformar y limpiar'!H545</f>
        <v/>
      </c>
      <c r="I531">
        <f>'2 transformar y limpiar'!I545</f>
        <v/>
      </c>
      <c r="J531">
        <f>'2 transformar y limpiar'!J545</f>
        <v/>
      </c>
      <c r="K531">
        <f>'2 transformar y limpiar'!K545</f>
        <v/>
      </c>
      <c r="L531">
        <f>'2 transformar y limpiar'!L545</f>
        <v/>
      </c>
      <c r="M531">
        <f>'2 transformar y limpiar'!M545</f>
        <v/>
      </c>
      <c r="N531">
        <f>'2 transformar y limpiar'!N545</f>
        <v/>
      </c>
      <c r="O531">
        <f>'2 transformar y limpiar'!O545</f>
        <v/>
      </c>
      <c r="P531">
        <f>'2 transformar y limpiar'!P545</f>
        <v/>
      </c>
      <c r="Q531">
        <f>'2 transformar y limpiar'!Q545</f>
        <v/>
      </c>
      <c r="R531">
        <f>'2 transformar y limpiar'!R545</f>
        <v/>
      </c>
      <c r="S531">
        <f>'2 transformar y limpiar'!S545</f>
        <v/>
      </c>
      <c r="T531">
        <f>'2 transformar y limpiar'!T545</f>
        <v/>
      </c>
      <c r="U531" s="5">
        <f>'2 transformar y limpiar'!U545</f>
        <v/>
      </c>
    </row>
    <row r="532">
      <c r="A532">
        <f>'2 transformar y limpiar'!A546</f>
        <v/>
      </c>
      <c r="B532">
        <f>'2 transformar y limpiar'!B546</f>
        <v/>
      </c>
      <c r="C532" s="6">
        <f>('2 transformar y limpiar'!C546-$B$6)/$C$6</f>
        <v/>
      </c>
      <c r="D532" s="6">
        <f>('2 transformar y limpiar'!D546-$B$7)/$C$7</f>
        <v/>
      </c>
      <c r="E532" s="6">
        <f>('2 transformar y limpiar'!E546-$B$8)/$C$8</f>
        <v/>
      </c>
      <c r="F532" s="6">
        <f>('2 transformar y limpiar'!F546-$B$9)/$C$9</f>
        <v/>
      </c>
      <c r="G532">
        <f>'2 transformar y limpiar'!G546</f>
        <v/>
      </c>
      <c r="H532">
        <f>'2 transformar y limpiar'!H546</f>
        <v/>
      </c>
      <c r="I532">
        <f>'2 transformar y limpiar'!I546</f>
        <v/>
      </c>
      <c r="J532">
        <f>'2 transformar y limpiar'!J546</f>
        <v/>
      </c>
      <c r="K532">
        <f>'2 transformar y limpiar'!K546</f>
        <v/>
      </c>
      <c r="L532">
        <f>'2 transformar y limpiar'!L546</f>
        <v/>
      </c>
      <c r="M532">
        <f>'2 transformar y limpiar'!M546</f>
        <v/>
      </c>
      <c r="N532">
        <f>'2 transformar y limpiar'!N546</f>
        <v/>
      </c>
      <c r="O532">
        <f>'2 transformar y limpiar'!O546</f>
        <v/>
      </c>
      <c r="P532">
        <f>'2 transformar y limpiar'!P546</f>
        <v/>
      </c>
      <c r="Q532">
        <f>'2 transformar y limpiar'!Q546</f>
        <v/>
      </c>
      <c r="R532">
        <f>'2 transformar y limpiar'!R546</f>
        <v/>
      </c>
      <c r="S532">
        <f>'2 transformar y limpiar'!S546</f>
        <v/>
      </c>
      <c r="T532">
        <f>'2 transformar y limpiar'!T546</f>
        <v/>
      </c>
      <c r="U532" s="5">
        <f>'2 transformar y limpiar'!U546</f>
        <v/>
      </c>
    </row>
    <row r="533">
      <c r="A533">
        <f>'2 transformar y limpiar'!A547</f>
        <v/>
      </c>
      <c r="B533">
        <f>'2 transformar y limpiar'!B547</f>
        <v/>
      </c>
      <c r="C533" s="6">
        <f>('2 transformar y limpiar'!C547-$B$6)/$C$6</f>
        <v/>
      </c>
      <c r="D533" s="6">
        <f>('2 transformar y limpiar'!D547-$B$7)/$C$7</f>
        <v/>
      </c>
      <c r="E533" s="6">
        <f>('2 transformar y limpiar'!E547-$B$8)/$C$8</f>
        <v/>
      </c>
      <c r="F533" s="6">
        <f>('2 transformar y limpiar'!F547-$B$9)/$C$9</f>
        <v/>
      </c>
      <c r="G533">
        <f>'2 transformar y limpiar'!G547</f>
        <v/>
      </c>
      <c r="H533">
        <f>'2 transformar y limpiar'!H547</f>
        <v/>
      </c>
      <c r="I533">
        <f>'2 transformar y limpiar'!I547</f>
        <v/>
      </c>
      <c r="J533">
        <f>'2 transformar y limpiar'!J547</f>
        <v/>
      </c>
      <c r="K533">
        <f>'2 transformar y limpiar'!K547</f>
        <v/>
      </c>
      <c r="L533">
        <f>'2 transformar y limpiar'!L547</f>
        <v/>
      </c>
      <c r="M533">
        <f>'2 transformar y limpiar'!M547</f>
        <v/>
      </c>
      <c r="N533">
        <f>'2 transformar y limpiar'!N547</f>
        <v/>
      </c>
      <c r="O533">
        <f>'2 transformar y limpiar'!O547</f>
        <v/>
      </c>
      <c r="P533">
        <f>'2 transformar y limpiar'!P547</f>
        <v/>
      </c>
      <c r="Q533">
        <f>'2 transformar y limpiar'!Q547</f>
        <v/>
      </c>
      <c r="R533">
        <f>'2 transformar y limpiar'!R547</f>
        <v/>
      </c>
      <c r="S533">
        <f>'2 transformar y limpiar'!S547</f>
        <v/>
      </c>
      <c r="T533">
        <f>'2 transformar y limpiar'!T547</f>
        <v/>
      </c>
      <c r="U533" s="5">
        <f>'2 transformar y limpiar'!U547</f>
        <v/>
      </c>
    </row>
    <row r="534">
      <c r="A534">
        <f>'2 transformar y limpiar'!A548</f>
        <v/>
      </c>
      <c r="B534">
        <f>'2 transformar y limpiar'!B548</f>
        <v/>
      </c>
      <c r="C534" s="6">
        <f>('2 transformar y limpiar'!C548-$B$6)/$C$6</f>
        <v/>
      </c>
      <c r="D534" s="6">
        <f>('2 transformar y limpiar'!D548-$B$7)/$C$7</f>
        <v/>
      </c>
      <c r="E534" s="6">
        <f>('2 transformar y limpiar'!E548-$B$8)/$C$8</f>
        <v/>
      </c>
      <c r="F534" s="6">
        <f>('2 transformar y limpiar'!F548-$B$9)/$C$9</f>
        <v/>
      </c>
      <c r="G534">
        <f>'2 transformar y limpiar'!G548</f>
        <v/>
      </c>
      <c r="H534">
        <f>'2 transformar y limpiar'!H548</f>
        <v/>
      </c>
      <c r="I534">
        <f>'2 transformar y limpiar'!I548</f>
        <v/>
      </c>
      <c r="J534">
        <f>'2 transformar y limpiar'!J548</f>
        <v/>
      </c>
      <c r="K534">
        <f>'2 transformar y limpiar'!K548</f>
        <v/>
      </c>
      <c r="L534">
        <f>'2 transformar y limpiar'!L548</f>
        <v/>
      </c>
      <c r="M534">
        <f>'2 transformar y limpiar'!M548</f>
        <v/>
      </c>
      <c r="N534">
        <f>'2 transformar y limpiar'!N548</f>
        <v/>
      </c>
      <c r="O534">
        <f>'2 transformar y limpiar'!O548</f>
        <v/>
      </c>
      <c r="P534">
        <f>'2 transformar y limpiar'!P548</f>
        <v/>
      </c>
      <c r="Q534">
        <f>'2 transformar y limpiar'!Q548</f>
        <v/>
      </c>
      <c r="R534">
        <f>'2 transformar y limpiar'!R548</f>
        <v/>
      </c>
      <c r="S534">
        <f>'2 transformar y limpiar'!S548</f>
        <v/>
      </c>
      <c r="T534">
        <f>'2 transformar y limpiar'!T548</f>
        <v/>
      </c>
      <c r="U534" s="5">
        <f>'2 transformar y limpiar'!U548</f>
        <v/>
      </c>
    </row>
    <row r="535">
      <c r="A535">
        <f>'2 transformar y limpiar'!A549</f>
        <v/>
      </c>
      <c r="B535">
        <f>'2 transformar y limpiar'!B549</f>
        <v/>
      </c>
      <c r="C535" s="6">
        <f>('2 transformar y limpiar'!C549-$B$6)/$C$6</f>
        <v/>
      </c>
      <c r="D535" s="6">
        <f>('2 transformar y limpiar'!D549-$B$7)/$C$7</f>
        <v/>
      </c>
      <c r="E535" s="6">
        <f>('2 transformar y limpiar'!E549-$B$8)/$C$8</f>
        <v/>
      </c>
      <c r="F535" s="6">
        <f>('2 transformar y limpiar'!F549-$B$9)/$C$9</f>
        <v/>
      </c>
      <c r="G535">
        <f>'2 transformar y limpiar'!G549</f>
        <v/>
      </c>
      <c r="H535">
        <f>'2 transformar y limpiar'!H549</f>
        <v/>
      </c>
      <c r="I535">
        <f>'2 transformar y limpiar'!I549</f>
        <v/>
      </c>
      <c r="J535">
        <f>'2 transformar y limpiar'!J549</f>
        <v/>
      </c>
      <c r="K535">
        <f>'2 transformar y limpiar'!K549</f>
        <v/>
      </c>
      <c r="L535">
        <f>'2 transformar y limpiar'!L549</f>
        <v/>
      </c>
      <c r="M535">
        <f>'2 transformar y limpiar'!M549</f>
        <v/>
      </c>
      <c r="N535">
        <f>'2 transformar y limpiar'!N549</f>
        <v/>
      </c>
      <c r="O535">
        <f>'2 transformar y limpiar'!O549</f>
        <v/>
      </c>
      <c r="P535">
        <f>'2 transformar y limpiar'!P549</f>
        <v/>
      </c>
      <c r="Q535">
        <f>'2 transformar y limpiar'!Q549</f>
        <v/>
      </c>
      <c r="R535">
        <f>'2 transformar y limpiar'!R549</f>
        <v/>
      </c>
      <c r="S535">
        <f>'2 transformar y limpiar'!S549</f>
        <v/>
      </c>
      <c r="T535">
        <f>'2 transformar y limpiar'!T549</f>
        <v/>
      </c>
      <c r="U535" s="5">
        <f>'2 transformar y limpiar'!U549</f>
        <v/>
      </c>
    </row>
    <row r="536">
      <c r="A536">
        <f>'2 transformar y limpiar'!A550</f>
        <v/>
      </c>
      <c r="B536">
        <f>'2 transformar y limpiar'!B550</f>
        <v/>
      </c>
      <c r="C536" s="6">
        <f>('2 transformar y limpiar'!C550-$B$6)/$C$6</f>
        <v/>
      </c>
      <c r="D536" s="6">
        <f>('2 transformar y limpiar'!D550-$B$7)/$C$7</f>
        <v/>
      </c>
      <c r="E536" s="6">
        <f>('2 transformar y limpiar'!E550-$B$8)/$C$8</f>
        <v/>
      </c>
      <c r="F536" s="6">
        <f>('2 transformar y limpiar'!F550-$B$9)/$C$9</f>
        <v/>
      </c>
      <c r="G536">
        <f>'2 transformar y limpiar'!G550</f>
        <v/>
      </c>
      <c r="H536">
        <f>'2 transformar y limpiar'!H550</f>
        <v/>
      </c>
      <c r="I536">
        <f>'2 transformar y limpiar'!I550</f>
        <v/>
      </c>
      <c r="J536">
        <f>'2 transformar y limpiar'!J550</f>
        <v/>
      </c>
      <c r="K536">
        <f>'2 transformar y limpiar'!K550</f>
        <v/>
      </c>
      <c r="L536">
        <f>'2 transformar y limpiar'!L550</f>
        <v/>
      </c>
      <c r="M536">
        <f>'2 transformar y limpiar'!M550</f>
        <v/>
      </c>
      <c r="N536">
        <f>'2 transformar y limpiar'!N550</f>
        <v/>
      </c>
      <c r="O536">
        <f>'2 transformar y limpiar'!O550</f>
        <v/>
      </c>
      <c r="P536">
        <f>'2 transformar y limpiar'!P550</f>
        <v/>
      </c>
      <c r="Q536">
        <f>'2 transformar y limpiar'!Q550</f>
        <v/>
      </c>
      <c r="R536">
        <f>'2 transformar y limpiar'!R550</f>
        <v/>
      </c>
      <c r="S536">
        <f>'2 transformar y limpiar'!S550</f>
        <v/>
      </c>
      <c r="T536">
        <f>'2 transformar y limpiar'!T550</f>
        <v/>
      </c>
      <c r="U536" s="5">
        <f>'2 transformar y limpiar'!U550</f>
        <v/>
      </c>
    </row>
    <row r="537">
      <c r="A537">
        <f>'2 transformar y limpiar'!A551</f>
        <v/>
      </c>
      <c r="B537">
        <f>'2 transformar y limpiar'!B551</f>
        <v/>
      </c>
      <c r="C537" s="6">
        <f>('2 transformar y limpiar'!C551-$B$6)/$C$6</f>
        <v/>
      </c>
      <c r="D537" s="6">
        <f>('2 transformar y limpiar'!D551-$B$7)/$C$7</f>
        <v/>
      </c>
      <c r="E537" s="6">
        <f>('2 transformar y limpiar'!E551-$B$8)/$C$8</f>
        <v/>
      </c>
      <c r="F537" s="6">
        <f>('2 transformar y limpiar'!F551-$B$9)/$C$9</f>
        <v/>
      </c>
      <c r="G537">
        <f>'2 transformar y limpiar'!G551</f>
        <v/>
      </c>
      <c r="H537">
        <f>'2 transformar y limpiar'!H551</f>
        <v/>
      </c>
      <c r="I537">
        <f>'2 transformar y limpiar'!I551</f>
        <v/>
      </c>
      <c r="J537">
        <f>'2 transformar y limpiar'!J551</f>
        <v/>
      </c>
      <c r="K537">
        <f>'2 transformar y limpiar'!K551</f>
        <v/>
      </c>
      <c r="L537">
        <f>'2 transformar y limpiar'!L551</f>
        <v/>
      </c>
      <c r="M537">
        <f>'2 transformar y limpiar'!M551</f>
        <v/>
      </c>
      <c r="N537">
        <f>'2 transformar y limpiar'!N551</f>
        <v/>
      </c>
      <c r="O537">
        <f>'2 transformar y limpiar'!O551</f>
        <v/>
      </c>
      <c r="P537">
        <f>'2 transformar y limpiar'!P551</f>
        <v/>
      </c>
      <c r="Q537">
        <f>'2 transformar y limpiar'!Q551</f>
        <v/>
      </c>
      <c r="R537">
        <f>'2 transformar y limpiar'!R551</f>
        <v/>
      </c>
      <c r="S537">
        <f>'2 transformar y limpiar'!S551</f>
        <v/>
      </c>
      <c r="T537">
        <f>'2 transformar y limpiar'!T551</f>
        <v/>
      </c>
      <c r="U537" s="5">
        <f>'2 transformar y limpiar'!U551</f>
        <v/>
      </c>
    </row>
    <row r="538">
      <c r="A538">
        <f>'2 transformar y limpiar'!A552</f>
        <v/>
      </c>
      <c r="B538">
        <f>'2 transformar y limpiar'!B552</f>
        <v/>
      </c>
      <c r="C538" s="6">
        <f>('2 transformar y limpiar'!C552-$B$6)/$C$6</f>
        <v/>
      </c>
      <c r="D538" s="6">
        <f>('2 transformar y limpiar'!D552-$B$7)/$C$7</f>
        <v/>
      </c>
      <c r="E538" s="6">
        <f>('2 transformar y limpiar'!E552-$B$8)/$C$8</f>
        <v/>
      </c>
      <c r="F538" s="6">
        <f>('2 transformar y limpiar'!F552-$B$9)/$C$9</f>
        <v/>
      </c>
      <c r="G538">
        <f>'2 transformar y limpiar'!G552</f>
        <v/>
      </c>
      <c r="H538">
        <f>'2 transformar y limpiar'!H552</f>
        <v/>
      </c>
      <c r="I538">
        <f>'2 transformar y limpiar'!I552</f>
        <v/>
      </c>
      <c r="J538">
        <f>'2 transformar y limpiar'!J552</f>
        <v/>
      </c>
      <c r="K538">
        <f>'2 transformar y limpiar'!K552</f>
        <v/>
      </c>
      <c r="L538">
        <f>'2 transformar y limpiar'!L552</f>
        <v/>
      </c>
      <c r="M538">
        <f>'2 transformar y limpiar'!M552</f>
        <v/>
      </c>
      <c r="N538">
        <f>'2 transformar y limpiar'!N552</f>
        <v/>
      </c>
      <c r="O538">
        <f>'2 transformar y limpiar'!O552</f>
        <v/>
      </c>
      <c r="P538">
        <f>'2 transformar y limpiar'!P552</f>
        <v/>
      </c>
      <c r="Q538">
        <f>'2 transformar y limpiar'!Q552</f>
        <v/>
      </c>
      <c r="R538">
        <f>'2 transformar y limpiar'!R552</f>
        <v/>
      </c>
      <c r="S538">
        <f>'2 transformar y limpiar'!S552</f>
        <v/>
      </c>
      <c r="T538">
        <f>'2 transformar y limpiar'!T552</f>
        <v/>
      </c>
      <c r="U538" s="5">
        <f>'2 transformar y limpiar'!U552</f>
        <v/>
      </c>
    </row>
    <row r="539">
      <c r="A539">
        <f>'2 transformar y limpiar'!A553</f>
        <v/>
      </c>
      <c r="B539">
        <f>'2 transformar y limpiar'!B553</f>
        <v/>
      </c>
      <c r="C539" s="6">
        <f>('2 transformar y limpiar'!C553-$B$6)/$C$6</f>
        <v/>
      </c>
      <c r="D539" s="6">
        <f>('2 transformar y limpiar'!D553-$B$7)/$C$7</f>
        <v/>
      </c>
      <c r="E539" s="6">
        <f>('2 transformar y limpiar'!E553-$B$8)/$C$8</f>
        <v/>
      </c>
      <c r="F539" s="6">
        <f>('2 transformar y limpiar'!F553-$B$9)/$C$9</f>
        <v/>
      </c>
      <c r="G539">
        <f>'2 transformar y limpiar'!G553</f>
        <v/>
      </c>
      <c r="H539">
        <f>'2 transformar y limpiar'!H553</f>
        <v/>
      </c>
      <c r="I539">
        <f>'2 transformar y limpiar'!I553</f>
        <v/>
      </c>
      <c r="J539">
        <f>'2 transformar y limpiar'!J553</f>
        <v/>
      </c>
      <c r="K539">
        <f>'2 transformar y limpiar'!K553</f>
        <v/>
      </c>
      <c r="L539">
        <f>'2 transformar y limpiar'!L553</f>
        <v/>
      </c>
      <c r="M539">
        <f>'2 transformar y limpiar'!M553</f>
        <v/>
      </c>
      <c r="N539">
        <f>'2 transformar y limpiar'!N553</f>
        <v/>
      </c>
      <c r="O539">
        <f>'2 transformar y limpiar'!O553</f>
        <v/>
      </c>
      <c r="P539">
        <f>'2 transformar y limpiar'!P553</f>
        <v/>
      </c>
      <c r="Q539">
        <f>'2 transformar y limpiar'!Q553</f>
        <v/>
      </c>
      <c r="R539">
        <f>'2 transformar y limpiar'!R553</f>
        <v/>
      </c>
      <c r="S539">
        <f>'2 transformar y limpiar'!S553</f>
        <v/>
      </c>
      <c r="T539">
        <f>'2 transformar y limpiar'!T553</f>
        <v/>
      </c>
      <c r="U539" s="5">
        <f>'2 transformar y limpiar'!U553</f>
        <v/>
      </c>
    </row>
    <row r="540">
      <c r="A540">
        <f>'2 transformar y limpiar'!A554</f>
        <v/>
      </c>
      <c r="B540">
        <f>'2 transformar y limpiar'!B554</f>
        <v/>
      </c>
      <c r="C540" s="6">
        <f>('2 transformar y limpiar'!C554-$B$6)/$C$6</f>
        <v/>
      </c>
      <c r="D540" s="6">
        <f>('2 transformar y limpiar'!D554-$B$7)/$C$7</f>
        <v/>
      </c>
      <c r="E540" s="6">
        <f>('2 transformar y limpiar'!E554-$B$8)/$C$8</f>
        <v/>
      </c>
      <c r="F540" s="6">
        <f>('2 transformar y limpiar'!F554-$B$9)/$C$9</f>
        <v/>
      </c>
      <c r="G540">
        <f>'2 transformar y limpiar'!G554</f>
        <v/>
      </c>
      <c r="H540">
        <f>'2 transformar y limpiar'!H554</f>
        <v/>
      </c>
      <c r="I540">
        <f>'2 transformar y limpiar'!I554</f>
        <v/>
      </c>
      <c r="J540">
        <f>'2 transformar y limpiar'!J554</f>
        <v/>
      </c>
      <c r="K540">
        <f>'2 transformar y limpiar'!K554</f>
        <v/>
      </c>
      <c r="L540">
        <f>'2 transformar y limpiar'!L554</f>
        <v/>
      </c>
      <c r="M540">
        <f>'2 transformar y limpiar'!M554</f>
        <v/>
      </c>
      <c r="N540">
        <f>'2 transformar y limpiar'!N554</f>
        <v/>
      </c>
      <c r="O540">
        <f>'2 transformar y limpiar'!O554</f>
        <v/>
      </c>
      <c r="P540">
        <f>'2 transformar y limpiar'!P554</f>
        <v/>
      </c>
      <c r="Q540">
        <f>'2 transformar y limpiar'!Q554</f>
        <v/>
      </c>
      <c r="R540">
        <f>'2 transformar y limpiar'!R554</f>
        <v/>
      </c>
      <c r="S540">
        <f>'2 transformar y limpiar'!S554</f>
        <v/>
      </c>
      <c r="T540">
        <f>'2 transformar y limpiar'!T554</f>
        <v/>
      </c>
      <c r="U540" s="5">
        <f>'2 transformar y limpiar'!U554</f>
        <v/>
      </c>
    </row>
    <row r="541">
      <c r="A541">
        <f>'2 transformar y limpiar'!A555</f>
        <v/>
      </c>
      <c r="B541">
        <f>'2 transformar y limpiar'!B555</f>
        <v/>
      </c>
      <c r="C541" s="6">
        <f>('2 transformar y limpiar'!C555-$B$6)/$C$6</f>
        <v/>
      </c>
      <c r="D541" s="6">
        <f>('2 transformar y limpiar'!D555-$B$7)/$C$7</f>
        <v/>
      </c>
      <c r="E541" s="6">
        <f>('2 transformar y limpiar'!E555-$B$8)/$C$8</f>
        <v/>
      </c>
      <c r="F541" s="6">
        <f>('2 transformar y limpiar'!F555-$B$9)/$C$9</f>
        <v/>
      </c>
      <c r="G541">
        <f>'2 transformar y limpiar'!G555</f>
        <v/>
      </c>
      <c r="H541">
        <f>'2 transformar y limpiar'!H555</f>
        <v/>
      </c>
      <c r="I541">
        <f>'2 transformar y limpiar'!I555</f>
        <v/>
      </c>
      <c r="J541">
        <f>'2 transformar y limpiar'!J555</f>
        <v/>
      </c>
      <c r="K541">
        <f>'2 transformar y limpiar'!K555</f>
        <v/>
      </c>
      <c r="L541">
        <f>'2 transformar y limpiar'!L555</f>
        <v/>
      </c>
      <c r="M541">
        <f>'2 transformar y limpiar'!M555</f>
        <v/>
      </c>
      <c r="N541">
        <f>'2 transformar y limpiar'!N555</f>
        <v/>
      </c>
      <c r="O541">
        <f>'2 transformar y limpiar'!O555</f>
        <v/>
      </c>
      <c r="P541">
        <f>'2 transformar y limpiar'!P555</f>
        <v/>
      </c>
      <c r="Q541">
        <f>'2 transformar y limpiar'!Q555</f>
        <v/>
      </c>
      <c r="R541">
        <f>'2 transformar y limpiar'!R555</f>
        <v/>
      </c>
      <c r="S541">
        <f>'2 transformar y limpiar'!S555</f>
        <v/>
      </c>
      <c r="T541">
        <f>'2 transformar y limpiar'!T555</f>
        <v/>
      </c>
      <c r="U541" s="5">
        <f>'2 transformar y limpiar'!U555</f>
        <v/>
      </c>
    </row>
    <row r="542">
      <c r="A542">
        <f>'2 transformar y limpiar'!A556</f>
        <v/>
      </c>
      <c r="B542">
        <f>'2 transformar y limpiar'!B556</f>
        <v/>
      </c>
      <c r="C542" s="6">
        <f>('2 transformar y limpiar'!C556-$B$6)/$C$6</f>
        <v/>
      </c>
      <c r="D542" s="6">
        <f>('2 transformar y limpiar'!D556-$B$7)/$C$7</f>
        <v/>
      </c>
      <c r="E542" s="6">
        <f>('2 transformar y limpiar'!E556-$B$8)/$C$8</f>
        <v/>
      </c>
      <c r="F542" s="6">
        <f>('2 transformar y limpiar'!F556-$B$9)/$C$9</f>
        <v/>
      </c>
      <c r="G542">
        <f>'2 transformar y limpiar'!G556</f>
        <v/>
      </c>
      <c r="H542">
        <f>'2 transformar y limpiar'!H556</f>
        <v/>
      </c>
      <c r="I542">
        <f>'2 transformar y limpiar'!I556</f>
        <v/>
      </c>
      <c r="J542">
        <f>'2 transformar y limpiar'!J556</f>
        <v/>
      </c>
      <c r="K542">
        <f>'2 transformar y limpiar'!K556</f>
        <v/>
      </c>
      <c r="L542">
        <f>'2 transformar y limpiar'!L556</f>
        <v/>
      </c>
      <c r="M542">
        <f>'2 transformar y limpiar'!M556</f>
        <v/>
      </c>
      <c r="N542">
        <f>'2 transformar y limpiar'!N556</f>
        <v/>
      </c>
      <c r="O542">
        <f>'2 transformar y limpiar'!O556</f>
        <v/>
      </c>
      <c r="P542">
        <f>'2 transformar y limpiar'!P556</f>
        <v/>
      </c>
      <c r="Q542">
        <f>'2 transformar y limpiar'!Q556</f>
        <v/>
      </c>
      <c r="R542">
        <f>'2 transformar y limpiar'!R556</f>
        <v/>
      </c>
      <c r="S542">
        <f>'2 transformar y limpiar'!S556</f>
        <v/>
      </c>
      <c r="T542">
        <f>'2 transformar y limpiar'!T556</f>
        <v/>
      </c>
      <c r="U542" s="5">
        <f>'2 transformar y limpiar'!U556</f>
        <v/>
      </c>
    </row>
    <row r="543">
      <c r="A543">
        <f>'2 transformar y limpiar'!A557</f>
        <v/>
      </c>
      <c r="B543">
        <f>'2 transformar y limpiar'!B557</f>
        <v/>
      </c>
      <c r="C543" s="6">
        <f>('2 transformar y limpiar'!C557-$B$6)/$C$6</f>
        <v/>
      </c>
      <c r="D543" s="6">
        <f>('2 transformar y limpiar'!D557-$B$7)/$C$7</f>
        <v/>
      </c>
      <c r="E543" s="6">
        <f>('2 transformar y limpiar'!E557-$B$8)/$C$8</f>
        <v/>
      </c>
      <c r="F543" s="6">
        <f>('2 transformar y limpiar'!F557-$B$9)/$C$9</f>
        <v/>
      </c>
      <c r="G543">
        <f>'2 transformar y limpiar'!G557</f>
        <v/>
      </c>
      <c r="H543">
        <f>'2 transformar y limpiar'!H557</f>
        <v/>
      </c>
      <c r="I543">
        <f>'2 transformar y limpiar'!I557</f>
        <v/>
      </c>
      <c r="J543">
        <f>'2 transformar y limpiar'!J557</f>
        <v/>
      </c>
      <c r="K543">
        <f>'2 transformar y limpiar'!K557</f>
        <v/>
      </c>
      <c r="L543">
        <f>'2 transformar y limpiar'!L557</f>
        <v/>
      </c>
      <c r="M543">
        <f>'2 transformar y limpiar'!M557</f>
        <v/>
      </c>
      <c r="N543">
        <f>'2 transformar y limpiar'!N557</f>
        <v/>
      </c>
      <c r="O543">
        <f>'2 transformar y limpiar'!O557</f>
        <v/>
      </c>
      <c r="P543">
        <f>'2 transformar y limpiar'!P557</f>
        <v/>
      </c>
      <c r="Q543">
        <f>'2 transformar y limpiar'!Q557</f>
        <v/>
      </c>
      <c r="R543">
        <f>'2 transformar y limpiar'!R557</f>
        <v/>
      </c>
      <c r="S543">
        <f>'2 transformar y limpiar'!S557</f>
        <v/>
      </c>
      <c r="T543">
        <f>'2 transformar y limpiar'!T557</f>
        <v/>
      </c>
      <c r="U543" s="5">
        <f>'2 transformar y limpiar'!U557</f>
        <v/>
      </c>
    </row>
    <row r="544">
      <c r="A544">
        <f>'2 transformar y limpiar'!A558</f>
        <v/>
      </c>
      <c r="B544">
        <f>'2 transformar y limpiar'!B558</f>
        <v/>
      </c>
      <c r="C544" s="6">
        <f>('2 transformar y limpiar'!C558-$B$6)/$C$6</f>
        <v/>
      </c>
      <c r="D544" s="6">
        <f>('2 transformar y limpiar'!D558-$B$7)/$C$7</f>
        <v/>
      </c>
      <c r="E544" s="6">
        <f>('2 transformar y limpiar'!E558-$B$8)/$C$8</f>
        <v/>
      </c>
      <c r="F544" s="6">
        <f>('2 transformar y limpiar'!F558-$B$9)/$C$9</f>
        <v/>
      </c>
      <c r="G544">
        <f>'2 transformar y limpiar'!G558</f>
        <v/>
      </c>
      <c r="H544">
        <f>'2 transformar y limpiar'!H558</f>
        <v/>
      </c>
      <c r="I544">
        <f>'2 transformar y limpiar'!I558</f>
        <v/>
      </c>
      <c r="J544">
        <f>'2 transformar y limpiar'!J558</f>
        <v/>
      </c>
      <c r="K544">
        <f>'2 transformar y limpiar'!K558</f>
        <v/>
      </c>
      <c r="L544">
        <f>'2 transformar y limpiar'!L558</f>
        <v/>
      </c>
      <c r="M544">
        <f>'2 transformar y limpiar'!M558</f>
        <v/>
      </c>
      <c r="N544">
        <f>'2 transformar y limpiar'!N558</f>
        <v/>
      </c>
      <c r="O544">
        <f>'2 transformar y limpiar'!O558</f>
        <v/>
      </c>
      <c r="P544">
        <f>'2 transformar y limpiar'!P558</f>
        <v/>
      </c>
      <c r="Q544">
        <f>'2 transformar y limpiar'!Q558</f>
        <v/>
      </c>
      <c r="R544">
        <f>'2 transformar y limpiar'!R558</f>
        <v/>
      </c>
      <c r="S544">
        <f>'2 transformar y limpiar'!S558</f>
        <v/>
      </c>
      <c r="T544">
        <f>'2 transformar y limpiar'!T558</f>
        <v/>
      </c>
      <c r="U544" s="5">
        <f>'2 transformar y limpiar'!U558</f>
        <v/>
      </c>
    </row>
    <row r="545">
      <c r="A545">
        <f>'2 transformar y limpiar'!A559</f>
        <v/>
      </c>
      <c r="B545">
        <f>'2 transformar y limpiar'!B559</f>
        <v/>
      </c>
      <c r="C545" s="6">
        <f>('2 transformar y limpiar'!C559-$B$6)/$C$6</f>
        <v/>
      </c>
      <c r="D545" s="6">
        <f>('2 transformar y limpiar'!D559-$B$7)/$C$7</f>
        <v/>
      </c>
      <c r="E545" s="6">
        <f>('2 transformar y limpiar'!E559-$B$8)/$C$8</f>
        <v/>
      </c>
      <c r="F545" s="6">
        <f>('2 transformar y limpiar'!F559-$B$9)/$C$9</f>
        <v/>
      </c>
      <c r="G545">
        <f>'2 transformar y limpiar'!G559</f>
        <v/>
      </c>
      <c r="H545">
        <f>'2 transformar y limpiar'!H559</f>
        <v/>
      </c>
      <c r="I545">
        <f>'2 transformar y limpiar'!I559</f>
        <v/>
      </c>
      <c r="J545">
        <f>'2 transformar y limpiar'!J559</f>
        <v/>
      </c>
      <c r="K545">
        <f>'2 transformar y limpiar'!K559</f>
        <v/>
      </c>
      <c r="L545">
        <f>'2 transformar y limpiar'!L559</f>
        <v/>
      </c>
      <c r="M545">
        <f>'2 transformar y limpiar'!M559</f>
        <v/>
      </c>
      <c r="N545">
        <f>'2 transformar y limpiar'!N559</f>
        <v/>
      </c>
      <c r="O545">
        <f>'2 transformar y limpiar'!O559</f>
        <v/>
      </c>
      <c r="P545">
        <f>'2 transformar y limpiar'!P559</f>
        <v/>
      </c>
      <c r="Q545">
        <f>'2 transformar y limpiar'!Q559</f>
        <v/>
      </c>
      <c r="R545">
        <f>'2 transformar y limpiar'!R559</f>
        <v/>
      </c>
      <c r="S545">
        <f>'2 transformar y limpiar'!S559</f>
        <v/>
      </c>
      <c r="T545">
        <f>'2 transformar y limpiar'!T559</f>
        <v/>
      </c>
      <c r="U545" s="5">
        <f>'2 transformar y limpiar'!U559</f>
        <v/>
      </c>
    </row>
    <row r="546">
      <c r="A546">
        <f>'2 transformar y limpiar'!A560</f>
        <v/>
      </c>
      <c r="B546">
        <f>'2 transformar y limpiar'!B560</f>
        <v/>
      </c>
      <c r="C546" s="6">
        <f>('2 transformar y limpiar'!C560-$B$6)/$C$6</f>
        <v/>
      </c>
      <c r="D546" s="6">
        <f>('2 transformar y limpiar'!D560-$B$7)/$C$7</f>
        <v/>
      </c>
      <c r="E546" s="6">
        <f>('2 transformar y limpiar'!E560-$B$8)/$C$8</f>
        <v/>
      </c>
      <c r="F546" s="6">
        <f>('2 transformar y limpiar'!F560-$B$9)/$C$9</f>
        <v/>
      </c>
      <c r="G546">
        <f>'2 transformar y limpiar'!G560</f>
        <v/>
      </c>
      <c r="H546">
        <f>'2 transformar y limpiar'!H560</f>
        <v/>
      </c>
      <c r="I546">
        <f>'2 transformar y limpiar'!I560</f>
        <v/>
      </c>
      <c r="J546">
        <f>'2 transformar y limpiar'!J560</f>
        <v/>
      </c>
      <c r="K546">
        <f>'2 transformar y limpiar'!K560</f>
        <v/>
      </c>
      <c r="L546">
        <f>'2 transformar y limpiar'!L560</f>
        <v/>
      </c>
      <c r="M546">
        <f>'2 transformar y limpiar'!M560</f>
        <v/>
      </c>
      <c r="N546">
        <f>'2 transformar y limpiar'!N560</f>
        <v/>
      </c>
      <c r="O546">
        <f>'2 transformar y limpiar'!O560</f>
        <v/>
      </c>
      <c r="P546">
        <f>'2 transformar y limpiar'!P560</f>
        <v/>
      </c>
      <c r="Q546">
        <f>'2 transformar y limpiar'!Q560</f>
        <v/>
      </c>
      <c r="R546">
        <f>'2 transformar y limpiar'!R560</f>
        <v/>
      </c>
      <c r="S546">
        <f>'2 transformar y limpiar'!S560</f>
        <v/>
      </c>
      <c r="T546">
        <f>'2 transformar y limpiar'!T560</f>
        <v/>
      </c>
      <c r="U546" s="5">
        <f>'2 transformar y limpiar'!U560</f>
        <v/>
      </c>
    </row>
    <row r="547">
      <c r="A547">
        <f>'2 transformar y limpiar'!A561</f>
        <v/>
      </c>
      <c r="B547">
        <f>'2 transformar y limpiar'!B561</f>
        <v/>
      </c>
      <c r="C547" s="6">
        <f>('2 transformar y limpiar'!C561-$B$6)/$C$6</f>
        <v/>
      </c>
      <c r="D547" s="6">
        <f>('2 transformar y limpiar'!D561-$B$7)/$C$7</f>
        <v/>
      </c>
      <c r="E547" s="6">
        <f>('2 transformar y limpiar'!E561-$B$8)/$C$8</f>
        <v/>
      </c>
      <c r="F547" s="6">
        <f>('2 transformar y limpiar'!F561-$B$9)/$C$9</f>
        <v/>
      </c>
      <c r="G547">
        <f>'2 transformar y limpiar'!G561</f>
        <v/>
      </c>
      <c r="H547">
        <f>'2 transformar y limpiar'!H561</f>
        <v/>
      </c>
      <c r="I547">
        <f>'2 transformar y limpiar'!I561</f>
        <v/>
      </c>
      <c r="J547">
        <f>'2 transformar y limpiar'!J561</f>
        <v/>
      </c>
      <c r="K547">
        <f>'2 transformar y limpiar'!K561</f>
        <v/>
      </c>
      <c r="L547">
        <f>'2 transformar y limpiar'!L561</f>
        <v/>
      </c>
      <c r="M547">
        <f>'2 transformar y limpiar'!M561</f>
        <v/>
      </c>
      <c r="N547">
        <f>'2 transformar y limpiar'!N561</f>
        <v/>
      </c>
      <c r="O547">
        <f>'2 transformar y limpiar'!O561</f>
        <v/>
      </c>
      <c r="P547">
        <f>'2 transformar y limpiar'!P561</f>
        <v/>
      </c>
      <c r="Q547">
        <f>'2 transformar y limpiar'!Q561</f>
        <v/>
      </c>
      <c r="R547">
        <f>'2 transformar y limpiar'!R561</f>
        <v/>
      </c>
      <c r="S547">
        <f>'2 transformar y limpiar'!S561</f>
        <v/>
      </c>
      <c r="T547">
        <f>'2 transformar y limpiar'!T561</f>
        <v/>
      </c>
      <c r="U547" s="5">
        <f>'2 transformar y limpiar'!U561</f>
        <v/>
      </c>
    </row>
    <row r="548">
      <c r="A548">
        <f>'2 transformar y limpiar'!A562</f>
        <v/>
      </c>
      <c r="B548">
        <f>'2 transformar y limpiar'!B562</f>
        <v/>
      </c>
      <c r="C548" s="6">
        <f>('2 transformar y limpiar'!C562-$B$6)/$C$6</f>
        <v/>
      </c>
      <c r="D548" s="6">
        <f>('2 transformar y limpiar'!D562-$B$7)/$C$7</f>
        <v/>
      </c>
      <c r="E548" s="6">
        <f>('2 transformar y limpiar'!E562-$B$8)/$C$8</f>
        <v/>
      </c>
      <c r="F548" s="6">
        <f>('2 transformar y limpiar'!F562-$B$9)/$C$9</f>
        <v/>
      </c>
      <c r="G548">
        <f>'2 transformar y limpiar'!G562</f>
        <v/>
      </c>
      <c r="H548">
        <f>'2 transformar y limpiar'!H562</f>
        <v/>
      </c>
      <c r="I548">
        <f>'2 transformar y limpiar'!I562</f>
        <v/>
      </c>
      <c r="J548">
        <f>'2 transformar y limpiar'!J562</f>
        <v/>
      </c>
      <c r="K548">
        <f>'2 transformar y limpiar'!K562</f>
        <v/>
      </c>
      <c r="L548">
        <f>'2 transformar y limpiar'!L562</f>
        <v/>
      </c>
      <c r="M548">
        <f>'2 transformar y limpiar'!M562</f>
        <v/>
      </c>
      <c r="N548">
        <f>'2 transformar y limpiar'!N562</f>
        <v/>
      </c>
      <c r="O548">
        <f>'2 transformar y limpiar'!O562</f>
        <v/>
      </c>
      <c r="P548">
        <f>'2 transformar y limpiar'!P562</f>
        <v/>
      </c>
      <c r="Q548">
        <f>'2 transformar y limpiar'!Q562</f>
        <v/>
      </c>
      <c r="R548">
        <f>'2 transformar y limpiar'!R562</f>
        <v/>
      </c>
      <c r="S548">
        <f>'2 transformar y limpiar'!S562</f>
        <v/>
      </c>
      <c r="T548">
        <f>'2 transformar y limpiar'!T562</f>
        <v/>
      </c>
      <c r="U548" s="5">
        <f>'2 transformar y limpiar'!U562</f>
        <v/>
      </c>
    </row>
    <row r="549">
      <c r="A549">
        <f>'2 transformar y limpiar'!A563</f>
        <v/>
      </c>
      <c r="B549">
        <f>'2 transformar y limpiar'!B563</f>
        <v/>
      </c>
      <c r="C549" s="6">
        <f>('2 transformar y limpiar'!C563-$B$6)/$C$6</f>
        <v/>
      </c>
      <c r="D549" s="6">
        <f>('2 transformar y limpiar'!D563-$B$7)/$C$7</f>
        <v/>
      </c>
      <c r="E549" s="6">
        <f>('2 transformar y limpiar'!E563-$B$8)/$C$8</f>
        <v/>
      </c>
      <c r="F549" s="6">
        <f>('2 transformar y limpiar'!F563-$B$9)/$C$9</f>
        <v/>
      </c>
      <c r="G549">
        <f>'2 transformar y limpiar'!G563</f>
        <v/>
      </c>
      <c r="H549">
        <f>'2 transformar y limpiar'!H563</f>
        <v/>
      </c>
      <c r="I549">
        <f>'2 transformar y limpiar'!I563</f>
        <v/>
      </c>
      <c r="J549">
        <f>'2 transformar y limpiar'!J563</f>
        <v/>
      </c>
      <c r="K549">
        <f>'2 transformar y limpiar'!K563</f>
        <v/>
      </c>
      <c r="L549">
        <f>'2 transformar y limpiar'!L563</f>
        <v/>
      </c>
      <c r="M549">
        <f>'2 transformar y limpiar'!M563</f>
        <v/>
      </c>
      <c r="N549">
        <f>'2 transformar y limpiar'!N563</f>
        <v/>
      </c>
      <c r="O549">
        <f>'2 transformar y limpiar'!O563</f>
        <v/>
      </c>
      <c r="P549">
        <f>'2 transformar y limpiar'!P563</f>
        <v/>
      </c>
      <c r="Q549">
        <f>'2 transformar y limpiar'!Q563</f>
        <v/>
      </c>
      <c r="R549">
        <f>'2 transformar y limpiar'!R563</f>
        <v/>
      </c>
      <c r="S549">
        <f>'2 transformar y limpiar'!S563</f>
        <v/>
      </c>
      <c r="T549">
        <f>'2 transformar y limpiar'!T563</f>
        <v/>
      </c>
      <c r="U549" s="5">
        <f>'2 transformar y limpiar'!U563</f>
        <v/>
      </c>
    </row>
    <row r="550">
      <c r="A550">
        <f>'2 transformar y limpiar'!A564</f>
        <v/>
      </c>
      <c r="B550">
        <f>'2 transformar y limpiar'!B564</f>
        <v/>
      </c>
      <c r="C550" s="6">
        <f>('2 transformar y limpiar'!C564-$B$6)/$C$6</f>
        <v/>
      </c>
      <c r="D550" s="6">
        <f>('2 transformar y limpiar'!D564-$B$7)/$C$7</f>
        <v/>
      </c>
      <c r="E550" s="6">
        <f>('2 transformar y limpiar'!E564-$B$8)/$C$8</f>
        <v/>
      </c>
      <c r="F550" s="6">
        <f>('2 transformar y limpiar'!F564-$B$9)/$C$9</f>
        <v/>
      </c>
      <c r="G550">
        <f>'2 transformar y limpiar'!G564</f>
        <v/>
      </c>
      <c r="H550">
        <f>'2 transformar y limpiar'!H564</f>
        <v/>
      </c>
      <c r="I550">
        <f>'2 transformar y limpiar'!I564</f>
        <v/>
      </c>
      <c r="J550">
        <f>'2 transformar y limpiar'!J564</f>
        <v/>
      </c>
      <c r="K550">
        <f>'2 transformar y limpiar'!K564</f>
        <v/>
      </c>
      <c r="L550">
        <f>'2 transformar y limpiar'!L564</f>
        <v/>
      </c>
      <c r="M550">
        <f>'2 transformar y limpiar'!M564</f>
        <v/>
      </c>
      <c r="N550">
        <f>'2 transformar y limpiar'!N564</f>
        <v/>
      </c>
      <c r="O550">
        <f>'2 transformar y limpiar'!O564</f>
        <v/>
      </c>
      <c r="P550">
        <f>'2 transformar y limpiar'!P564</f>
        <v/>
      </c>
      <c r="Q550">
        <f>'2 transformar y limpiar'!Q564</f>
        <v/>
      </c>
      <c r="R550">
        <f>'2 transformar y limpiar'!R564</f>
        <v/>
      </c>
      <c r="S550">
        <f>'2 transformar y limpiar'!S564</f>
        <v/>
      </c>
      <c r="T550">
        <f>'2 transformar y limpiar'!T564</f>
        <v/>
      </c>
      <c r="U550" s="5">
        <f>'2 transformar y limpiar'!U564</f>
        <v/>
      </c>
    </row>
    <row r="551">
      <c r="A551">
        <f>'2 transformar y limpiar'!A565</f>
        <v/>
      </c>
      <c r="B551">
        <f>'2 transformar y limpiar'!B565</f>
        <v/>
      </c>
      <c r="C551" s="6">
        <f>('2 transformar y limpiar'!C565-$B$6)/$C$6</f>
        <v/>
      </c>
      <c r="D551" s="6">
        <f>('2 transformar y limpiar'!D565-$B$7)/$C$7</f>
        <v/>
      </c>
      <c r="E551" s="6">
        <f>('2 transformar y limpiar'!E565-$B$8)/$C$8</f>
        <v/>
      </c>
      <c r="F551" s="6">
        <f>('2 transformar y limpiar'!F565-$B$9)/$C$9</f>
        <v/>
      </c>
      <c r="G551">
        <f>'2 transformar y limpiar'!G565</f>
        <v/>
      </c>
      <c r="H551">
        <f>'2 transformar y limpiar'!H565</f>
        <v/>
      </c>
      <c r="I551">
        <f>'2 transformar y limpiar'!I565</f>
        <v/>
      </c>
      <c r="J551">
        <f>'2 transformar y limpiar'!J565</f>
        <v/>
      </c>
      <c r="K551">
        <f>'2 transformar y limpiar'!K565</f>
        <v/>
      </c>
      <c r="L551">
        <f>'2 transformar y limpiar'!L565</f>
        <v/>
      </c>
      <c r="M551">
        <f>'2 transformar y limpiar'!M565</f>
        <v/>
      </c>
      <c r="N551">
        <f>'2 transformar y limpiar'!N565</f>
        <v/>
      </c>
      <c r="O551">
        <f>'2 transformar y limpiar'!O565</f>
        <v/>
      </c>
      <c r="P551">
        <f>'2 transformar y limpiar'!P565</f>
        <v/>
      </c>
      <c r="Q551">
        <f>'2 transformar y limpiar'!Q565</f>
        <v/>
      </c>
      <c r="R551">
        <f>'2 transformar y limpiar'!R565</f>
        <v/>
      </c>
      <c r="S551">
        <f>'2 transformar y limpiar'!S565</f>
        <v/>
      </c>
      <c r="T551">
        <f>'2 transformar y limpiar'!T565</f>
        <v/>
      </c>
      <c r="U551" s="5">
        <f>'2 transformar y limpiar'!U565</f>
        <v/>
      </c>
    </row>
    <row r="552">
      <c r="A552">
        <f>'2 transformar y limpiar'!A566</f>
        <v/>
      </c>
      <c r="B552">
        <f>'2 transformar y limpiar'!B566</f>
        <v/>
      </c>
      <c r="C552" s="6">
        <f>('2 transformar y limpiar'!C566-$B$6)/$C$6</f>
        <v/>
      </c>
      <c r="D552" s="6">
        <f>('2 transformar y limpiar'!D566-$B$7)/$C$7</f>
        <v/>
      </c>
      <c r="E552" s="6">
        <f>('2 transformar y limpiar'!E566-$B$8)/$C$8</f>
        <v/>
      </c>
      <c r="F552" s="6">
        <f>('2 transformar y limpiar'!F566-$B$9)/$C$9</f>
        <v/>
      </c>
      <c r="G552">
        <f>'2 transformar y limpiar'!G566</f>
        <v/>
      </c>
      <c r="H552">
        <f>'2 transformar y limpiar'!H566</f>
        <v/>
      </c>
      <c r="I552">
        <f>'2 transformar y limpiar'!I566</f>
        <v/>
      </c>
      <c r="J552">
        <f>'2 transformar y limpiar'!J566</f>
        <v/>
      </c>
      <c r="K552">
        <f>'2 transformar y limpiar'!K566</f>
        <v/>
      </c>
      <c r="L552">
        <f>'2 transformar y limpiar'!L566</f>
        <v/>
      </c>
      <c r="M552">
        <f>'2 transformar y limpiar'!M566</f>
        <v/>
      </c>
      <c r="N552">
        <f>'2 transformar y limpiar'!N566</f>
        <v/>
      </c>
      <c r="O552">
        <f>'2 transformar y limpiar'!O566</f>
        <v/>
      </c>
      <c r="P552">
        <f>'2 transformar y limpiar'!P566</f>
        <v/>
      </c>
      <c r="Q552">
        <f>'2 transformar y limpiar'!Q566</f>
        <v/>
      </c>
      <c r="R552">
        <f>'2 transformar y limpiar'!R566</f>
        <v/>
      </c>
      <c r="S552">
        <f>'2 transformar y limpiar'!S566</f>
        <v/>
      </c>
      <c r="T552">
        <f>'2 transformar y limpiar'!T566</f>
        <v/>
      </c>
      <c r="U552" s="5">
        <f>'2 transformar y limpiar'!U566</f>
        <v/>
      </c>
    </row>
    <row r="553">
      <c r="A553">
        <f>'2 transformar y limpiar'!A567</f>
        <v/>
      </c>
      <c r="B553">
        <f>'2 transformar y limpiar'!B567</f>
        <v/>
      </c>
      <c r="C553" s="6">
        <f>('2 transformar y limpiar'!C567-$B$6)/$C$6</f>
        <v/>
      </c>
      <c r="D553" s="6">
        <f>('2 transformar y limpiar'!D567-$B$7)/$C$7</f>
        <v/>
      </c>
      <c r="E553" s="6">
        <f>('2 transformar y limpiar'!E567-$B$8)/$C$8</f>
        <v/>
      </c>
      <c r="F553" s="6">
        <f>('2 transformar y limpiar'!F567-$B$9)/$C$9</f>
        <v/>
      </c>
      <c r="G553">
        <f>'2 transformar y limpiar'!G567</f>
        <v/>
      </c>
      <c r="H553">
        <f>'2 transformar y limpiar'!H567</f>
        <v/>
      </c>
      <c r="I553">
        <f>'2 transformar y limpiar'!I567</f>
        <v/>
      </c>
      <c r="J553">
        <f>'2 transformar y limpiar'!J567</f>
        <v/>
      </c>
      <c r="K553">
        <f>'2 transformar y limpiar'!K567</f>
        <v/>
      </c>
      <c r="L553">
        <f>'2 transformar y limpiar'!L567</f>
        <v/>
      </c>
      <c r="M553">
        <f>'2 transformar y limpiar'!M567</f>
        <v/>
      </c>
      <c r="N553">
        <f>'2 transformar y limpiar'!N567</f>
        <v/>
      </c>
      <c r="O553">
        <f>'2 transformar y limpiar'!O567</f>
        <v/>
      </c>
      <c r="P553">
        <f>'2 transformar y limpiar'!P567</f>
        <v/>
      </c>
      <c r="Q553">
        <f>'2 transformar y limpiar'!Q567</f>
        <v/>
      </c>
      <c r="R553">
        <f>'2 transformar y limpiar'!R567</f>
        <v/>
      </c>
      <c r="S553">
        <f>'2 transformar y limpiar'!S567</f>
        <v/>
      </c>
      <c r="T553">
        <f>'2 transformar y limpiar'!T567</f>
        <v/>
      </c>
      <c r="U553" s="5">
        <f>'2 transformar y limpiar'!U567</f>
        <v/>
      </c>
    </row>
    <row r="554">
      <c r="A554">
        <f>'2 transformar y limpiar'!A568</f>
        <v/>
      </c>
      <c r="B554">
        <f>'2 transformar y limpiar'!B568</f>
        <v/>
      </c>
      <c r="C554" s="6">
        <f>('2 transformar y limpiar'!C568-$B$6)/$C$6</f>
        <v/>
      </c>
      <c r="D554" s="6">
        <f>('2 transformar y limpiar'!D568-$B$7)/$C$7</f>
        <v/>
      </c>
      <c r="E554" s="6">
        <f>('2 transformar y limpiar'!E568-$B$8)/$C$8</f>
        <v/>
      </c>
      <c r="F554" s="6">
        <f>('2 transformar y limpiar'!F568-$B$9)/$C$9</f>
        <v/>
      </c>
      <c r="G554">
        <f>'2 transformar y limpiar'!G568</f>
        <v/>
      </c>
      <c r="H554">
        <f>'2 transformar y limpiar'!H568</f>
        <v/>
      </c>
      <c r="I554">
        <f>'2 transformar y limpiar'!I568</f>
        <v/>
      </c>
      <c r="J554">
        <f>'2 transformar y limpiar'!J568</f>
        <v/>
      </c>
      <c r="K554">
        <f>'2 transformar y limpiar'!K568</f>
        <v/>
      </c>
      <c r="L554">
        <f>'2 transformar y limpiar'!L568</f>
        <v/>
      </c>
      <c r="M554">
        <f>'2 transformar y limpiar'!M568</f>
        <v/>
      </c>
      <c r="N554">
        <f>'2 transformar y limpiar'!N568</f>
        <v/>
      </c>
      <c r="O554">
        <f>'2 transformar y limpiar'!O568</f>
        <v/>
      </c>
      <c r="P554">
        <f>'2 transformar y limpiar'!P568</f>
        <v/>
      </c>
      <c r="Q554">
        <f>'2 transformar y limpiar'!Q568</f>
        <v/>
      </c>
      <c r="R554">
        <f>'2 transformar y limpiar'!R568</f>
        <v/>
      </c>
      <c r="S554">
        <f>'2 transformar y limpiar'!S568</f>
        <v/>
      </c>
      <c r="T554">
        <f>'2 transformar y limpiar'!T568</f>
        <v/>
      </c>
      <c r="U554" s="5">
        <f>'2 transformar y limpiar'!U568</f>
        <v/>
      </c>
    </row>
    <row r="555">
      <c r="A555">
        <f>'2 transformar y limpiar'!A569</f>
        <v/>
      </c>
      <c r="B555">
        <f>'2 transformar y limpiar'!B569</f>
        <v/>
      </c>
      <c r="C555" s="6">
        <f>('2 transformar y limpiar'!C569-$B$6)/$C$6</f>
        <v/>
      </c>
      <c r="D555" s="6">
        <f>('2 transformar y limpiar'!D569-$B$7)/$C$7</f>
        <v/>
      </c>
      <c r="E555" s="6">
        <f>('2 transformar y limpiar'!E569-$B$8)/$C$8</f>
        <v/>
      </c>
      <c r="F555" s="6">
        <f>('2 transformar y limpiar'!F569-$B$9)/$C$9</f>
        <v/>
      </c>
      <c r="G555">
        <f>'2 transformar y limpiar'!G569</f>
        <v/>
      </c>
      <c r="H555">
        <f>'2 transformar y limpiar'!H569</f>
        <v/>
      </c>
      <c r="I555">
        <f>'2 transformar y limpiar'!I569</f>
        <v/>
      </c>
      <c r="J555">
        <f>'2 transformar y limpiar'!J569</f>
        <v/>
      </c>
      <c r="K555">
        <f>'2 transformar y limpiar'!K569</f>
        <v/>
      </c>
      <c r="L555">
        <f>'2 transformar y limpiar'!L569</f>
        <v/>
      </c>
      <c r="M555">
        <f>'2 transformar y limpiar'!M569</f>
        <v/>
      </c>
      <c r="N555">
        <f>'2 transformar y limpiar'!N569</f>
        <v/>
      </c>
      <c r="O555">
        <f>'2 transformar y limpiar'!O569</f>
        <v/>
      </c>
      <c r="P555">
        <f>'2 transformar y limpiar'!P569</f>
        <v/>
      </c>
      <c r="Q555">
        <f>'2 transformar y limpiar'!Q569</f>
        <v/>
      </c>
      <c r="R555">
        <f>'2 transformar y limpiar'!R569</f>
        <v/>
      </c>
      <c r="S555">
        <f>'2 transformar y limpiar'!S569</f>
        <v/>
      </c>
      <c r="T555">
        <f>'2 transformar y limpiar'!T569</f>
        <v/>
      </c>
      <c r="U555" s="5">
        <f>'2 transformar y limpiar'!U569</f>
        <v/>
      </c>
    </row>
    <row r="556">
      <c r="A556">
        <f>'2 transformar y limpiar'!A570</f>
        <v/>
      </c>
      <c r="B556">
        <f>'2 transformar y limpiar'!B570</f>
        <v/>
      </c>
      <c r="C556" s="6">
        <f>('2 transformar y limpiar'!C570-$B$6)/$C$6</f>
        <v/>
      </c>
      <c r="D556" s="6">
        <f>('2 transformar y limpiar'!D570-$B$7)/$C$7</f>
        <v/>
      </c>
      <c r="E556" s="6">
        <f>('2 transformar y limpiar'!E570-$B$8)/$C$8</f>
        <v/>
      </c>
      <c r="F556" s="6">
        <f>('2 transformar y limpiar'!F570-$B$9)/$C$9</f>
        <v/>
      </c>
      <c r="G556">
        <f>'2 transformar y limpiar'!G570</f>
        <v/>
      </c>
      <c r="H556">
        <f>'2 transformar y limpiar'!H570</f>
        <v/>
      </c>
      <c r="I556">
        <f>'2 transformar y limpiar'!I570</f>
        <v/>
      </c>
      <c r="J556">
        <f>'2 transformar y limpiar'!J570</f>
        <v/>
      </c>
      <c r="K556">
        <f>'2 transformar y limpiar'!K570</f>
        <v/>
      </c>
      <c r="L556">
        <f>'2 transformar y limpiar'!L570</f>
        <v/>
      </c>
      <c r="M556">
        <f>'2 transformar y limpiar'!M570</f>
        <v/>
      </c>
      <c r="N556">
        <f>'2 transformar y limpiar'!N570</f>
        <v/>
      </c>
      <c r="O556">
        <f>'2 transformar y limpiar'!O570</f>
        <v/>
      </c>
      <c r="P556">
        <f>'2 transformar y limpiar'!P570</f>
        <v/>
      </c>
      <c r="Q556">
        <f>'2 transformar y limpiar'!Q570</f>
        <v/>
      </c>
      <c r="R556">
        <f>'2 transformar y limpiar'!R570</f>
        <v/>
      </c>
      <c r="S556">
        <f>'2 transformar y limpiar'!S570</f>
        <v/>
      </c>
      <c r="T556">
        <f>'2 transformar y limpiar'!T570</f>
        <v/>
      </c>
      <c r="U556" s="5">
        <f>'2 transformar y limpiar'!U570</f>
        <v/>
      </c>
    </row>
    <row r="557">
      <c r="A557">
        <f>'2 transformar y limpiar'!A571</f>
        <v/>
      </c>
      <c r="B557">
        <f>'2 transformar y limpiar'!B571</f>
        <v/>
      </c>
      <c r="C557" s="6">
        <f>('2 transformar y limpiar'!C571-$B$6)/$C$6</f>
        <v/>
      </c>
      <c r="D557" s="6">
        <f>('2 transformar y limpiar'!D571-$B$7)/$C$7</f>
        <v/>
      </c>
      <c r="E557" s="6">
        <f>('2 transformar y limpiar'!E571-$B$8)/$C$8</f>
        <v/>
      </c>
      <c r="F557" s="6">
        <f>('2 transformar y limpiar'!F571-$B$9)/$C$9</f>
        <v/>
      </c>
      <c r="G557">
        <f>'2 transformar y limpiar'!G571</f>
        <v/>
      </c>
      <c r="H557">
        <f>'2 transformar y limpiar'!H571</f>
        <v/>
      </c>
      <c r="I557">
        <f>'2 transformar y limpiar'!I571</f>
        <v/>
      </c>
      <c r="J557">
        <f>'2 transformar y limpiar'!J571</f>
        <v/>
      </c>
      <c r="K557">
        <f>'2 transformar y limpiar'!K571</f>
        <v/>
      </c>
      <c r="L557">
        <f>'2 transformar y limpiar'!L571</f>
        <v/>
      </c>
      <c r="M557">
        <f>'2 transformar y limpiar'!M571</f>
        <v/>
      </c>
      <c r="N557">
        <f>'2 transformar y limpiar'!N571</f>
        <v/>
      </c>
      <c r="O557">
        <f>'2 transformar y limpiar'!O571</f>
        <v/>
      </c>
      <c r="P557">
        <f>'2 transformar y limpiar'!P571</f>
        <v/>
      </c>
      <c r="Q557">
        <f>'2 transformar y limpiar'!Q571</f>
        <v/>
      </c>
      <c r="R557">
        <f>'2 transformar y limpiar'!R571</f>
        <v/>
      </c>
      <c r="S557">
        <f>'2 transformar y limpiar'!S571</f>
        <v/>
      </c>
      <c r="T557">
        <f>'2 transformar y limpiar'!T571</f>
        <v/>
      </c>
      <c r="U557" s="5">
        <f>'2 transformar y limpiar'!U571</f>
        <v/>
      </c>
    </row>
    <row r="558">
      <c r="A558">
        <f>'2 transformar y limpiar'!A572</f>
        <v/>
      </c>
      <c r="B558">
        <f>'2 transformar y limpiar'!B572</f>
        <v/>
      </c>
      <c r="C558" s="6">
        <f>('2 transformar y limpiar'!C572-$B$6)/$C$6</f>
        <v/>
      </c>
      <c r="D558" s="6">
        <f>('2 transformar y limpiar'!D572-$B$7)/$C$7</f>
        <v/>
      </c>
      <c r="E558" s="6">
        <f>('2 transformar y limpiar'!E572-$B$8)/$C$8</f>
        <v/>
      </c>
      <c r="F558" s="6">
        <f>('2 transformar y limpiar'!F572-$B$9)/$C$9</f>
        <v/>
      </c>
      <c r="G558">
        <f>'2 transformar y limpiar'!G572</f>
        <v/>
      </c>
      <c r="H558">
        <f>'2 transformar y limpiar'!H572</f>
        <v/>
      </c>
      <c r="I558">
        <f>'2 transformar y limpiar'!I572</f>
        <v/>
      </c>
      <c r="J558">
        <f>'2 transformar y limpiar'!J572</f>
        <v/>
      </c>
      <c r="K558">
        <f>'2 transformar y limpiar'!K572</f>
        <v/>
      </c>
      <c r="L558">
        <f>'2 transformar y limpiar'!L572</f>
        <v/>
      </c>
      <c r="M558">
        <f>'2 transformar y limpiar'!M572</f>
        <v/>
      </c>
      <c r="N558">
        <f>'2 transformar y limpiar'!N572</f>
        <v/>
      </c>
      <c r="O558">
        <f>'2 transformar y limpiar'!O572</f>
        <v/>
      </c>
      <c r="P558">
        <f>'2 transformar y limpiar'!P572</f>
        <v/>
      </c>
      <c r="Q558">
        <f>'2 transformar y limpiar'!Q572</f>
        <v/>
      </c>
      <c r="R558">
        <f>'2 transformar y limpiar'!R572</f>
        <v/>
      </c>
      <c r="S558">
        <f>'2 transformar y limpiar'!S572</f>
        <v/>
      </c>
      <c r="T558">
        <f>'2 transformar y limpiar'!T572</f>
        <v/>
      </c>
      <c r="U558" s="5">
        <f>'2 transformar y limpiar'!U572</f>
        <v/>
      </c>
    </row>
    <row r="559">
      <c r="A559">
        <f>'2 transformar y limpiar'!A573</f>
        <v/>
      </c>
      <c r="B559">
        <f>'2 transformar y limpiar'!B573</f>
        <v/>
      </c>
      <c r="C559" s="6">
        <f>('2 transformar y limpiar'!C573-$B$6)/$C$6</f>
        <v/>
      </c>
      <c r="D559" s="6">
        <f>('2 transformar y limpiar'!D573-$B$7)/$C$7</f>
        <v/>
      </c>
      <c r="E559" s="6">
        <f>('2 transformar y limpiar'!E573-$B$8)/$C$8</f>
        <v/>
      </c>
      <c r="F559" s="6">
        <f>('2 transformar y limpiar'!F573-$B$9)/$C$9</f>
        <v/>
      </c>
      <c r="G559">
        <f>'2 transformar y limpiar'!G573</f>
        <v/>
      </c>
      <c r="H559">
        <f>'2 transformar y limpiar'!H573</f>
        <v/>
      </c>
      <c r="I559">
        <f>'2 transformar y limpiar'!I573</f>
        <v/>
      </c>
      <c r="J559">
        <f>'2 transformar y limpiar'!J573</f>
        <v/>
      </c>
      <c r="K559">
        <f>'2 transformar y limpiar'!K573</f>
        <v/>
      </c>
      <c r="L559">
        <f>'2 transformar y limpiar'!L573</f>
        <v/>
      </c>
      <c r="M559">
        <f>'2 transformar y limpiar'!M573</f>
        <v/>
      </c>
      <c r="N559">
        <f>'2 transformar y limpiar'!N573</f>
        <v/>
      </c>
      <c r="O559">
        <f>'2 transformar y limpiar'!O573</f>
        <v/>
      </c>
      <c r="P559">
        <f>'2 transformar y limpiar'!P573</f>
        <v/>
      </c>
      <c r="Q559">
        <f>'2 transformar y limpiar'!Q573</f>
        <v/>
      </c>
      <c r="R559">
        <f>'2 transformar y limpiar'!R573</f>
        <v/>
      </c>
      <c r="S559">
        <f>'2 transformar y limpiar'!S573</f>
        <v/>
      </c>
      <c r="T559">
        <f>'2 transformar y limpiar'!T573</f>
        <v/>
      </c>
      <c r="U559" s="5">
        <f>'2 transformar y limpiar'!U573</f>
        <v/>
      </c>
    </row>
    <row r="560">
      <c r="A560">
        <f>'2 transformar y limpiar'!A574</f>
        <v/>
      </c>
      <c r="B560">
        <f>'2 transformar y limpiar'!B574</f>
        <v/>
      </c>
      <c r="C560" s="6">
        <f>('2 transformar y limpiar'!C574-$B$6)/$C$6</f>
        <v/>
      </c>
      <c r="D560" s="6">
        <f>('2 transformar y limpiar'!D574-$B$7)/$C$7</f>
        <v/>
      </c>
      <c r="E560" s="6">
        <f>('2 transformar y limpiar'!E574-$B$8)/$C$8</f>
        <v/>
      </c>
      <c r="F560" s="6">
        <f>('2 transformar y limpiar'!F574-$B$9)/$C$9</f>
        <v/>
      </c>
      <c r="G560">
        <f>'2 transformar y limpiar'!G574</f>
        <v/>
      </c>
      <c r="H560">
        <f>'2 transformar y limpiar'!H574</f>
        <v/>
      </c>
      <c r="I560">
        <f>'2 transformar y limpiar'!I574</f>
        <v/>
      </c>
      <c r="J560">
        <f>'2 transformar y limpiar'!J574</f>
        <v/>
      </c>
      <c r="K560">
        <f>'2 transformar y limpiar'!K574</f>
        <v/>
      </c>
      <c r="L560">
        <f>'2 transformar y limpiar'!L574</f>
        <v/>
      </c>
      <c r="M560">
        <f>'2 transformar y limpiar'!M574</f>
        <v/>
      </c>
      <c r="N560">
        <f>'2 transformar y limpiar'!N574</f>
        <v/>
      </c>
      <c r="O560">
        <f>'2 transformar y limpiar'!O574</f>
        <v/>
      </c>
      <c r="P560">
        <f>'2 transformar y limpiar'!P574</f>
        <v/>
      </c>
      <c r="Q560">
        <f>'2 transformar y limpiar'!Q574</f>
        <v/>
      </c>
      <c r="R560">
        <f>'2 transformar y limpiar'!R574</f>
        <v/>
      </c>
      <c r="S560">
        <f>'2 transformar y limpiar'!S574</f>
        <v/>
      </c>
      <c r="T560">
        <f>'2 transformar y limpiar'!T574</f>
        <v/>
      </c>
      <c r="U560" s="5">
        <f>'2 transformar y limpiar'!U574</f>
        <v/>
      </c>
    </row>
    <row r="561">
      <c r="A561">
        <f>'2 transformar y limpiar'!A575</f>
        <v/>
      </c>
      <c r="B561">
        <f>'2 transformar y limpiar'!B575</f>
        <v/>
      </c>
      <c r="C561" s="6">
        <f>('2 transformar y limpiar'!C575-$B$6)/$C$6</f>
        <v/>
      </c>
      <c r="D561" s="6">
        <f>('2 transformar y limpiar'!D575-$B$7)/$C$7</f>
        <v/>
      </c>
      <c r="E561" s="6">
        <f>('2 transformar y limpiar'!E575-$B$8)/$C$8</f>
        <v/>
      </c>
      <c r="F561" s="6">
        <f>('2 transformar y limpiar'!F575-$B$9)/$C$9</f>
        <v/>
      </c>
      <c r="G561">
        <f>'2 transformar y limpiar'!G575</f>
        <v/>
      </c>
      <c r="H561">
        <f>'2 transformar y limpiar'!H575</f>
        <v/>
      </c>
      <c r="I561">
        <f>'2 transformar y limpiar'!I575</f>
        <v/>
      </c>
      <c r="J561">
        <f>'2 transformar y limpiar'!J575</f>
        <v/>
      </c>
      <c r="K561">
        <f>'2 transformar y limpiar'!K575</f>
        <v/>
      </c>
      <c r="L561">
        <f>'2 transformar y limpiar'!L575</f>
        <v/>
      </c>
      <c r="M561">
        <f>'2 transformar y limpiar'!M575</f>
        <v/>
      </c>
      <c r="N561">
        <f>'2 transformar y limpiar'!N575</f>
        <v/>
      </c>
      <c r="O561">
        <f>'2 transformar y limpiar'!O575</f>
        <v/>
      </c>
      <c r="P561">
        <f>'2 transformar y limpiar'!P575</f>
        <v/>
      </c>
      <c r="Q561">
        <f>'2 transformar y limpiar'!Q575</f>
        <v/>
      </c>
      <c r="R561">
        <f>'2 transformar y limpiar'!R575</f>
        <v/>
      </c>
      <c r="S561">
        <f>'2 transformar y limpiar'!S575</f>
        <v/>
      </c>
      <c r="T561">
        <f>'2 transformar y limpiar'!T575</f>
        <v/>
      </c>
      <c r="U561" s="5">
        <f>'2 transformar y limpiar'!U575</f>
        <v/>
      </c>
    </row>
    <row r="562">
      <c r="A562">
        <f>'2 transformar y limpiar'!A576</f>
        <v/>
      </c>
      <c r="B562">
        <f>'2 transformar y limpiar'!B576</f>
        <v/>
      </c>
      <c r="C562" s="6">
        <f>('2 transformar y limpiar'!C576-$B$6)/$C$6</f>
        <v/>
      </c>
      <c r="D562" s="6">
        <f>('2 transformar y limpiar'!D576-$B$7)/$C$7</f>
        <v/>
      </c>
      <c r="E562" s="6">
        <f>('2 transformar y limpiar'!E576-$B$8)/$C$8</f>
        <v/>
      </c>
      <c r="F562" s="6">
        <f>('2 transformar y limpiar'!F576-$B$9)/$C$9</f>
        <v/>
      </c>
      <c r="G562">
        <f>'2 transformar y limpiar'!G576</f>
        <v/>
      </c>
      <c r="H562">
        <f>'2 transformar y limpiar'!H576</f>
        <v/>
      </c>
      <c r="I562">
        <f>'2 transformar y limpiar'!I576</f>
        <v/>
      </c>
      <c r="J562">
        <f>'2 transformar y limpiar'!J576</f>
        <v/>
      </c>
      <c r="K562">
        <f>'2 transformar y limpiar'!K576</f>
        <v/>
      </c>
      <c r="L562">
        <f>'2 transformar y limpiar'!L576</f>
        <v/>
      </c>
      <c r="M562">
        <f>'2 transformar y limpiar'!M576</f>
        <v/>
      </c>
      <c r="N562">
        <f>'2 transformar y limpiar'!N576</f>
        <v/>
      </c>
      <c r="O562">
        <f>'2 transformar y limpiar'!O576</f>
        <v/>
      </c>
      <c r="P562">
        <f>'2 transformar y limpiar'!P576</f>
        <v/>
      </c>
      <c r="Q562">
        <f>'2 transformar y limpiar'!Q576</f>
        <v/>
      </c>
      <c r="R562">
        <f>'2 transformar y limpiar'!R576</f>
        <v/>
      </c>
      <c r="S562">
        <f>'2 transformar y limpiar'!S576</f>
        <v/>
      </c>
      <c r="T562">
        <f>'2 transformar y limpiar'!T576</f>
        <v/>
      </c>
      <c r="U562" s="5">
        <f>'2 transformar y limpiar'!U576</f>
        <v/>
      </c>
    </row>
    <row r="563">
      <c r="A563">
        <f>'2 transformar y limpiar'!A577</f>
        <v/>
      </c>
      <c r="B563">
        <f>'2 transformar y limpiar'!B577</f>
        <v/>
      </c>
      <c r="C563" s="6">
        <f>('2 transformar y limpiar'!C577-$B$6)/$C$6</f>
        <v/>
      </c>
      <c r="D563" s="6">
        <f>('2 transformar y limpiar'!D577-$B$7)/$C$7</f>
        <v/>
      </c>
      <c r="E563" s="6">
        <f>('2 transformar y limpiar'!E577-$B$8)/$C$8</f>
        <v/>
      </c>
      <c r="F563" s="6">
        <f>('2 transformar y limpiar'!F577-$B$9)/$C$9</f>
        <v/>
      </c>
      <c r="G563">
        <f>'2 transformar y limpiar'!G577</f>
        <v/>
      </c>
      <c r="H563">
        <f>'2 transformar y limpiar'!H577</f>
        <v/>
      </c>
      <c r="I563">
        <f>'2 transformar y limpiar'!I577</f>
        <v/>
      </c>
      <c r="J563">
        <f>'2 transformar y limpiar'!J577</f>
        <v/>
      </c>
      <c r="K563">
        <f>'2 transformar y limpiar'!K577</f>
        <v/>
      </c>
      <c r="L563">
        <f>'2 transformar y limpiar'!L577</f>
        <v/>
      </c>
      <c r="M563">
        <f>'2 transformar y limpiar'!M577</f>
        <v/>
      </c>
      <c r="N563">
        <f>'2 transformar y limpiar'!N577</f>
        <v/>
      </c>
      <c r="O563">
        <f>'2 transformar y limpiar'!O577</f>
        <v/>
      </c>
      <c r="P563">
        <f>'2 transformar y limpiar'!P577</f>
        <v/>
      </c>
      <c r="Q563">
        <f>'2 transformar y limpiar'!Q577</f>
        <v/>
      </c>
      <c r="R563">
        <f>'2 transformar y limpiar'!R577</f>
        <v/>
      </c>
      <c r="S563">
        <f>'2 transformar y limpiar'!S577</f>
        <v/>
      </c>
      <c r="T563">
        <f>'2 transformar y limpiar'!T577</f>
        <v/>
      </c>
      <c r="U563" s="5">
        <f>'2 transformar y limpiar'!U577</f>
        <v/>
      </c>
    </row>
    <row r="564">
      <c r="A564">
        <f>'2 transformar y limpiar'!A578</f>
        <v/>
      </c>
      <c r="B564">
        <f>'2 transformar y limpiar'!B578</f>
        <v/>
      </c>
      <c r="C564" s="6">
        <f>('2 transformar y limpiar'!C578-$B$6)/$C$6</f>
        <v/>
      </c>
      <c r="D564" s="6">
        <f>('2 transformar y limpiar'!D578-$B$7)/$C$7</f>
        <v/>
      </c>
      <c r="E564" s="6">
        <f>('2 transformar y limpiar'!E578-$B$8)/$C$8</f>
        <v/>
      </c>
      <c r="F564" s="6">
        <f>('2 transformar y limpiar'!F578-$B$9)/$C$9</f>
        <v/>
      </c>
      <c r="G564">
        <f>'2 transformar y limpiar'!G578</f>
        <v/>
      </c>
      <c r="H564">
        <f>'2 transformar y limpiar'!H578</f>
        <v/>
      </c>
      <c r="I564">
        <f>'2 transformar y limpiar'!I578</f>
        <v/>
      </c>
      <c r="J564">
        <f>'2 transformar y limpiar'!J578</f>
        <v/>
      </c>
      <c r="K564">
        <f>'2 transformar y limpiar'!K578</f>
        <v/>
      </c>
      <c r="L564">
        <f>'2 transformar y limpiar'!L578</f>
        <v/>
      </c>
      <c r="M564">
        <f>'2 transformar y limpiar'!M578</f>
        <v/>
      </c>
      <c r="N564">
        <f>'2 transformar y limpiar'!N578</f>
        <v/>
      </c>
      <c r="O564">
        <f>'2 transformar y limpiar'!O578</f>
        <v/>
      </c>
      <c r="P564">
        <f>'2 transformar y limpiar'!P578</f>
        <v/>
      </c>
      <c r="Q564">
        <f>'2 transformar y limpiar'!Q578</f>
        <v/>
      </c>
      <c r="R564">
        <f>'2 transformar y limpiar'!R578</f>
        <v/>
      </c>
      <c r="S564">
        <f>'2 transformar y limpiar'!S578</f>
        <v/>
      </c>
      <c r="T564">
        <f>'2 transformar y limpiar'!T578</f>
        <v/>
      </c>
      <c r="U564" s="5">
        <f>'2 transformar y limpiar'!U578</f>
        <v/>
      </c>
    </row>
    <row r="565">
      <c r="A565">
        <f>'2 transformar y limpiar'!A579</f>
        <v/>
      </c>
      <c r="B565">
        <f>'2 transformar y limpiar'!B579</f>
        <v/>
      </c>
      <c r="C565" s="6">
        <f>('2 transformar y limpiar'!C579-$B$6)/$C$6</f>
        <v/>
      </c>
      <c r="D565" s="6">
        <f>('2 transformar y limpiar'!D579-$B$7)/$C$7</f>
        <v/>
      </c>
      <c r="E565" s="6">
        <f>('2 transformar y limpiar'!E579-$B$8)/$C$8</f>
        <v/>
      </c>
      <c r="F565" s="6">
        <f>('2 transformar y limpiar'!F579-$B$9)/$C$9</f>
        <v/>
      </c>
      <c r="G565">
        <f>'2 transformar y limpiar'!G579</f>
        <v/>
      </c>
      <c r="H565">
        <f>'2 transformar y limpiar'!H579</f>
        <v/>
      </c>
      <c r="I565">
        <f>'2 transformar y limpiar'!I579</f>
        <v/>
      </c>
      <c r="J565">
        <f>'2 transformar y limpiar'!J579</f>
        <v/>
      </c>
      <c r="K565">
        <f>'2 transformar y limpiar'!K579</f>
        <v/>
      </c>
      <c r="L565">
        <f>'2 transformar y limpiar'!L579</f>
        <v/>
      </c>
      <c r="M565">
        <f>'2 transformar y limpiar'!M579</f>
        <v/>
      </c>
      <c r="N565">
        <f>'2 transformar y limpiar'!N579</f>
        <v/>
      </c>
      <c r="O565">
        <f>'2 transformar y limpiar'!O579</f>
        <v/>
      </c>
      <c r="P565">
        <f>'2 transformar y limpiar'!P579</f>
        <v/>
      </c>
      <c r="Q565">
        <f>'2 transformar y limpiar'!Q579</f>
        <v/>
      </c>
      <c r="R565">
        <f>'2 transformar y limpiar'!R579</f>
        <v/>
      </c>
      <c r="S565">
        <f>'2 transformar y limpiar'!S579</f>
        <v/>
      </c>
      <c r="T565">
        <f>'2 transformar y limpiar'!T579</f>
        <v/>
      </c>
      <c r="U565" s="5">
        <f>'2 transformar y limpiar'!U579</f>
        <v/>
      </c>
    </row>
    <row r="566">
      <c r="A566">
        <f>'2 transformar y limpiar'!A580</f>
        <v/>
      </c>
      <c r="B566">
        <f>'2 transformar y limpiar'!B580</f>
        <v/>
      </c>
      <c r="C566" s="6">
        <f>('2 transformar y limpiar'!C580-$B$6)/$C$6</f>
        <v/>
      </c>
      <c r="D566" s="6">
        <f>('2 transformar y limpiar'!D580-$B$7)/$C$7</f>
        <v/>
      </c>
      <c r="E566" s="6">
        <f>('2 transformar y limpiar'!E580-$B$8)/$C$8</f>
        <v/>
      </c>
      <c r="F566" s="6">
        <f>('2 transformar y limpiar'!F580-$B$9)/$C$9</f>
        <v/>
      </c>
      <c r="G566">
        <f>'2 transformar y limpiar'!G580</f>
        <v/>
      </c>
      <c r="H566">
        <f>'2 transformar y limpiar'!H580</f>
        <v/>
      </c>
      <c r="I566">
        <f>'2 transformar y limpiar'!I580</f>
        <v/>
      </c>
      <c r="J566">
        <f>'2 transformar y limpiar'!J580</f>
        <v/>
      </c>
      <c r="K566">
        <f>'2 transformar y limpiar'!K580</f>
        <v/>
      </c>
      <c r="L566">
        <f>'2 transformar y limpiar'!L580</f>
        <v/>
      </c>
      <c r="M566">
        <f>'2 transformar y limpiar'!M580</f>
        <v/>
      </c>
      <c r="N566">
        <f>'2 transformar y limpiar'!N580</f>
        <v/>
      </c>
      <c r="O566">
        <f>'2 transformar y limpiar'!O580</f>
        <v/>
      </c>
      <c r="P566">
        <f>'2 transformar y limpiar'!P580</f>
        <v/>
      </c>
      <c r="Q566">
        <f>'2 transformar y limpiar'!Q580</f>
        <v/>
      </c>
      <c r="R566">
        <f>'2 transformar y limpiar'!R580</f>
        <v/>
      </c>
      <c r="S566">
        <f>'2 transformar y limpiar'!S580</f>
        <v/>
      </c>
      <c r="T566">
        <f>'2 transformar y limpiar'!T580</f>
        <v/>
      </c>
      <c r="U566" s="5">
        <f>'2 transformar y limpiar'!U580</f>
        <v/>
      </c>
    </row>
    <row r="567">
      <c r="A567">
        <f>'2 transformar y limpiar'!A581</f>
        <v/>
      </c>
      <c r="B567">
        <f>'2 transformar y limpiar'!B581</f>
        <v/>
      </c>
      <c r="C567" s="6">
        <f>('2 transformar y limpiar'!C581-$B$6)/$C$6</f>
        <v/>
      </c>
      <c r="D567" s="6">
        <f>('2 transformar y limpiar'!D581-$B$7)/$C$7</f>
        <v/>
      </c>
      <c r="E567" s="6">
        <f>('2 transformar y limpiar'!E581-$B$8)/$C$8</f>
        <v/>
      </c>
      <c r="F567" s="6">
        <f>('2 transformar y limpiar'!F581-$B$9)/$C$9</f>
        <v/>
      </c>
      <c r="G567">
        <f>'2 transformar y limpiar'!G581</f>
        <v/>
      </c>
      <c r="H567">
        <f>'2 transformar y limpiar'!H581</f>
        <v/>
      </c>
      <c r="I567">
        <f>'2 transformar y limpiar'!I581</f>
        <v/>
      </c>
      <c r="J567">
        <f>'2 transformar y limpiar'!J581</f>
        <v/>
      </c>
      <c r="K567">
        <f>'2 transformar y limpiar'!K581</f>
        <v/>
      </c>
      <c r="L567">
        <f>'2 transformar y limpiar'!L581</f>
        <v/>
      </c>
      <c r="M567">
        <f>'2 transformar y limpiar'!M581</f>
        <v/>
      </c>
      <c r="N567">
        <f>'2 transformar y limpiar'!N581</f>
        <v/>
      </c>
      <c r="O567">
        <f>'2 transformar y limpiar'!O581</f>
        <v/>
      </c>
      <c r="P567">
        <f>'2 transformar y limpiar'!P581</f>
        <v/>
      </c>
      <c r="Q567">
        <f>'2 transformar y limpiar'!Q581</f>
        <v/>
      </c>
      <c r="R567">
        <f>'2 transformar y limpiar'!R581</f>
        <v/>
      </c>
      <c r="S567">
        <f>'2 transformar y limpiar'!S581</f>
        <v/>
      </c>
      <c r="T567">
        <f>'2 transformar y limpiar'!T581</f>
        <v/>
      </c>
      <c r="U567" s="5">
        <f>'2 transformar y limpiar'!U581</f>
        <v/>
      </c>
    </row>
    <row r="568">
      <c r="A568">
        <f>'2 transformar y limpiar'!A582</f>
        <v/>
      </c>
      <c r="B568">
        <f>'2 transformar y limpiar'!B582</f>
        <v/>
      </c>
      <c r="C568" s="6">
        <f>('2 transformar y limpiar'!C582-$B$6)/$C$6</f>
        <v/>
      </c>
      <c r="D568" s="6">
        <f>('2 transformar y limpiar'!D582-$B$7)/$C$7</f>
        <v/>
      </c>
      <c r="E568" s="6">
        <f>('2 transformar y limpiar'!E582-$B$8)/$C$8</f>
        <v/>
      </c>
      <c r="F568" s="6">
        <f>('2 transformar y limpiar'!F582-$B$9)/$C$9</f>
        <v/>
      </c>
      <c r="G568">
        <f>'2 transformar y limpiar'!G582</f>
        <v/>
      </c>
      <c r="H568">
        <f>'2 transformar y limpiar'!H582</f>
        <v/>
      </c>
      <c r="I568">
        <f>'2 transformar y limpiar'!I582</f>
        <v/>
      </c>
      <c r="J568">
        <f>'2 transformar y limpiar'!J582</f>
        <v/>
      </c>
      <c r="K568">
        <f>'2 transformar y limpiar'!K582</f>
        <v/>
      </c>
      <c r="L568">
        <f>'2 transformar y limpiar'!L582</f>
        <v/>
      </c>
      <c r="M568">
        <f>'2 transformar y limpiar'!M582</f>
        <v/>
      </c>
      <c r="N568">
        <f>'2 transformar y limpiar'!N582</f>
        <v/>
      </c>
      <c r="O568">
        <f>'2 transformar y limpiar'!O582</f>
        <v/>
      </c>
      <c r="P568">
        <f>'2 transformar y limpiar'!P582</f>
        <v/>
      </c>
      <c r="Q568">
        <f>'2 transformar y limpiar'!Q582</f>
        <v/>
      </c>
      <c r="R568">
        <f>'2 transformar y limpiar'!R582</f>
        <v/>
      </c>
      <c r="S568">
        <f>'2 transformar y limpiar'!S582</f>
        <v/>
      </c>
      <c r="T568">
        <f>'2 transformar y limpiar'!T582</f>
        <v/>
      </c>
      <c r="U568" s="5">
        <f>'2 transformar y limpiar'!U582</f>
        <v/>
      </c>
    </row>
    <row r="569">
      <c r="A569">
        <f>'2 transformar y limpiar'!A583</f>
        <v/>
      </c>
      <c r="B569">
        <f>'2 transformar y limpiar'!B583</f>
        <v/>
      </c>
      <c r="C569" s="6">
        <f>('2 transformar y limpiar'!C583-$B$6)/$C$6</f>
        <v/>
      </c>
      <c r="D569" s="6">
        <f>('2 transformar y limpiar'!D583-$B$7)/$C$7</f>
        <v/>
      </c>
      <c r="E569" s="6">
        <f>('2 transformar y limpiar'!E583-$B$8)/$C$8</f>
        <v/>
      </c>
      <c r="F569" s="6">
        <f>('2 transformar y limpiar'!F583-$B$9)/$C$9</f>
        <v/>
      </c>
      <c r="G569">
        <f>'2 transformar y limpiar'!G583</f>
        <v/>
      </c>
      <c r="H569">
        <f>'2 transformar y limpiar'!H583</f>
        <v/>
      </c>
      <c r="I569">
        <f>'2 transformar y limpiar'!I583</f>
        <v/>
      </c>
      <c r="J569">
        <f>'2 transformar y limpiar'!J583</f>
        <v/>
      </c>
      <c r="K569">
        <f>'2 transformar y limpiar'!K583</f>
        <v/>
      </c>
      <c r="L569">
        <f>'2 transformar y limpiar'!L583</f>
        <v/>
      </c>
      <c r="M569">
        <f>'2 transformar y limpiar'!M583</f>
        <v/>
      </c>
      <c r="N569">
        <f>'2 transformar y limpiar'!N583</f>
        <v/>
      </c>
      <c r="O569">
        <f>'2 transformar y limpiar'!O583</f>
        <v/>
      </c>
      <c r="P569">
        <f>'2 transformar y limpiar'!P583</f>
        <v/>
      </c>
      <c r="Q569">
        <f>'2 transformar y limpiar'!Q583</f>
        <v/>
      </c>
      <c r="R569">
        <f>'2 transformar y limpiar'!R583</f>
        <v/>
      </c>
      <c r="S569">
        <f>'2 transformar y limpiar'!S583</f>
        <v/>
      </c>
      <c r="T569">
        <f>'2 transformar y limpiar'!T583</f>
        <v/>
      </c>
      <c r="U569" s="5">
        <f>'2 transformar y limpiar'!U583</f>
        <v/>
      </c>
    </row>
    <row r="570">
      <c r="A570">
        <f>'2 transformar y limpiar'!A584</f>
        <v/>
      </c>
      <c r="B570">
        <f>'2 transformar y limpiar'!B584</f>
        <v/>
      </c>
      <c r="C570" s="6">
        <f>('2 transformar y limpiar'!C584-$B$6)/$C$6</f>
        <v/>
      </c>
      <c r="D570" s="6">
        <f>('2 transformar y limpiar'!D584-$B$7)/$C$7</f>
        <v/>
      </c>
      <c r="E570" s="6">
        <f>('2 transformar y limpiar'!E584-$B$8)/$C$8</f>
        <v/>
      </c>
      <c r="F570" s="6">
        <f>('2 transformar y limpiar'!F584-$B$9)/$C$9</f>
        <v/>
      </c>
      <c r="G570">
        <f>'2 transformar y limpiar'!G584</f>
        <v/>
      </c>
      <c r="H570">
        <f>'2 transformar y limpiar'!H584</f>
        <v/>
      </c>
      <c r="I570">
        <f>'2 transformar y limpiar'!I584</f>
        <v/>
      </c>
      <c r="J570">
        <f>'2 transformar y limpiar'!J584</f>
        <v/>
      </c>
      <c r="K570">
        <f>'2 transformar y limpiar'!K584</f>
        <v/>
      </c>
      <c r="L570">
        <f>'2 transformar y limpiar'!L584</f>
        <v/>
      </c>
      <c r="M570">
        <f>'2 transformar y limpiar'!M584</f>
        <v/>
      </c>
      <c r="N570">
        <f>'2 transformar y limpiar'!N584</f>
        <v/>
      </c>
      <c r="O570">
        <f>'2 transformar y limpiar'!O584</f>
        <v/>
      </c>
      <c r="P570">
        <f>'2 transformar y limpiar'!P584</f>
        <v/>
      </c>
      <c r="Q570">
        <f>'2 transformar y limpiar'!Q584</f>
        <v/>
      </c>
      <c r="R570">
        <f>'2 transformar y limpiar'!R584</f>
        <v/>
      </c>
      <c r="S570">
        <f>'2 transformar y limpiar'!S584</f>
        <v/>
      </c>
      <c r="T570">
        <f>'2 transformar y limpiar'!T584</f>
        <v/>
      </c>
      <c r="U570" s="5">
        <f>'2 transformar y limpiar'!U584</f>
        <v/>
      </c>
    </row>
    <row r="571">
      <c r="A571">
        <f>'2 transformar y limpiar'!A585</f>
        <v/>
      </c>
      <c r="B571">
        <f>'2 transformar y limpiar'!B585</f>
        <v/>
      </c>
      <c r="C571" s="6">
        <f>('2 transformar y limpiar'!C585-$B$6)/$C$6</f>
        <v/>
      </c>
      <c r="D571" s="6">
        <f>('2 transformar y limpiar'!D585-$B$7)/$C$7</f>
        <v/>
      </c>
      <c r="E571" s="6">
        <f>('2 transformar y limpiar'!E585-$B$8)/$C$8</f>
        <v/>
      </c>
      <c r="F571" s="6">
        <f>('2 transformar y limpiar'!F585-$B$9)/$C$9</f>
        <v/>
      </c>
      <c r="G571">
        <f>'2 transformar y limpiar'!G585</f>
        <v/>
      </c>
      <c r="H571">
        <f>'2 transformar y limpiar'!H585</f>
        <v/>
      </c>
      <c r="I571">
        <f>'2 transformar y limpiar'!I585</f>
        <v/>
      </c>
      <c r="J571">
        <f>'2 transformar y limpiar'!J585</f>
        <v/>
      </c>
      <c r="K571">
        <f>'2 transformar y limpiar'!K585</f>
        <v/>
      </c>
      <c r="L571">
        <f>'2 transformar y limpiar'!L585</f>
        <v/>
      </c>
      <c r="M571">
        <f>'2 transformar y limpiar'!M585</f>
        <v/>
      </c>
      <c r="N571">
        <f>'2 transformar y limpiar'!N585</f>
        <v/>
      </c>
      <c r="O571">
        <f>'2 transformar y limpiar'!O585</f>
        <v/>
      </c>
      <c r="P571">
        <f>'2 transformar y limpiar'!P585</f>
        <v/>
      </c>
      <c r="Q571">
        <f>'2 transformar y limpiar'!Q585</f>
        <v/>
      </c>
      <c r="R571">
        <f>'2 transformar y limpiar'!R585</f>
        <v/>
      </c>
      <c r="S571">
        <f>'2 transformar y limpiar'!S585</f>
        <v/>
      </c>
      <c r="T571">
        <f>'2 transformar y limpiar'!T585</f>
        <v/>
      </c>
      <c r="U571" s="5">
        <f>'2 transformar y limpiar'!U585</f>
        <v/>
      </c>
    </row>
    <row r="572">
      <c r="A572">
        <f>'2 transformar y limpiar'!A586</f>
        <v/>
      </c>
      <c r="B572">
        <f>'2 transformar y limpiar'!B586</f>
        <v/>
      </c>
      <c r="C572" s="6">
        <f>('2 transformar y limpiar'!C586-$B$6)/$C$6</f>
        <v/>
      </c>
      <c r="D572" s="6">
        <f>('2 transformar y limpiar'!D586-$B$7)/$C$7</f>
        <v/>
      </c>
      <c r="E572" s="6">
        <f>('2 transformar y limpiar'!E586-$B$8)/$C$8</f>
        <v/>
      </c>
      <c r="F572" s="6">
        <f>('2 transformar y limpiar'!F586-$B$9)/$C$9</f>
        <v/>
      </c>
      <c r="G572">
        <f>'2 transformar y limpiar'!G586</f>
        <v/>
      </c>
      <c r="H572">
        <f>'2 transformar y limpiar'!H586</f>
        <v/>
      </c>
      <c r="I572">
        <f>'2 transformar y limpiar'!I586</f>
        <v/>
      </c>
      <c r="J572">
        <f>'2 transformar y limpiar'!J586</f>
        <v/>
      </c>
      <c r="K572">
        <f>'2 transformar y limpiar'!K586</f>
        <v/>
      </c>
      <c r="L572">
        <f>'2 transformar y limpiar'!L586</f>
        <v/>
      </c>
      <c r="M572">
        <f>'2 transformar y limpiar'!M586</f>
        <v/>
      </c>
      <c r="N572">
        <f>'2 transformar y limpiar'!N586</f>
        <v/>
      </c>
      <c r="O572">
        <f>'2 transformar y limpiar'!O586</f>
        <v/>
      </c>
      <c r="P572">
        <f>'2 transformar y limpiar'!P586</f>
        <v/>
      </c>
      <c r="Q572">
        <f>'2 transformar y limpiar'!Q586</f>
        <v/>
      </c>
      <c r="R572">
        <f>'2 transformar y limpiar'!R586</f>
        <v/>
      </c>
      <c r="S572">
        <f>'2 transformar y limpiar'!S586</f>
        <v/>
      </c>
      <c r="T572">
        <f>'2 transformar y limpiar'!T586</f>
        <v/>
      </c>
      <c r="U572" s="5">
        <f>'2 transformar y limpiar'!U586</f>
        <v/>
      </c>
    </row>
    <row r="573">
      <c r="A573">
        <f>'2 transformar y limpiar'!A587</f>
        <v/>
      </c>
      <c r="B573">
        <f>'2 transformar y limpiar'!B587</f>
        <v/>
      </c>
      <c r="C573" s="6">
        <f>('2 transformar y limpiar'!C587-$B$6)/$C$6</f>
        <v/>
      </c>
      <c r="D573" s="6">
        <f>('2 transformar y limpiar'!D587-$B$7)/$C$7</f>
        <v/>
      </c>
      <c r="E573" s="6">
        <f>('2 transformar y limpiar'!E587-$B$8)/$C$8</f>
        <v/>
      </c>
      <c r="F573" s="6">
        <f>('2 transformar y limpiar'!F587-$B$9)/$C$9</f>
        <v/>
      </c>
      <c r="G573">
        <f>'2 transformar y limpiar'!G587</f>
        <v/>
      </c>
      <c r="H573">
        <f>'2 transformar y limpiar'!H587</f>
        <v/>
      </c>
      <c r="I573">
        <f>'2 transformar y limpiar'!I587</f>
        <v/>
      </c>
      <c r="J573">
        <f>'2 transformar y limpiar'!J587</f>
        <v/>
      </c>
      <c r="K573">
        <f>'2 transformar y limpiar'!K587</f>
        <v/>
      </c>
      <c r="L573">
        <f>'2 transformar y limpiar'!L587</f>
        <v/>
      </c>
      <c r="M573">
        <f>'2 transformar y limpiar'!M587</f>
        <v/>
      </c>
      <c r="N573">
        <f>'2 transformar y limpiar'!N587</f>
        <v/>
      </c>
      <c r="O573">
        <f>'2 transformar y limpiar'!O587</f>
        <v/>
      </c>
      <c r="P573">
        <f>'2 transformar y limpiar'!P587</f>
        <v/>
      </c>
      <c r="Q573">
        <f>'2 transformar y limpiar'!Q587</f>
        <v/>
      </c>
      <c r="R573">
        <f>'2 transformar y limpiar'!R587</f>
        <v/>
      </c>
      <c r="S573">
        <f>'2 transformar y limpiar'!S587</f>
        <v/>
      </c>
      <c r="T573">
        <f>'2 transformar y limpiar'!T587</f>
        <v/>
      </c>
      <c r="U573" s="5">
        <f>'2 transformar y limpiar'!U587</f>
        <v/>
      </c>
    </row>
    <row r="574">
      <c r="A574">
        <f>'2 transformar y limpiar'!A588</f>
        <v/>
      </c>
      <c r="B574">
        <f>'2 transformar y limpiar'!B588</f>
        <v/>
      </c>
      <c r="C574" s="6">
        <f>('2 transformar y limpiar'!C588-$B$6)/$C$6</f>
        <v/>
      </c>
      <c r="D574" s="6">
        <f>('2 transformar y limpiar'!D588-$B$7)/$C$7</f>
        <v/>
      </c>
      <c r="E574" s="6">
        <f>('2 transformar y limpiar'!E588-$B$8)/$C$8</f>
        <v/>
      </c>
      <c r="F574" s="6">
        <f>('2 transformar y limpiar'!F588-$B$9)/$C$9</f>
        <v/>
      </c>
      <c r="G574">
        <f>'2 transformar y limpiar'!G588</f>
        <v/>
      </c>
      <c r="H574">
        <f>'2 transformar y limpiar'!H588</f>
        <v/>
      </c>
      <c r="I574">
        <f>'2 transformar y limpiar'!I588</f>
        <v/>
      </c>
      <c r="J574">
        <f>'2 transformar y limpiar'!J588</f>
        <v/>
      </c>
      <c r="K574">
        <f>'2 transformar y limpiar'!K588</f>
        <v/>
      </c>
      <c r="L574">
        <f>'2 transformar y limpiar'!L588</f>
        <v/>
      </c>
      <c r="M574">
        <f>'2 transformar y limpiar'!M588</f>
        <v/>
      </c>
      <c r="N574">
        <f>'2 transformar y limpiar'!N588</f>
        <v/>
      </c>
      <c r="O574">
        <f>'2 transformar y limpiar'!O588</f>
        <v/>
      </c>
      <c r="P574">
        <f>'2 transformar y limpiar'!P588</f>
        <v/>
      </c>
      <c r="Q574">
        <f>'2 transformar y limpiar'!Q588</f>
        <v/>
      </c>
      <c r="R574">
        <f>'2 transformar y limpiar'!R588</f>
        <v/>
      </c>
      <c r="S574">
        <f>'2 transformar y limpiar'!S588</f>
        <v/>
      </c>
      <c r="T574">
        <f>'2 transformar y limpiar'!T588</f>
        <v/>
      </c>
      <c r="U574" s="5">
        <f>'2 transformar y limpiar'!U588</f>
        <v/>
      </c>
    </row>
    <row r="575">
      <c r="A575">
        <f>'2 transformar y limpiar'!A589</f>
        <v/>
      </c>
      <c r="B575">
        <f>'2 transformar y limpiar'!B589</f>
        <v/>
      </c>
      <c r="C575" s="6">
        <f>('2 transformar y limpiar'!C589-$B$6)/$C$6</f>
        <v/>
      </c>
      <c r="D575" s="6">
        <f>('2 transformar y limpiar'!D589-$B$7)/$C$7</f>
        <v/>
      </c>
      <c r="E575" s="6">
        <f>('2 transformar y limpiar'!E589-$B$8)/$C$8</f>
        <v/>
      </c>
      <c r="F575" s="6">
        <f>('2 transformar y limpiar'!F589-$B$9)/$C$9</f>
        <v/>
      </c>
      <c r="G575">
        <f>'2 transformar y limpiar'!G589</f>
        <v/>
      </c>
      <c r="H575">
        <f>'2 transformar y limpiar'!H589</f>
        <v/>
      </c>
      <c r="I575">
        <f>'2 transformar y limpiar'!I589</f>
        <v/>
      </c>
      <c r="J575">
        <f>'2 transformar y limpiar'!J589</f>
        <v/>
      </c>
      <c r="K575">
        <f>'2 transformar y limpiar'!K589</f>
        <v/>
      </c>
      <c r="L575">
        <f>'2 transformar y limpiar'!L589</f>
        <v/>
      </c>
      <c r="M575">
        <f>'2 transformar y limpiar'!M589</f>
        <v/>
      </c>
      <c r="N575">
        <f>'2 transformar y limpiar'!N589</f>
        <v/>
      </c>
      <c r="O575">
        <f>'2 transformar y limpiar'!O589</f>
        <v/>
      </c>
      <c r="P575">
        <f>'2 transformar y limpiar'!P589</f>
        <v/>
      </c>
      <c r="Q575">
        <f>'2 transformar y limpiar'!Q589</f>
        <v/>
      </c>
      <c r="R575">
        <f>'2 transformar y limpiar'!R589</f>
        <v/>
      </c>
      <c r="S575">
        <f>'2 transformar y limpiar'!S589</f>
        <v/>
      </c>
      <c r="T575">
        <f>'2 transformar y limpiar'!T589</f>
        <v/>
      </c>
      <c r="U575" s="5">
        <f>'2 transformar y limpiar'!U589</f>
        <v/>
      </c>
    </row>
    <row r="576">
      <c r="A576">
        <f>'2 transformar y limpiar'!A590</f>
        <v/>
      </c>
      <c r="B576">
        <f>'2 transformar y limpiar'!B590</f>
        <v/>
      </c>
      <c r="C576" s="6">
        <f>('2 transformar y limpiar'!C590-$B$6)/$C$6</f>
        <v/>
      </c>
      <c r="D576" s="6">
        <f>('2 transformar y limpiar'!D590-$B$7)/$C$7</f>
        <v/>
      </c>
      <c r="E576" s="6">
        <f>('2 transformar y limpiar'!E590-$B$8)/$C$8</f>
        <v/>
      </c>
      <c r="F576" s="6">
        <f>('2 transformar y limpiar'!F590-$B$9)/$C$9</f>
        <v/>
      </c>
      <c r="G576">
        <f>'2 transformar y limpiar'!G590</f>
        <v/>
      </c>
      <c r="H576">
        <f>'2 transformar y limpiar'!H590</f>
        <v/>
      </c>
      <c r="I576">
        <f>'2 transformar y limpiar'!I590</f>
        <v/>
      </c>
      <c r="J576">
        <f>'2 transformar y limpiar'!J590</f>
        <v/>
      </c>
      <c r="K576">
        <f>'2 transformar y limpiar'!K590</f>
        <v/>
      </c>
      <c r="L576">
        <f>'2 transformar y limpiar'!L590</f>
        <v/>
      </c>
      <c r="M576">
        <f>'2 transformar y limpiar'!M590</f>
        <v/>
      </c>
      <c r="N576">
        <f>'2 transformar y limpiar'!N590</f>
        <v/>
      </c>
      <c r="O576">
        <f>'2 transformar y limpiar'!O590</f>
        <v/>
      </c>
      <c r="P576">
        <f>'2 transformar y limpiar'!P590</f>
        <v/>
      </c>
      <c r="Q576">
        <f>'2 transformar y limpiar'!Q590</f>
        <v/>
      </c>
      <c r="R576">
        <f>'2 transformar y limpiar'!R590</f>
        <v/>
      </c>
      <c r="S576">
        <f>'2 transformar y limpiar'!S590</f>
        <v/>
      </c>
      <c r="T576">
        <f>'2 transformar y limpiar'!T590</f>
        <v/>
      </c>
      <c r="U576" s="5">
        <f>'2 transformar y limpiar'!U590</f>
        <v/>
      </c>
    </row>
    <row r="577">
      <c r="A577">
        <f>'2 transformar y limpiar'!A591</f>
        <v/>
      </c>
      <c r="B577">
        <f>'2 transformar y limpiar'!B591</f>
        <v/>
      </c>
      <c r="C577" s="6">
        <f>('2 transformar y limpiar'!C591-$B$6)/$C$6</f>
        <v/>
      </c>
      <c r="D577" s="6">
        <f>('2 transformar y limpiar'!D591-$B$7)/$C$7</f>
        <v/>
      </c>
      <c r="E577" s="6">
        <f>('2 transformar y limpiar'!E591-$B$8)/$C$8</f>
        <v/>
      </c>
      <c r="F577" s="6">
        <f>('2 transformar y limpiar'!F591-$B$9)/$C$9</f>
        <v/>
      </c>
      <c r="G577">
        <f>'2 transformar y limpiar'!G591</f>
        <v/>
      </c>
      <c r="H577">
        <f>'2 transformar y limpiar'!H591</f>
        <v/>
      </c>
      <c r="I577">
        <f>'2 transformar y limpiar'!I591</f>
        <v/>
      </c>
      <c r="J577">
        <f>'2 transformar y limpiar'!J591</f>
        <v/>
      </c>
      <c r="K577">
        <f>'2 transformar y limpiar'!K591</f>
        <v/>
      </c>
      <c r="L577">
        <f>'2 transformar y limpiar'!L591</f>
        <v/>
      </c>
      <c r="M577">
        <f>'2 transformar y limpiar'!M591</f>
        <v/>
      </c>
      <c r="N577">
        <f>'2 transformar y limpiar'!N591</f>
        <v/>
      </c>
      <c r="O577">
        <f>'2 transformar y limpiar'!O591</f>
        <v/>
      </c>
      <c r="P577">
        <f>'2 transformar y limpiar'!P591</f>
        <v/>
      </c>
      <c r="Q577">
        <f>'2 transformar y limpiar'!Q591</f>
        <v/>
      </c>
      <c r="R577">
        <f>'2 transformar y limpiar'!R591</f>
        <v/>
      </c>
      <c r="S577">
        <f>'2 transformar y limpiar'!S591</f>
        <v/>
      </c>
      <c r="T577">
        <f>'2 transformar y limpiar'!T591</f>
        <v/>
      </c>
      <c r="U577" s="5">
        <f>'2 transformar y limpiar'!U591</f>
        <v/>
      </c>
    </row>
    <row r="578">
      <c r="A578">
        <f>'2 transformar y limpiar'!A592</f>
        <v/>
      </c>
      <c r="B578">
        <f>'2 transformar y limpiar'!B592</f>
        <v/>
      </c>
      <c r="C578" s="6">
        <f>('2 transformar y limpiar'!C592-$B$6)/$C$6</f>
        <v/>
      </c>
      <c r="D578" s="6">
        <f>('2 transformar y limpiar'!D592-$B$7)/$C$7</f>
        <v/>
      </c>
      <c r="E578" s="6">
        <f>('2 transformar y limpiar'!E592-$B$8)/$C$8</f>
        <v/>
      </c>
      <c r="F578" s="6">
        <f>('2 transformar y limpiar'!F592-$B$9)/$C$9</f>
        <v/>
      </c>
      <c r="G578">
        <f>'2 transformar y limpiar'!G592</f>
        <v/>
      </c>
      <c r="H578">
        <f>'2 transformar y limpiar'!H592</f>
        <v/>
      </c>
      <c r="I578">
        <f>'2 transformar y limpiar'!I592</f>
        <v/>
      </c>
      <c r="J578">
        <f>'2 transformar y limpiar'!J592</f>
        <v/>
      </c>
      <c r="K578">
        <f>'2 transformar y limpiar'!K592</f>
        <v/>
      </c>
      <c r="L578">
        <f>'2 transformar y limpiar'!L592</f>
        <v/>
      </c>
      <c r="M578">
        <f>'2 transformar y limpiar'!M592</f>
        <v/>
      </c>
      <c r="N578">
        <f>'2 transformar y limpiar'!N592</f>
        <v/>
      </c>
      <c r="O578">
        <f>'2 transformar y limpiar'!O592</f>
        <v/>
      </c>
      <c r="P578">
        <f>'2 transformar y limpiar'!P592</f>
        <v/>
      </c>
      <c r="Q578">
        <f>'2 transformar y limpiar'!Q592</f>
        <v/>
      </c>
      <c r="R578">
        <f>'2 transformar y limpiar'!R592</f>
        <v/>
      </c>
      <c r="S578">
        <f>'2 transformar y limpiar'!S592</f>
        <v/>
      </c>
      <c r="T578">
        <f>'2 transformar y limpiar'!T592</f>
        <v/>
      </c>
      <c r="U578" s="5">
        <f>'2 transformar y limpiar'!U592</f>
        <v/>
      </c>
    </row>
    <row r="579">
      <c r="A579">
        <f>'2 transformar y limpiar'!A593</f>
        <v/>
      </c>
      <c r="B579">
        <f>'2 transformar y limpiar'!B593</f>
        <v/>
      </c>
      <c r="C579" s="6">
        <f>('2 transformar y limpiar'!C593-$B$6)/$C$6</f>
        <v/>
      </c>
      <c r="D579" s="6">
        <f>('2 transformar y limpiar'!D593-$B$7)/$C$7</f>
        <v/>
      </c>
      <c r="E579" s="6">
        <f>('2 transformar y limpiar'!E593-$B$8)/$C$8</f>
        <v/>
      </c>
      <c r="F579" s="6">
        <f>('2 transformar y limpiar'!F593-$B$9)/$C$9</f>
        <v/>
      </c>
      <c r="G579">
        <f>'2 transformar y limpiar'!G593</f>
        <v/>
      </c>
      <c r="H579">
        <f>'2 transformar y limpiar'!H593</f>
        <v/>
      </c>
      <c r="I579">
        <f>'2 transformar y limpiar'!I593</f>
        <v/>
      </c>
      <c r="J579">
        <f>'2 transformar y limpiar'!J593</f>
        <v/>
      </c>
      <c r="K579">
        <f>'2 transformar y limpiar'!K593</f>
        <v/>
      </c>
      <c r="L579">
        <f>'2 transformar y limpiar'!L593</f>
        <v/>
      </c>
      <c r="M579">
        <f>'2 transformar y limpiar'!M593</f>
        <v/>
      </c>
      <c r="N579">
        <f>'2 transformar y limpiar'!N593</f>
        <v/>
      </c>
      <c r="O579">
        <f>'2 transformar y limpiar'!O593</f>
        <v/>
      </c>
      <c r="P579">
        <f>'2 transformar y limpiar'!P593</f>
        <v/>
      </c>
      <c r="Q579">
        <f>'2 transformar y limpiar'!Q593</f>
        <v/>
      </c>
      <c r="R579">
        <f>'2 transformar y limpiar'!R593</f>
        <v/>
      </c>
      <c r="S579">
        <f>'2 transformar y limpiar'!S593</f>
        <v/>
      </c>
      <c r="T579">
        <f>'2 transformar y limpiar'!T593</f>
        <v/>
      </c>
      <c r="U579" s="5">
        <f>'2 transformar y limpiar'!U593</f>
        <v/>
      </c>
    </row>
    <row r="580">
      <c r="A580">
        <f>'2 transformar y limpiar'!A594</f>
        <v/>
      </c>
      <c r="B580">
        <f>'2 transformar y limpiar'!B594</f>
        <v/>
      </c>
      <c r="C580" s="6">
        <f>('2 transformar y limpiar'!C594-$B$6)/$C$6</f>
        <v/>
      </c>
      <c r="D580" s="6">
        <f>('2 transformar y limpiar'!D594-$B$7)/$C$7</f>
        <v/>
      </c>
      <c r="E580" s="6">
        <f>('2 transformar y limpiar'!E594-$B$8)/$C$8</f>
        <v/>
      </c>
      <c r="F580" s="6">
        <f>('2 transformar y limpiar'!F594-$B$9)/$C$9</f>
        <v/>
      </c>
      <c r="G580">
        <f>'2 transformar y limpiar'!G594</f>
        <v/>
      </c>
      <c r="H580">
        <f>'2 transformar y limpiar'!H594</f>
        <v/>
      </c>
      <c r="I580">
        <f>'2 transformar y limpiar'!I594</f>
        <v/>
      </c>
      <c r="J580">
        <f>'2 transformar y limpiar'!J594</f>
        <v/>
      </c>
      <c r="K580">
        <f>'2 transformar y limpiar'!K594</f>
        <v/>
      </c>
      <c r="L580">
        <f>'2 transformar y limpiar'!L594</f>
        <v/>
      </c>
      <c r="M580">
        <f>'2 transformar y limpiar'!M594</f>
        <v/>
      </c>
      <c r="N580">
        <f>'2 transformar y limpiar'!N594</f>
        <v/>
      </c>
      <c r="O580">
        <f>'2 transformar y limpiar'!O594</f>
        <v/>
      </c>
      <c r="P580">
        <f>'2 transformar y limpiar'!P594</f>
        <v/>
      </c>
      <c r="Q580">
        <f>'2 transformar y limpiar'!Q594</f>
        <v/>
      </c>
      <c r="R580">
        <f>'2 transformar y limpiar'!R594</f>
        <v/>
      </c>
      <c r="S580">
        <f>'2 transformar y limpiar'!S594</f>
        <v/>
      </c>
      <c r="T580">
        <f>'2 transformar y limpiar'!T594</f>
        <v/>
      </c>
      <c r="U580" s="5">
        <f>'2 transformar y limpiar'!U594</f>
        <v/>
      </c>
    </row>
    <row r="581">
      <c r="A581">
        <f>'2 transformar y limpiar'!A595</f>
        <v/>
      </c>
      <c r="B581">
        <f>'2 transformar y limpiar'!B595</f>
        <v/>
      </c>
      <c r="C581" s="6">
        <f>('2 transformar y limpiar'!C595-$B$6)/$C$6</f>
        <v/>
      </c>
      <c r="D581" s="6">
        <f>('2 transformar y limpiar'!D595-$B$7)/$C$7</f>
        <v/>
      </c>
      <c r="E581" s="6">
        <f>('2 transformar y limpiar'!E595-$B$8)/$C$8</f>
        <v/>
      </c>
      <c r="F581" s="6">
        <f>('2 transformar y limpiar'!F595-$B$9)/$C$9</f>
        <v/>
      </c>
      <c r="G581">
        <f>'2 transformar y limpiar'!G595</f>
        <v/>
      </c>
      <c r="H581">
        <f>'2 transformar y limpiar'!H595</f>
        <v/>
      </c>
      <c r="I581">
        <f>'2 transformar y limpiar'!I595</f>
        <v/>
      </c>
      <c r="J581">
        <f>'2 transformar y limpiar'!J595</f>
        <v/>
      </c>
      <c r="K581">
        <f>'2 transformar y limpiar'!K595</f>
        <v/>
      </c>
      <c r="L581">
        <f>'2 transformar y limpiar'!L595</f>
        <v/>
      </c>
      <c r="M581">
        <f>'2 transformar y limpiar'!M595</f>
        <v/>
      </c>
      <c r="N581">
        <f>'2 transformar y limpiar'!N595</f>
        <v/>
      </c>
      <c r="O581">
        <f>'2 transformar y limpiar'!O595</f>
        <v/>
      </c>
      <c r="P581">
        <f>'2 transformar y limpiar'!P595</f>
        <v/>
      </c>
      <c r="Q581">
        <f>'2 transformar y limpiar'!Q595</f>
        <v/>
      </c>
      <c r="R581">
        <f>'2 transformar y limpiar'!R595</f>
        <v/>
      </c>
      <c r="S581">
        <f>'2 transformar y limpiar'!S595</f>
        <v/>
      </c>
      <c r="T581">
        <f>'2 transformar y limpiar'!T595</f>
        <v/>
      </c>
      <c r="U581" s="5">
        <f>'2 transformar y limpiar'!U595</f>
        <v/>
      </c>
    </row>
    <row r="582">
      <c r="A582">
        <f>'2 transformar y limpiar'!A596</f>
        <v/>
      </c>
      <c r="B582">
        <f>'2 transformar y limpiar'!B596</f>
        <v/>
      </c>
      <c r="C582" s="6">
        <f>('2 transformar y limpiar'!C596-$B$6)/$C$6</f>
        <v/>
      </c>
      <c r="D582" s="6">
        <f>('2 transformar y limpiar'!D596-$B$7)/$C$7</f>
        <v/>
      </c>
      <c r="E582" s="6">
        <f>('2 transformar y limpiar'!E596-$B$8)/$C$8</f>
        <v/>
      </c>
      <c r="F582" s="6">
        <f>('2 transformar y limpiar'!F596-$B$9)/$C$9</f>
        <v/>
      </c>
      <c r="G582">
        <f>'2 transformar y limpiar'!G596</f>
        <v/>
      </c>
      <c r="H582">
        <f>'2 transformar y limpiar'!H596</f>
        <v/>
      </c>
      <c r="I582">
        <f>'2 transformar y limpiar'!I596</f>
        <v/>
      </c>
      <c r="J582">
        <f>'2 transformar y limpiar'!J596</f>
        <v/>
      </c>
      <c r="K582">
        <f>'2 transformar y limpiar'!K596</f>
        <v/>
      </c>
      <c r="L582">
        <f>'2 transformar y limpiar'!L596</f>
        <v/>
      </c>
      <c r="M582">
        <f>'2 transformar y limpiar'!M596</f>
        <v/>
      </c>
      <c r="N582">
        <f>'2 transformar y limpiar'!N596</f>
        <v/>
      </c>
      <c r="O582">
        <f>'2 transformar y limpiar'!O596</f>
        <v/>
      </c>
      <c r="P582">
        <f>'2 transformar y limpiar'!P596</f>
        <v/>
      </c>
      <c r="Q582">
        <f>'2 transformar y limpiar'!Q596</f>
        <v/>
      </c>
      <c r="R582">
        <f>'2 transformar y limpiar'!R596</f>
        <v/>
      </c>
      <c r="S582">
        <f>'2 transformar y limpiar'!S596</f>
        <v/>
      </c>
      <c r="T582">
        <f>'2 transformar y limpiar'!T596</f>
        <v/>
      </c>
      <c r="U582" s="5">
        <f>'2 transformar y limpiar'!U596</f>
        <v/>
      </c>
    </row>
    <row r="583">
      <c r="A583">
        <f>'2 transformar y limpiar'!A597</f>
        <v/>
      </c>
      <c r="B583">
        <f>'2 transformar y limpiar'!B597</f>
        <v/>
      </c>
      <c r="C583" s="6">
        <f>('2 transformar y limpiar'!C597-$B$6)/$C$6</f>
        <v/>
      </c>
      <c r="D583" s="6">
        <f>('2 transformar y limpiar'!D597-$B$7)/$C$7</f>
        <v/>
      </c>
      <c r="E583" s="6">
        <f>('2 transformar y limpiar'!E597-$B$8)/$C$8</f>
        <v/>
      </c>
      <c r="F583" s="6">
        <f>('2 transformar y limpiar'!F597-$B$9)/$C$9</f>
        <v/>
      </c>
      <c r="G583">
        <f>'2 transformar y limpiar'!G597</f>
        <v/>
      </c>
      <c r="H583">
        <f>'2 transformar y limpiar'!H597</f>
        <v/>
      </c>
      <c r="I583">
        <f>'2 transformar y limpiar'!I597</f>
        <v/>
      </c>
      <c r="J583">
        <f>'2 transformar y limpiar'!J597</f>
        <v/>
      </c>
      <c r="K583">
        <f>'2 transformar y limpiar'!K597</f>
        <v/>
      </c>
      <c r="L583">
        <f>'2 transformar y limpiar'!L597</f>
        <v/>
      </c>
      <c r="M583">
        <f>'2 transformar y limpiar'!M597</f>
        <v/>
      </c>
      <c r="N583">
        <f>'2 transformar y limpiar'!N597</f>
        <v/>
      </c>
      <c r="O583">
        <f>'2 transformar y limpiar'!O597</f>
        <v/>
      </c>
      <c r="P583">
        <f>'2 transformar y limpiar'!P597</f>
        <v/>
      </c>
      <c r="Q583">
        <f>'2 transformar y limpiar'!Q597</f>
        <v/>
      </c>
      <c r="R583">
        <f>'2 transformar y limpiar'!R597</f>
        <v/>
      </c>
      <c r="S583">
        <f>'2 transformar y limpiar'!S597</f>
        <v/>
      </c>
      <c r="T583">
        <f>'2 transformar y limpiar'!T597</f>
        <v/>
      </c>
      <c r="U583" s="5">
        <f>'2 transformar y limpiar'!U597</f>
        <v/>
      </c>
    </row>
    <row r="584">
      <c r="A584">
        <f>'2 transformar y limpiar'!A598</f>
        <v/>
      </c>
      <c r="B584">
        <f>'2 transformar y limpiar'!B598</f>
        <v/>
      </c>
      <c r="C584" s="6">
        <f>('2 transformar y limpiar'!C598-$B$6)/$C$6</f>
        <v/>
      </c>
      <c r="D584" s="6">
        <f>('2 transformar y limpiar'!D598-$B$7)/$C$7</f>
        <v/>
      </c>
      <c r="E584" s="6">
        <f>('2 transformar y limpiar'!E598-$B$8)/$C$8</f>
        <v/>
      </c>
      <c r="F584" s="6">
        <f>('2 transformar y limpiar'!F598-$B$9)/$C$9</f>
        <v/>
      </c>
      <c r="G584">
        <f>'2 transformar y limpiar'!G598</f>
        <v/>
      </c>
      <c r="H584">
        <f>'2 transformar y limpiar'!H598</f>
        <v/>
      </c>
      <c r="I584">
        <f>'2 transformar y limpiar'!I598</f>
        <v/>
      </c>
      <c r="J584">
        <f>'2 transformar y limpiar'!J598</f>
        <v/>
      </c>
      <c r="K584">
        <f>'2 transformar y limpiar'!K598</f>
        <v/>
      </c>
      <c r="L584">
        <f>'2 transformar y limpiar'!L598</f>
        <v/>
      </c>
      <c r="M584">
        <f>'2 transformar y limpiar'!M598</f>
        <v/>
      </c>
      <c r="N584">
        <f>'2 transformar y limpiar'!N598</f>
        <v/>
      </c>
      <c r="O584">
        <f>'2 transformar y limpiar'!O598</f>
        <v/>
      </c>
      <c r="P584">
        <f>'2 transformar y limpiar'!P598</f>
        <v/>
      </c>
      <c r="Q584">
        <f>'2 transformar y limpiar'!Q598</f>
        <v/>
      </c>
      <c r="R584">
        <f>'2 transformar y limpiar'!R598</f>
        <v/>
      </c>
      <c r="S584">
        <f>'2 transformar y limpiar'!S598</f>
        <v/>
      </c>
      <c r="T584">
        <f>'2 transformar y limpiar'!T598</f>
        <v/>
      </c>
      <c r="U584" s="5">
        <f>'2 transformar y limpiar'!U598</f>
        <v/>
      </c>
    </row>
    <row r="585">
      <c r="A585">
        <f>'2 transformar y limpiar'!A599</f>
        <v/>
      </c>
      <c r="B585">
        <f>'2 transformar y limpiar'!B599</f>
        <v/>
      </c>
      <c r="C585" s="6">
        <f>('2 transformar y limpiar'!C599-$B$6)/$C$6</f>
        <v/>
      </c>
      <c r="D585" s="6">
        <f>('2 transformar y limpiar'!D599-$B$7)/$C$7</f>
        <v/>
      </c>
      <c r="E585" s="6">
        <f>('2 transformar y limpiar'!E599-$B$8)/$C$8</f>
        <v/>
      </c>
      <c r="F585" s="6">
        <f>('2 transformar y limpiar'!F599-$B$9)/$C$9</f>
        <v/>
      </c>
      <c r="G585">
        <f>'2 transformar y limpiar'!G599</f>
        <v/>
      </c>
      <c r="H585">
        <f>'2 transformar y limpiar'!H599</f>
        <v/>
      </c>
      <c r="I585">
        <f>'2 transformar y limpiar'!I599</f>
        <v/>
      </c>
      <c r="J585">
        <f>'2 transformar y limpiar'!J599</f>
        <v/>
      </c>
      <c r="K585">
        <f>'2 transformar y limpiar'!K599</f>
        <v/>
      </c>
      <c r="L585">
        <f>'2 transformar y limpiar'!L599</f>
        <v/>
      </c>
      <c r="M585">
        <f>'2 transformar y limpiar'!M599</f>
        <v/>
      </c>
      <c r="N585">
        <f>'2 transformar y limpiar'!N599</f>
        <v/>
      </c>
      <c r="O585">
        <f>'2 transformar y limpiar'!O599</f>
        <v/>
      </c>
      <c r="P585">
        <f>'2 transformar y limpiar'!P599</f>
        <v/>
      </c>
      <c r="Q585">
        <f>'2 transformar y limpiar'!Q599</f>
        <v/>
      </c>
      <c r="R585">
        <f>'2 transformar y limpiar'!R599</f>
        <v/>
      </c>
      <c r="S585">
        <f>'2 transformar y limpiar'!S599</f>
        <v/>
      </c>
      <c r="T585">
        <f>'2 transformar y limpiar'!T599</f>
        <v/>
      </c>
      <c r="U585" s="5">
        <f>'2 transformar y limpiar'!U599</f>
        <v/>
      </c>
    </row>
    <row r="586">
      <c r="A586">
        <f>'2 transformar y limpiar'!A600</f>
        <v/>
      </c>
      <c r="B586">
        <f>'2 transformar y limpiar'!B600</f>
        <v/>
      </c>
      <c r="C586" s="6">
        <f>('2 transformar y limpiar'!C600-$B$6)/$C$6</f>
        <v/>
      </c>
      <c r="D586" s="6">
        <f>('2 transformar y limpiar'!D600-$B$7)/$C$7</f>
        <v/>
      </c>
      <c r="E586" s="6">
        <f>('2 transformar y limpiar'!E600-$B$8)/$C$8</f>
        <v/>
      </c>
      <c r="F586" s="6">
        <f>('2 transformar y limpiar'!F600-$B$9)/$C$9</f>
        <v/>
      </c>
      <c r="G586">
        <f>'2 transformar y limpiar'!G600</f>
        <v/>
      </c>
      <c r="H586">
        <f>'2 transformar y limpiar'!H600</f>
        <v/>
      </c>
      <c r="I586">
        <f>'2 transformar y limpiar'!I600</f>
        <v/>
      </c>
      <c r="J586">
        <f>'2 transformar y limpiar'!J600</f>
        <v/>
      </c>
      <c r="K586">
        <f>'2 transformar y limpiar'!K600</f>
        <v/>
      </c>
      <c r="L586">
        <f>'2 transformar y limpiar'!L600</f>
        <v/>
      </c>
      <c r="M586">
        <f>'2 transformar y limpiar'!M600</f>
        <v/>
      </c>
      <c r="N586">
        <f>'2 transformar y limpiar'!N600</f>
        <v/>
      </c>
      <c r="O586">
        <f>'2 transformar y limpiar'!O600</f>
        <v/>
      </c>
      <c r="P586">
        <f>'2 transformar y limpiar'!P600</f>
        <v/>
      </c>
      <c r="Q586">
        <f>'2 transformar y limpiar'!Q600</f>
        <v/>
      </c>
      <c r="R586">
        <f>'2 transformar y limpiar'!R600</f>
        <v/>
      </c>
      <c r="S586">
        <f>'2 transformar y limpiar'!S600</f>
        <v/>
      </c>
      <c r="T586">
        <f>'2 transformar y limpiar'!T600</f>
        <v/>
      </c>
      <c r="U586" s="5">
        <f>'2 transformar y limpiar'!U600</f>
        <v/>
      </c>
    </row>
    <row r="587">
      <c r="A587">
        <f>'2 transformar y limpiar'!A601</f>
        <v/>
      </c>
      <c r="B587">
        <f>'2 transformar y limpiar'!B601</f>
        <v/>
      </c>
      <c r="C587" s="6">
        <f>('2 transformar y limpiar'!C601-$B$6)/$C$6</f>
        <v/>
      </c>
      <c r="D587" s="6">
        <f>('2 transformar y limpiar'!D601-$B$7)/$C$7</f>
        <v/>
      </c>
      <c r="E587" s="6">
        <f>('2 transformar y limpiar'!E601-$B$8)/$C$8</f>
        <v/>
      </c>
      <c r="F587" s="6">
        <f>('2 transformar y limpiar'!F601-$B$9)/$C$9</f>
        <v/>
      </c>
      <c r="G587">
        <f>'2 transformar y limpiar'!G601</f>
        <v/>
      </c>
      <c r="H587">
        <f>'2 transformar y limpiar'!H601</f>
        <v/>
      </c>
      <c r="I587">
        <f>'2 transformar y limpiar'!I601</f>
        <v/>
      </c>
      <c r="J587">
        <f>'2 transformar y limpiar'!J601</f>
        <v/>
      </c>
      <c r="K587">
        <f>'2 transformar y limpiar'!K601</f>
        <v/>
      </c>
      <c r="L587">
        <f>'2 transformar y limpiar'!L601</f>
        <v/>
      </c>
      <c r="M587">
        <f>'2 transformar y limpiar'!M601</f>
        <v/>
      </c>
      <c r="N587">
        <f>'2 transformar y limpiar'!N601</f>
        <v/>
      </c>
      <c r="O587">
        <f>'2 transformar y limpiar'!O601</f>
        <v/>
      </c>
      <c r="P587">
        <f>'2 transformar y limpiar'!P601</f>
        <v/>
      </c>
      <c r="Q587">
        <f>'2 transformar y limpiar'!Q601</f>
        <v/>
      </c>
      <c r="R587">
        <f>'2 transformar y limpiar'!R601</f>
        <v/>
      </c>
      <c r="S587">
        <f>'2 transformar y limpiar'!S601</f>
        <v/>
      </c>
      <c r="T587">
        <f>'2 transformar y limpiar'!T601</f>
        <v/>
      </c>
      <c r="U587" s="5">
        <f>'2 transformar y limpiar'!U601</f>
        <v/>
      </c>
    </row>
    <row r="588">
      <c r="A588">
        <f>'2 transformar y limpiar'!A602</f>
        <v/>
      </c>
      <c r="B588">
        <f>'2 transformar y limpiar'!B602</f>
        <v/>
      </c>
      <c r="C588" s="6">
        <f>('2 transformar y limpiar'!C602-$B$6)/$C$6</f>
        <v/>
      </c>
      <c r="D588" s="6">
        <f>('2 transformar y limpiar'!D602-$B$7)/$C$7</f>
        <v/>
      </c>
      <c r="E588" s="6">
        <f>('2 transformar y limpiar'!E602-$B$8)/$C$8</f>
        <v/>
      </c>
      <c r="F588" s="6">
        <f>('2 transformar y limpiar'!F602-$B$9)/$C$9</f>
        <v/>
      </c>
      <c r="G588">
        <f>'2 transformar y limpiar'!G602</f>
        <v/>
      </c>
      <c r="H588">
        <f>'2 transformar y limpiar'!H602</f>
        <v/>
      </c>
      <c r="I588">
        <f>'2 transformar y limpiar'!I602</f>
        <v/>
      </c>
      <c r="J588">
        <f>'2 transformar y limpiar'!J602</f>
        <v/>
      </c>
      <c r="K588">
        <f>'2 transformar y limpiar'!K602</f>
        <v/>
      </c>
      <c r="L588">
        <f>'2 transformar y limpiar'!L602</f>
        <v/>
      </c>
      <c r="M588">
        <f>'2 transformar y limpiar'!M602</f>
        <v/>
      </c>
      <c r="N588">
        <f>'2 transformar y limpiar'!N602</f>
        <v/>
      </c>
      <c r="O588">
        <f>'2 transformar y limpiar'!O602</f>
        <v/>
      </c>
      <c r="P588">
        <f>'2 transformar y limpiar'!P602</f>
        <v/>
      </c>
      <c r="Q588">
        <f>'2 transformar y limpiar'!Q602</f>
        <v/>
      </c>
      <c r="R588">
        <f>'2 transformar y limpiar'!R602</f>
        <v/>
      </c>
      <c r="S588">
        <f>'2 transformar y limpiar'!S602</f>
        <v/>
      </c>
      <c r="T588">
        <f>'2 transformar y limpiar'!T602</f>
        <v/>
      </c>
      <c r="U588" s="5">
        <f>'2 transformar y limpiar'!U602</f>
        <v/>
      </c>
    </row>
    <row r="589">
      <c r="A589">
        <f>'2 transformar y limpiar'!A603</f>
        <v/>
      </c>
      <c r="B589">
        <f>'2 transformar y limpiar'!B603</f>
        <v/>
      </c>
      <c r="C589" s="6">
        <f>('2 transformar y limpiar'!C603-$B$6)/$C$6</f>
        <v/>
      </c>
      <c r="D589" s="6">
        <f>('2 transformar y limpiar'!D603-$B$7)/$C$7</f>
        <v/>
      </c>
      <c r="E589" s="6">
        <f>('2 transformar y limpiar'!E603-$B$8)/$C$8</f>
        <v/>
      </c>
      <c r="F589" s="6">
        <f>('2 transformar y limpiar'!F603-$B$9)/$C$9</f>
        <v/>
      </c>
      <c r="G589">
        <f>'2 transformar y limpiar'!G603</f>
        <v/>
      </c>
      <c r="H589">
        <f>'2 transformar y limpiar'!H603</f>
        <v/>
      </c>
      <c r="I589">
        <f>'2 transformar y limpiar'!I603</f>
        <v/>
      </c>
      <c r="J589">
        <f>'2 transformar y limpiar'!J603</f>
        <v/>
      </c>
      <c r="K589">
        <f>'2 transformar y limpiar'!K603</f>
        <v/>
      </c>
      <c r="L589">
        <f>'2 transformar y limpiar'!L603</f>
        <v/>
      </c>
      <c r="M589">
        <f>'2 transformar y limpiar'!M603</f>
        <v/>
      </c>
      <c r="N589">
        <f>'2 transformar y limpiar'!N603</f>
        <v/>
      </c>
      <c r="O589">
        <f>'2 transformar y limpiar'!O603</f>
        <v/>
      </c>
      <c r="P589">
        <f>'2 transformar y limpiar'!P603</f>
        <v/>
      </c>
      <c r="Q589">
        <f>'2 transformar y limpiar'!Q603</f>
        <v/>
      </c>
      <c r="R589">
        <f>'2 transformar y limpiar'!R603</f>
        <v/>
      </c>
      <c r="S589">
        <f>'2 transformar y limpiar'!S603</f>
        <v/>
      </c>
      <c r="T589">
        <f>'2 transformar y limpiar'!T603</f>
        <v/>
      </c>
      <c r="U589" s="5">
        <f>'2 transformar y limpiar'!U603</f>
        <v/>
      </c>
    </row>
    <row r="590">
      <c r="A590">
        <f>'2 transformar y limpiar'!A604</f>
        <v/>
      </c>
      <c r="B590">
        <f>'2 transformar y limpiar'!B604</f>
        <v/>
      </c>
      <c r="C590" s="6">
        <f>('2 transformar y limpiar'!C604-$B$6)/$C$6</f>
        <v/>
      </c>
      <c r="D590" s="6">
        <f>('2 transformar y limpiar'!D604-$B$7)/$C$7</f>
        <v/>
      </c>
      <c r="E590" s="6">
        <f>('2 transformar y limpiar'!E604-$B$8)/$C$8</f>
        <v/>
      </c>
      <c r="F590" s="6">
        <f>('2 transformar y limpiar'!F604-$B$9)/$C$9</f>
        <v/>
      </c>
      <c r="G590">
        <f>'2 transformar y limpiar'!G604</f>
        <v/>
      </c>
      <c r="H590">
        <f>'2 transformar y limpiar'!H604</f>
        <v/>
      </c>
      <c r="I590">
        <f>'2 transformar y limpiar'!I604</f>
        <v/>
      </c>
      <c r="J590">
        <f>'2 transformar y limpiar'!J604</f>
        <v/>
      </c>
      <c r="K590">
        <f>'2 transformar y limpiar'!K604</f>
        <v/>
      </c>
      <c r="L590">
        <f>'2 transformar y limpiar'!L604</f>
        <v/>
      </c>
      <c r="M590">
        <f>'2 transformar y limpiar'!M604</f>
        <v/>
      </c>
      <c r="N590">
        <f>'2 transformar y limpiar'!N604</f>
        <v/>
      </c>
      <c r="O590">
        <f>'2 transformar y limpiar'!O604</f>
        <v/>
      </c>
      <c r="P590">
        <f>'2 transformar y limpiar'!P604</f>
        <v/>
      </c>
      <c r="Q590">
        <f>'2 transformar y limpiar'!Q604</f>
        <v/>
      </c>
      <c r="R590">
        <f>'2 transformar y limpiar'!R604</f>
        <v/>
      </c>
      <c r="S590">
        <f>'2 transformar y limpiar'!S604</f>
        <v/>
      </c>
      <c r="T590">
        <f>'2 transformar y limpiar'!T604</f>
        <v/>
      </c>
      <c r="U590" s="5">
        <f>'2 transformar y limpiar'!U604</f>
        <v/>
      </c>
    </row>
    <row r="591">
      <c r="A591">
        <f>'2 transformar y limpiar'!A605</f>
        <v/>
      </c>
      <c r="B591">
        <f>'2 transformar y limpiar'!B605</f>
        <v/>
      </c>
      <c r="C591" s="6">
        <f>('2 transformar y limpiar'!C605-$B$6)/$C$6</f>
        <v/>
      </c>
      <c r="D591" s="6">
        <f>('2 transformar y limpiar'!D605-$B$7)/$C$7</f>
        <v/>
      </c>
      <c r="E591" s="6">
        <f>('2 transformar y limpiar'!E605-$B$8)/$C$8</f>
        <v/>
      </c>
      <c r="F591" s="6">
        <f>('2 transformar y limpiar'!F605-$B$9)/$C$9</f>
        <v/>
      </c>
      <c r="G591">
        <f>'2 transformar y limpiar'!G605</f>
        <v/>
      </c>
      <c r="H591">
        <f>'2 transformar y limpiar'!H605</f>
        <v/>
      </c>
      <c r="I591">
        <f>'2 transformar y limpiar'!I605</f>
        <v/>
      </c>
      <c r="J591">
        <f>'2 transformar y limpiar'!J605</f>
        <v/>
      </c>
      <c r="K591">
        <f>'2 transformar y limpiar'!K605</f>
        <v/>
      </c>
      <c r="L591">
        <f>'2 transformar y limpiar'!L605</f>
        <v/>
      </c>
      <c r="M591">
        <f>'2 transformar y limpiar'!M605</f>
        <v/>
      </c>
      <c r="N591">
        <f>'2 transformar y limpiar'!N605</f>
        <v/>
      </c>
      <c r="O591">
        <f>'2 transformar y limpiar'!O605</f>
        <v/>
      </c>
      <c r="P591">
        <f>'2 transformar y limpiar'!P605</f>
        <v/>
      </c>
      <c r="Q591">
        <f>'2 transformar y limpiar'!Q605</f>
        <v/>
      </c>
      <c r="R591">
        <f>'2 transformar y limpiar'!R605</f>
        <v/>
      </c>
      <c r="S591">
        <f>'2 transformar y limpiar'!S605</f>
        <v/>
      </c>
      <c r="T591">
        <f>'2 transformar y limpiar'!T605</f>
        <v/>
      </c>
      <c r="U591" s="5">
        <f>'2 transformar y limpiar'!U605</f>
        <v/>
      </c>
    </row>
    <row r="592">
      <c r="A592">
        <f>'2 transformar y limpiar'!A606</f>
        <v/>
      </c>
      <c r="B592">
        <f>'2 transformar y limpiar'!B606</f>
        <v/>
      </c>
      <c r="C592" s="6">
        <f>('2 transformar y limpiar'!C606-$B$6)/$C$6</f>
        <v/>
      </c>
      <c r="D592" s="6">
        <f>('2 transformar y limpiar'!D606-$B$7)/$C$7</f>
        <v/>
      </c>
      <c r="E592" s="6">
        <f>('2 transformar y limpiar'!E606-$B$8)/$C$8</f>
        <v/>
      </c>
      <c r="F592" s="6">
        <f>('2 transformar y limpiar'!F606-$B$9)/$C$9</f>
        <v/>
      </c>
      <c r="G592">
        <f>'2 transformar y limpiar'!G606</f>
        <v/>
      </c>
      <c r="H592">
        <f>'2 transformar y limpiar'!H606</f>
        <v/>
      </c>
      <c r="I592">
        <f>'2 transformar y limpiar'!I606</f>
        <v/>
      </c>
      <c r="J592">
        <f>'2 transformar y limpiar'!J606</f>
        <v/>
      </c>
      <c r="K592">
        <f>'2 transformar y limpiar'!K606</f>
        <v/>
      </c>
      <c r="L592">
        <f>'2 transformar y limpiar'!L606</f>
        <v/>
      </c>
      <c r="M592">
        <f>'2 transformar y limpiar'!M606</f>
        <v/>
      </c>
      <c r="N592">
        <f>'2 transformar y limpiar'!N606</f>
        <v/>
      </c>
      <c r="O592">
        <f>'2 transformar y limpiar'!O606</f>
        <v/>
      </c>
      <c r="P592">
        <f>'2 transformar y limpiar'!P606</f>
        <v/>
      </c>
      <c r="Q592">
        <f>'2 transformar y limpiar'!Q606</f>
        <v/>
      </c>
      <c r="R592">
        <f>'2 transformar y limpiar'!R606</f>
        <v/>
      </c>
      <c r="S592">
        <f>'2 transformar y limpiar'!S606</f>
        <v/>
      </c>
      <c r="T592">
        <f>'2 transformar y limpiar'!T606</f>
        <v/>
      </c>
      <c r="U592" s="5">
        <f>'2 transformar y limpiar'!U606</f>
        <v/>
      </c>
    </row>
    <row r="593">
      <c r="A593">
        <f>'2 transformar y limpiar'!A607</f>
        <v/>
      </c>
      <c r="B593">
        <f>'2 transformar y limpiar'!B607</f>
        <v/>
      </c>
      <c r="C593" s="6">
        <f>('2 transformar y limpiar'!C607-$B$6)/$C$6</f>
        <v/>
      </c>
      <c r="D593" s="6">
        <f>('2 transformar y limpiar'!D607-$B$7)/$C$7</f>
        <v/>
      </c>
      <c r="E593" s="6">
        <f>('2 transformar y limpiar'!E607-$B$8)/$C$8</f>
        <v/>
      </c>
      <c r="F593" s="6">
        <f>('2 transformar y limpiar'!F607-$B$9)/$C$9</f>
        <v/>
      </c>
      <c r="G593">
        <f>'2 transformar y limpiar'!G607</f>
        <v/>
      </c>
      <c r="H593">
        <f>'2 transformar y limpiar'!H607</f>
        <v/>
      </c>
      <c r="I593">
        <f>'2 transformar y limpiar'!I607</f>
        <v/>
      </c>
      <c r="J593">
        <f>'2 transformar y limpiar'!J607</f>
        <v/>
      </c>
      <c r="K593">
        <f>'2 transformar y limpiar'!K607</f>
        <v/>
      </c>
      <c r="L593">
        <f>'2 transformar y limpiar'!L607</f>
        <v/>
      </c>
      <c r="M593">
        <f>'2 transformar y limpiar'!M607</f>
        <v/>
      </c>
      <c r="N593">
        <f>'2 transformar y limpiar'!N607</f>
        <v/>
      </c>
      <c r="O593">
        <f>'2 transformar y limpiar'!O607</f>
        <v/>
      </c>
      <c r="P593">
        <f>'2 transformar y limpiar'!P607</f>
        <v/>
      </c>
      <c r="Q593">
        <f>'2 transformar y limpiar'!Q607</f>
        <v/>
      </c>
      <c r="R593">
        <f>'2 transformar y limpiar'!R607</f>
        <v/>
      </c>
      <c r="S593">
        <f>'2 transformar y limpiar'!S607</f>
        <v/>
      </c>
      <c r="T593">
        <f>'2 transformar y limpiar'!T607</f>
        <v/>
      </c>
      <c r="U593" s="5">
        <f>'2 transformar y limpiar'!U607</f>
        <v/>
      </c>
    </row>
    <row r="594">
      <c r="A594">
        <f>'2 transformar y limpiar'!A608</f>
        <v/>
      </c>
      <c r="B594">
        <f>'2 transformar y limpiar'!B608</f>
        <v/>
      </c>
      <c r="C594" s="6">
        <f>('2 transformar y limpiar'!C608-$B$6)/$C$6</f>
        <v/>
      </c>
      <c r="D594" s="6">
        <f>('2 transformar y limpiar'!D608-$B$7)/$C$7</f>
        <v/>
      </c>
      <c r="E594" s="6">
        <f>('2 transformar y limpiar'!E608-$B$8)/$C$8</f>
        <v/>
      </c>
      <c r="F594" s="6">
        <f>('2 transformar y limpiar'!F608-$B$9)/$C$9</f>
        <v/>
      </c>
      <c r="G594">
        <f>'2 transformar y limpiar'!G608</f>
        <v/>
      </c>
      <c r="H594">
        <f>'2 transformar y limpiar'!H608</f>
        <v/>
      </c>
      <c r="I594">
        <f>'2 transformar y limpiar'!I608</f>
        <v/>
      </c>
      <c r="J594">
        <f>'2 transformar y limpiar'!J608</f>
        <v/>
      </c>
      <c r="K594">
        <f>'2 transformar y limpiar'!K608</f>
        <v/>
      </c>
      <c r="L594">
        <f>'2 transformar y limpiar'!L608</f>
        <v/>
      </c>
      <c r="M594">
        <f>'2 transformar y limpiar'!M608</f>
        <v/>
      </c>
      <c r="N594">
        <f>'2 transformar y limpiar'!N608</f>
        <v/>
      </c>
      <c r="O594">
        <f>'2 transformar y limpiar'!O608</f>
        <v/>
      </c>
      <c r="P594">
        <f>'2 transformar y limpiar'!P608</f>
        <v/>
      </c>
      <c r="Q594">
        <f>'2 transformar y limpiar'!Q608</f>
        <v/>
      </c>
      <c r="R594">
        <f>'2 transformar y limpiar'!R608</f>
        <v/>
      </c>
      <c r="S594">
        <f>'2 transformar y limpiar'!S608</f>
        <v/>
      </c>
      <c r="T594">
        <f>'2 transformar y limpiar'!T608</f>
        <v/>
      </c>
      <c r="U594" s="5">
        <f>'2 transformar y limpiar'!U608</f>
        <v/>
      </c>
    </row>
    <row r="595">
      <c r="A595">
        <f>'2 transformar y limpiar'!A609</f>
        <v/>
      </c>
      <c r="B595">
        <f>'2 transformar y limpiar'!B609</f>
        <v/>
      </c>
      <c r="C595" s="6">
        <f>('2 transformar y limpiar'!C609-$B$6)/$C$6</f>
        <v/>
      </c>
      <c r="D595" s="6">
        <f>('2 transformar y limpiar'!D609-$B$7)/$C$7</f>
        <v/>
      </c>
      <c r="E595" s="6">
        <f>('2 transformar y limpiar'!E609-$B$8)/$C$8</f>
        <v/>
      </c>
      <c r="F595" s="6">
        <f>('2 transformar y limpiar'!F609-$B$9)/$C$9</f>
        <v/>
      </c>
      <c r="G595">
        <f>'2 transformar y limpiar'!G609</f>
        <v/>
      </c>
      <c r="H595">
        <f>'2 transformar y limpiar'!H609</f>
        <v/>
      </c>
      <c r="I595">
        <f>'2 transformar y limpiar'!I609</f>
        <v/>
      </c>
      <c r="J595">
        <f>'2 transformar y limpiar'!J609</f>
        <v/>
      </c>
      <c r="K595">
        <f>'2 transformar y limpiar'!K609</f>
        <v/>
      </c>
      <c r="L595">
        <f>'2 transformar y limpiar'!L609</f>
        <v/>
      </c>
      <c r="M595">
        <f>'2 transformar y limpiar'!M609</f>
        <v/>
      </c>
      <c r="N595">
        <f>'2 transformar y limpiar'!N609</f>
        <v/>
      </c>
      <c r="O595">
        <f>'2 transformar y limpiar'!O609</f>
        <v/>
      </c>
      <c r="P595">
        <f>'2 transformar y limpiar'!P609</f>
        <v/>
      </c>
      <c r="Q595">
        <f>'2 transformar y limpiar'!Q609</f>
        <v/>
      </c>
      <c r="R595">
        <f>'2 transformar y limpiar'!R609</f>
        <v/>
      </c>
      <c r="S595">
        <f>'2 transformar y limpiar'!S609</f>
        <v/>
      </c>
      <c r="T595">
        <f>'2 transformar y limpiar'!T609</f>
        <v/>
      </c>
      <c r="U595" s="5">
        <f>'2 transformar y limpiar'!U609</f>
        <v/>
      </c>
    </row>
    <row r="596">
      <c r="A596">
        <f>'2 transformar y limpiar'!A610</f>
        <v/>
      </c>
      <c r="B596">
        <f>'2 transformar y limpiar'!B610</f>
        <v/>
      </c>
      <c r="C596" s="6">
        <f>('2 transformar y limpiar'!C610-$B$6)/$C$6</f>
        <v/>
      </c>
      <c r="D596" s="6">
        <f>('2 transformar y limpiar'!D610-$B$7)/$C$7</f>
        <v/>
      </c>
      <c r="E596" s="6">
        <f>('2 transformar y limpiar'!E610-$B$8)/$C$8</f>
        <v/>
      </c>
      <c r="F596" s="6">
        <f>('2 transformar y limpiar'!F610-$B$9)/$C$9</f>
        <v/>
      </c>
      <c r="G596">
        <f>'2 transformar y limpiar'!G610</f>
        <v/>
      </c>
      <c r="H596">
        <f>'2 transformar y limpiar'!H610</f>
        <v/>
      </c>
      <c r="I596">
        <f>'2 transformar y limpiar'!I610</f>
        <v/>
      </c>
      <c r="J596">
        <f>'2 transformar y limpiar'!J610</f>
        <v/>
      </c>
      <c r="K596">
        <f>'2 transformar y limpiar'!K610</f>
        <v/>
      </c>
      <c r="L596">
        <f>'2 transformar y limpiar'!L610</f>
        <v/>
      </c>
      <c r="M596">
        <f>'2 transformar y limpiar'!M610</f>
        <v/>
      </c>
      <c r="N596">
        <f>'2 transformar y limpiar'!N610</f>
        <v/>
      </c>
      <c r="O596">
        <f>'2 transformar y limpiar'!O610</f>
        <v/>
      </c>
      <c r="P596">
        <f>'2 transformar y limpiar'!P610</f>
        <v/>
      </c>
      <c r="Q596">
        <f>'2 transformar y limpiar'!Q610</f>
        <v/>
      </c>
      <c r="R596">
        <f>'2 transformar y limpiar'!R610</f>
        <v/>
      </c>
      <c r="S596">
        <f>'2 transformar y limpiar'!S610</f>
        <v/>
      </c>
      <c r="T596">
        <f>'2 transformar y limpiar'!T610</f>
        <v/>
      </c>
      <c r="U596" s="5">
        <f>'2 transformar y limpiar'!U610</f>
        <v/>
      </c>
    </row>
    <row r="597">
      <c r="A597">
        <f>'2 transformar y limpiar'!A611</f>
        <v/>
      </c>
      <c r="B597">
        <f>'2 transformar y limpiar'!B611</f>
        <v/>
      </c>
      <c r="C597" s="6">
        <f>('2 transformar y limpiar'!C611-$B$6)/$C$6</f>
        <v/>
      </c>
      <c r="D597" s="6">
        <f>('2 transformar y limpiar'!D611-$B$7)/$C$7</f>
        <v/>
      </c>
      <c r="E597" s="6">
        <f>('2 transformar y limpiar'!E611-$B$8)/$C$8</f>
        <v/>
      </c>
      <c r="F597" s="6">
        <f>('2 transformar y limpiar'!F611-$B$9)/$C$9</f>
        <v/>
      </c>
      <c r="G597">
        <f>'2 transformar y limpiar'!G611</f>
        <v/>
      </c>
      <c r="H597">
        <f>'2 transformar y limpiar'!H611</f>
        <v/>
      </c>
      <c r="I597">
        <f>'2 transformar y limpiar'!I611</f>
        <v/>
      </c>
      <c r="J597">
        <f>'2 transformar y limpiar'!J611</f>
        <v/>
      </c>
      <c r="K597">
        <f>'2 transformar y limpiar'!K611</f>
        <v/>
      </c>
      <c r="L597">
        <f>'2 transformar y limpiar'!L611</f>
        <v/>
      </c>
      <c r="M597">
        <f>'2 transformar y limpiar'!M611</f>
        <v/>
      </c>
      <c r="N597">
        <f>'2 transformar y limpiar'!N611</f>
        <v/>
      </c>
      <c r="O597">
        <f>'2 transformar y limpiar'!O611</f>
        <v/>
      </c>
      <c r="P597">
        <f>'2 transformar y limpiar'!P611</f>
        <v/>
      </c>
      <c r="Q597">
        <f>'2 transformar y limpiar'!Q611</f>
        <v/>
      </c>
      <c r="R597">
        <f>'2 transformar y limpiar'!R611</f>
        <v/>
      </c>
      <c r="S597">
        <f>'2 transformar y limpiar'!S611</f>
        <v/>
      </c>
      <c r="T597">
        <f>'2 transformar y limpiar'!T611</f>
        <v/>
      </c>
      <c r="U597" s="5">
        <f>'2 transformar y limpiar'!U611</f>
        <v/>
      </c>
    </row>
    <row r="598">
      <c r="A598">
        <f>'2 transformar y limpiar'!A612</f>
        <v/>
      </c>
      <c r="B598">
        <f>'2 transformar y limpiar'!B612</f>
        <v/>
      </c>
      <c r="C598" s="6">
        <f>('2 transformar y limpiar'!C612-$B$6)/$C$6</f>
        <v/>
      </c>
      <c r="D598" s="6">
        <f>('2 transformar y limpiar'!D612-$B$7)/$C$7</f>
        <v/>
      </c>
      <c r="E598" s="6">
        <f>('2 transformar y limpiar'!E612-$B$8)/$C$8</f>
        <v/>
      </c>
      <c r="F598" s="6">
        <f>('2 transformar y limpiar'!F612-$B$9)/$C$9</f>
        <v/>
      </c>
      <c r="G598">
        <f>'2 transformar y limpiar'!G612</f>
        <v/>
      </c>
      <c r="H598">
        <f>'2 transformar y limpiar'!H612</f>
        <v/>
      </c>
      <c r="I598">
        <f>'2 transformar y limpiar'!I612</f>
        <v/>
      </c>
      <c r="J598">
        <f>'2 transformar y limpiar'!J612</f>
        <v/>
      </c>
      <c r="K598">
        <f>'2 transformar y limpiar'!K612</f>
        <v/>
      </c>
      <c r="L598">
        <f>'2 transformar y limpiar'!L612</f>
        <v/>
      </c>
      <c r="M598">
        <f>'2 transformar y limpiar'!M612</f>
        <v/>
      </c>
      <c r="N598">
        <f>'2 transformar y limpiar'!N612</f>
        <v/>
      </c>
      <c r="O598">
        <f>'2 transformar y limpiar'!O612</f>
        <v/>
      </c>
      <c r="P598">
        <f>'2 transformar y limpiar'!P612</f>
        <v/>
      </c>
      <c r="Q598">
        <f>'2 transformar y limpiar'!Q612</f>
        <v/>
      </c>
      <c r="R598">
        <f>'2 transformar y limpiar'!R612</f>
        <v/>
      </c>
      <c r="S598">
        <f>'2 transformar y limpiar'!S612</f>
        <v/>
      </c>
      <c r="T598">
        <f>'2 transformar y limpiar'!T612</f>
        <v/>
      </c>
      <c r="U598" s="5">
        <f>'2 transformar y limpiar'!U612</f>
        <v/>
      </c>
    </row>
    <row r="599">
      <c r="A599">
        <f>'2 transformar y limpiar'!A613</f>
        <v/>
      </c>
      <c r="B599">
        <f>'2 transformar y limpiar'!B613</f>
        <v/>
      </c>
      <c r="C599" s="6">
        <f>('2 transformar y limpiar'!C613-$B$6)/$C$6</f>
        <v/>
      </c>
      <c r="D599" s="6">
        <f>('2 transformar y limpiar'!D613-$B$7)/$C$7</f>
        <v/>
      </c>
      <c r="E599" s="6">
        <f>('2 transformar y limpiar'!E613-$B$8)/$C$8</f>
        <v/>
      </c>
      <c r="F599" s="6">
        <f>('2 transformar y limpiar'!F613-$B$9)/$C$9</f>
        <v/>
      </c>
      <c r="G599">
        <f>'2 transformar y limpiar'!G613</f>
        <v/>
      </c>
      <c r="H599">
        <f>'2 transformar y limpiar'!H613</f>
        <v/>
      </c>
      <c r="I599">
        <f>'2 transformar y limpiar'!I613</f>
        <v/>
      </c>
      <c r="J599">
        <f>'2 transformar y limpiar'!J613</f>
        <v/>
      </c>
      <c r="K599">
        <f>'2 transformar y limpiar'!K613</f>
        <v/>
      </c>
      <c r="L599">
        <f>'2 transformar y limpiar'!L613</f>
        <v/>
      </c>
      <c r="M599">
        <f>'2 transformar y limpiar'!M613</f>
        <v/>
      </c>
      <c r="N599">
        <f>'2 transformar y limpiar'!N613</f>
        <v/>
      </c>
      <c r="O599">
        <f>'2 transformar y limpiar'!O613</f>
        <v/>
      </c>
      <c r="P599">
        <f>'2 transformar y limpiar'!P613</f>
        <v/>
      </c>
      <c r="Q599">
        <f>'2 transformar y limpiar'!Q613</f>
        <v/>
      </c>
      <c r="R599">
        <f>'2 transformar y limpiar'!R613</f>
        <v/>
      </c>
      <c r="S599">
        <f>'2 transformar y limpiar'!S613</f>
        <v/>
      </c>
      <c r="T599">
        <f>'2 transformar y limpiar'!T613</f>
        <v/>
      </c>
      <c r="U599" s="5">
        <f>'2 transformar y limpiar'!U613</f>
        <v/>
      </c>
    </row>
    <row r="600">
      <c r="A600">
        <f>'2 transformar y limpiar'!A614</f>
        <v/>
      </c>
      <c r="B600">
        <f>'2 transformar y limpiar'!B614</f>
        <v/>
      </c>
      <c r="C600" s="6">
        <f>('2 transformar y limpiar'!C614-$B$6)/$C$6</f>
        <v/>
      </c>
      <c r="D600" s="6">
        <f>('2 transformar y limpiar'!D614-$B$7)/$C$7</f>
        <v/>
      </c>
      <c r="E600" s="6">
        <f>('2 transformar y limpiar'!E614-$B$8)/$C$8</f>
        <v/>
      </c>
      <c r="F600" s="6">
        <f>('2 transformar y limpiar'!F614-$B$9)/$C$9</f>
        <v/>
      </c>
      <c r="G600">
        <f>'2 transformar y limpiar'!G614</f>
        <v/>
      </c>
      <c r="H600">
        <f>'2 transformar y limpiar'!H614</f>
        <v/>
      </c>
      <c r="I600">
        <f>'2 transformar y limpiar'!I614</f>
        <v/>
      </c>
      <c r="J600">
        <f>'2 transformar y limpiar'!J614</f>
        <v/>
      </c>
      <c r="K600">
        <f>'2 transformar y limpiar'!K614</f>
        <v/>
      </c>
      <c r="L600">
        <f>'2 transformar y limpiar'!L614</f>
        <v/>
      </c>
      <c r="M600">
        <f>'2 transformar y limpiar'!M614</f>
        <v/>
      </c>
      <c r="N600">
        <f>'2 transformar y limpiar'!N614</f>
        <v/>
      </c>
      <c r="O600">
        <f>'2 transformar y limpiar'!O614</f>
        <v/>
      </c>
      <c r="P600">
        <f>'2 transformar y limpiar'!P614</f>
        <v/>
      </c>
      <c r="Q600">
        <f>'2 transformar y limpiar'!Q614</f>
        <v/>
      </c>
      <c r="R600">
        <f>'2 transformar y limpiar'!R614</f>
        <v/>
      </c>
      <c r="S600">
        <f>'2 transformar y limpiar'!S614</f>
        <v/>
      </c>
      <c r="T600">
        <f>'2 transformar y limpiar'!T614</f>
        <v/>
      </c>
      <c r="U600" s="5">
        <f>'2 transformar y limpiar'!U614</f>
        <v/>
      </c>
    </row>
    <row r="601">
      <c r="A601">
        <f>'2 transformar y limpiar'!A615</f>
        <v/>
      </c>
      <c r="B601">
        <f>'2 transformar y limpiar'!B615</f>
        <v/>
      </c>
      <c r="C601" s="6">
        <f>('2 transformar y limpiar'!C615-$B$6)/$C$6</f>
        <v/>
      </c>
      <c r="D601" s="6">
        <f>('2 transformar y limpiar'!D615-$B$7)/$C$7</f>
        <v/>
      </c>
      <c r="E601" s="6">
        <f>('2 transformar y limpiar'!E615-$B$8)/$C$8</f>
        <v/>
      </c>
      <c r="F601" s="6">
        <f>('2 transformar y limpiar'!F615-$B$9)/$C$9</f>
        <v/>
      </c>
      <c r="G601">
        <f>'2 transformar y limpiar'!G615</f>
        <v/>
      </c>
      <c r="H601">
        <f>'2 transformar y limpiar'!H615</f>
        <v/>
      </c>
      <c r="I601">
        <f>'2 transformar y limpiar'!I615</f>
        <v/>
      </c>
      <c r="J601">
        <f>'2 transformar y limpiar'!J615</f>
        <v/>
      </c>
      <c r="K601">
        <f>'2 transformar y limpiar'!K615</f>
        <v/>
      </c>
      <c r="L601">
        <f>'2 transformar y limpiar'!L615</f>
        <v/>
      </c>
      <c r="M601">
        <f>'2 transformar y limpiar'!M615</f>
        <v/>
      </c>
      <c r="N601">
        <f>'2 transformar y limpiar'!N615</f>
        <v/>
      </c>
      <c r="O601">
        <f>'2 transformar y limpiar'!O615</f>
        <v/>
      </c>
      <c r="P601">
        <f>'2 transformar y limpiar'!P615</f>
        <v/>
      </c>
      <c r="Q601">
        <f>'2 transformar y limpiar'!Q615</f>
        <v/>
      </c>
      <c r="R601">
        <f>'2 transformar y limpiar'!R615</f>
        <v/>
      </c>
      <c r="S601">
        <f>'2 transformar y limpiar'!S615</f>
        <v/>
      </c>
      <c r="T601">
        <f>'2 transformar y limpiar'!T615</f>
        <v/>
      </c>
      <c r="U601" s="5">
        <f>'2 transformar y limpiar'!U615</f>
        <v/>
      </c>
    </row>
    <row r="602">
      <c r="A602">
        <f>'2 transformar y limpiar'!A616</f>
        <v/>
      </c>
      <c r="B602">
        <f>'2 transformar y limpiar'!B616</f>
        <v/>
      </c>
      <c r="C602" s="6">
        <f>('2 transformar y limpiar'!C616-$B$6)/$C$6</f>
        <v/>
      </c>
      <c r="D602" s="6">
        <f>('2 transformar y limpiar'!D616-$B$7)/$C$7</f>
        <v/>
      </c>
      <c r="E602" s="6">
        <f>('2 transformar y limpiar'!E616-$B$8)/$C$8</f>
        <v/>
      </c>
      <c r="F602" s="6">
        <f>('2 transformar y limpiar'!F616-$B$9)/$C$9</f>
        <v/>
      </c>
      <c r="G602">
        <f>'2 transformar y limpiar'!G616</f>
        <v/>
      </c>
      <c r="H602">
        <f>'2 transformar y limpiar'!H616</f>
        <v/>
      </c>
      <c r="I602">
        <f>'2 transformar y limpiar'!I616</f>
        <v/>
      </c>
      <c r="J602">
        <f>'2 transformar y limpiar'!J616</f>
        <v/>
      </c>
      <c r="K602">
        <f>'2 transformar y limpiar'!K616</f>
        <v/>
      </c>
      <c r="L602">
        <f>'2 transformar y limpiar'!L616</f>
        <v/>
      </c>
      <c r="M602">
        <f>'2 transformar y limpiar'!M616</f>
        <v/>
      </c>
      <c r="N602">
        <f>'2 transformar y limpiar'!N616</f>
        <v/>
      </c>
      <c r="O602">
        <f>'2 transformar y limpiar'!O616</f>
        <v/>
      </c>
      <c r="P602">
        <f>'2 transformar y limpiar'!P616</f>
        <v/>
      </c>
      <c r="Q602">
        <f>'2 transformar y limpiar'!Q616</f>
        <v/>
      </c>
      <c r="R602">
        <f>'2 transformar y limpiar'!R616</f>
        <v/>
      </c>
      <c r="S602">
        <f>'2 transformar y limpiar'!S616</f>
        <v/>
      </c>
      <c r="T602">
        <f>'2 transformar y limpiar'!T616</f>
        <v/>
      </c>
      <c r="U602" s="5">
        <f>'2 transformar y limpiar'!U616</f>
        <v/>
      </c>
    </row>
    <row r="603">
      <c r="A603">
        <f>'2 transformar y limpiar'!A617</f>
        <v/>
      </c>
      <c r="B603">
        <f>'2 transformar y limpiar'!B617</f>
        <v/>
      </c>
      <c r="C603" s="6">
        <f>('2 transformar y limpiar'!C617-$B$6)/$C$6</f>
        <v/>
      </c>
      <c r="D603" s="6">
        <f>('2 transformar y limpiar'!D617-$B$7)/$C$7</f>
        <v/>
      </c>
      <c r="E603" s="6">
        <f>('2 transformar y limpiar'!E617-$B$8)/$C$8</f>
        <v/>
      </c>
      <c r="F603" s="6">
        <f>('2 transformar y limpiar'!F617-$B$9)/$C$9</f>
        <v/>
      </c>
      <c r="G603">
        <f>'2 transformar y limpiar'!G617</f>
        <v/>
      </c>
      <c r="H603">
        <f>'2 transformar y limpiar'!H617</f>
        <v/>
      </c>
      <c r="I603">
        <f>'2 transformar y limpiar'!I617</f>
        <v/>
      </c>
      <c r="J603">
        <f>'2 transformar y limpiar'!J617</f>
        <v/>
      </c>
      <c r="K603">
        <f>'2 transformar y limpiar'!K617</f>
        <v/>
      </c>
      <c r="L603">
        <f>'2 transformar y limpiar'!L617</f>
        <v/>
      </c>
      <c r="M603">
        <f>'2 transformar y limpiar'!M617</f>
        <v/>
      </c>
      <c r="N603">
        <f>'2 transformar y limpiar'!N617</f>
        <v/>
      </c>
      <c r="O603">
        <f>'2 transformar y limpiar'!O617</f>
        <v/>
      </c>
      <c r="P603">
        <f>'2 transformar y limpiar'!P617</f>
        <v/>
      </c>
      <c r="Q603">
        <f>'2 transformar y limpiar'!Q617</f>
        <v/>
      </c>
      <c r="R603">
        <f>'2 transformar y limpiar'!R617</f>
        <v/>
      </c>
      <c r="S603">
        <f>'2 transformar y limpiar'!S617</f>
        <v/>
      </c>
      <c r="T603">
        <f>'2 transformar y limpiar'!T617</f>
        <v/>
      </c>
      <c r="U603" s="5">
        <f>'2 transformar y limpiar'!U617</f>
        <v/>
      </c>
    </row>
    <row r="604">
      <c r="A604">
        <f>'2 transformar y limpiar'!A618</f>
        <v/>
      </c>
      <c r="B604">
        <f>'2 transformar y limpiar'!B618</f>
        <v/>
      </c>
      <c r="C604" s="6">
        <f>('2 transformar y limpiar'!C618-$B$6)/$C$6</f>
        <v/>
      </c>
      <c r="D604" s="6">
        <f>('2 transformar y limpiar'!D618-$B$7)/$C$7</f>
        <v/>
      </c>
      <c r="E604" s="6">
        <f>('2 transformar y limpiar'!E618-$B$8)/$C$8</f>
        <v/>
      </c>
      <c r="F604" s="6">
        <f>('2 transformar y limpiar'!F618-$B$9)/$C$9</f>
        <v/>
      </c>
      <c r="G604">
        <f>'2 transformar y limpiar'!G618</f>
        <v/>
      </c>
      <c r="H604">
        <f>'2 transformar y limpiar'!H618</f>
        <v/>
      </c>
      <c r="I604">
        <f>'2 transformar y limpiar'!I618</f>
        <v/>
      </c>
      <c r="J604">
        <f>'2 transformar y limpiar'!J618</f>
        <v/>
      </c>
      <c r="K604">
        <f>'2 transformar y limpiar'!K618</f>
        <v/>
      </c>
      <c r="L604">
        <f>'2 transformar y limpiar'!L618</f>
        <v/>
      </c>
      <c r="M604">
        <f>'2 transformar y limpiar'!M618</f>
        <v/>
      </c>
      <c r="N604">
        <f>'2 transformar y limpiar'!N618</f>
        <v/>
      </c>
      <c r="O604">
        <f>'2 transformar y limpiar'!O618</f>
        <v/>
      </c>
      <c r="P604">
        <f>'2 transformar y limpiar'!P618</f>
        <v/>
      </c>
      <c r="Q604">
        <f>'2 transformar y limpiar'!Q618</f>
        <v/>
      </c>
      <c r="R604">
        <f>'2 transformar y limpiar'!R618</f>
        <v/>
      </c>
      <c r="S604">
        <f>'2 transformar y limpiar'!S618</f>
        <v/>
      </c>
      <c r="T604">
        <f>'2 transformar y limpiar'!T618</f>
        <v/>
      </c>
      <c r="U604" s="5">
        <f>'2 transformar y limpiar'!U618</f>
        <v/>
      </c>
    </row>
    <row r="605">
      <c r="A605">
        <f>'2 transformar y limpiar'!A619</f>
        <v/>
      </c>
      <c r="B605">
        <f>'2 transformar y limpiar'!B619</f>
        <v/>
      </c>
      <c r="C605" s="6">
        <f>('2 transformar y limpiar'!C619-$B$6)/$C$6</f>
        <v/>
      </c>
      <c r="D605" s="6">
        <f>('2 transformar y limpiar'!D619-$B$7)/$C$7</f>
        <v/>
      </c>
      <c r="E605" s="6">
        <f>('2 transformar y limpiar'!E619-$B$8)/$C$8</f>
        <v/>
      </c>
      <c r="F605" s="6">
        <f>('2 transformar y limpiar'!F619-$B$9)/$C$9</f>
        <v/>
      </c>
      <c r="G605">
        <f>'2 transformar y limpiar'!G619</f>
        <v/>
      </c>
      <c r="H605">
        <f>'2 transformar y limpiar'!H619</f>
        <v/>
      </c>
      <c r="I605">
        <f>'2 transformar y limpiar'!I619</f>
        <v/>
      </c>
      <c r="J605">
        <f>'2 transformar y limpiar'!J619</f>
        <v/>
      </c>
      <c r="K605">
        <f>'2 transformar y limpiar'!K619</f>
        <v/>
      </c>
      <c r="L605">
        <f>'2 transformar y limpiar'!L619</f>
        <v/>
      </c>
      <c r="M605">
        <f>'2 transformar y limpiar'!M619</f>
        <v/>
      </c>
      <c r="N605">
        <f>'2 transformar y limpiar'!N619</f>
        <v/>
      </c>
      <c r="O605">
        <f>'2 transformar y limpiar'!O619</f>
        <v/>
      </c>
      <c r="P605">
        <f>'2 transformar y limpiar'!P619</f>
        <v/>
      </c>
      <c r="Q605">
        <f>'2 transformar y limpiar'!Q619</f>
        <v/>
      </c>
      <c r="R605">
        <f>'2 transformar y limpiar'!R619</f>
        <v/>
      </c>
      <c r="S605">
        <f>'2 transformar y limpiar'!S619</f>
        <v/>
      </c>
      <c r="T605">
        <f>'2 transformar y limpiar'!T619</f>
        <v/>
      </c>
      <c r="U605" s="5">
        <f>'2 transformar y limpiar'!U619</f>
        <v/>
      </c>
    </row>
    <row r="606">
      <c r="A606">
        <f>'2 transformar y limpiar'!A620</f>
        <v/>
      </c>
      <c r="B606">
        <f>'2 transformar y limpiar'!B620</f>
        <v/>
      </c>
      <c r="C606" s="6">
        <f>('2 transformar y limpiar'!C620-$B$6)/$C$6</f>
        <v/>
      </c>
      <c r="D606" s="6">
        <f>('2 transformar y limpiar'!D620-$B$7)/$C$7</f>
        <v/>
      </c>
      <c r="E606" s="6">
        <f>('2 transformar y limpiar'!E620-$B$8)/$C$8</f>
        <v/>
      </c>
      <c r="F606" s="6">
        <f>('2 transformar y limpiar'!F620-$B$9)/$C$9</f>
        <v/>
      </c>
      <c r="G606">
        <f>'2 transformar y limpiar'!G620</f>
        <v/>
      </c>
      <c r="H606">
        <f>'2 transformar y limpiar'!H620</f>
        <v/>
      </c>
      <c r="I606">
        <f>'2 transformar y limpiar'!I620</f>
        <v/>
      </c>
      <c r="J606">
        <f>'2 transformar y limpiar'!J620</f>
        <v/>
      </c>
      <c r="K606">
        <f>'2 transformar y limpiar'!K620</f>
        <v/>
      </c>
      <c r="L606">
        <f>'2 transformar y limpiar'!L620</f>
        <v/>
      </c>
      <c r="M606">
        <f>'2 transformar y limpiar'!M620</f>
        <v/>
      </c>
      <c r="N606">
        <f>'2 transformar y limpiar'!N620</f>
        <v/>
      </c>
      <c r="O606">
        <f>'2 transformar y limpiar'!O620</f>
        <v/>
      </c>
      <c r="P606">
        <f>'2 transformar y limpiar'!P620</f>
        <v/>
      </c>
      <c r="Q606">
        <f>'2 transformar y limpiar'!Q620</f>
        <v/>
      </c>
      <c r="R606">
        <f>'2 transformar y limpiar'!R620</f>
        <v/>
      </c>
      <c r="S606">
        <f>'2 transformar y limpiar'!S620</f>
        <v/>
      </c>
      <c r="T606">
        <f>'2 transformar y limpiar'!T620</f>
        <v/>
      </c>
      <c r="U606" s="5">
        <f>'2 transformar y limpiar'!U620</f>
        <v/>
      </c>
    </row>
    <row r="607">
      <c r="A607">
        <f>'2 transformar y limpiar'!A621</f>
        <v/>
      </c>
      <c r="B607">
        <f>'2 transformar y limpiar'!B621</f>
        <v/>
      </c>
      <c r="C607" s="6">
        <f>('2 transformar y limpiar'!C621-$B$6)/$C$6</f>
        <v/>
      </c>
      <c r="D607" s="6">
        <f>('2 transformar y limpiar'!D621-$B$7)/$C$7</f>
        <v/>
      </c>
      <c r="E607" s="6">
        <f>('2 transformar y limpiar'!E621-$B$8)/$C$8</f>
        <v/>
      </c>
      <c r="F607" s="6">
        <f>('2 transformar y limpiar'!F621-$B$9)/$C$9</f>
        <v/>
      </c>
      <c r="G607">
        <f>'2 transformar y limpiar'!G621</f>
        <v/>
      </c>
      <c r="H607">
        <f>'2 transformar y limpiar'!H621</f>
        <v/>
      </c>
      <c r="I607">
        <f>'2 transformar y limpiar'!I621</f>
        <v/>
      </c>
      <c r="J607">
        <f>'2 transformar y limpiar'!J621</f>
        <v/>
      </c>
      <c r="K607">
        <f>'2 transformar y limpiar'!K621</f>
        <v/>
      </c>
      <c r="L607">
        <f>'2 transformar y limpiar'!L621</f>
        <v/>
      </c>
      <c r="M607">
        <f>'2 transformar y limpiar'!M621</f>
        <v/>
      </c>
      <c r="N607">
        <f>'2 transformar y limpiar'!N621</f>
        <v/>
      </c>
      <c r="O607">
        <f>'2 transformar y limpiar'!O621</f>
        <v/>
      </c>
      <c r="P607">
        <f>'2 transformar y limpiar'!P621</f>
        <v/>
      </c>
      <c r="Q607">
        <f>'2 transformar y limpiar'!Q621</f>
        <v/>
      </c>
      <c r="R607">
        <f>'2 transformar y limpiar'!R621</f>
        <v/>
      </c>
      <c r="S607">
        <f>'2 transformar y limpiar'!S621</f>
        <v/>
      </c>
      <c r="T607">
        <f>'2 transformar y limpiar'!T621</f>
        <v/>
      </c>
      <c r="U607" s="5">
        <f>'2 transformar y limpiar'!U621</f>
        <v/>
      </c>
    </row>
    <row r="608">
      <c r="A608">
        <f>'2 transformar y limpiar'!A622</f>
        <v/>
      </c>
      <c r="B608">
        <f>'2 transformar y limpiar'!B622</f>
        <v/>
      </c>
      <c r="C608" s="6">
        <f>('2 transformar y limpiar'!C622-$B$6)/$C$6</f>
        <v/>
      </c>
      <c r="D608" s="6">
        <f>('2 transformar y limpiar'!D622-$B$7)/$C$7</f>
        <v/>
      </c>
      <c r="E608" s="6">
        <f>('2 transformar y limpiar'!E622-$B$8)/$C$8</f>
        <v/>
      </c>
      <c r="F608" s="6">
        <f>('2 transformar y limpiar'!F622-$B$9)/$C$9</f>
        <v/>
      </c>
      <c r="G608">
        <f>'2 transformar y limpiar'!G622</f>
        <v/>
      </c>
      <c r="H608">
        <f>'2 transformar y limpiar'!H622</f>
        <v/>
      </c>
      <c r="I608">
        <f>'2 transformar y limpiar'!I622</f>
        <v/>
      </c>
      <c r="J608">
        <f>'2 transformar y limpiar'!J622</f>
        <v/>
      </c>
      <c r="K608">
        <f>'2 transformar y limpiar'!K622</f>
        <v/>
      </c>
      <c r="L608">
        <f>'2 transformar y limpiar'!L622</f>
        <v/>
      </c>
      <c r="M608">
        <f>'2 transformar y limpiar'!M622</f>
        <v/>
      </c>
      <c r="N608">
        <f>'2 transformar y limpiar'!N622</f>
        <v/>
      </c>
      <c r="O608">
        <f>'2 transformar y limpiar'!O622</f>
        <v/>
      </c>
      <c r="P608">
        <f>'2 transformar y limpiar'!P622</f>
        <v/>
      </c>
      <c r="Q608">
        <f>'2 transformar y limpiar'!Q622</f>
        <v/>
      </c>
      <c r="R608">
        <f>'2 transformar y limpiar'!R622</f>
        <v/>
      </c>
      <c r="S608">
        <f>'2 transformar y limpiar'!S622</f>
        <v/>
      </c>
      <c r="T608">
        <f>'2 transformar y limpiar'!T622</f>
        <v/>
      </c>
      <c r="U608" s="5">
        <f>'2 transformar y limpiar'!U622</f>
        <v/>
      </c>
    </row>
    <row r="609">
      <c r="A609">
        <f>'2 transformar y limpiar'!A623</f>
        <v/>
      </c>
      <c r="B609">
        <f>'2 transformar y limpiar'!B623</f>
        <v/>
      </c>
      <c r="C609" s="6">
        <f>('2 transformar y limpiar'!C623-$B$6)/$C$6</f>
        <v/>
      </c>
      <c r="D609" s="6">
        <f>('2 transformar y limpiar'!D623-$B$7)/$C$7</f>
        <v/>
      </c>
      <c r="E609" s="6">
        <f>('2 transformar y limpiar'!E623-$B$8)/$C$8</f>
        <v/>
      </c>
      <c r="F609" s="6">
        <f>('2 transformar y limpiar'!F623-$B$9)/$C$9</f>
        <v/>
      </c>
      <c r="G609">
        <f>'2 transformar y limpiar'!G623</f>
        <v/>
      </c>
      <c r="H609">
        <f>'2 transformar y limpiar'!H623</f>
        <v/>
      </c>
      <c r="I609">
        <f>'2 transformar y limpiar'!I623</f>
        <v/>
      </c>
      <c r="J609">
        <f>'2 transformar y limpiar'!J623</f>
        <v/>
      </c>
      <c r="K609">
        <f>'2 transformar y limpiar'!K623</f>
        <v/>
      </c>
      <c r="L609">
        <f>'2 transformar y limpiar'!L623</f>
        <v/>
      </c>
      <c r="M609">
        <f>'2 transformar y limpiar'!M623</f>
        <v/>
      </c>
      <c r="N609">
        <f>'2 transformar y limpiar'!N623</f>
        <v/>
      </c>
      <c r="O609">
        <f>'2 transformar y limpiar'!O623</f>
        <v/>
      </c>
      <c r="P609">
        <f>'2 transformar y limpiar'!P623</f>
        <v/>
      </c>
      <c r="Q609">
        <f>'2 transformar y limpiar'!Q623</f>
        <v/>
      </c>
      <c r="R609">
        <f>'2 transformar y limpiar'!R623</f>
        <v/>
      </c>
      <c r="S609">
        <f>'2 transformar y limpiar'!S623</f>
        <v/>
      </c>
      <c r="T609">
        <f>'2 transformar y limpiar'!T623</f>
        <v/>
      </c>
      <c r="U609" s="5">
        <f>'2 transformar y limpiar'!U623</f>
        <v/>
      </c>
    </row>
    <row r="610">
      <c r="A610">
        <f>'2 transformar y limpiar'!A624</f>
        <v/>
      </c>
      <c r="B610">
        <f>'2 transformar y limpiar'!B624</f>
        <v/>
      </c>
      <c r="C610" s="6">
        <f>('2 transformar y limpiar'!C624-$B$6)/$C$6</f>
        <v/>
      </c>
      <c r="D610" s="6">
        <f>('2 transformar y limpiar'!D624-$B$7)/$C$7</f>
        <v/>
      </c>
      <c r="E610" s="6">
        <f>('2 transformar y limpiar'!E624-$B$8)/$C$8</f>
        <v/>
      </c>
      <c r="F610" s="6">
        <f>('2 transformar y limpiar'!F624-$B$9)/$C$9</f>
        <v/>
      </c>
      <c r="G610">
        <f>'2 transformar y limpiar'!G624</f>
        <v/>
      </c>
      <c r="H610">
        <f>'2 transformar y limpiar'!H624</f>
        <v/>
      </c>
      <c r="I610">
        <f>'2 transformar y limpiar'!I624</f>
        <v/>
      </c>
      <c r="J610">
        <f>'2 transformar y limpiar'!J624</f>
        <v/>
      </c>
      <c r="K610">
        <f>'2 transformar y limpiar'!K624</f>
        <v/>
      </c>
      <c r="L610">
        <f>'2 transformar y limpiar'!L624</f>
        <v/>
      </c>
      <c r="M610">
        <f>'2 transformar y limpiar'!M624</f>
        <v/>
      </c>
      <c r="N610">
        <f>'2 transformar y limpiar'!N624</f>
        <v/>
      </c>
      <c r="O610">
        <f>'2 transformar y limpiar'!O624</f>
        <v/>
      </c>
      <c r="P610">
        <f>'2 transformar y limpiar'!P624</f>
        <v/>
      </c>
      <c r="Q610">
        <f>'2 transformar y limpiar'!Q624</f>
        <v/>
      </c>
      <c r="R610">
        <f>'2 transformar y limpiar'!R624</f>
        <v/>
      </c>
      <c r="S610">
        <f>'2 transformar y limpiar'!S624</f>
        <v/>
      </c>
      <c r="T610">
        <f>'2 transformar y limpiar'!T624</f>
        <v/>
      </c>
      <c r="U610" s="5">
        <f>'2 transformar y limpiar'!U624</f>
        <v/>
      </c>
    </row>
    <row r="611">
      <c r="A611">
        <f>'2 transformar y limpiar'!A625</f>
        <v/>
      </c>
      <c r="B611">
        <f>'2 transformar y limpiar'!B625</f>
        <v/>
      </c>
      <c r="C611" s="6">
        <f>('2 transformar y limpiar'!C625-$B$6)/$C$6</f>
        <v/>
      </c>
      <c r="D611" s="6">
        <f>('2 transformar y limpiar'!D625-$B$7)/$C$7</f>
        <v/>
      </c>
      <c r="E611" s="6">
        <f>('2 transformar y limpiar'!E625-$B$8)/$C$8</f>
        <v/>
      </c>
      <c r="F611" s="6">
        <f>('2 transformar y limpiar'!F625-$B$9)/$C$9</f>
        <v/>
      </c>
      <c r="G611">
        <f>'2 transformar y limpiar'!G625</f>
        <v/>
      </c>
      <c r="H611">
        <f>'2 transformar y limpiar'!H625</f>
        <v/>
      </c>
      <c r="I611">
        <f>'2 transformar y limpiar'!I625</f>
        <v/>
      </c>
      <c r="J611">
        <f>'2 transformar y limpiar'!J625</f>
        <v/>
      </c>
      <c r="K611">
        <f>'2 transformar y limpiar'!K625</f>
        <v/>
      </c>
      <c r="L611">
        <f>'2 transformar y limpiar'!L625</f>
        <v/>
      </c>
      <c r="M611">
        <f>'2 transformar y limpiar'!M625</f>
        <v/>
      </c>
      <c r="N611">
        <f>'2 transformar y limpiar'!N625</f>
        <v/>
      </c>
      <c r="O611">
        <f>'2 transformar y limpiar'!O625</f>
        <v/>
      </c>
      <c r="P611">
        <f>'2 transformar y limpiar'!P625</f>
        <v/>
      </c>
      <c r="Q611">
        <f>'2 transformar y limpiar'!Q625</f>
        <v/>
      </c>
      <c r="R611">
        <f>'2 transformar y limpiar'!R625</f>
        <v/>
      </c>
      <c r="S611">
        <f>'2 transformar y limpiar'!S625</f>
        <v/>
      </c>
      <c r="T611">
        <f>'2 transformar y limpiar'!T625</f>
        <v/>
      </c>
      <c r="U611" s="5">
        <f>'2 transformar y limpiar'!U625</f>
        <v/>
      </c>
    </row>
    <row r="612">
      <c r="A612">
        <f>'2 transformar y limpiar'!A626</f>
        <v/>
      </c>
      <c r="B612">
        <f>'2 transformar y limpiar'!B626</f>
        <v/>
      </c>
      <c r="C612" s="6">
        <f>('2 transformar y limpiar'!C626-$B$6)/$C$6</f>
        <v/>
      </c>
      <c r="D612" s="6">
        <f>('2 transformar y limpiar'!D626-$B$7)/$C$7</f>
        <v/>
      </c>
      <c r="E612" s="6">
        <f>('2 transformar y limpiar'!E626-$B$8)/$C$8</f>
        <v/>
      </c>
      <c r="F612" s="6">
        <f>('2 transformar y limpiar'!F626-$B$9)/$C$9</f>
        <v/>
      </c>
      <c r="G612">
        <f>'2 transformar y limpiar'!G626</f>
        <v/>
      </c>
      <c r="H612">
        <f>'2 transformar y limpiar'!H626</f>
        <v/>
      </c>
      <c r="I612">
        <f>'2 transformar y limpiar'!I626</f>
        <v/>
      </c>
      <c r="J612">
        <f>'2 transformar y limpiar'!J626</f>
        <v/>
      </c>
      <c r="K612">
        <f>'2 transformar y limpiar'!K626</f>
        <v/>
      </c>
      <c r="L612">
        <f>'2 transformar y limpiar'!L626</f>
        <v/>
      </c>
      <c r="M612">
        <f>'2 transformar y limpiar'!M626</f>
        <v/>
      </c>
      <c r="N612">
        <f>'2 transformar y limpiar'!N626</f>
        <v/>
      </c>
      <c r="O612">
        <f>'2 transformar y limpiar'!O626</f>
        <v/>
      </c>
      <c r="P612">
        <f>'2 transformar y limpiar'!P626</f>
        <v/>
      </c>
      <c r="Q612">
        <f>'2 transformar y limpiar'!Q626</f>
        <v/>
      </c>
      <c r="R612">
        <f>'2 transformar y limpiar'!R626</f>
        <v/>
      </c>
      <c r="S612">
        <f>'2 transformar y limpiar'!S626</f>
        <v/>
      </c>
      <c r="T612">
        <f>'2 transformar y limpiar'!T626</f>
        <v/>
      </c>
      <c r="U612" s="5">
        <f>'2 transformar y limpiar'!U626</f>
        <v/>
      </c>
    </row>
    <row r="613">
      <c r="A613">
        <f>'2 transformar y limpiar'!A627</f>
        <v/>
      </c>
      <c r="B613">
        <f>'2 transformar y limpiar'!B627</f>
        <v/>
      </c>
      <c r="C613" s="6">
        <f>('2 transformar y limpiar'!C627-$B$6)/$C$6</f>
        <v/>
      </c>
      <c r="D613" s="6">
        <f>('2 transformar y limpiar'!D627-$B$7)/$C$7</f>
        <v/>
      </c>
      <c r="E613" s="6">
        <f>('2 transformar y limpiar'!E627-$B$8)/$C$8</f>
        <v/>
      </c>
      <c r="F613" s="6">
        <f>('2 transformar y limpiar'!F627-$B$9)/$C$9</f>
        <v/>
      </c>
      <c r="G613">
        <f>'2 transformar y limpiar'!G627</f>
        <v/>
      </c>
      <c r="H613">
        <f>'2 transformar y limpiar'!H627</f>
        <v/>
      </c>
      <c r="I613">
        <f>'2 transformar y limpiar'!I627</f>
        <v/>
      </c>
      <c r="J613">
        <f>'2 transformar y limpiar'!J627</f>
        <v/>
      </c>
      <c r="K613">
        <f>'2 transformar y limpiar'!K627</f>
        <v/>
      </c>
      <c r="L613">
        <f>'2 transformar y limpiar'!L627</f>
        <v/>
      </c>
      <c r="M613">
        <f>'2 transformar y limpiar'!M627</f>
        <v/>
      </c>
      <c r="N613">
        <f>'2 transformar y limpiar'!N627</f>
        <v/>
      </c>
      <c r="O613">
        <f>'2 transformar y limpiar'!O627</f>
        <v/>
      </c>
      <c r="P613">
        <f>'2 transformar y limpiar'!P627</f>
        <v/>
      </c>
      <c r="Q613">
        <f>'2 transformar y limpiar'!Q627</f>
        <v/>
      </c>
      <c r="R613">
        <f>'2 transformar y limpiar'!R627</f>
        <v/>
      </c>
      <c r="S613">
        <f>'2 transformar y limpiar'!S627</f>
        <v/>
      </c>
      <c r="T613">
        <f>'2 transformar y limpiar'!T627</f>
        <v/>
      </c>
      <c r="U613" s="5">
        <f>'2 transformar y limpiar'!U627</f>
        <v/>
      </c>
    </row>
    <row r="614">
      <c r="A614">
        <f>'2 transformar y limpiar'!A628</f>
        <v/>
      </c>
      <c r="B614">
        <f>'2 transformar y limpiar'!B628</f>
        <v/>
      </c>
      <c r="C614" s="6">
        <f>('2 transformar y limpiar'!C628-$B$6)/$C$6</f>
        <v/>
      </c>
      <c r="D614" s="6">
        <f>('2 transformar y limpiar'!D628-$B$7)/$C$7</f>
        <v/>
      </c>
      <c r="E614" s="6">
        <f>('2 transformar y limpiar'!E628-$B$8)/$C$8</f>
        <v/>
      </c>
      <c r="F614" s="6">
        <f>('2 transformar y limpiar'!F628-$B$9)/$C$9</f>
        <v/>
      </c>
      <c r="G614">
        <f>'2 transformar y limpiar'!G628</f>
        <v/>
      </c>
      <c r="H614">
        <f>'2 transformar y limpiar'!H628</f>
        <v/>
      </c>
      <c r="I614">
        <f>'2 transformar y limpiar'!I628</f>
        <v/>
      </c>
      <c r="J614">
        <f>'2 transformar y limpiar'!J628</f>
        <v/>
      </c>
      <c r="K614">
        <f>'2 transformar y limpiar'!K628</f>
        <v/>
      </c>
      <c r="L614">
        <f>'2 transformar y limpiar'!L628</f>
        <v/>
      </c>
      <c r="M614">
        <f>'2 transformar y limpiar'!M628</f>
        <v/>
      </c>
      <c r="N614">
        <f>'2 transformar y limpiar'!N628</f>
        <v/>
      </c>
      <c r="O614">
        <f>'2 transformar y limpiar'!O628</f>
        <v/>
      </c>
      <c r="P614">
        <f>'2 transformar y limpiar'!P628</f>
        <v/>
      </c>
      <c r="Q614">
        <f>'2 transformar y limpiar'!Q628</f>
        <v/>
      </c>
      <c r="R614">
        <f>'2 transformar y limpiar'!R628</f>
        <v/>
      </c>
      <c r="S614">
        <f>'2 transformar y limpiar'!S628</f>
        <v/>
      </c>
      <c r="T614">
        <f>'2 transformar y limpiar'!T628</f>
        <v/>
      </c>
      <c r="U614" s="5">
        <f>'2 transformar y limpiar'!U628</f>
        <v/>
      </c>
    </row>
    <row r="615">
      <c r="A615">
        <f>'2 transformar y limpiar'!A629</f>
        <v/>
      </c>
      <c r="B615">
        <f>'2 transformar y limpiar'!B629</f>
        <v/>
      </c>
      <c r="C615" s="6">
        <f>('2 transformar y limpiar'!C629-$B$6)/$C$6</f>
        <v/>
      </c>
      <c r="D615" s="6">
        <f>('2 transformar y limpiar'!D629-$B$7)/$C$7</f>
        <v/>
      </c>
      <c r="E615" s="6">
        <f>('2 transformar y limpiar'!E629-$B$8)/$C$8</f>
        <v/>
      </c>
      <c r="F615" s="6">
        <f>('2 transformar y limpiar'!F629-$B$9)/$C$9</f>
        <v/>
      </c>
      <c r="G615">
        <f>'2 transformar y limpiar'!G629</f>
        <v/>
      </c>
      <c r="H615">
        <f>'2 transformar y limpiar'!H629</f>
        <v/>
      </c>
      <c r="I615">
        <f>'2 transformar y limpiar'!I629</f>
        <v/>
      </c>
      <c r="J615">
        <f>'2 transformar y limpiar'!J629</f>
        <v/>
      </c>
      <c r="K615">
        <f>'2 transformar y limpiar'!K629</f>
        <v/>
      </c>
      <c r="L615">
        <f>'2 transformar y limpiar'!L629</f>
        <v/>
      </c>
      <c r="M615">
        <f>'2 transformar y limpiar'!M629</f>
        <v/>
      </c>
      <c r="N615">
        <f>'2 transformar y limpiar'!N629</f>
        <v/>
      </c>
      <c r="O615">
        <f>'2 transformar y limpiar'!O629</f>
        <v/>
      </c>
      <c r="P615">
        <f>'2 transformar y limpiar'!P629</f>
        <v/>
      </c>
      <c r="Q615">
        <f>'2 transformar y limpiar'!Q629</f>
        <v/>
      </c>
      <c r="R615">
        <f>'2 transformar y limpiar'!R629</f>
        <v/>
      </c>
      <c r="S615">
        <f>'2 transformar y limpiar'!S629</f>
        <v/>
      </c>
      <c r="T615">
        <f>'2 transformar y limpiar'!T629</f>
        <v/>
      </c>
      <c r="U615" s="5">
        <f>'2 transformar y limpiar'!U629</f>
        <v/>
      </c>
    </row>
    <row r="616">
      <c r="A616">
        <f>'2 transformar y limpiar'!A630</f>
        <v/>
      </c>
      <c r="B616">
        <f>'2 transformar y limpiar'!B630</f>
        <v/>
      </c>
      <c r="C616" s="6">
        <f>('2 transformar y limpiar'!C630-$B$6)/$C$6</f>
        <v/>
      </c>
      <c r="D616" s="6">
        <f>('2 transformar y limpiar'!D630-$B$7)/$C$7</f>
        <v/>
      </c>
      <c r="E616" s="6">
        <f>('2 transformar y limpiar'!E630-$B$8)/$C$8</f>
        <v/>
      </c>
      <c r="F616" s="6">
        <f>('2 transformar y limpiar'!F630-$B$9)/$C$9</f>
        <v/>
      </c>
      <c r="G616">
        <f>'2 transformar y limpiar'!G630</f>
        <v/>
      </c>
      <c r="H616">
        <f>'2 transformar y limpiar'!H630</f>
        <v/>
      </c>
      <c r="I616">
        <f>'2 transformar y limpiar'!I630</f>
        <v/>
      </c>
      <c r="J616">
        <f>'2 transformar y limpiar'!J630</f>
        <v/>
      </c>
      <c r="K616">
        <f>'2 transformar y limpiar'!K630</f>
        <v/>
      </c>
      <c r="L616">
        <f>'2 transformar y limpiar'!L630</f>
        <v/>
      </c>
      <c r="M616">
        <f>'2 transformar y limpiar'!M630</f>
        <v/>
      </c>
      <c r="N616">
        <f>'2 transformar y limpiar'!N630</f>
        <v/>
      </c>
      <c r="O616">
        <f>'2 transformar y limpiar'!O630</f>
        <v/>
      </c>
      <c r="P616">
        <f>'2 transformar y limpiar'!P630</f>
        <v/>
      </c>
      <c r="Q616">
        <f>'2 transformar y limpiar'!Q630</f>
        <v/>
      </c>
      <c r="R616">
        <f>'2 transformar y limpiar'!R630</f>
        <v/>
      </c>
      <c r="S616">
        <f>'2 transformar y limpiar'!S630</f>
        <v/>
      </c>
      <c r="T616">
        <f>'2 transformar y limpiar'!T630</f>
        <v/>
      </c>
      <c r="U616" s="5">
        <f>'2 transformar y limpiar'!U630</f>
        <v/>
      </c>
    </row>
    <row r="617">
      <c r="A617">
        <f>'2 transformar y limpiar'!A631</f>
        <v/>
      </c>
      <c r="B617">
        <f>'2 transformar y limpiar'!B631</f>
        <v/>
      </c>
      <c r="C617" s="6">
        <f>('2 transformar y limpiar'!C631-$B$6)/$C$6</f>
        <v/>
      </c>
      <c r="D617" s="6">
        <f>('2 transformar y limpiar'!D631-$B$7)/$C$7</f>
        <v/>
      </c>
      <c r="E617" s="6">
        <f>('2 transformar y limpiar'!E631-$B$8)/$C$8</f>
        <v/>
      </c>
      <c r="F617" s="6">
        <f>('2 transformar y limpiar'!F631-$B$9)/$C$9</f>
        <v/>
      </c>
      <c r="G617">
        <f>'2 transformar y limpiar'!G631</f>
        <v/>
      </c>
      <c r="H617">
        <f>'2 transformar y limpiar'!H631</f>
        <v/>
      </c>
      <c r="I617">
        <f>'2 transformar y limpiar'!I631</f>
        <v/>
      </c>
      <c r="J617">
        <f>'2 transformar y limpiar'!J631</f>
        <v/>
      </c>
      <c r="K617">
        <f>'2 transformar y limpiar'!K631</f>
        <v/>
      </c>
      <c r="L617">
        <f>'2 transformar y limpiar'!L631</f>
        <v/>
      </c>
      <c r="M617">
        <f>'2 transformar y limpiar'!M631</f>
        <v/>
      </c>
      <c r="N617">
        <f>'2 transformar y limpiar'!N631</f>
        <v/>
      </c>
      <c r="O617">
        <f>'2 transformar y limpiar'!O631</f>
        <v/>
      </c>
      <c r="P617">
        <f>'2 transformar y limpiar'!P631</f>
        <v/>
      </c>
      <c r="Q617">
        <f>'2 transformar y limpiar'!Q631</f>
        <v/>
      </c>
      <c r="R617">
        <f>'2 transformar y limpiar'!R631</f>
        <v/>
      </c>
      <c r="S617">
        <f>'2 transformar y limpiar'!S631</f>
        <v/>
      </c>
      <c r="T617">
        <f>'2 transformar y limpiar'!T631</f>
        <v/>
      </c>
      <c r="U617" s="5">
        <f>'2 transformar y limpiar'!U631</f>
        <v/>
      </c>
    </row>
    <row r="618">
      <c r="A618">
        <f>'2 transformar y limpiar'!A632</f>
        <v/>
      </c>
      <c r="B618">
        <f>'2 transformar y limpiar'!B632</f>
        <v/>
      </c>
      <c r="C618" s="6">
        <f>('2 transformar y limpiar'!C632-$B$6)/$C$6</f>
        <v/>
      </c>
      <c r="D618" s="6">
        <f>('2 transformar y limpiar'!D632-$B$7)/$C$7</f>
        <v/>
      </c>
      <c r="E618" s="6">
        <f>('2 transformar y limpiar'!E632-$B$8)/$C$8</f>
        <v/>
      </c>
      <c r="F618" s="6">
        <f>('2 transformar y limpiar'!F632-$B$9)/$C$9</f>
        <v/>
      </c>
      <c r="G618">
        <f>'2 transformar y limpiar'!G632</f>
        <v/>
      </c>
      <c r="H618">
        <f>'2 transformar y limpiar'!H632</f>
        <v/>
      </c>
      <c r="I618">
        <f>'2 transformar y limpiar'!I632</f>
        <v/>
      </c>
      <c r="J618">
        <f>'2 transformar y limpiar'!J632</f>
        <v/>
      </c>
      <c r="K618">
        <f>'2 transformar y limpiar'!K632</f>
        <v/>
      </c>
      <c r="L618">
        <f>'2 transformar y limpiar'!L632</f>
        <v/>
      </c>
      <c r="M618">
        <f>'2 transformar y limpiar'!M632</f>
        <v/>
      </c>
      <c r="N618">
        <f>'2 transformar y limpiar'!N632</f>
        <v/>
      </c>
      <c r="O618">
        <f>'2 transformar y limpiar'!O632</f>
        <v/>
      </c>
      <c r="P618">
        <f>'2 transformar y limpiar'!P632</f>
        <v/>
      </c>
      <c r="Q618">
        <f>'2 transformar y limpiar'!Q632</f>
        <v/>
      </c>
      <c r="R618">
        <f>'2 transformar y limpiar'!R632</f>
        <v/>
      </c>
      <c r="S618">
        <f>'2 transformar y limpiar'!S632</f>
        <v/>
      </c>
      <c r="T618">
        <f>'2 transformar y limpiar'!T632</f>
        <v/>
      </c>
      <c r="U618" s="5">
        <f>'2 transformar y limpiar'!U632</f>
        <v/>
      </c>
    </row>
    <row r="619">
      <c r="A619">
        <f>'2 transformar y limpiar'!A633</f>
        <v/>
      </c>
      <c r="B619">
        <f>'2 transformar y limpiar'!B633</f>
        <v/>
      </c>
      <c r="C619" s="6">
        <f>('2 transformar y limpiar'!C633-$B$6)/$C$6</f>
        <v/>
      </c>
      <c r="D619" s="6">
        <f>('2 transformar y limpiar'!D633-$B$7)/$C$7</f>
        <v/>
      </c>
      <c r="E619" s="6">
        <f>('2 transformar y limpiar'!E633-$B$8)/$C$8</f>
        <v/>
      </c>
      <c r="F619" s="6">
        <f>('2 transformar y limpiar'!F633-$B$9)/$C$9</f>
        <v/>
      </c>
      <c r="G619">
        <f>'2 transformar y limpiar'!G633</f>
        <v/>
      </c>
      <c r="H619">
        <f>'2 transformar y limpiar'!H633</f>
        <v/>
      </c>
      <c r="I619">
        <f>'2 transformar y limpiar'!I633</f>
        <v/>
      </c>
      <c r="J619">
        <f>'2 transformar y limpiar'!J633</f>
        <v/>
      </c>
      <c r="K619">
        <f>'2 transformar y limpiar'!K633</f>
        <v/>
      </c>
      <c r="L619">
        <f>'2 transformar y limpiar'!L633</f>
        <v/>
      </c>
      <c r="M619">
        <f>'2 transformar y limpiar'!M633</f>
        <v/>
      </c>
      <c r="N619">
        <f>'2 transformar y limpiar'!N633</f>
        <v/>
      </c>
      <c r="O619">
        <f>'2 transformar y limpiar'!O633</f>
        <v/>
      </c>
      <c r="P619">
        <f>'2 transformar y limpiar'!P633</f>
        <v/>
      </c>
      <c r="Q619">
        <f>'2 transformar y limpiar'!Q633</f>
        <v/>
      </c>
      <c r="R619">
        <f>'2 transformar y limpiar'!R633</f>
        <v/>
      </c>
      <c r="S619">
        <f>'2 transformar y limpiar'!S633</f>
        <v/>
      </c>
      <c r="T619">
        <f>'2 transformar y limpiar'!T633</f>
        <v/>
      </c>
      <c r="U619" s="5">
        <f>'2 transformar y limpiar'!U633</f>
        <v/>
      </c>
    </row>
    <row r="620">
      <c r="A620">
        <f>'2 transformar y limpiar'!A634</f>
        <v/>
      </c>
      <c r="B620">
        <f>'2 transformar y limpiar'!B634</f>
        <v/>
      </c>
      <c r="C620" s="6">
        <f>('2 transformar y limpiar'!C634-$B$6)/$C$6</f>
        <v/>
      </c>
      <c r="D620" s="6">
        <f>('2 transformar y limpiar'!D634-$B$7)/$C$7</f>
        <v/>
      </c>
      <c r="E620" s="6">
        <f>('2 transformar y limpiar'!E634-$B$8)/$C$8</f>
        <v/>
      </c>
      <c r="F620" s="6">
        <f>('2 transformar y limpiar'!F634-$B$9)/$C$9</f>
        <v/>
      </c>
      <c r="G620">
        <f>'2 transformar y limpiar'!G634</f>
        <v/>
      </c>
      <c r="H620">
        <f>'2 transformar y limpiar'!H634</f>
        <v/>
      </c>
      <c r="I620">
        <f>'2 transformar y limpiar'!I634</f>
        <v/>
      </c>
      <c r="J620">
        <f>'2 transformar y limpiar'!J634</f>
        <v/>
      </c>
      <c r="K620">
        <f>'2 transformar y limpiar'!K634</f>
        <v/>
      </c>
      <c r="L620">
        <f>'2 transformar y limpiar'!L634</f>
        <v/>
      </c>
      <c r="M620">
        <f>'2 transformar y limpiar'!M634</f>
        <v/>
      </c>
      <c r="N620">
        <f>'2 transformar y limpiar'!N634</f>
        <v/>
      </c>
      <c r="O620">
        <f>'2 transformar y limpiar'!O634</f>
        <v/>
      </c>
      <c r="P620">
        <f>'2 transformar y limpiar'!P634</f>
        <v/>
      </c>
      <c r="Q620">
        <f>'2 transformar y limpiar'!Q634</f>
        <v/>
      </c>
      <c r="R620">
        <f>'2 transformar y limpiar'!R634</f>
        <v/>
      </c>
      <c r="S620">
        <f>'2 transformar y limpiar'!S634</f>
        <v/>
      </c>
      <c r="T620">
        <f>'2 transformar y limpiar'!T634</f>
        <v/>
      </c>
      <c r="U620" s="5">
        <f>'2 transformar y limpiar'!U634</f>
        <v/>
      </c>
    </row>
    <row r="621">
      <c r="A621">
        <f>'2 transformar y limpiar'!A635</f>
        <v/>
      </c>
      <c r="B621">
        <f>'2 transformar y limpiar'!B635</f>
        <v/>
      </c>
      <c r="C621" s="6">
        <f>('2 transformar y limpiar'!C635-$B$6)/$C$6</f>
        <v/>
      </c>
      <c r="D621" s="6">
        <f>('2 transformar y limpiar'!D635-$B$7)/$C$7</f>
        <v/>
      </c>
      <c r="E621" s="6">
        <f>('2 transformar y limpiar'!E635-$B$8)/$C$8</f>
        <v/>
      </c>
      <c r="F621" s="6">
        <f>('2 transformar y limpiar'!F635-$B$9)/$C$9</f>
        <v/>
      </c>
      <c r="G621">
        <f>'2 transformar y limpiar'!G635</f>
        <v/>
      </c>
      <c r="H621">
        <f>'2 transformar y limpiar'!H635</f>
        <v/>
      </c>
      <c r="I621">
        <f>'2 transformar y limpiar'!I635</f>
        <v/>
      </c>
      <c r="J621">
        <f>'2 transformar y limpiar'!J635</f>
        <v/>
      </c>
      <c r="K621">
        <f>'2 transformar y limpiar'!K635</f>
        <v/>
      </c>
      <c r="L621">
        <f>'2 transformar y limpiar'!L635</f>
        <v/>
      </c>
      <c r="M621">
        <f>'2 transformar y limpiar'!M635</f>
        <v/>
      </c>
      <c r="N621">
        <f>'2 transformar y limpiar'!N635</f>
        <v/>
      </c>
      <c r="O621">
        <f>'2 transformar y limpiar'!O635</f>
        <v/>
      </c>
      <c r="P621">
        <f>'2 transformar y limpiar'!P635</f>
        <v/>
      </c>
      <c r="Q621">
        <f>'2 transformar y limpiar'!Q635</f>
        <v/>
      </c>
      <c r="R621">
        <f>'2 transformar y limpiar'!R635</f>
        <v/>
      </c>
      <c r="S621">
        <f>'2 transformar y limpiar'!S635</f>
        <v/>
      </c>
      <c r="T621">
        <f>'2 transformar y limpiar'!T635</f>
        <v/>
      </c>
      <c r="U621" s="5">
        <f>'2 transformar y limpiar'!U635</f>
        <v/>
      </c>
    </row>
    <row r="622">
      <c r="A622">
        <f>'2 transformar y limpiar'!A636</f>
        <v/>
      </c>
      <c r="B622">
        <f>'2 transformar y limpiar'!B636</f>
        <v/>
      </c>
      <c r="C622" s="6">
        <f>('2 transformar y limpiar'!C636-$B$6)/$C$6</f>
        <v/>
      </c>
      <c r="D622" s="6">
        <f>('2 transformar y limpiar'!D636-$B$7)/$C$7</f>
        <v/>
      </c>
      <c r="E622" s="6">
        <f>('2 transformar y limpiar'!E636-$B$8)/$C$8</f>
        <v/>
      </c>
      <c r="F622" s="6">
        <f>('2 transformar y limpiar'!F636-$B$9)/$C$9</f>
        <v/>
      </c>
      <c r="G622">
        <f>'2 transformar y limpiar'!G636</f>
        <v/>
      </c>
      <c r="H622">
        <f>'2 transformar y limpiar'!H636</f>
        <v/>
      </c>
      <c r="I622">
        <f>'2 transformar y limpiar'!I636</f>
        <v/>
      </c>
      <c r="J622">
        <f>'2 transformar y limpiar'!J636</f>
        <v/>
      </c>
      <c r="K622">
        <f>'2 transformar y limpiar'!K636</f>
        <v/>
      </c>
      <c r="L622">
        <f>'2 transformar y limpiar'!L636</f>
        <v/>
      </c>
      <c r="M622">
        <f>'2 transformar y limpiar'!M636</f>
        <v/>
      </c>
      <c r="N622">
        <f>'2 transformar y limpiar'!N636</f>
        <v/>
      </c>
      <c r="O622">
        <f>'2 transformar y limpiar'!O636</f>
        <v/>
      </c>
      <c r="P622">
        <f>'2 transformar y limpiar'!P636</f>
        <v/>
      </c>
      <c r="Q622">
        <f>'2 transformar y limpiar'!Q636</f>
        <v/>
      </c>
      <c r="R622">
        <f>'2 transformar y limpiar'!R636</f>
        <v/>
      </c>
      <c r="S622">
        <f>'2 transformar y limpiar'!S636</f>
        <v/>
      </c>
      <c r="T622">
        <f>'2 transformar y limpiar'!T636</f>
        <v/>
      </c>
      <c r="U622" s="5">
        <f>'2 transformar y limpiar'!U636</f>
        <v/>
      </c>
    </row>
    <row r="623">
      <c r="A623">
        <f>'2 transformar y limpiar'!A637</f>
        <v/>
      </c>
      <c r="B623">
        <f>'2 transformar y limpiar'!B637</f>
        <v/>
      </c>
      <c r="C623" s="6">
        <f>('2 transformar y limpiar'!C637-$B$6)/$C$6</f>
        <v/>
      </c>
      <c r="D623" s="6">
        <f>('2 transformar y limpiar'!D637-$B$7)/$C$7</f>
        <v/>
      </c>
      <c r="E623" s="6">
        <f>('2 transformar y limpiar'!E637-$B$8)/$C$8</f>
        <v/>
      </c>
      <c r="F623" s="6">
        <f>('2 transformar y limpiar'!F637-$B$9)/$C$9</f>
        <v/>
      </c>
      <c r="G623">
        <f>'2 transformar y limpiar'!G637</f>
        <v/>
      </c>
      <c r="H623">
        <f>'2 transformar y limpiar'!H637</f>
        <v/>
      </c>
      <c r="I623">
        <f>'2 transformar y limpiar'!I637</f>
        <v/>
      </c>
      <c r="J623">
        <f>'2 transformar y limpiar'!J637</f>
        <v/>
      </c>
      <c r="K623">
        <f>'2 transformar y limpiar'!K637</f>
        <v/>
      </c>
      <c r="L623">
        <f>'2 transformar y limpiar'!L637</f>
        <v/>
      </c>
      <c r="M623">
        <f>'2 transformar y limpiar'!M637</f>
        <v/>
      </c>
      <c r="N623">
        <f>'2 transformar y limpiar'!N637</f>
        <v/>
      </c>
      <c r="O623">
        <f>'2 transformar y limpiar'!O637</f>
        <v/>
      </c>
      <c r="P623">
        <f>'2 transformar y limpiar'!P637</f>
        <v/>
      </c>
      <c r="Q623">
        <f>'2 transformar y limpiar'!Q637</f>
        <v/>
      </c>
      <c r="R623">
        <f>'2 transformar y limpiar'!R637</f>
        <v/>
      </c>
      <c r="S623">
        <f>'2 transformar y limpiar'!S637</f>
        <v/>
      </c>
      <c r="T623">
        <f>'2 transformar y limpiar'!T637</f>
        <v/>
      </c>
      <c r="U623" s="5">
        <f>'2 transformar y limpiar'!U637</f>
        <v/>
      </c>
    </row>
    <row r="624">
      <c r="A624">
        <f>'2 transformar y limpiar'!A638</f>
        <v/>
      </c>
      <c r="B624">
        <f>'2 transformar y limpiar'!B638</f>
        <v/>
      </c>
      <c r="C624" s="6">
        <f>('2 transformar y limpiar'!C638-$B$6)/$C$6</f>
        <v/>
      </c>
      <c r="D624" s="6">
        <f>('2 transformar y limpiar'!D638-$B$7)/$C$7</f>
        <v/>
      </c>
      <c r="E624" s="6">
        <f>('2 transformar y limpiar'!E638-$B$8)/$C$8</f>
        <v/>
      </c>
      <c r="F624" s="6">
        <f>('2 transformar y limpiar'!F638-$B$9)/$C$9</f>
        <v/>
      </c>
      <c r="G624">
        <f>'2 transformar y limpiar'!G638</f>
        <v/>
      </c>
      <c r="H624">
        <f>'2 transformar y limpiar'!H638</f>
        <v/>
      </c>
      <c r="I624">
        <f>'2 transformar y limpiar'!I638</f>
        <v/>
      </c>
      <c r="J624">
        <f>'2 transformar y limpiar'!J638</f>
        <v/>
      </c>
      <c r="K624">
        <f>'2 transformar y limpiar'!K638</f>
        <v/>
      </c>
      <c r="L624">
        <f>'2 transformar y limpiar'!L638</f>
        <v/>
      </c>
      <c r="M624">
        <f>'2 transformar y limpiar'!M638</f>
        <v/>
      </c>
      <c r="N624">
        <f>'2 transformar y limpiar'!N638</f>
        <v/>
      </c>
      <c r="O624">
        <f>'2 transformar y limpiar'!O638</f>
        <v/>
      </c>
      <c r="P624">
        <f>'2 transformar y limpiar'!P638</f>
        <v/>
      </c>
      <c r="Q624">
        <f>'2 transformar y limpiar'!Q638</f>
        <v/>
      </c>
      <c r="R624">
        <f>'2 transformar y limpiar'!R638</f>
        <v/>
      </c>
      <c r="S624">
        <f>'2 transformar y limpiar'!S638</f>
        <v/>
      </c>
      <c r="T624">
        <f>'2 transformar y limpiar'!T638</f>
        <v/>
      </c>
      <c r="U624" s="5">
        <f>'2 transformar y limpiar'!U638</f>
        <v/>
      </c>
    </row>
    <row r="625">
      <c r="A625">
        <f>'2 transformar y limpiar'!A639</f>
        <v/>
      </c>
      <c r="B625">
        <f>'2 transformar y limpiar'!B639</f>
        <v/>
      </c>
      <c r="C625" s="6">
        <f>('2 transformar y limpiar'!C639-$B$6)/$C$6</f>
        <v/>
      </c>
      <c r="D625" s="6">
        <f>('2 transformar y limpiar'!D639-$B$7)/$C$7</f>
        <v/>
      </c>
      <c r="E625" s="6">
        <f>('2 transformar y limpiar'!E639-$B$8)/$C$8</f>
        <v/>
      </c>
      <c r="F625" s="6">
        <f>('2 transformar y limpiar'!F639-$B$9)/$C$9</f>
        <v/>
      </c>
      <c r="G625">
        <f>'2 transformar y limpiar'!G639</f>
        <v/>
      </c>
      <c r="H625">
        <f>'2 transformar y limpiar'!H639</f>
        <v/>
      </c>
      <c r="I625">
        <f>'2 transformar y limpiar'!I639</f>
        <v/>
      </c>
      <c r="J625">
        <f>'2 transformar y limpiar'!J639</f>
        <v/>
      </c>
      <c r="K625">
        <f>'2 transformar y limpiar'!K639</f>
        <v/>
      </c>
      <c r="L625">
        <f>'2 transformar y limpiar'!L639</f>
        <v/>
      </c>
      <c r="M625">
        <f>'2 transformar y limpiar'!M639</f>
        <v/>
      </c>
      <c r="N625">
        <f>'2 transformar y limpiar'!N639</f>
        <v/>
      </c>
      <c r="O625">
        <f>'2 transformar y limpiar'!O639</f>
        <v/>
      </c>
      <c r="P625">
        <f>'2 transformar y limpiar'!P639</f>
        <v/>
      </c>
      <c r="Q625">
        <f>'2 transformar y limpiar'!Q639</f>
        <v/>
      </c>
      <c r="R625">
        <f>'2 transformar y limpiar'!R639</f>
        <v/>
      </c>
      <c r="S625">
        <f>'2 transformar y limpiar'!S639</f>
        <v/>
      </c>
      <c r="T625">
        <f>'2 transformar y limpiar'!T639</f>
        <v/>
      </c>
      <c r="U625" s="5">
        <f>'2 transformar y limpiar'!U639</f>
        <v/>
      </c>
    </row>
    <row r="626">
      <c r="A626">
        <f>'2 transformar y limpiar'!A640</f>
        <v/>
      </c>
      <c r="B626">
        <f>'2 transformar y limpiar'!B640</f>
        <v/>
      </c>
      <c r="C626" s="6">
        <f>('2 transformar y limpiar'!C640-$B$6)/$C$6</f>
        <v/>
      </c>
      <c r="D626" s="6">
        <f>('2 transformar y limpiar'!D640-$B$7)/$C$7</f>
        <v/>
      </c>
      <c r="E626" s="6">
        <f>('2 transformar y limpiar'!E640-$B$8)/$C$8</f>
        <v/>
      </c>
      <c r="F626" s="6">
        <f>('2 transformar y limpiar'!F640-$B$9)/$C$9</f>
        <v/>
      </c>
      <c r="G626">
        <f>'2 transformar y limpiar'!G640</f>
        <v/>
      </c>
      <c r="H626">
        <f>'2 transformar y limpiar'!H640</f>
        <v/>
      </c>
      <c r="I626">
        <f>'2 transformar y limpiar'!I640</f>
        <v/>
      </c>
      <c r="J626">
        <f>'2 transformar y limpiar'!J640</f>
        <v/>
      </c>
      <c r="K626">
        <f>'2 transformar y limpiar'!K640</f>
        <v/>
      </c>
      <c r="L626">
        <f>'2 transformar y limpiar'!L640</f>
        <v/>
      </c>
      <c r="M626">
        <f>'2 transformar y limpiar'!M640</f>
        <v/>
      </c>
      <c r="N626">
        <f>'2 transformar y limpiar'!N640</f>
        <v/>
      </c>
      <c r="O626">
        <f>'2 transformar y limpiar'!O640</f>
        <v/>
      </c>
      <c r="P626">
        <f>'2 transformar y limpiar'!P640</f>
        <v/>
      </c>
      <c r="Q626">
        <f>'2 transformar y limpiar'!Q640</f>
        <v/>
      </c>
      <c r="R626">
        <f>'2 transformar y limpiar'!R640</f>
        <v/>
      </c>
      <c r="S626">
        <f>'2 transformar y limpiar'!S640</f>
        <v/>
      </c>
      <c r="T626">
        <f>'2 transformar y limpiar'!T640</f>
        <v/>
      </c>
      <c r="U626" s="5">
        <f>'2 transformar y limpiar'!U640</f>
        <v/>
      </c>
    </row>
    <row r="627">
      <c r="A627">
        <f>'2 transformar y limpiar'!A641</f>
        <v/>
      </c>
      <c r="B627">
        <f>'2 transformar y limpiar'!B641</f>
        <v/>
      </c>
      <c r="C627" s="6">
        <f>('2 transformar y limpiar'!C641-$B$6)/$C$6</f>
        <v/>
      </c>
      <c r="D627" s="6">
        <f>('2 transformar y limpiar'!D641-$B$7)/$C$7</f>
        <v/>
      </c>
      <c r="E627" s="6">
        <f>('2 transformar y limpiar'!E641-$B$8)/$C$8</f>
        <v/>
      </c>
      <c r="F627" s="6">
        <f>('2 transformar y limpiar'!F641-$B$9)/$C$9</f>
        <v/>
      </c>
      <c r="G627">
        <f>'2 transformar y limpiar'!G641</f>
        <v/>
      </c>
      <c r="H627">
        <f>'2 transformar y limpiar'!H641</f>
        <v/>
      </c>
      <c r="I627">
        <f>'2 transformar y limpiar'!I641</f>
        <v/>
      </c>
      <c r="J627">
        <f>'2 transformar y limpiar'!J641</f>
        <v/>
      </c>
      <c r="K627">
        <f>'2 transformar y limpiar'!K641</f>
        <v/>
      </c>
      <c r="L627">
        <f>'2 transformar y limpiar'!L641</f>
        <v/>
      </c>
      <c r="M627">
        <f>'2 transformar y limpiar'!M641</f>
        <v/>
      </c>
      <c r="N627">
        <f>'2 transformar y limpiar'!N641</f>
        <v/>
      </c>
      <c r="O627">
        <f>'2 transformar y limpiar'!O641</f>
        <v/>
      </c>
      <c r="P627">
        <f>'2 transformar y limpiar'!P641</f>
        <v/>
      </c>
      <c r="Q627">
        <f>'2 transformar y limpiar'!Q641</f>
        <v/>
      </c>
      <c r="R627">
        <f>'2 transformar y limpiar'!R641</f>
        <v/>
      </c>
      <c r="S627">
        <f>'2 transformar y limpiar'!S641</f>
        <v/>
      </c>
      <c r="T627">
        <f>'2 transformar y limpiar'!T641</f>
        <v/>
      </c>
      <c r="U627" s="5">
        <f>'2 transformar y limpiar'!U641</f>
        <v/>
      </c>
    </row>
    <row r="628">
      <c r="A628">
        <f>'2 transformar y limpiar'!A642</f>
        <v/>
      </c>
      <c r="B628">
        <f>'2 transformar y limpiar'!B642</f>
        <v/>
      </c>
      <c r="C628" s="6">
        <f>('2 transformar y limpiar'!C642-$B$6)/$C$6</f>
        <v/>
      </c>
      <c r="D628" s="6">
        <f>('2 transformar y limpiar'!D642-$B$7)/$C$7</f>
        <v/>
      </c>
      <c r="E628" s="6">
        <f>('2 transformar y limpiar'!E642-$B$8)/$C$8</f>
        <v/>
      </c>
      <c r="F628" s="6">
        <f>('2 transformar y limpiar'!F642-$B$9)/$C$9</f>
        <v/>
      </c>
      <c r="G628">
        <f>'2 transformar y limpiar'!G642</f>
        <v/>
      </c>
      <c r="H628">
        <f>'2 transformar y limpiar'!H642</f>
        <v/>
      </c>
      <c r="I628">
        <f>'2 transformar y limpiar'!I642</f>
        <v/>
      </c>
      <c r="J628">
        <f>'2 transformar y limpiar'!J642</f>
        <v/>
      </c>
      <c r="K628">
        <f>'2 transformar y limpiar'!K642</f>
        <v/>
      </c>
      <c r="L628">
        <f>'2 transformar y limpiar'!L642</f>
        <v/>
      </c>
      <c r="M628">
        <f>'2 transformar y limpiar'!M642</f>
        <v/>
      </c>
      <c r="N628">
        <f>'2 transformar y limpiar'!N642</f>
        <v/>
      </c>
      <c r="O628">
        <f>'2 transformar y limpiar'!O642</f>
        <v/>
      </c>
      <c r="P628">
        <f>'2 transformar y limpiar'!P642</f>
        <v/>
      </c>
      <c r="Q628">
        <f>'2 transformar y limpiar'!Q642</f>
        <v/>
      </c>
      <c r="R628">
        <f>'2 transformar y limpiar'!R642</f>
        <v/>
      </c>
      <c r="S628">
        <f>'2 transformar y limpiar'!S642</f>
        <v/>
      </c>
      <c r="T628">
        <f>'2 transformar y limpiar'!T642</f>
        <v/>
      </c>
      <c r="U628" s="5">
        <f>'2 transformar y limpiar'!U642</f>
        <v/>
      </c>
    </row>
    <row r="629">
      <c r="A629">
        <f>'2 transformar y limpiar'!A643</f>
        <v/>
      </c>
      <c r="B629">
        <f>'2 transformar y limpiar'!B643</f>
        <v/>
      </c>
      <c r="C629" s="6">
        <f>('2 transformar y limpiar'!C643-$B$6)/$C$6</f>
        <v/>
      </c>
      <c r="D629" s="6">
        <f>('2 transformar y limpiar'!D643-$B$7)/$C$7</f>
        <v/>
      </c>
      <c r="E629" s="6">
        <f>('2 transformar y limpiar'!E643-$B$8)/$C$8</f>
        <v/>
      </c>
      <c r="F629" s="6">
        <f>('2 transformar y limpiar'!F643-$B$9)/$C$9</f>
        <v/>
      </c>
      <c r="G629">
        <f>'2 transformar y limpiar'!G643</f>
        <v/>
      </c>
      <c r="H629">
        <f>'2 transformar y limpiar'!H643</f>
        <v/>
      </c>
      <c r="I629">
        <f>'2 transformar y limpiar'!I643</f>
        <v/>
      </c>
      <c r="J629">
        <f>'2 transformar y limpiar'!J643</f>
        <v/>
      </c>
      <c r="K629">
        <f>'2 transformar y limpiar'!K643</f>
        <v/>
      </c>
      <c r="L629">
        <f>'2 transformar y limpiar'!L643</f>
        <v/>
      </c>
      <c r="M629">
        <f>'2 transformar y limpiar'!M643</f>
        <v/>
      </c>
      <c r="N629">
        <f>'2 transformar y limpiar'!N643</f>
        <v/>
      </c>
      <c r="O629">
        <f>'2 transformar y limpiar'!O643</f>
        <v/>
      </c>
      <c r="P629">
        <f>'2 transformar y limpiar'!P643</f>
        <v/>
      </c>
      <c r="Q629">
        <f>'2 transformar y limpiar'!Q643</f>
        <v/>
      </c>
      <c r="R629">
        <f>'2 transformar y limpiar'!R643</f>
        <v/>
      </c>
      <c r="S629">
        <f>'2 transformar y limpiar'!S643</f>
        <v/>
      </c>
      <c r="T629">
        <f>'2 transformar y limpiar'!T643</f>
        <v/>
      </c>
      <c r="U629" s="5">
        <f>'2 transformar y limpiar'!U643</f>
        <v/>
      </c>
    </row>
    <row r="630">
      <c r="A630">
        <f>'2 transformar y limpiar'!A644</f>
        <v/>
      </c>
      <c r="B630">
        <f>'2 transformar y limpiar'!B644</f>
        <v/>
      </c>
      <c r="C630" s="6">
        <f>('2 transformar y limpiar'!C644-$B$6)/$C$6</f>
        <v/>
      </c>
      <c r="D630" s="6">
        <f>('2 transformar y limpiar'!D644-$B$7)/$C$7</f>
        <v/>
      </c>
      <c r="E630" s="6">
        <f>('2 transformar y limpiar'!E644-$B$8)/$C$8</f>
        <v/>
      </c>
      <c r="F630" s="6">
        <f>('2 transformar y limpiar'!F644-$B$9)/$C$9</f>
        <v/>
      </c>
      <c r="G630">
        <f>'2 transformar y limpiar'!G644</f>
        <v/>
      </c>
      <c r="H630">
        <f>'2 transformar y limpiar'!H644</f>
        <v/>
      </c>
      <c r="I630">
        <f>'2 transformar y limpiar'!I644</f>
        <v/>
      </c>
      <c r="J630">
        <f>'2 transformar y limpiar'!J644</f>
        <v/>
      </c>
      <c r="K630">
        <f>'2 transformar y limpiar'!K644</f>
        <v/>
      </c>
      <c r="L630">
        <f>'2 transformar y limpiar'!L644</f>
        <v/>
      </c>
      <c r="M630">
        <f>'2 transformar y limpiar'!M644</f>
        <v/>
      </c>
      <c r="N630">
        <f>'2 transformar y limpiar'!N644</f>
        <v/>
      </c>
      <c r="O630">
        <f>'2 transformar y limpiar'!O644</f>
        <v/>
      </c>
      <c r="P630">
        <f>'2 transformar y limpiar'!P644</f>
        <v/>
      </c>
      <c r="Q630">
        <f>'2 transformar y limpiar'!Q644</f>
        <v/>
      </c>
      <c r="R630">
        <f>'2 transformar y limpiar'!R644</f>
        <v/>
      </c>
      <c r="S630">
        <f>'2 transformar y limpiar'!S644</f>
        <v/>
      </c>
      <c r="T630">
        <f>'2 transformar y limpiar'!T644</f>
        <v/>
      </c>
      <c r="U630" s="5">
        <f>'2 transformar y limpiar'!U644</f>
        <v/>
      </c>
    </row>
    <row r="631">
      <c r="A631">
        <f>'2 transformar y limpiar'!A645</f>
        <v/>
      </c>
      <c r="B631">
        <f>'2 transformar y limpiar'!B645</f>
        <v/>
      </c>
      <c r="C631" s="6">
        <f>('2 transformar y limpiar'!C645-$B$6)/$C$6</f>
        <v/>
      </c>
      <c r="D631" s="6">
        <f>('2 transformar y limpiar'!D645-$B$7)/$C$7</f>
        <v/>
      </c>
      <c r="E631" s="6">
        <f>('2 transformar y limpiar'!E645-$B$8)/$C$8</f>
        <v/>
      </c>
      <c r="F631" s="6">
        <f>('2 transformar y limpiar'!F645-$B$9)/$C$9</f>
        <v/>
      </c>
      <c r="G631">
        <f>'2 transformar y limpiar'!G645</f>
        <v/>
      </c>
      <c r="H631">
        <f>'2 transformar y limpiar'!H645</f>
        <v/>
      </c>
      <c r="I631">
        <f>'2 transformar y limpiar'!I645</f>
        <v/>
      </c>
      <c r="J631">
        <f>'2 transformar y limpiar'!J645</f>
        <v/>
      </c>
      <c r="K631">
        <f>'2 transformar y limpiar'!K645</f>
        <v/>
      </c>
      <c r="L631">
        <f>'2 transformar y limpiar'!L645</f>
        <v/>
      </c>
      <c r="M631">
        <f>'2 transformar y limpiar'!M645</f>
        <v/>
      </c>
      <c r="N631">
        <f>'2 transformar y limpiar'!N645</f>
        <v/>
      </c>
      <c r="O631">
        <f>'2 transformar y limpiar'!O645</f>
        <v/>
      </c>
      <c r="P631">
        <f>'2 transformar y limpiar'!P645</f>
        <v/>
      </c>
      <c r="Q631">
        <f>'2 transformar y limpiar'!Q645</f>
        <v/>
      </c>
      <c r="R631">
        <f>'2 transformar y limpiar'!R645</f>
        <v/>
      </c>
      <c r="S631">
        <f>'2 transformar y limpiar'!S645</f>
        <v/>
      </c>
      <c r="T631">
        <f>'2 transformar y limpiar'!T645</f>
        <v/>
      </c>
      <c r="U631" s="5">
        <f>'2 transformar y limpiar'!U645</f>
        <v/>
      </c>
    </row>
    <row r="632">
      <c r="A632">
        <f>'2 transformar y limpiar'!A646</f>
        <v/>
      </c>
      <c r="B632">
        <f>'2 transformar y limpiar'!B646</f>
        <v/>
      </c>
      <c r="C632" s="6">
        <f>('2 transformar y limpiar'!C646-$B$6)/$C$6</f>
        <v/>
      </c>
      <c r="D632" s="6">
        <f>('2 transformar y limpiar'!D646-$B$7)/$C$7</f>
        <v/>
      </c>
      <c r="E632" s="6">
        <f>('2 transformar y limpiar'!E646-$B$8)/$C$8</f>
        <v/>
      </c>
      <c r="F632" s="6">
        <f>('2 transformar y limpiar'!F646-$B$9)/$C$9</f>
        <v/>
      </c>
      <c r="G632">
        <f>'2 transformar y limpiar'!G646</f>
        <v/>
      </c>
      <c r="H632">
        <f>'2 transformar y limpiar'!H646</f>
        <v/>
      </c>
      <c r="I632">
        <f>'2 transformar y limpiar'!I646</f>
        <v/>
      </c>
      <c r="J632">
        <f>'2 transformar y limpiar'!J646</f>
        <v/>
      </c>
      <c r="K632">
        <f>'2 transformar y limpiar'!K646</f>
        <v/>
      </c>
      <c r="L632">
        <f>'2 transformar y limpiar'!L646</f>
        <v/>
      </c>
      <c r="M632">
        <f>'2 transformar y limpiar'!M646</f>
        <v/>
      </c>
      <c r="N632">
        <f>'2 transformar y limpiar'!N646</f>
        <v/>
      </c>
      <c r="O632">
        <f>'2 transformar y limpiar'!O646</f>
        <v/>
      </c>
      <c r="P632">
        <f>'2 transformar y limpiar'!P646</f>
        <v/>
      </c>
      <c r="Q632">
        <f>'2 transformar y limpiar'!Q646</f>
        <v/>
      </c>
      <c r="R632">
        <f>'2 transformar y limpiar'!R646</f>
        <v/>
      </c>
      <c r="S632">
        <f>'2 transformar y limpiar'!S646</f>
        <v/>
      </c>
      <c r="T632">
        <f>'2 transformar y limpiar'!T646</f>
        <v/>
      </c>
      <c r="U632" s="5">
        <f>'2 transformar y limpiar'!U646</f>
        <v/>
      </c>
    </row>
    <row r="633">
      <c r="A633">
        <f>'2 transformar y limpiar'!A647</f>
        <v/>
      </c>
      <c r="B633">
        <f>'2 transformar y limpiar'!B647</f>
        <v/>
      </c>
      <c r="C633" s="6">
        <f>('2 transformar y limpiar'!C647-$B$6)/$C$6</f>
        <v/>
      </c>
      <c r="D633" s="6">
        <f>('2 transformar y limpiar'!D647-$B$7)/$C$7</f>
        <v/>
      </c>
      <c r="E633" s="6">
        <f>('2 transformar y limpiar'!E647-$B$8)/$C$8</f>
        <v/>
      </c>
      <c r="F633" s="6">
        <f>('2 transformar y limpiar'!F647-$B$9)/$C$9</f>
        <v/>
      </c>
      <c r="G633">
        <f>'2 transformar y limpiar'!G647</f>
        <v/>
      </c>
      <c r="H633">
        <f>'2 transformar y limpiar'!H647</f>
        <v/>
      </c>
      <c r="I633">
        <f>'2 transformar y limpiar'!I647</f>
        <v/>
      </c>
      <c r="J633">
        <f>'2 transformar y limpiar'!J647</f>
        <v/>
      </c>
      <c r="K633">
        <f>'2 transformar y limpiar'!K647</f>
        <v/>
      </c>
      <c r="L633">
        <f>'2 transformar y limpiar'!L647</f>
        <v/>
      </c>
      <c r="M633">
        <f>'2 transformar y limpiar'!M647</f>
        <v/>
      </c>
      <c r="N633">
        <f>'2 transformar y limpiar'!N647</f>
        <v/>
      </c>
      <c r="O633">
        <f>'2 transformar y limpiar'!O647</f>
        <v/>
      </c>
      <c r="P633">
        <f>'2 transformar y limpiar'!P647</f>
        <v/>
      </c>
      <c r="Q633">
        <f>'2 transformar y limpiar'!Q647</f>
        <v/>
      </c>
      <c r="R633">
        <f>'2 transformar y limpiar'!R647</f>
        <v/>
      </c>
      <c r="S633">
        <f>'2 transformar y limpiar'!S647</f>
        <v/>
      </c>
      <c r="T633">
        <f>'2 transformar y limpiar'!T647</f>
        <v/>
      </c>
      <c r="U633" s="5">
        <f>'2 transformar y limpiar'!U647</f>
        <v/>
      </c>
    </row>
    <row r="634">
      <c r="A634">
        <f>'2 transformar y limpiar'!A648</f>
        <v/>
      </c>
      <c r="B634">
        <f>'2 transformar y limpiar'!B648</f>
        <v/>
      </c>
      <c r="C634" s="6">
        <f>('2 transformar y limpiar'!C648-$B$6)/$C$6</f>
        <v/>
      </c>
      <c r="D634" s="6">
        <f>('2 transformar y limpiar'!D648-$B$7)/$C$7</f>
        <v/>
      </c>
      <c r="E634" s="6">
        <f>('2 transformar y limpiar'!E648-$B$8)/$C$8</f>
        <v/>
      </c>
      <c r="F634" s="6">
        <f>('2 transformar y limpiar'!F648-$B$9)/$C$9</f>
        <v/>
      </c>
      <c r="G634">
        <f>'2 transformar y limpiar'!G648</f>
        <v/>
      </c>
      <c r="H634">
        <f>'2 transformar y limpiar'!H648</f>
        <v/>
      </c>
      <c r="I634">
        <f>'2 transformar y limpiar'!I648</f>
        <v/>
      </c>
      <c r="J634">
        <f>'2 transformar y limpiar'!J648</f>
        <v/>
      </c>
      <c r="K634">
        <f>'2 transformar y limpiar'!K648</f>
        <v/>
      </c>
      <c r="L634">
        <f>'2 transformar y limpiar'!L648</f>
        <v/>
      </c>
      <c r="M634">
        <f>'2 transformar y limpiar'!M648</f>
        <v/>
      </c>
      <c r="N634">
        <f>'2 transformar y limpiar'!N648</f>
        <v/>
      </c>
      <c r="O634">
        <f>'2 transformar y limpiar'!O648</f>
        <v/>
      </c>
      <c r="P634">
        <f>'2 transformar y limpiar'!P648</f>
        <v/>
      </c>
      <c r="Q634">
        <f>'2 transformar y limpiar'!Q648</f>
        <v/>
      </c>
      <c r="R634">
        <f>'2 transformar y limpiar'!R648</f>
        <v/>
      </c>
      <c r="S634">
        <f>'2 transformar y limpiar'!S648</f>
        <v/>
      </c>
      <c r="T634">
        <f>'2 transformar y limpiar'!T648</f>
        <v/>
      </c>
      <c r="U634" s="5">
        <f>'2 transformar y limpiar'!U648</f>
        <v/>
      </c>
    </row>
    <row r="635">
      <c r="A635">
        <f>'2 transformar y limpiar'!A649</f>
        <v/>
      </c>
      <c r="B635">
        <f>'2 transformar y limpiar'!B649</f>
        <v/>
      </c>
      <c r="C635" s="6">
        <f>('2 transformar y limpiar'!C649-$B$6)/$C$6</f>
        <v/>
      </c>
      <c r="D635" s="6">
        <f>('2 transformar y limpiar'!D649-$B$7)/$C$7</f>
        <v/>
      </c>
      <c r="E635" s="6">
        <f>('2 transformar y limpiar'!E649-$B$8)/$C$8</f>
        <v/>
      </c>
      <c r="F635" s="6">
        <f>('2 transformar y limpiar'!F649-$B$9)/$C$9</f>
        <v/>
      </c>
      <c r="G635">
        <f>'2 transformar y limpiar'!G649</f>
        <v/>
      </c>
      <c r="H635">
        <f>'2 transformar y limpiar'!H649</f>
        <v/>
      </c>
      <c r="I635">
        <f>'2 transformar y limpiar'!I649</f>
        <v/>
      </c>
      <c r="J635">
        <f>'2 transformar y limpiar'!J649</f>
        <v/>
      </c>
      <c r="K635">
        <f>'2 transformar y limpiar'!K649</f>
        <v/>
      </c>
      <c r="L635">
        <f>'2 transformar y limpiar'!L649</f>
        <v/>
      </c>
      <c r="M635">
        <f>'2 transformar y limpiar'!M649</f>
        <v/>
      </c>
      <c r="N635">
        <f>'2 transformar y limpiar'!N649</f>
        <v/>
      </c>
      <c r="O635">
        <f>'2 transformar y limpiar'!O649</f>
        <v/>
      </c>
      <c r="P635">
        <f>'2 transformar y limpiar'!P649</f>
        <v/>
      </c>
      <c r="Q635">
        <f>'2 transformar y limpiar'!Q649</f>
        <v/>
      </c>
      <c r="R635">
        <f>'2 transformar y limpiar'!R649</f>
        <v/>
      </c>
      <c r="S635">
        <f>'2 transformar y limpiar'!S649</f>
        <v/>
      </c>
      <c r="T635">
        <f>'2 transformar y limpiar'!T649</f>
        <v/>
      </c>
      <c r="U635" s="5">
        <f>'2 transformar y limpiar'!U649</f>
        <v/>
      </c>
    </row>
    <row r="636">
      <c r="A636">
        <f>'2 transformar y limpiar'!A650</f>
        <v/>
      </c>
      <c r="B636">
        <f>'2 transformar y limpiar'!B650</f>
        <v/>
      </c>
      <c r="C636" s="6">
        <f>('2 transformar y limpiar'!C650-$B$6)/$C$6</f>
        <v/>
      </c>
      <c r="D636" s="6">
        <f>('2 transformar y limpiar'!D650-$B$7)/$C$7</f>
        <v/>
      </c>
      <c r="E636" s="6">
        <f>('2 transformar y limpiar'!E650-$B$8)/$C$8</f>
        <v/>
      </c>
      <c r="F636" s="6">
        <f>('2 transformar y limpiar'!F650-$B$9)/$C$9</f>
        <v/>
      </c>
      <c r="G636">
        <f>'2 transformar y limpiar'!G650</f>
        <v/>
      </c>
      <c r="H636">
        <f>'2 transformar y limpiar'!H650</f>
        <v/>
      </c>
      <c r="I636">
        <f>'2 transformar y limpiar'!I650</f>
        <v/>
      </c>
      <c r="J636">
        <f>'2 transformar y limpiar'!J650</f>
        <v/>
      </c>
      <c r="K636">
        <f>'2 transformar y limpiar'!K650</f>
        <v/>
      </c>
      <c r="L636">
        <f>'2 transformar y limpiar'!L650</f>
        <v/>
      </c>
      <c r="M636">
        <f>'2 transformar y limpiar'!M650</f>
        <v/>
      </c>
      <c r="N636">
        <f>'2 transformar y limpiar'!N650</f>
        <v/>
      </c>
      <c r="O636">
        <f>'2 transformar y limpiar'!O650</f>
        <v/>
      </c>
      <c r="P636">
        <f>'2 transformar y limpiar'!P650</f>
        <v/>
      </c>
      <c r="Q636">
        <f>'2 transformar y limpiar'!Q650</f>
        <v/>
      </c>
      <c r="R636">
        <f>'2 transformar y limpiar'!R650</f>
        <v/>
      </c>
      <c r="S636">
        <f>'2 transformar y limpiar'!S650</f>
        <v/>
      </c>
      <c r="T636">
        <f>'2 transformar y limpiar'!T650</f>
        <v/>
      </c>
      <c r="U636" s="5">
        <f>'2 transformar y limpiar'!U650</f>
        <v/>
      </c>
    </row>
    <row r="637">
      <c r="A637">
        <f>'2 transformar y limpiar'!A651</f>
        <v/>
      </c>
      <c r="B637">
        <f>'2 transformar y limpiar'!B651</f>
        <v/>
      </c>
      <c r="C637" s="6">
        <f>('2 transformar y limpiar'!C651-$B$6)/$C$6</f>
        <v/>
      </c>
      <c r="D637" s="6">
        <f>('2 transformar y limpiar'!D651-$B$7)/$C$7</f>
        <v/>
      </c>
      <c r="E637" s="6">
        <f>('2 transformar y limpiar'!E651-$B$8)/$C$8</f>
        <v/>
      </c>
      <c r="F637" s="6">
        <f>('2 transformar y limpiar'!F651-$B$9)/$C$9</f>
        <v/>
      </c>
      <c r="G637">
        <f>'2 transformar y limpiar'!G651</f>
        <v/>
      </c>
      <c r="H637">
        <f>'2 transformar y limpiar'!H651</f>
        <v/>
      </c>
      <c r="I637">
        <f>'2 transformar y limpiar'!I651</f>
        <v/>
      </c>
      <c r="J637">
        <f>'2 transformar y limpiar'!J651</f>
        <v/>
      </c>
      <c r="K637">
        <f>'2 transformar y limpiar'!K651</f>
        <v/>
      </c>
      <c r="L637">
        <f>'2 transformar y limpiar'!L651</f>
        <v/>
      </c>
      <c r="M637">
        <f>'2 transformar y limpiar'!M651</f>
        <v/>
      </c>
      <c r="N637">
        <f>'2 transformar y limpiar'!N651</f>
        <v/>
      </c>
      <c r="O637">
        <f>'2 transformar y limpiar'!O651</f>
        <v/>
      </c>
      <c r="P637">
        <f>'2 transformar y limpiar'!P651</f>
        <v/>
      </c>
      <c r="Q637">
        <f>'2 transformar y limpiar'!Q651</f>
        <v/>
      </c>
      <c r="R637">
        <f>'2 transformar y limpiar'!R651</f>
        <v/>
      </c>
      <c r="S637">
        <f>'2 transformar y limpiar'!S651</f>
        <v/>
      </c>
      <c r="T637">
        <f>'2 transformar y limpiar'!T651</f>
        <v/>
      </c>
      <c r="U637" s="5">
        <f>'2 transformar y limpiar'!U651</f>
        <v/>
      </c>
    </row>
    <row r="638">
      <c r="A638">
        <f>'2 transformar y limpiar'!A652</f>
        <v/>
      </c>
      <c r="B638">
        <f>'2 transformar y limpiar'!B652</f>
        <v/>
      </c>
      <c r="C638" s="6">
        <f>('2 transformar y limpiar'!C652-$B$6)/$C$6</f>
        <v/>
      </c>
      <c r="D638" s="6">
        <f>('2 transformar y limpiar'!D652-$B$7)/$C$7</f>
        <v/>
      </c>
      <c r="E638" s="6">
        <f>('2 transformar y limpiar'!E652-$B$8)/$C$8</f>
        <v/>
      </c>
      <c r="F638" s="6">
        <f>('2 transformar y limpiar'!F652-$B$9)/$C$9</f>
        <v/>
      </c>
      <c r="G638">
        <f>'2 transformar y limpiar'!G652</f>
        <v/>
      </c>
      <c r="H638">
        <f>'2 transformar y limpiar'!H652</f>
        <v/>
      </c>
      <c r="I638">
        <f>'2 transformar y limpiar'!I652</f>
        <v/>
      </c>
      <c r="J638">
        <f>'2 transformar y limpiar'!J652</f>
        <v/>
      </c>
      <c r="K638">
        <f>'2 transformar y limpiar'!K652</f>
        <v/>
      </c>
      <c r="L638">
        <f>'2 transformar y limpiar'!L652</f>
        <v/>
      </c>
      <c r="M638">
        <f>'2 transformar y limpiar'!M652</f>
        <v/>
      </c>
      <c r="N638">
        <f>'2 transformar y limpiar'!N652</f>
        <v/>
      </c>
      <c r="O638">
        <f>'2 transformar y limpiar'!O652</f>
        <v/>
      </c>
      <c r="P638">
        <f>'2 transformar y limpiar'!P652</f>
        <v/>
      </c>
      <c r="Q638">
        <f>'2 transformar y limpiar'!Q652</f>
        <v/>
      </c>
      <c r="R638">
        <f>'2 transformar y limpiar'!R652</f>
        <v/>
      </c>
      <c r="S638">
        <f>'2 transformar y limpiar'!S652</f>
        <v/>
      </c>
      <c r="T638">
        <f>'2 transformar y limpiar'!T652</f>
        <v/>
      </c>
      <c r="U638" s="5">
        <f>'2 transformar y limpiar'!U652</f>
        <v/>
      </c>
    </row>
    <row r="639">
      <c r="A639">
        <f>'2 transformar y limpiar'!A653</f>
        <v/>
      </c>
      <c r="B639">
        <f>'2 transformar y limpiar'!B653</f>
        <v/>
      </c>
      <c r="C639" s="6">
        <f>('2 transformar y limpiar'!C653-$B$6)/$C$6</f>
        <v/>
      </c>
      <c r="D639" s="6">
        <f>('2 transformar y limpiar'!D653-$B$7)/$C$7</f>
        <v/>
      </c>
      <c r="E639" s="6">
        <f>('2 transformar y limpiar'!E653-$B$8)/$C$8</f>
        <v/>
      </c>
      <c r="F639" s="6">
        <f>('2 transformar y limpiar'!F653-$B$9)/$C$9</f>
        <v/>
      </c>
      <c r="G639">
        <f>'2 transformar y limpiar'!G653</f>
        <v/>
      </c>
      <c r="H639">
        <f>'2 transformar y limpiar'!H653</f>
        <v/>
      </c>
      <c r="I639">
        <f>'2 transformar y limpiar'!I653</f>
        <v/>
      </c>
      <c r="J639">
        <f>'2 transformar y limpiar'!J653</f>
        <v/>
      </c>
      <c r="K639">
        <f>'2 transformar y limpiar'!K653</f>
        <v/>
      </c>
      <c r="L639">
        <f>'2 transformar y limpiar'!L653</f>
        <v/>
      </c>
      <c r="M639">
        <f>'2 transformar y limpiar'!M653</f>
        <v/>
      </c>
      <c r="N639">
        <f>'2 transformar y limpiar'!N653</f>
        <v/>
      </c>
      <c r="O639">
        <f>'2 transformar y limpiar'!O653</f>
        <v/>
      </c>
      <c r="P639">
        <f>'2 transformar y limpiar'!P653</f>
        <v/>
      </c>
      <c r="Q639">
        <f>'2 transformar y limpiar'!Q653</f>
        <v/>
      </c>
      <c r="R639">
        <f>'2 transformar y limpiar'!R653</f>
        <v/>
      </c>
      <c r="S639">
        <f>'2 transformar y limpiar'!S653</f>
        <v/>
      </c>
      <c r="T639">
        <f>'2 transformar y limpiar'!T653</f>
        <v/>
      </c>
      <c r="U639" s="5">
        <f>'2 transformar y limpiar'!U653</f>
        <v/>
      </c>
    </row>
    <row r="640">
      <c r="A640">
        <f>'2 transformar y limpiar'!A654</f>
        <v/>
      </c>
      <c r="B640">
        <f>'2 transformar y limpiar'!B654</f>
        <v/>
      </c>
      <c r="C640" s="6">
        <f>('2 transformar y limpiar'!C654-$B$6)/$C$6</f>
        <v/>
      </c>
      <c r="D640" s="6">
        <f>('2 transformar y limpiar'!D654-$B$7)/$C$7</f>
        <v/>
      </c>
      <c r="E640" s="6">
        <f>('2 transformar y limpiar'!E654-$B$8)/$C$8</f>
        <v/>
      </c>
      <c r="F640" s="6">
        <f>('2 transformar y limpiar'!F654-$B$9)/$C$9</f>
        <v/>
      </c>
      <c r="G640">
        <f>'2 transformar y limpiar'!G654</f>
        <v/>
      </c>
      <c r="H640">
        <f>'2 transformar y limpiar'!H654</f>
        <v/>
      </c>
      <c r="I640">
        <f>'2 transformar y limpiar'!I654</f>
        <v/>
      </c>
      <c r="J640">
        <f>'2 transformar y limpiar'!J654</f>
        <v/>
      </c>
      <c r="K640">
        <f>'2 transformar y limpiar'!K654</f>
        <v/>
      </c>
      <c r="L640">
        <f>'2 transformar y limpiar'!L654</f>
        <v/>
      </c>
      <c r="M640">
        <f>'2 transformar y limpiar'!M654</f>
        <v/>
      </c>
      <c r="N640">
        <f>'2 transformar y limpiar'!N654</f>
        <v/>
      </c>
      <c r="O640">
        <f>'2 transformar y limpiar'!O654</f>
        <v/>
      </c>
      <c r="P640">
        <f>'2 transformar y limpiar'!P654</f>
        <v/>
      </c>
      <c r="Q640">
        <f>'2 transformar y limpiar'!Q654</f>
        <v/>
      </c>
      <c r="R640">
        <f>'2 transformar y limpiar'!R654</f>
        <v/>
      </c>
      <c r="S640">
        <f>'2 transformar y limpiar'!S654</f>
        <v/>
      </c>
      <c r="T640">
        <f>'2 transformar y limpiar'!T654</f>
        <v/>
      </c>
      <c r="U640" s="5">
        <f>'2 transformar y limpiar'!U654</f>
        <v/>
      </c>
    </row>
    <row r="641">
      <c r="A641">
        <f>'2 transformar y limpiar'!A655</f>
        <v/>
      </c>
      <c r="B641">
        <f>'2 transformar y limpiar'!B655</f>
        <v/>
      </c>
      <c r="C641" s="6">
        <f>('2 transformar y limpiar'!C655-$B$6)/$C$6</f>
        <v/>
      </c>
      <c r="D641" s="6">
        <f>('2 transformar y limpiar'!D655-$B$7)/$C$7</f>
        <v/>
      </c>
      <c r="E641" s="6">
        <f>('2 transformar y limpiar'!E655-$B$8)/$C$8</f>
        <v/>
      </c>
      <c r="F641" s="6">
        <f>('2 transformar y limpiar'!F655-$B$9)/$C$9</f>
        <v/>
      </c>
      <c r="G641">
        <f>'2 transformar y limpiar'!G655</f>
        <v/>
      </c>
      <c r="H641">
        <f>'2 transformar y limpiar'!H655</f>
        <v/>
      </c>
      <c r="I641">
        <f>'2 transformar y limpiar'!I655</f>
        <v/>
      </c>
      <c r="J641">
        <f>'2 transformar y limpiar'!J655</f>
        <v/>
      </c>
      <c r="K641">
        <f>'2 transformar y limpiar'!K655</f>
        <v/>
      </c>
      <c r="L641">
        <f>'2 transformar y limpiar'!L655</f>
        <v/>
      </c>
      <c r="M641">
        <f>'2 transformar y limpiar'!M655</f>
        <v/>
      </c>
      <c r="N641">
        <f>'2 transformar y limpiar'!N655</f>
        <v/>
      </c>
      <c r="O641">
        <f>'2 transformar y limpiar'!O655</f>
        <v/>
      </c>
      <c r="P641">
        <f>'2 transformar y limpiar'!P655</f>
        <v/>
      </c>
      <c r="Q641">
        <f>'2 transformar y limpiar'!Q655</f>
        <v/>
      </c>
      <c r="R641">
        <f>'2 transformar y limpiar'!R655</f>
        <v/>
      </c>
      <c r="S641">
        <f>'2 transformar y limpiar'!S655</f>
        <v/>
      </c>
      <c r="T641">
        <f>'2 transformar y limpiar'!T655</f>
        <v/>
      </c>
      <c r="U641" s="5">
        <f>'2 transformar y limpiar'!U655</f>
        <v/>
      </c>
    </row>
    <row r="642">
      <c r="A642">
        <f>'2 transformar y limpiar'!A656</f>
        <v/>
      </c>
      <c r="B642">
        <f>'2 transformar y limpiar'!B656</f>
        <v/>
      </c>
      <c r="C642" s="6">
        <f>('2 transformar y limpiar'!C656-$B$6)/$C$6</f>
        <v/>
      </c>
      <c r="D642" s="6">
        <f>('2 transformar y limpiar'!D656-$B$7)/$C$7</f>
        <v/>
      </c>
      <c r="E642" s="6">
        <f>('2 transformar y limpiar'!E656-$B$8)/$C$8</f>
        <v/>
      </c>
      <c r="F642" s="6">
        <f>('2 transformar y limpiar'!F656-$B$9)/$C$9</f>
        <v/>
      </c>
      <c r="G642">
        <f>'2 transformar y limpiar'!G656</f>
        <v/>
      </c>
      <c r="H642">
        <f>'2 transformar y limpiar'!H656</f>
        <v/>
      </c>
      <c r="I642">
        <f>'2 transformar y limpiar'!I656</f>
        <v/>
      </c>
      <c r="J642">
        <f>'2 transformar y limpiar'!J656</f>
        <v/>
      </c>
      <c r="K642">
        <f>'2 transformar y limpiar'!K656</f>
        <v/>
      </c>
      <c r="L642">
        <f>'2 transformar y limpiar'!L656</f>
        <v/>
      </c>
      <c r="M642">
        <f>'2 transformar y limpiar'!M656</f>
        <v/>
      </c>
      <c r="N642">
        <f>'2 transformar y limpiar'!N656</f>
        <v/>
      </c>
      <c r="O642">
        <f>'2 transformar y limpiar'!O656</f>
        <v/>
      </c>
      <c r="P642">
        <f>'2 transformar y limpiar'!P656</f>
        <v/>
      </c>
      <c r="Q642">
        <f>'2 transformar y limpiar'!Q656</f>
        <v/>
      </c>
      <c r="R642">
        <f>'2 transformar y limpiar'!R656</f>
        <v/>
      </c>
      <c r="S642">
        <f>'2 transformar y limpiar'!S656</f>
        <v/>
      </c>
      <c r="T642">
        <f>'2 transformar y limpiar'!T656</f>
        <v/>
      </c>
      <c r="U642" s="5">
        <f>'2 transformar y limpiar'!U656</f>
        <v/>
      </c>
    </row>
    <row r="643">
      <c r="A643">
        <f>'2 transformar y limpiar'!A657</f>
        <v/>
      </c>
      <c r="B643">
        <f>'2 transformar y limpiar'!B657</f>
        <v/>
      </c>
      <c r="C643" s="6">
        <f>('2 transformar y limpiar'!C657-$B$6)/$C$6</f>
        <v/>
      </c>
      <c r="D643" s="6">
        <f>('2 transformar y limpiar'!D657-$B$7)/$C$7</f>
        <v/>
      </c>
      <c r="E643" s="6">
        <f>('2 transformar y limpiar'!E657-$B$8)/$C$8</f>
        <v/>
      </c>
      <c r="F643" s="6">
        <f>('2 transformar y limpiar'!F657-$B$9)/$C$9</f>
        <v/>
      </c>
      <c r="G643">
        <f>'2 transformar y limpiar'!G657</f>
        <v/>
      </c>
      <c r="H643">
        <f>'2 transformar y limpiar'!H657</f>
        <v/>
      </c>
      <c r="I643">
        <f>'2 transformar y limpiar'!I657</f>
        <v/>
      </c>
      <c r="J643">
        <f>'2 transformar y limpiar'!J657</f>
        <v/>
      </c>
      <c r="K643">
        <f>'2 transformar y limpiar'!K657</f>
        <v/>
      </c>
      <c r="L643">
        <f>'2 transformar y limpiar'!L657</f>
        <v/>
      </c>
      <c r="M643">
        <f>'2 transformar y limpiar'!M657</f>
        <v/>
      </c>
      <c r="N643">
        <f>'2 transformar y limpiar'!N657</f>
        <v/>
      </c>
      <c r="O643">
        <f>'2 transformar y limpiar'!O657</f>
        <v/>
      </c>
      <c r="P643">
        <f>'2 transformar y limpiar'!P657</f>
        <v/>
      </c>
      <c r="Q643">
        <f>'2 transformar y limpiar'!Q657</f>
        <v/>
      </c>
      <c r="R643">
        <f>'2 transformar y limpiar'!R657</f>
        <v/>
      </c>
      <c r="S643">
        <f>'2 transformar y limpiar'!S657</f>
        <v/>
      </c>
      <c r="T643">
        <f>'2 transformar y limpiar'!T657</f>
        <v/>
      </c>
      <c r="U643" s="5">
        <f>'2 transformar y limpiar'!U657</f>
        <v/>
      </c>
    </row>
    <row r="644">
      <c r="A644">
        <f>'2 transformar y limpiar'!A658</f>
        <v/>
      </c>
      <c r="B644">
        <f>'2 transformar y limpiar'!B658</f>
        <v/>
      </c>
      <c r="C644" s="6">
        <f>('2 transformar y limpiar'!C658-$B$6)/$C$6</f>
        <v/>
      </c>
      <c r="D644" s="6">
        <f>('2 transformar y limpiar'!D658-$B$7)/$C$7</f>
        <v/>
      </c>
      <c r="E644" s="6">
        <f>('2 transformar y limpiar'!E658-$B$8)/$C$8</f>
        <v/>
      </c>
      <c r="F644" s="6">
        <f>('2 transformar y limpiar'!F658-$B$9)/$C$9</f>
        <v/>
      </c>
      <c r="G644">
        <f>'2 transformar y limpiar'!G658</f>
        <v/>
      </c>
      <c r="H644">
        <f>'2 transformar y limpiar'!H658</f>
        <v/>
      </c>
      <c r="I644">
        <f>'2 transformar y limpiar'!I658</f>
        <v/>
      </c>
      <c r="J644">
        <f>'2 transformar y limpiar'!J658</f>
        <v/>
      </c>
      <c r="K644">
        <f>'2 transformar y limpiar'!K658</f>
        <v/>
      </c>
      <c r="L644">
        <f>'2 transformar y limpiar'!L658</f>
        <v/>
      </c>
      <c r="M644">
        <f>'2 transformar y limpiar'!M658</f>
        <v/>
      </c>
      <c r="N644">
        <f>'2 transformar y limpiar'!N658</f>
        <v/>
      </c>
      <c r="O644">
        <f>'2 transformar y limpiar'!O658</f>
        <v/>
      </c>
      <c r="P644">
        <f>'2 transformar y limpiar'!P658</f>
        <v/>
      </c>
      <c r="Q644">
        <f>'2 transformar y limpiar'!Q658</f>
        <v/>
      </c>
      <c r="R644">
        <f>'2 transformar y limpiar'!R658</f>
        <v/>
      </c>
      <c r="S644">
        <f>'2 transformar y limpiar'!S658</f>
        <v/>
      </c>
      <c r="T644">
        <f>'2 transformar y limpiar'!T658</f>
        <v/>
      </c>
      <c r="U644" s="5">
        <f>'2 transformar y limpiar'!U658</f>
        <v/>
      </c>
    </row>
    <row r="645">
      <c r="A645">
        <f>'2 transformar y limpiar'!A659</f>
        <v/>
      </c>
      <c r="B645">
        <f>'2 transformar y limpiar'!B659</f>
        <v/>
      </c>
      <c r="C645" s="6">
        <f>('2 transformar y limpiar'!C659-$B$6)/$C$6</f>
        <v/>
      </c>
      <c r="D645" s="6">
        <f>('2 transformar y limpiar'!D659-$B$7)/$C$7</f>
        <v/>
      </c>
      <c r="E645" s="6">
        <f>('2 transformar y limpiar'!E659-$B$8)/$C$8</f>
        <v/>
      </c>
      <c r="F645" s="6">
        <f>('2 transformar y limpiar'!F659-$B$9)/$C$9</f>
        <v/>
      </c>
      <c r="G645">
        <f>'2 transformar y limpiar'!G659</f>
        <v/>
      </c>
      <c r="H645">
        <f>'2 transformar y limpiar'!H659</f>
        <v/>
      </c>
      <c r="I645">
        <f>'2 transformar y limpiar'!I659</f>
        <v/>
      </c>
      <c r="J645">
        <f>'2 transformar y limpiar'!J659</f>
        <v/>
      </c>
      <c r="K645">
        <f>'2 transformar y limpiar'!K659</f>
        <v/>
      </c>
      <c r="L645">
        <f>'2 transformar y limpiar'!L659</f>
        <v/>
      </c>
      <c r="M645">
        <f>'2 transformar y limpiar'!M659</f>
        <v/>
      </c>
      <c r="N645">
        <f>'2 transformar y limpiar'!N659</f>
        <v/>
      </c>
      <c r="O645">
        <f>'2 transformar y limpiar'!O659</f>
        <v/>
      </c>
      <c r="P645">
        <f>'2 transformar y limpiar'!P659</f>
        <v/>
      </c>
      <c r="Q645">
        <f>'2 transformar y limpiar'!Q659</f>
        <v/>
      </c>
      <c r="R645">
        <f>'2 transformar y limpiar'!R659</f>
        <v/>
      </c>
      <c r="S645">
        <f>'2 transformar y limpiar'!S659</f>
        <v/>
      </c>
      <c r="T645">
        <f>'2 transformar y limpiar'!T659</f>
        <v/>
      </c>
      <c r="U645" s="5">
        <f>'2 transformar y limpiar'!U659</f>
        <v/>
      </c>
    </row>
    <row r="646">
      <c r="A646">
        <f>'2 transformar y limpiar'!A660</f>
        <v/>
      </c>
      <c r="B646">
        <f>'2 transformar y limpiar'!B660</f>
        <v/>
      </c>
      <c r="C646" s="6">
        <f>('2 transformar y limpiar'!C660-$B$6)/$C$6</f>
        <v/>
      </c>
      <c r="D646" s="6">
        <f>('2 transformar y limpiar'!D660-$B$7)/$C$7</f>
        <v/>
      </c>
      <c r="E646" s="6">
        <f>('2 transformar y limpiar'!E660-$B$8)/$C$8</f>
        <v/>
      </c>
      <c r="F646" s="6">
        <f>('2 transformar y limpiar'!F660-$B$9)/$C$9</f>
        <v/>
      </c>
      <c r="G646">
        <f>'2 transformar y limpiar'!G660</f>
        <v/>
      </c>
      <c r="H646">
        <f>'2 transformar y limpiar'!H660</f>
        <v/>
      </c>
      <c r="I646">
        <f>'2 transformar y limpiar'!I660</f>
        <v/>
      </c>
      <c r="J646">
        <f>'2 transformar y limpiar'!J660</f>
        <v/>
      </c>
      <c r="K646">
        <f>'2 transformar y limpiar'!K660</f>
        <v/>
      </c>
      <c r="L646">
        <f>'2 transformar y limpiar'!L660</f>
        <v/>
      </c>
      <c r="M646">
        <f>'2 transformar y limpiar'!M660</f>
        <v/>
      </c>
      <c r="N646">
        <f>'2 transformar y limpiar'!N660</f>
        <v/>
      </c>
      <c r="O646">
        <f>'2 transformar y limpiar'!O660</f>
        <v/>
      </c>
      <c r="P646">
        <f>'2 transformar y limpiar'!P660</f>
        <v/>
      </c>
      <c r="Q646">
        <f>'2 transformar y limpiar'!Q660</f>
        <v/>
      </c>
      <c r="R646">
        <f>'2 transformar y limpiar'!R660</f>
        <v/>
      </c>
      <c r="S646">
        <f>'2 transformar y limpiar'!S660</f>
        <v/>
      </c>
      <c r="T646">
        <f>'2 transformar y limpiar'!T660</f>
        <v/>
      </c>
      <c r="U646" s="5">
        <f>'2 transformar y limpiar'!U660</f>
        <v/>
      </c>
    </row>
    <row r="647">
      <c r="A647">
        <f>'2 transformar y limpiar'!A661</f>
        <v/>
      </c>
      <c r="B647">
        <f>'2 transformar y limpiar'!B661</f>
        <v/>
      </c>
      <c r="C647" s="6">
        <f>('2 transformar y limpiar'!C661-$B$6)/$C$6</f>
        <v/>
      </c>
      <c r="D647" s="6">
        <f>('2 transformar y limpiar'!D661-$B$7)/$C$7</f>
        <v/>
      </c>
      <c r="E647" s="6">
        <f>('2 transformar y limpiar'!E661-$B$8)/$C$8</f>
        <v/>
      </c>
      <c r="F647" s="6">
        <f>('2 transformar y limpiar'!F661-$B$9)/$C$9</f>
        <v/>
      </c>
      <c r="G647">
        <f>'2 transformar y limpiar'!G661</f>
        <v/>
      </c>
      <c r="H647">
        <f>'2 transformar y limpiar'!H661</f>
        <v/>
      </c>
      <c r="I647">
        <f>'2 transformar y limpiar'!I661</f>
        <v/>
      </c>
      <c r="J647">
        <f>'2 transformar y limpiar'!J661</f>
        <v/>
      </c>
      <c r="K647">
        <f>'2 transformar y limpiar'!K661</f>
        <v/>
      </c>
      <c r="L647">
        <f>'2 transformar y limpiar'!L661</f>
        <v/>
      </c>
      <c r="M647">
        <f>'2 transformar y limpiar'!M661</f>
        <v/>
      </c>
      <c r="N647">
        <f>'2 transformar y limpiar'!N661</f>
        <v/>
      </c>
      <c r="O647">
        <f>'2 transformar y limpiar'!O661</f>
        <v/>
      </c>
      <c r="P647">
        <f>'2 transformar y limpiar'!P661</f>
        <v/>
      </c>
      <c r="Q647">
        <f>'2 transformar y limpiar'!Q661</f>
        <v/>
      </c>
      <c r="R647">
        <f>'2 transformar y limpiar'!R661</f>
        <v/>
      </c>
      <c r="S647">
        <f>'2 transformar y limpiar'!S661</f>
        <v/>
      </c>
      <c r="T647">
        <f>'2 transformar y limpiar'!T661</f>
        <v/>
      </c>
      <c r="U647" s="5">
        <f>'2 transformar y limpiar'!U661</f>
        <v/>
      </c>
    </row>
    <row r="648">
      <c r="A648">
        <f>'2 transformar y limpiar'!A662</f>
        <v/>
      </c>
      <c r="B648">
        <f>'2 transformar y limpiar'!B662</f>
        <v/>
      </c>
      <c r="C648" s="6">
        <f>('2 transformar y limpiar'!C662-$B$6)/$C$6</f>
        <v/>
      </c>
      <c r="D648" s="6">
        <f>('2 transformar y limpiar'!D662-$B$7)/$C$7</f>
        <v/>
      </c>
      <c r="E648" s="6">
        <f>('2 transformar y limpiar'!E662-$B$8)/$C$8</f>
        <v/>
      </c>
      <c r="F648" s="6">
        <f>('2 transformar y limpiar'!F662-$B$9)/$C$9</f>
        <v/>
      </c>
      <c r="G648">
        <f>'2 transformar y limpiar'!G662</f>
        <v/>
      </c>
      <c r="H648">
        <f>'2 transformar y limpiar'!H662</f>
        <v/>
      </c>
      <c r="I648">
        <f>'2 transformar y limpiar'!I662</f>
        <v/>
      </c>
      <c r="J648">
        <f>'2 transformar y limpiar'!J662</f>
        <v/>
      </c>
      <c r="K648">
        <f>'2 transformar y limpiar'!K662</f>
        <v/>
      </c>
      <c r="L648">
        <f>'2 transformar y limpiar'!L662</f>
        <v/>
      </c>
      <c r="M648">
        <f>'2 transformar y limpiar'!M662</f>
        <v/>
      </c>
      <c r="N648">
        <f>'2 transformar y limpiar'!N662</f>
        <v/>
      </c>
      <c r="O648">
        <f>'2 transformar y limpiar'!O662</f>
        <v/>
      </c>
      <c r="P648">
        <f>'2 transformar y limpiar'!P662</f>
        <v/>
      </c>
      <c r="Q648">
        <f>'2 transformar y limpiar'!Q662</f>
        <v/>
      </c>
      <c r="R648">
        <f>'2 transformar y limpiar'!R662</f>
        <v/>
      </c>
      <c r="S648">
        <f>'2 transformar y limpiar'!S662</f>
        <v/>
      </c>
      <c r="T648">
        <f>'2 transformar y limpiar'!T662</f>
        <v/>
      </c>
      <c r="U648" s="5">
        <f>'2 transformar y limpiar'!U662</f>
        <v/>
      </c>
    </row>
    <row r="649">
      <c r="A649">
        <f>'2 transformar y limpiar'!A663</f>
        <v/>
      </c>
      <c r="B649">
        <f>'2 transformar y limpiar'!B663</f>
        <v/>
      </c>
      <c r="C649" s="6">
        <f>('2 transformar y limpiar'!C663-$B$6)/$C$6</f>
        <v/>
      </c>
      <c r="D649" s="6">
        <f>('2 transformar y limpiar'!D663-$B$7)/$C$7</f>
        <v/>
      </c>
      <c r="E649" s="6">
        <f>('2 transformar y limpiar'!E663-$B$8)/$C$8</f>
        <v/>
      </c>
      <c r="F649" s="6">
        <f>('2 transformar y limpiar'!F663-$B$9)/$C$9</f>
        <v/>
      </c>
      <c r="G649">
        <f>'2 transformar y limpiar'!G663</f>
        <v/>
      </c>
      <c r="H649">
        <f>'2 transformar y limpiar'!H663</f>
        <v/>
      </c>
      <c r="I649">
        <f>'2 transformar y limpiar'!I663</f>
        <v/>
      </c>
      <c r="J649">
        <f>'2 transformar y limpiar'!J663</f>
        <v/>
      </c>
      <c r="K649">
        <f>'2 transformar y limpiar'!K663</f>
        <v/>
      </c>
      <c r="L649">
        <f>'2 transformar y limpiar'!L663</f>
        <v/>
      </c>
      <c r="M649">
        <f>'2 transformar y limpiar'!M663</f>
        <v/>
      </c>
      <c r="N649">
        <f>'2 transformar y limpiar'!N663</f>
        <v/>
      </c>
      <c r="O649">
        <f>'2 transformar y limpiar'!O663</f>
        <v/>
      </c>
      <c r="P649">
        <f>'2 transformar y limpiar'!P663</f>
        <v/>
      </c>
      <c r="Q649">
        <f>'2 transformar y limpiar'!Q663</f>
        <v/>
      </c>
      <c r="R649">
        <f>'2 transformar y limpiar'!R663</f>
        <v/>
      </c>
      <c r="S649">
        <f>'2 transformar y limpiar'!S663</f>
        <v/>
      </c>
      <c r="T649">
        <f>'2 transformar y limpiar'!T663</f>
        <v/>
      </c>
      <c r="U649" s="5">
        <f>'2 transformar y limpiar'!U663</f>
        <v/>
      </c>
    </row>
    <row r="650">
      <c r="A650">
        <f>'2 transformar y limpiar'!A664</f>
        <v/>
      </c>
      <c r="B650">
        <f>'2 transformar y limpiar'!B664</f>
        <v/>
      </c>
      <c r="C650" s="6">
        <f>('2 transformar y limpiar'!C664-$B$6)/$C$6</f>
        <v/>
      </c>
      <c r="D650" s="6">
        <f>('2 transformar y limpiar'!D664-$B$7)/$C$7</f>
        <v/>
      </c>
      <c r="E650" s="6">
        <f>('2 transformar y limpiar'!E664-$B$8)/$C$8</f>
        <v/>
      </c>
      <c r="F650" s="6">
        <f>('2 transformar y limpiar'!F664-$B$9)/$C$9</f>
        <v/>
      </c>
      <c r="G650">
        <f>'2 transformar y limpiar'!G664</f>
        <v/>
      </c>
      <c r="H650">
        <f>'2 transformar y limpiar'!H664</f>
        <v/>
      </c>
      <c r="I650">
        <f>'2 transformar y limpiar'!I664</f>
        <v/>
      </c>
      <c r="J650">
        <f>'2 transformar y limpiar'!J664</f>
        <v/>
      </c>
      <c r="K650">
        <f>'2 transformar y limpiar'!K664</f>
        <v/>
      </c>
      <c r="L650">
        <f>'2 transformar y limpiar'!L664</f>
        <v/>
      </c>
      <c r="M650">
        <f>'2 transformar y limpiar'!M664</f>
        <v/>
      </c>
      <c r="N650">
        <f>'2 transformar y limpiar'!N664</f>
        <v/>
      </c>
      <c r="O650">
        <f>'2 transformar y limpiar'!O664</f>
        <v/>
      </c>
      <c r="P650">
        <f>'2 transformar y limpiar'!P664</f>
        <v/>
      </c>
      <c r="Q650">
        <f>'2 transformar y limpiar'!Q664</f>
        <v/>
      </c>
      <c r="R650">
        <f>'2 transformar y limpiar'!R664</f>
        <v/>
      </c>
      <c r="S650">
        <f>'2 transformar y limpiar'!S664</f>
        <v/>
      </c>
      <c r="T650">
        <f>'2 transformar y limpiar'!T664</f>
        <v/>
      </c>
      <c r="U650" s="5">
        <f>'2 transformar y limpiar'!U664</f>
        <v/>
      </c>
    </row>
    <row r="651">
      <c r="A651">
        <f>'2 transformar y limpiar'!A665</f>
        <v/>
      </c>
      <c r="B651">
        <f>'2 transformar y limpiar'!B665</f>
        <v/>
      </c>
      <c r="C651" s="6">
        <f>('2 transformar y limpiar'!C665-$B$6)/$C$6</f>
        <v/>
      </c>
      <c r="D651" s="6">
        <f>('2 transformar y limpiar'!D665-$B$7)/$C$7</f>
        <v/>
      </c>
      <c r="E651" s="6">
        <f>('2 transformar y limpiar'!E665-$B$8)/$C$8</f>
        <v/>
      </c>
      <c r="F651" s="6">
        <f>('2 transformar y limpiar'!F665-$B$9)/$C$9</f>
        <v/>
      </c>
      <c r="G651">
        <f>'2 transformar y limpiar'!G665</f>
        <v/>
      </c>
      <c r="H651">
        <f>'2 transformar y limpiar'!H665</f>
        <v/>
      </c>
      <c r="I651">
        <f>'2 transformar y limpiar'!I665</f>
        <v/>
      </c>
      <c r="J651">
        <f>'2 transformar y limpiar'!J665</f>
        <v/>
      </c>
      <c r="K651">
        <f>'2 transformar y limpiar'!K665</f>
        <v/>
      </c>
      <c r="L651">
        <f>'2 transformar y limpiar'!L665</f>
        <v/>
      </c>
      <c r="M651">
        <f>'2 transformar y limpiar'!M665</f>
        <v/>
      </c>
      <c r="N651">
        <f>'2 transformar y limpiar'!N665</f>
        <v/>
      </c>
      <c r="O651">
        <f>'2 transformar y limpiar'!O665</f>
        <v/>
      </c>
      <c r="P651">
        <f>'2 transformar y limpiar'!P665</f>
        <v/>
      </c>
      <c r="Q651">
        <f>'2 transformar y limpiar'!Q665</f>
        <v/>
      </c>
      <c r="R651">
        <f>'2 transformar y limpiar'!R665</f>
        <v/>
      </c>
      <c r="S651">
        <f>'2 transformar y limpiar'!S665</f>
        <v/>
      </c>
      <c r="T651">
        <f>'2 transformar y limpiar'!T665</f>
        <v/>
      </c>
      <c r="U651" s="5">
        <f>'2 transformar y limpiar'!U665</f>
        <v/>
      </c>
    </row>
    <row r="652">
      <c r="A652">
        <f>'2 transformar y limpiar'!A666</f>
        <v/>
      </c>
      <c r="B652">
        <f>'2 transformar y limpiar'!B666</f>
        <v/>
      </c>
      <c r="C652" s="6">
        <f>('2 transformar y limpiar'!C666-$B$6)/$C$6</f>
        <v/>
      </c>
      <c r="D652" s="6">
        <f>('2 transformar y limpiar'!D666-$B$7)/$C$7</f>
        <v/>
      </c>
      <c r="E652" s="6">
        <f>('2 transformar y limpiar'!E666-$B$8)/$C$8</f>
        <v/>
      </c>
      <c r="F652" s="6">
        <f>('2 transformar y limpiar'!F666-$B$9)/$C$9</f>
        <v/>
      </c>
      <c r="G652">
        <f>'2 transformar y limpiar'!G666</f>
        <v/>
      </c>
      <c r="H652">
        <f>'2 transformar y limpiar'!H666</f>
        <v/>
      </c>
      <c r="I652">
        <f>'2 transformar y limpiar'!I666</f>
        <v/>
      </c>
      <c r="J652">
        <f>'2 transformar y limpiar'!J666</f>
        <v/>
      </c>
      <c r="K652">
        <f>'2 transformar y limpiar'!K666</f>
        <v/>
      </c>
      <c r="L652">
        <f>'2 transformar y limpiar'!L666</f>
        <v/>
      </c>
      <c r="M652">
        <f>'2 transformar y limpiar'!M666</f>
        <v/>
      </c>
      <c r="N652">
        <f>'2 transformar y limpiar'!N666</f>
        <v/>
      </c>
      <c r="O652">
        <f>'2 transformar y limpiar'!O666</f>
        <v/>
      </c>
      <c r="P652">
        <f>'2 transformar y limpiar'!P666</f>
        <v/>
      </c>
      <c r="Q652">
        <f>'2 transformar y limpiar'!Q666</f>
        <v/>
      </c>
      <c r="R652">
        <f>'2 transformar y limpiar'!R666</f>
        <v/>
      </c>
      <c r="S652">
        <f>'2 transformar y limpiar'!S666</f>
        <v/>
      </c>
      <c r="T652">
        <f>'2 transformar y limpiar'!T666</f>
        <v/>
      </c>
      <c r="U652" s="5">
        <f>'2 transformar y limpiar'!U666</f>
        <v/>
      </c>
    </row>
    <row r="653">
      <c r="A653">
        <f>'2 transformar y limpiar'!A667</f>
        <v/>
      </c>
      <c r="B653">
        <f>'2 transformar y limpiar'!B667</f>
        <v/>
      </c>
      <c r="C653" s="6">
        <f>('2 transformar y limpiar'!C667-$B$6)/$C$6</f>
        <v/>
      </c>
      <c r="D653" s="6">
        <f>('2 transformar y limpiar'!D667-$B$7)/$C$7</f>
        <v/>
      </c>
      <c r="E653" s="6">
        <f>('2 transformar y limpiar'!E667-$B$8)/$C$8</f>
        <v/>
      </c>
      <c r="F653" s="6">
        <f>('2 transformar y limpiar'!F667-$B$9)/$C$9</f>
        <v/>
      </c>
      <c r="G653">
        <f>'2 transformar y limpiar'!G667</f>
        <v/>
      </c>
      <c r="H653">
        <f>'2 transformar y limpiar'!H667</f>
        <v/>
      </c>
      <c r="I653">
        <f>'2 transformar y limpiar'!I667</f>
        <v/>
      </c>
      <c r="J653">
        <f>'2 transformar y limpiar'!J667</f>
        <v/>
      </c>
      <c r="K653">
        <f>'2 transformar y limpiar'!K667</f>
        <v/>
      </c>
      <c r="L653">
        <f>'2 transformar y limpiar'!L667</f>
        <v/>
      </c>
      <c r="M653">
        <f>'2 transformar y limpiar'!M667</f>
        <v/>
      </c>
      <c r="N653">
        <f>'2 transformar y limpiar'!N667</f>
        <v/>
      </c>
      <c r="O653">
        <f>'2 transformar y limpiar'!O667</f>
        <v/>
      </c>
      <c r="P653">
        <f>'2 transformar y limpiar'!P667</f>
        <v/>
      </c>
      <c r="Q653">
        <f>'2 transformar y limpiar'!Q667</f>
        <v/>
      </c>
      <c r="R653">
        <f>'2 transformar y limpiar'!R667</f>
        <v/>
      </c>
      <c r="S653">
        <f>'2 transformar y limpiar'!S667</f>
        <v/>
      </c>
      <c r="T653">
        <f>'2 transformar y limpiar'!T667</f>
        <v/>
      </c>
      <c r="U653" s="5">
        <f>'2 transformar y limpiar'!U667</f>
        <v/>
      </c>
    </row>
    <row r="654">
      <c r="A654">
        <f>'2 transformar y limpiar'!A668</f>
        <v/>
      </c>
      <c r="B654">
        <f>'2 transformar y limpiar'!B668</f>
        <v/>
      </c>
      <c r="C654" s="6">
        <f>('2 transformar y limpiar'!C668-$B$6)/$C$6</f>
        <v/>
      </c>
      <c r="D654" s="6">
        <f>('2 transformar y limpiar'!D668-$B$7)/$C$7</f>
        <v/>
      </c>
      <c r="E654" s="6">
        <f>('2 transformar y limpiar'!E668-$B$8)/$C$8</f>
        <v/>
      </c>
      <c r="F654" s="6">
        <f>('2 transformar y limpiar'!F668-$B$9)/$C$9</f>
        <v/>
      </c>
      <c r="G654">
        <f>'2 transformar y limpiar'!G668</f>
        <v/>
      </c>
      <c r="H654">
        <f>'2 transformar y limpiar'!H668</f>
        <v/>
      </c>
      <c r="I654">
        <f>'2 transformar y limpiar'!I668</f>
        <v/>
      </c>
      <c r="J654">
        <f>'2 transformar y limpiar'!J668</f>
        <v/>
      </c>
      <c r="K654">
        <f>'2 transformar y limpiar'!K668</f>
        <v/>
      </c>
      <c r="L654">
        <f>'2 transformar y limpiar'!L668</f>
        <v/>
      </c>
      <c r="M654">
        <f>'2 transformar y limpiar'!M668</f>
        <v/>
      </c>
      <c r="N654">
        <f>'2 transformar y limpiar'!N668</f>
        <v/>
      </c>
      <c r="O654">
        <f>'2 transformar y limpiar'!O668</f>
        <v/>
      </c>
      <c r="P654">
        <f>'2 transformar y limpiar'!P668</f>
        <v/>
      </c>
      <c r="Q654">
        <f>'2 transformar y limpiar'!Q668</f>
        <v/>
      </c>
      <c r="R654">
        <f>'2 transformar y limpiar'!R668</f>
        <v/>
      </c>
      <c r="S654">
        <f>'2 transformar y limpiar'!S668</f>
        <v/>
      </c>
      <c r="T654">
        <f>'2 transformar y limpiar'!T668</f>
        <v/>
      </c>
      <c r="U654" s="5">
        <f>'2 transformar y limpiar'!U668</f>
        <v/>
      </c>
    </row>
    <row r="655">
      <c r="A655">
        <f>'2 transformar y limpiar'!A669</f>
        <v/>
      </c>
      <c r="B655">
        <f>'2 transformar y limpiar'!B669</f>
        <v/>
      </c>
      <c r="C655" s="6">
        <f>('2 transformar y limpiar'!C669-$B$6)/$C$6</f>
        <v/>
      </c>
      <c r="D655" s="6">
        <f>('2 transformar y limpiar'!D669-$B$7)/$C$7</f>
        <v/>
      </c>
      <c r="E655" s="6">
        <f>('2 transformar y limpiar'!E669-$B$8)/$C$8</f>
        <v/>
      </c>
      <c r="F655" s="6">
        <f>('2 transformar y limpiar'!F669-$B$9)/$C$9</f>
        <v/>
      </c>
      <c r="G655">
        <f>'2 transformar y limpiar'!G669</f>
        <v/>
      </c>
      <c r="H655">
        <f>'2 transformar y limpiar'!H669</f>
        <v/>
      </c>
      <c r="I655">
        <f>'2 transformar y limpiar'!I669</f>
        <v/>
      </c>
      <c r="J655">
        <f>'2 transformar y limpiar'!J669</f>
        <v/>
      </c>
      <c r="K655">
        <f>'2 transformar y limpiar'!K669</f>
        <v/>
      </c>
      <c r="L655">
        <f>'2 transformar y limpiar'!L669</f>
        <v/>
      </c>
      <c r="M655">
        <f>'2 transformar y limpiar'!M669</f>
        <v/>
      </c>
      <c r="N655">
        <f>'2 transformar y limpiar'!N669</f>
        <v/>
      </c>
      <c r="O655">
        <f>'2 transformar y limpiar'!O669</f>
        <v/>
      </c>
      <c r="P655">
        <f>'2 transformar y limpiar'!P669</f>
        <v/>
      </c>
      <c r="Q655">
        <f>'2 transformar y limpiar'!Q669</f>
        <v/>
      </c>
      <c r="R655">
        <f>'2 transformar y limpiar'!R669</f>
        <v/>
      </c>
      <c r="S655">
        <f>'2 transformar y limpiar'!S669</f>
        <v/>
      </c>
      <c r="T655">
        <f>'2 transformar y limpiar'!T669</f>
        <v/>
      </c>
      <c r="U655" s="5">
        <f>'2 transformar y limpiar'!U669</f>
        <v/>
      </c>
    </row>
    <row r="656">
      <c r="A656">
        <f>'2 transformar y limpiar'!A670</f>
        <v/>
      </c>
      <c r="B656">
        <f>'2 transformar y limpiar'!B670</f>
        <v/>
      </c>
      <c r="C656" s="6">
        <f>('2 transformar y limpiar'!C670-$B$6)/$C$6</f>
        <v/>
      </c>
      <c r="D656" s="6">
        <f>('2 transformar y limpiar'!D670-$B$7)/$C$7</f>
        <v/>
      </c>
      <c r="E656" s="6">
        <f>('2 transformar y limpiar'!E670-$B$8)/$C$8</f>
        <v/>
      </c>
      <c r="F656" s="6">
        <f>('2 transformar y limpiar'!F670-$B$9)/$C$9</f>
        <v/>
      </c>
      <c r="G656">
        <f>'2 transformar y limpiar'!G670</f>
        <v/>
      </c>
      <c r="H656">
        <f>'2 transformar y limpiar'!H670</f>
        <v/>
      </c>
      <c r="I656">
        <f>'2 transformar y limpiar'!I670</f>
        <v/>
      </c>
      <c r="J656">
        <f>'2 transformar y limpiar'!J670</f>
        <v/>
      </c>
      <c r="K656">
        <f>'2 transformar y limpiar'!K670</f>
        <v/>
      </c>
      <c r="L656">
        <f>'2 transformar y limpiar'!L670</f>
        <v/>
      </c>
      <c r="M656">
        <f>'2 transformar y limpiar'!M670</f>
        <v/>
      </c>
      <c r="N656">
        <f>'2 transformar y limpiar'!N670</f>
        <v/>
      </c>
      <c r="O656">
        <f>'2 transformar y limpiar'!O670</f>
        <v/>
      </c>
      <c r="P656">
        <f>'2 transformar y limpiar'!P670</f>
        <v/>
      </c>
      <c r="Q656">
        <f>'2 transformar y limpiar'!Q670</f>
        <v/>
      </c>
      <c r="R656">
        <f>'2 transformar y limpiar'!R670</f>
        <v/>
      </c>
      <c r="S656">
        <f>'2 transformar y limpiar'!S670</f>
        <v/>
      </c>
      <c r="T656">
        <f>'2 transformar y limpiar'!T670</f>
        <v/>
      </c>
      <c r="U656" s="5">
        <f>'2 transformar y limpiar'!U670</f>
        <v/>
      </c>
    </row>
    <row r="657">
      <c r="A657">
        <f>'2 transformar y limpiar'!A671</f>
        <v/>
      </c>
      <c r="B657">
        <f>'2 transformar y limpiar'!B671</f>
        <v/>
      </c>
      <c r="C657" s="6">
        <f>('2 transformar y limpiar'!C671-$B$6)/$C$6</f>
        <v/>
      </c>
      <c r="D657" s="6">
        <f>('2 transformar y limpiar'!D671-$B$7)/$C$7</f>
        <v/>
      </c>
      <c r="E657" s="6">
        <f>('2 transformar y limpiar'!E671-$B$8)/$C$8</f>
        <v/>
      </c>
      <c r="F657" s="6">
        <f>('2 transformar y limpiar'!F671-$B$9)/$C$9</f>
        <v/>
      </c>
      <c r="G657">
        <f>'2 transformar y limpiar'!G671</f>
        <v/>
      </c>
      <c r="H657">
        <f>'2 transformar y limpiar'!H671</f>
        <v/>
      </c>
      <c r="I657">
        <f>'2 transformar y limpiar'!I671</f>
        <v/>
      </c>
      <c r="J657">
        <f>'2 transformar y limpiar'!J671</f>
        <v/>
      </c>
      <c r="K657">
        <f>'2 transformar y limpiar'!K671</f>
        <v/>
      </c>
      <c r="L657">
        <f>'2 transformar y limpiar'!L671</f>
        <v/>
      </c>
      <c r="M657">
        <f>'2 transformar y limpiar'!M671</f>
        <v/>
      </c>
      <c r="N657">
        <f>'2 transformar y limpiar'!N671</f>
        <v/>
      </c>
      <c r="O657">
        <f>'2 transformar y limpiar'!O671</f>
        <v/>
      </c>
      <c r="P657">
        <f>'2 transformar y limpiar'!P671</f>
        <v/>
      </c>
      <c r="Q657">
        <f>'2 transformar y limpiar'!Q671</f>
        <v/>
      </c>
      <c r="R657">
        <f>'2 transformar y limpiar'!R671</f>
        <v/>
      </c>
      <c r="S657">
        <f>'2 transformar y limpiar'!S671</f>
        <v/>
      </c>
      <c r="T657">
        <f>'2 transformar y limpiar'!T671</f>
        <v/>
      </c>
      <c r="U657" s="5">
        <f>'2 transformar y limpiar'!U671</f>
        <v/>
      </c>
    </row>
    <row r="658">
      <c r="A658">
        <f>'2 transformar y limpiar'!A672</f>
        <v/>
      </c>
      <c r="B658">
        <f>'2 transformar y limpiar'!B672</f>
        <v/>
      </c>
      <c r="C658" s="6">
        <f>('2 transformar y limpiar'!C672-$B$6)/$C$6</f>
        <v/>
      </c>
      <c r="D658" s="6">
        <f>('2 transformar y limpiar'!D672-$B$7)/$C$7</f>
        <v/>
      </c>
      <c r="E658" s="6">
        <f>('2 transformar y limpiar'!E672-$B$8)/$C$8</f>
        <v/>
      </c>
      <c r="F658" s="6">
        <f>('2 transformar y limpiar'!F672-$B$9)/$C$9</f>
        <v/>
      </c>
      <c r="G658">
        <f>'2 transformar y limpiar'!G672</f>
        <v/>
      </c>
      <c r="H658">
        <f>'2 transformar y limpiar'!H672</f>
        <v/>
      </c>
      <c r="I658">
        <f>'2 transformar y limpiar'!I672</f>
        <v/>
      </c>
      <c r="J658">
        <f>'2 transformar y limpiar'!J672</f>
        <v/>
      </c>
      <c r="K658">
        <f>'2 transformar y limpiar'!K672</f>
        <v/>
      </c>
      <c r="L658">
        <f>'2 transformar y limpiar'!L672</f>
        <v/>
      </c>
      <c r="M658">
        <f>'2 transformar y limpiar'!M672</f>
        <v/>
      </c>
      <c r="N658">
        <f>'2 transformar y limpiar'!N672</f>
        <v/>
      </c>
      <c r="O658">
        <f>'2 transformar y limpiar'!O672</f>
        <v/>
      </c>
      <c r="P658">
        <f>'2 transformar y limpiar'!P672</f>
        <v/>
      </c>
      <c r="Q658">
        <f>'2 transformar y limpiar'!Q672</f>
        <v/>
      </c>
      <c r="R658">
        <f>'2 transformar y limpiar'!R672</f>
        <v/>
      </c>
      <c r="S658">
        <f>'2 transformar y limpiar'!S672</f>
        <v/>
      </c>
      <c r="T658">
        <f>'2 transformar y limpiar'!T672</f>
        <v/>
      </c>
      <c r="U658" s="5">
        <f>'2 transformar y limpiar'!U672</f>
        <v/>
      </c>
    </row>
    <row r="659">
      <c r="A659">
        <f>'2 transformar y limpiar'!A673</f>
        <v/>
      </c>
      <c r="B659">
        <f>'2 transformar y limpiar'!B673</f>
        <v/>
      </c>
      <c r="C659" s="6">
        <f>('2 transformar y limpiar'!C673-$B$6)/$C$6</f>
        <v/>
      </c>
      <c r="D659" s="6">
        <f>('2 transformar y limpiar'!D673-$B$7)/$C$7</f>
        <v/>
      </c>
      <c r="E659" s="6">
        <f>('2 transformar y limpiar'!E673-$B$8)/$C$8</f>
        <v/>
      </c>
      <c r="F659" s="6">
        <f>('2 transformar y limpiar'!F673-$B$9)/$C$9</f>
        <v/>
      </c>
      <c r="G659">
        <f>'2 transformar y limpiar'!G673</f>
        <v/>
      </c>
      <c r="H659">
        <f>'2 transformar y limpiar'!H673</f>
        <v/>
      </c>
      <c r="I659">
        <f>'2 transformar y limpiar'!I673</f>
        <v/>
      </c>
      <c r="J659">
        <f>'2 transformar y limpiar'!J673</f>
        <v/>
      </c>
      <c r="K659">
        <f>'2 transformar y limpiar'!K673</f>
        <v/>
      </c>
      <c r="L659">
        <f>'2 transformar y limpiar'!L673</f>
        <v/>
      </c>
      <c r="M659">
        <f>'2 transformar y limpiar'!M673</f>
        <v/>
      </c>
      <c r="N659">
        <f>'2 transformar y limpiar'!N673</f>
        <v/>
      </c>
      <c r="O659">
        <f>'2 transformar y limpiar'!O673</f>
        <v/>
      </c>
      <c r="P659">
        <f>'2 transformar y limpiar'!P673</f>
        <v/>
      </c>
      <c r="Q659">
        <f>'2 transformar y limpiar'!Q673</f>
        <v/>
      </c>
      <c r="R659">
        <f>'2 transformar y limpiar'!R673</f>
        <v/>
      </c>
      <c r="S659">
        <f>'2 transformar y limpiar'!S673</f>
        <v/>
      </c>
      <c r="T659">
        <f>'2 transformar y limpiar'!T673</f>
        <v/>
      </c>
      <c r="U659" s="5">
        <f>'2 transformar y limpiar'!U673</f>
        <v/>
      </c>
    </row>
    <row r="660">
      <c r="A660">
        <f>'2 transformar y limpiar'!A674</f>
        <v/>
      </c>
      <c r="B660">
        <f>'2 transformar y limpiar'!B674</f>
        <v/>
      </c>
      <c r="C660" s="6">
        <f>('2 transformar y limpiar'!C674-$B$6)/$C$6</f>
        <v/>
      </c>
      <c r="D660" s="6">
        <f>('2 transformar y limpiar'!D674-$B$7)/$C$7</f>
        <v/>
      </c>
      <c r="E660" s="6">
        <f>('2 transformar y limpiar'!E674-$B$8)/$C$8</f>
        <v/>
      </c>
      <c r="F660" s="6">
        <f>('2 transformar y limpiar'!F674-$B$9)/$C$9</f>
        <v/>
      </c>
      <c r="G660">
        <f>'2 transformar y limpiar'!G674</f>
        <v/>
      </c>
      <c r="H660">
        <f>'2 transformar y limpiar'!H674</f>
        <v/>
      </c>
      <c r="I660">
        <f>'2 transformar y limpiar'!I674</f>
        <v/>
      </c>
      <c r="J660">
        <f>'2 transformar y limpiar'!J674</f>
        <v/>
      </c>
      <c r="K660">
        <f>'2 transformar y limpiar'!K674</f>
        <v/>
      </c>
      <c r="L660">
        <f>'2 transformar y limpiar'!L674</f>
        <v/>
      </c>
      <c r="M660">
        <f>'2 transformar y limpiar'!M674</f>
        <v/>
      </c>
      <c r="N660">
        <f>'2 transformar y limpiar'!N674</f>
        <v/>
      </c>
      <c r="O660">
        <f>'2 transformar y limpiar'!O674</f>
        <v/>
      </c>
      <c r="P660">
        <f>'2 transformar y limpiar'!P674</f>
        <v/>
      </c>
      <c r="Q660">
        <f>'2 transformar y limpiar'!Q674</f>
        <v/>
      </c>
      <c r="R660">
        <f>'2 transformar y limpiar'!R674</f>
        <v/>
      </c>
      <c r="S660">
        <f>'2 transformar y limpiar'!S674</f>
        <v/>
      </c>
      <c r="T660">
        <f>'2 transformar y limpiar'!T674</f>
        <v/>
      </c>
      <c r="U660" s="5">
        <f>'2 transformar y limpiar'!U674</f>
        <v/>
      </c>
    </row>
    <row r="661">
      <c r="A661">
        <f>'2 transformar y limpiar'!A675</f>
        <v/>
      </c>
      <c r="B661">
        <f>'2 transformar y limpiar'!B675</f>
        <v/>
      </c>
      <c r="C661" s="6">
        <f>('2 transformar y limpiar'!C675-$B$6)/$C$6</f>
        <v/>
      </c>
      <c r="D661" s="6">
        <f>('2 transformar y limpiar'!D675-$B$7)/$C$7</f>
        <v/>
      </c>
      <c r="E661" s="6">
        <f>('2 transformar y limpiar'!E675-$B$8)/$C$8</f>
        <v/>
      </c>
      <c r="F661" s="6">
        <f>('2 transformar y limpiar'!F675-$B$9)/$C$9</f>
        <v/>
      </c>
      <c r="G661">
        <f>'2 transformar y limpiar'!G675</f>
        <v/>
      </c>
      <c r="H661">
        <f>'2 transformar y limpiar'!H675</f>
        <v/>
      </c>
      <c r="I661">
        <f>'2 transformar y limpiar'!I675</f>
        <v/>
      </c>
      <c r="J661">
        <f>'2 transformar y limpiar'!J675</f>
        <v/>
      </c>
      <c r="K661">
        <f>'2 transformar y limpiar'!K675</f>
        <v/>
      </c>
      <c r="L661">
        <f>'2 transformar y limpiar'!L675</f>
        <v/>
      </c>
      <c r="M661">
        <f>'2 transformar y limpiar'!M675</f>
        <v/>
      </c>
      <c r="N661">
        <f>'2 transformar y limpiar'!N675</f>
        <v/>
      </c>
      <c r="O661">
        <f>'2 transformar y limpiar'!O675</f>
        <v/>
      </c>
      <c r="P661">
        <f>'2 transformar y limpiar'!P675</f>
        <v/>
      </c>
      <c r="Q661">
        <f>'2 transformar y limpiar'!Q675</f>
        <v/>
      </c>
      <c r="R661">
        <f>'2 transformar y limpiar'!R675</f>
        <v/>
      </c>
      <c r="S661">
        <f>'2 transformar y limpiar'!S675</f>
        <v/>
      </c>
      <c r="T661">
        <f>'2 transformar y limpiar'!T675</f>
        <v/>
      </c>
      <c r="U661" s="5">
        <f>'2 transformar y limpiar'!U675</f>
        <v/>
      </c>
    </row>
    <row r="662">
      <c r="A662">
        <f>'2 transformar y limpiar'!A676</f>
        <v/>
      </c>
      <c r="B662">
        <f>'2 transformar y limpiar'!B676</f>
        <v/>
      </c>
      <c r="C662" s="6">
        <f>('2 transformar y limpiar'!C676-$B$6)/$C$6</f>
        <v/>
      </c>
      <c r="D662" s="6">
        <f>('2 transformar y limpiar'!D676-$B$7)/$C$7</f>
        <v/>
      </c>
      <c r="E662" s="6">
        <f>('2 transformar y limpiar'!E676-$B$8)/$C$8</f>
        <v/>
      </c>
      <c r="F662" s="6">
        <f>('2 transformar y limpiar'!F676-$B$9)/$C$9</f>
        <v/>
      </c>
      <c r="G662">
        <f>'2 transformar y limpiar'!G676</f>
        <v/>
      </c>
      <c r="H662">
        <f>'2 transformar y limpiar'!H676</f>
        <v/>
      </c>
      <c r="I662">
        <f>'2 transformar y limpiar'!I676</f>
        <v/>
      </c>
      <c r="J662">
        <f>'2 transformar y limpiar'!J676</f>
        <v/>
      </c>
      <c r="K662">
        <f>'2 transformar y limpiar'!K676</f>
        <v/>
      </c>
      <c r="L662">
        <f>'2 transformar y limpiar'!L676</f>
        <v/>
      </c>
      <c r="M662">
        <f>'2 transformar y limpiar'!M676</f>
        <v/>
      </c>
      <c r="N662">
        <f>'2 transformar y limpiar'!N676</f>
        <v/>
      </c>
      <c r="O662">
        <f>'2 transformar y limpiar'!O676</f>
        <v/>
      </c>
      <c r="P662">
        <f>'2 transformar y limpiar'!P676</f>
        <v/>
      </c>
      <c r="Q662">
        <f>'2 transformar y limpiar'!Q676</f>
        <v/>
      </c>
      <c r="R662">
        <f>'2 transformar y limpiar'!R676</f>
        <v/>
      </c>
      <c r="S662">
        <f>'2 transformar y limpiar'!S676</f>
        <v/>
      </c>
      <c r="T662">
        <f>'2 transformar y limpiar'!T676</f>
        <v/>
      </c>
      <c r="U662" s="5">
        <f>'2 transformar y limpiar'!U676</f>
        <v/>
      </c>
    </row>
    <row r="663">
      <c r="A663">
        <f>'2 transformar y limpiar'!A677</f>
        <v/>
      </c>
      <c r="B663">
        <f>'2 transformar y limpiar'!B677</f>
        <v/>
      </c>
      <c r="C663" s="6">
        <f>('2 transformar y limpiar'!C677-$B$6)/$C$6</f>
        <v/>
      </c>
      <c r="D663" s="6">
        <f>('2 transformar y limpiar'!D677-$B$7)/$C$7</f>
        <v/>
      </c>
      <c r="E663" s="6">
        <f>('2 transformar y limpiar'!E677-$B$8)/$C$8</f>
        <v/>
      </c>
      <c r="F663" s="6">
        <f>('2 transformar y limpiar'!F677-$B$9)/$C$9</f>
        <v/>
      </c>
      <c r="G663">
        <f>'2 transformar y limpiar'!G677</f>
        <v/>
      </c>
      <c r="H663">
        <f>'2 transformar y limpiar'!H677</f>
        <v/>
      </c>
      <c r="I663">
        <f>'2 transformar y limpiar'!I677</f>
        <v/>
      </c>
      <c r="J663">
        <f>'2 transformar y limpiar'!J677</f>
        <v/>
      </c>
      <c r="K663">
        <f>'2 transformar y limpiar'!K677</f>
        <v/>
      </c>
      <c r="L663">
        <f>'2 transformar y limpiar'!L677</f>
        <v/>
      </c>
      <c r="M663">
        <f>'2 transformar y limpiar'!M677</f>
        <v/>
      </c>
      <c r="N663">
        <f>'2 transformar y limpiar'!N677</f>
        <v/>
      </c>
      <c r="O663">
        <f>'2 transformar y limpiar'!O677</f>
        <v/>
      </c>
      <c r="P663">
        <f>'2 transformar y limpiar'!P677</f>
        <v/>
      </c>
      <c r="Q663">
        <f>'2 transformar y limpiar'!Q677</f>
        <v/>
      </c>
      <c r="R663">
        <f>'2 transformar y limpiar'!R677</f>
        <v/>
      </c>
      <c r="S663">
        <f>'2 transformar y limpiar'!S677</f>
        <v/>
      </c>
      <c r="T663">
        <f>'2 transformar y limpiar'!T677</f>
        <v/>
      </c>
      <c r="U663" s="5">
        <f>'2 transformar y limpiar'!U677</f>
        <v/>
      </c>
    </row>
    <row r="664">
      <c r="A664">
        <f>'2 transformar y limpiar'!A678</f>
        <v/>
      </c>
      <c r="B664">
        <f>'2 transformar y limpiar'!B678</f>
        <v/>
      </c>
      <c r="C664" s="6">
        <f>('2 transformar y limpiar'!C678-$B$6)/$C$6</f>
        <v/>
      </c>
      <c r="D664" s="6">
        <f>('2 transformar y limpiar'!D678-$B$7)/$C$7</f>
        <v/>
      </c>
      <c r="E664" s="6">
        <f>('2 transformar y limpiar'!E678-$B$8)/$C$8</f>
        <v/>
      </c>
      <c r="F664" s="6">
        <f>('2 transformar y limpiar'!F678-$B$9)/$C$9</f>
        <v/>
      </c>
      <c r="G664">
        <f>'2 transformar y limpiar'!G678</f>
        <v/>
      </c>
      <c r="H664">
        <f>'2 transformar y limpiar'!H678</f>
        <v/>
      </c>
      <c r="I664">
        <f>'2 transformar y limpiar'!I678</f>
        <v/>
      </c>
      <c r="J664">
        <f>'2 transformar y limpiar'!J678</f>
        <v/>
      </c>
      <c r="K664">
        <f>'2 transformar y limpiar'!K678</f>
        <v/>
      </c>
      <c r="L664">
        <f>'2 transformar y limpiar'!L678</f>
        <v/>
      </c>
      <c r="M664">
        <f>'2 transformar y limpiar'!M678</f>
        <v/>
      </c>
      <c r="N664">
        <f>'2 transformar y limpiar'!N678</f>
        <v/>
      </c>
      <c r="O664">
        <f>'2 transformar y limpiar'!O678</f>
        <v/>
      </c>
      <c r="P664">
        <f>'2 transformar y limpiar'!P678</f>
        <v/>
      </c>
      <c r="Q664">
        <f>'2 transformar y limpiar'!Q678</f>
        <v/>
      </c>
      <c r="R664">
        <f>'2 transformar y limpiar'!R678</f>
        <v/>
      </c>
      <c r="S664">
        <f>'2 transformar y limpiar'!S678</f>
        <v/>
      </c>
      <c r="T664">
        <f>'2 transformar y limpiar'!T678</f>
        <v/>
      </c>
      <c r="U664" s="5">
        <f>'2 transformar y limpiar'!U678</f>
        <v/>
      </c>
    </row>
    <row r="665">
      <c r="A665">
        <f>'2 transformar y limpiar'!A679</f>
        <v/>
      </c>
      <c r="B665">
        <f>'2 transformar y limpiar'!B679</f>
        <v/>
      </c>
      <c r="C665" s="6">
        <f>('2 transformar y limpiar'!C679-$B$6)/$C$6</f>
        <v/>
      </c>
      <c r="D665" s="6">
        <f>('2 transformar y limpiar'!D679-$B$7)/$C$7</f>
        <v/>
      </c>
      <c r="E665" s="6">
        <f>('2 transformar y limpiar'!E679-$B$8)/$C$8</f>
        <v/>
      </c>
      <c r="F665" s="6">
        <f>('2 transformar y limpiar'!F679-$B$9)/$C$9</f>
        <v/>
      </c>
      <c r="G665">
        <f>'2 transformar y limpiar'!G679</f>
        <v/>
      </c>
      <c r="H665">
        <f>'2 transformar y limpiar'!H679</f>
        <v/>
      </c>
      <c r="I665">
        <f>'2 transformar y limpiar'!I679</f>
        <v/>
      </c>
      <c r="J665">
        <f>'2 transformar y limpiar'!J679</f>
        <v/>
      </c>
      <c r="K665">
        <f>'2 transformar y limpiar'!K679</f>
        <v/>
      </c>
      <c r="L665">
        <f>'2 transformar y limpiar'!L679</f>
        <v/>
      </c>
      <c r="M665">
        <f>'2 transformar y limpiar'!M679</f>
        <v/>
      </c>
      <c r="N665">
        <f>'2 transformar y limpiar'!N679</f>
        <v/>
      </c>
      <c r="O665">
        <f>'2 transformar y limpiar'!O679</f>
        <v/>
      </c>
      <c r="P665">
        <f>'2 transformar y limpiar'!P679</f>
        <v/>
      </c>
      <c r="Q665">
        <f>'2 transformar y limpiar'!Q679</f>
        <v/>
      </c>
      <c r="R665">
        <f>'2 transformar y limpiar'!R679</f>
        <v/>
      </c>
      <c r="S665">
        <f>'2 transformar y limpiar'!S679</f>
        <v/>
      </c>
      <c r="T665">
        <f>'2 transformar y limpiar'!T679</f>
        <v/>
      </c>
      <c r="U665" s="5">
        <f>'2 transformar y limpiar'!U679</f>
        <v/>
      </c>
    </row>
    <row r="666">
      <c r="A666">
        <f>'2 transformar y limpiar'!A680</f>
        <v/>
      </c>
      <c r="B666">
        <f>'2 transformar y limpiar'!B680</f>
        <v/>
      </c>
      <c r="C666" s="6">
        <f>('2 transformar y limpiar'!C680-$B$6)/$C$6</f>
        <v/>
      </c>
      <c r="D666" s="6">
        <f>('2 transformar y limpiar'!D680-$B$7)/$C$7</f>
        <v/>
      </c>
      <c r="E666" s="6">
        <f>('2 transformar y limpiar'!E680-$B$8)/$C$8</f>
        <v/>
      </c>
      <c r="F666" s="6">
        <f>('2 transformar y limpiar'!F680-$B$9)/$C$9</f>
        <v/>
      </c>
      <c r="G666">
        <f>'2 transformar y limpiar'!G680</f>
        <v/>
      </c>
      <c r="H666">
        <f>'2 transformar y limpiar'!H680</f>
        <v/>
      </c>
      <c r="I666">
        <f>'2 transformar y limpiar'!I680</f>
        <v/>
      </c>
      <c r="J666">
        <f>'2 transformar y limpiar'!J680</f>
        <v/>
      </c>
      <c r="K666">
        <f>'2 transformar y limpiar'!K680</f>
        <v/>
      </c>
      <c r="L666">
        <f>'2 transformar y limpiar'!L680</f>
        <v/>
      </c>
      <c r="M666">
        <f>'2 transformar y limpiar'!M680</f>
        <v/>
      </c>
      <c r="N666">
        <f>'2 transformar y limpiar'!N680</f>
        <v/>
      </c>
      <c r="O666">
        <f>'2 transformar y limpiar'!O680</f>
        <v/>
      </c>
      <c r="P666">
        <f>'2 transformar y limpiar'!P680</f>
        <v/>
      </c>
      <c r="Q666">
        <f>'2 transformar y limpiar'!Q680</f>
        <v/>
      </c>
      <c r="R666">
        <f>'2 transformar y limpiar'!R680</f>
        <v/>
      </c>
      <c r="S666">
        <f>'2 transformar y limpiar'!S680</f>
        <v/>
      </c>
      <c r="T666">
        <f>'2 transformar y limpiar'!T680</f>
        <v/>
      </c>
      <c r="U666" s="5">
        <f>'2 transformar y limpiar'!U680</f>
        <v/>
      </c>
    </row>
    <row r="667">
      <c r="A667">
        <f>'2 transformar y limpiar'!A681</f>
        <v/>
      </c>
      <c r="B667">
        <f>'2 transformar y limpiar'!B681</f>
        <v/>
      </c>
      <c r="C667" s="6">
        <f>('2 transformar y limpiar'!C681-$B$6)/$C$6</f>
        <v/>
      </c>
      <c r="D667" s="6">
        <f>('2 transformar y limpiar'!D681-$B$7)/$C$7</f>
        <v/>
      </c>
      <c r="E667" s="6">
        <f>('2 transformar y limpiar'!E681-$B$8)/$C$8</f>
        <v/>
      </c>
      <c r="F667" s="6">
        <f>('2 transformar y limpiar'!F681-$B$9)/$C$9</f>
        <v/>
      </c>
      <c r="G667">
        <f>'2 transformar y limpiar'!G681</f>
        <v/>
      </c>
      <c r="H667">
        <f>'2 transformar y limpiar'!H681</f>
        <v/>
      </c>
      <c r="I667">
        <f>'2 transformar y limpiar'!I681</f>
        <v/>
      </c>
      <c r="J667">
        <f>'2 transformar y limpiar'!J681</f>
        <v/>
      </c>
      <c r="K667">
        <f>'2 transformar y limpiar'!K681</f>
        <v/>
      </c>
      <c r="L667">
        <f>'2 transformar y limpiar'!L681</f>
        <v/>
      </c>
      <c r="M667">
        <f>'2 transformar y limpiar'!M681</f>
        <v/>
      </c>
      <c r="N667">
        <f>'2 transformar y limpiar'!N681</f>
        <v/>
      </c>
      <c r="O667">
        <f>'2 transformar y limpiar'!O681</f>
        <v/>
      </c>
      <c r="P667">
        <f>'2 transformar y limpiar'!P681</f>
        <v/>
      </c>
      <c r="Q667">
        <f>'2 transformar y limpiar'!Q681</f>
        <v/>
      </c>
      <c r="R667">
        <f>'2 transformar y limpiar'!R681</f>
        <v/>
      </c>
      <c r="S667">
        <f>'2 transformar y limpiar'!S681</f>
        <v/>
      </c>
      <c r="T667">
        <f>'2 transformar y limpiar'!T681</f>
        <v/>
      </c>
      <c r="U667" s="5">
        <f>'2 transformar y limpiar'!U681</f>
        <v/>
      </c>
    </row>
    <row r="668">
      <c r="A668">
        <f>'2 transformar y limpiar'!A682</f>
        <v/>
      </c>
      <c r="B668">
        <f>'2 transformar y limpiar'!B682</f>
        <v/>
      </c>
      <c r="C668" s="6">
        <f>('2 transformar y limpiar'!C682-$B$6)/$C$6</f>
        <v/>
      </c>
      <c r="D668" s="6">
        <f>('2 transformar y limpiar'!D682-$B$7)/$C$7</f>
        <v/>
      </c>
      <c r="E668" s="6">
        <f>('2 transformar y limpiar'!E682-$B$8)/$C$8</f>
        <v/>
      </c>
      <c r="F668" s="6">
        <f>('2 transformar y limpiar'!F682-$B$9)/$C$9</f>
        <v/>
      </c>
      <c r="G668">
        <f>'2 transformar y limpiar'!G682</f>
        <v/>
      </c>
      <c r="H668">
        <f>'2 transformar y limpiar'!H682</f>
        <v/>
      </c>
      <c r="I668">
        <f>'2 transformar y limpiar'!I682</f>
        <v/>
      </c>
      <c r="J668">
        <f>'2 transformar y limpiar'!J682</f>
        <v/>
      </c>
      <c r="K668">
        <f>'2 transformar y limpiar'!K682</f>
        <v/>
      </c>
      <c r="L668">
        <f>'2 transformar y limpiar'!L682</f>
        <v/>
      </c>
      <c r="M668">
        <f>'2 transformar y limpiar'!M682</f>
        <v/>
      </c>
      <c r="N668">
        <f>'2 transformar y limpiar'!N682</f>
        <v/>
      </c>
      <c r="O668">
        <f>'2 transformar y limpiar'!O682</f>
        <v/>
      </c>
      <c r="P668">
        <f>'2 transformar y limpiar'!P682</f>
        <v/>
      </c>
      <c r="Q668">
        <f>'2 transformar y limpiar'!Q682</f>
        <v/>
      </c>
      <c r="R668">
        <f>'2 transformar y limpiar'!R682</f>
        <v/>
      </c>
      <c r="S668">
        <f>'2 transformar y limpiar'!S682</f>
        <v/>
      </c>
      <c r="T668">
        <f>'2 transformar y limpiar'!T682</f>
        <v/>
      </c>
      <c r="U668" s="5">
        <f>'2 transformar y limpiar'!U682</f>
        <v/>
      </c>
    </row>
    <row r="669">
      <c r="A669">
        <f>'2 transformar y limpiar'!A683</f>
        <v/>
      </c>
      <c r="B669">
        <f>'2 transformar y limpiar'!B683</f>
        <v/>
      </c>
      <c r="C669" s="6">
        <f>('2 transformar y limpiar'!C683-$B$6)/$C$6</f>
        <v/>
      </c>
      <c r="D669" s="6">
        <f>('2 transformar y limpiar'!D683-$B$7)/$C$7</f>
        <v/>
      </c>
      <c r="E669" s="6">
        <f>('2 transformar y limpiar'!E683-$B$8)/$C$8</f>
        <v/>
      </c>
      <c r="F669" s="6">
        <f>('2 transformar y limpiar'!F683-$B$9)/$C$9</f>
        <v/>
      </c>
      <c r="G669">
        <f>'2 transformar y limpiar'!G683</f>
        <v/>
      </c>
      <c r="H669">
        <f>'2 transformar y limpiar'!H683</f>
        <v/>
      </c>
      <c r="I669">
        <f>'2 transformar y limpiar'!I683</f>
        <v/>
      </c>
      <c r="J669">
        <f>'2 transformar y limpiar'!J683</f>
        <v/>
      </c>
      <c r="K669">
        <f>'2 transformar y limpiar'!K683</f>
        <v/>
      </c>
      <c r="L669">
        <f>'2 transformar y limpiar'!L683</f>
        <v/>
      </c>
      <c r="M669">
        <f>'2 transformar y limpiar'!M683</f>
        <v/>
      </c>
      <c r="N669">
        <f>'2 transformar y limpiar'!N683</f>
        <v/>
      </c>
      <c r="O669">
        <f>'2 transformar y limpiar'!O683</f>
        <v/>
      </c>
      <c r="P669">
        <f>'2 transformar y limpiar'!P683</f>
        <v/>
      </c>
      <c r="Q669">
        <f>'2 transformar y limpiar'!Q683</f>
        <v/>
      </c>
      <c r="R669">
        <f>'2 transformar y limpiar'!R683</f>
        <v/>
      </c>
      <c r="S669">
        <f>'2 transformar y limpiar'!S683</f>
        <v/>
      </c>
      <c r="T669">
        <f>'2 transformar y limpiar'!T683</f>
        <v/>
      </c>
      <c r="U669" s="5">
        <f>'2 transformar y limpiar'!U683</f>
        <v/>
      </c>
    </row>
    <row r="670">
      <c r="A670">
        <f>'2 transformar y limpiar'!A684</f>
        <v/>
      </c>
      <c r="B670">
        <f>'2 transformar y limpiar'!B684</f>
        <v/>
      </c>
      <c r="C670" s="6">
        <f>('2 transformar y limpiar'!C684-$B$6)/$C$6</f>
        <v/>
      </c>
      <c r="D670" s="6">
        <f>('2 transformar y limpiar'!D684-$B$7)/$C$7</f>
        <v/>
      </c>
      <c r="E670" s="6">
        <f>('2 transformar y limpiar'!E684-$B$8)/$C$8</f>
        <v/>
      </c>
      <c r="F670" s="6">
        <f>('2 transformar y limpiar'!F684-$B$9)/$C$9</f>
        <v/>
      </c>
      <c r="G670">
        <f>'2 transformar y limpiar'!G684</f>
        <v/>
      </c>
      <c r="H670">
        <f>'2 transformar y limpiar'!H684</f>
        <v/>
      </c>
      <c r="I670">
        <f>'2 transformar y limpiar'!I684</f>
        <v/>
      </c>
      <c r="J670">
        <f>'2 transformar y limpiar'!J684</f>
        <v/>
      </c>
      <c r="K670">
        <f>'2 transformar y limpiar'!K684</f>
        <v/>
      </c>
      <c r="L670">
        <f>'2 transformar y limpiar'!L684</f>
        <v/>
      </c>
      <c r="M670">
        <f>'2 transformar y limpiar'!M684</f>
        <v/>
      </c>
      <c r="N670">
        <f>'2 transformar y limpiar'!N684</f>
        <v/>
      </c>
      <c r="O670">
        <f>'2 transformar y limpiar'!O684</f>
        <v/>
      </c>
      <c r="P670">
        <f>'2 transformar y limpiar'!P684</f>
        <v/>
      </c>
      <c r="Q670">
        <f>'2 transformar y limpiar'!Q684</f>
        <v/>
      </c>
      <c r="R670">
        <f>'2 transformar y limpiar'!R684</f>
        <v/>
      </c>
      <c r="S670">
        <f>'2 transformar y limpiar'!S684</f>
        <v/>
      </c>
      <c r="T670">
        <f>'2 transformar y limpiar'!T684</f>
        <v/>
      </c>
      <c r="U670" s="5">
        <f>'2 transformar y limpiar'!U684</f>
        <v/>
      </c>
    </row>
    <row r="671">
      <c r="A671">
        <f>'2 transformar y limpiar'!A685</f>
        <v/>
      </c>
      <c r="B671">
        <f>'2 transformar y limpiar'!B685</f>
        <v/>
      </c>
      <c r="C671" s="6">
        <f>('2 transformar y limpiar'!C685-$B$6)/$C$6</f>
        <v/>
      </c>
      <c r="D671" s="6">
        <f>('2 transformar y limpiar'!D685-$B$7)/$C$7</f>
        <v/>
      </c>
      <c r="E671" s="6">
        <f>('2 transformar y limpiar'!E685-$B$8)/$C$8</f>
        <v/>
      </c>
      <c r="F671" s="6">
        <f>('2 transformar y limpiar'!F685-$B$9)/$C$9</f>
        <v/>
      </c>
      <c r="G671">
        <f>'2 transformar y limpiar'!G685</f>
        <v/>
      </c>
      <c r="H671">
        <f>'2 transformar y limpiar'!H685</f>
        <v/>
      </c>
      <c r="I671">
        <f>'2 transformar y limpiar'!I685</f>
        <v/>
      </c>
      <c r="J671">
        <f>'2 transformar y limpiar'!J685</f>
        <v/>
      </c>
      <c r="K671">
        <f>'2 transformar y limpiar'!K685</f>
        <v/>
      </c>
      <c r="L671">
        <f>'2 transformar y limpiar'!L685</f>
        <v/>
      </c>
      <c r="M671">
        <f>'2 transformar y limpiar'!M685</f>
        <v/>
      </c>
      <c r="N671">
        <f>'2 transformar y limpiar'!N685</f>
        <v/>
      </c>
      <c r="O671">
        <f>'2 transformar y limpiar'!O685</f>
        <v/>
      </c>
      <c r="P671">
        <f>'2 transformar y limpiar'!P685</f>
        <v/>
      </c>
      <c r="Q671">
        <f>'2 transformar y limpiar'!Q685</f>
        <v/>
      </c>
      <c r="R671">
        <f>'2 transformar y limpiar'!R685</f>
        <v/>
      </c>
      <c r="S671">
        <f>'2 transformar y limpiar'!S685</f>
        <v/>
      </c>
      <c r="T671">
        <f>'2 transformar y limpiar'!T685</f>
        <v/>
      </c>
      <c r="U671" s="5">
        <f>'2 transformar y limpiar'!U685</f>
        <v/>
      </c>
    </row>
    <row r="672">
      <c r="A672">
        <f>'2 transformar y limpiar'!A686</f>
        <v/>
      </c>
      <c r="B672">
        <f>'2 transformar y limpiar'!B686</f>
        <v/>
      </c>
      <c r="C672" s="6">
        <f>('2 transformar y limpiar'!C686-$B$6)/$C$6</f>
        <v/>
      </c>
      <c r="D672" s="6">
        <f>('2 transformar y limpiar'!D686-$B$7)/$C$7</f>
        <v/>
      </c>
      <c r="E672" s="6">
        <f>('2 transformar y limpiar'!E686-$B$8)/$C$8</f>
        <v/>
      </c>
      <c r="F672" s="6">
        <f>('2 transformar y limpiar'!F686-$B$9)/$C$9</f>
        <v/>
      </c>
      <c r="G672">
        <f>'2 transformar y limpiar'!G686</f>
        <v/>
      </c>
      <c r="H672">
        <f>'2 transformar y limpiar'!H686</f>
        <v/>
      </c>
      <c r="I672">
        <f>'2 transformar y limpiar'!I686</f>
        <v/>
      </c>
      <c r="J672">
        <f>'2 transformar y limpiar'!J686</f>
        <v/>
      </c>
      <c r="K672">
        <f>'2 transformar y limpiar'!K686</f>
        <v/>
      </c>
      <c r="L672">
        <f>'2 transformar y limpiar'!L686</f>
        <v/>
      </c>
      <c r="M672">
        <f>'2 transformar y limpiar'!M686</f>
        <v/>
      </c>
      <c r="N672">
        <f>'2 transformar y limpiar'!N686</f>
        <v/>
      </c>
      <c r="O672">
        <f>'2 transformar y limpiar'!O686</f>
        <v/>
      </c>
      <c r="P672">
        <f>'2 transformar y limpiar'!P686</f>
        <v/>
      </c>
      <c r="Q672">
        <f>'2 transformar y limpiar'!Q686</f>
        <v/>
      </c>
      <c r="R672">
        <f>'2 transformar y limpiar'!R686</f>
        <v/>
      </c>
      <c r="S672">
        <f>'2 transformar y limpiar'!S686</f>
        <v/>
      </c>
      <c r="T672">
        <f>'2 transformar y limpiar'!T686</f>
        <v/>
      </c>
      <c r="U672" s="5">
        <f>'2 transformar y limpiar'!U686</f>
        <v/>
      </c>
    </row>
    <row r="673">
      <c r="A673">
        <f>'2 transformar y limpiar'!A687</f>
        <v/>
      </c>
      <c r="B673">
        <f>'2 transformar y limpiar'!B687</f>
        <v/>
      </c>
      <c r="C673" s="6">
        <f>('2 transformar y limpiar'!C687-$B$6)/$C$6</f>
        <v/>
      </c>
      <c r="D673" s="6">
        <f>('2 transformar y limpiar'!D687-$B$7)/$C$7</f>
        <v/>
      </c>
      <c r="E673" s="6">
        <f>('2 transformar y limpiar'!E687-$B$8)/$C$8</f>
        <v/>
      </c>
      <c r="F673" s="6">
        <f>('2 transformar y limpiar'!F687-$B$9)/$C$9</f>
        <v/>
      </c>
      <c r="G673">
        <f>'2 transformar y limpiar'!G687</f>
        <v/>
      </c>
      <c r="H673">
        <f>'2 transformar y limpiar'!H687</f>
        <v/>
      </c>
      <c r="I673">
        <f>'2 transformar y limpiar'!I687</f>
        <v/>
      </c>
      <c r="J673">
        <f>'2 transformar y limpiar'!J687</f>
        <v/>
      </c>
      <c r="K673">
        <f>'2 transformar y limpiar'!K687</f>
        <v/>
      </c>
      <c r="L673">
        <f>'2 transformar y limpiar'!L687</f>
        <v/>
      </c>
      <c r="M673">
        <f>'2 transformar y limpiar'!M687</f>
        <v/>
      </c>
      <c r="N673">
        <f>'2 transformar y limpiar'!N687</f>
        <v/>
      </c>
      <c r="O673">
        <f>'2 transformar y limpiar'!O687</f>
        <v/>
      </c>
      <c r="P673">
        <f>'2 transformar y limpiar'!P687</f>
        <v/>
      </c>
      <c r="Q673">
        <f>'2 transformar y limpiar'!Q687</f>
        <v/>
      </c>
      <c r="R673">
        <f>'2 transformar y limpiar'!R687</f>
        <v/>
      </c>
      <c r="S673">
        <f>'2 transformar y limpiar'!S687</f>
        <v/>
      </c>
      <c r="T673">
        <f>'2 transformar y limpiar'!T687</f>
        <v/>
      </c>
      <c r="U673" s="5">
        <f>'2 transformar y limpiar'!U687</f>
        <v/>
      </c>
    </row>
    <row r="674">
      <c r="A674">
        <f>'2 transformar y limpiar'!A688</f>
        <v/>
      </c>
      <c r="B674">
        <f>'2 transformar y limpiar'!B688</f>
        <v/>
      </c>
      <c r="C674" s="6">
        <f>('2 transformar y limpiar'!C688-$B$6)/$C$6</f>
        <v/>
      </c>
      <c r="D674" s="6">
        <f>('2 transformar y limpiar'!D688-$B$7)/$C$7</f>
        <v/>
      </c>
      <c r="E674" s="6">
        <f>('2 transformar y limpiar'!E688-$B$8)/$C$8</f>
        <v/>
      </c>
      <c r="F674" s="6">
        <f>('2 transformar y limpiar'!F688-$B$9)/$C$9</f>
        <v/>
      </c>
      <c r="G674">
        <f>'2 transformar y limpiar'!G688</f>
        <v/>
      </c>
      <c r="H674">
        <f>'2 transformar y limpiar'!H688</f>
        <v/>
      </c>
      <c r="I674">
        <f>'2 transformar y limpiar'!I688</f>
        <v/>
      </c>
      <c r="J674">
        <f>'2 transformar y limpiar'!J688</f>
        <v/>
      </c>
      <c r="K674">
        <f>'2 transformar y limpiar'!K688</f>
        <v/>
      </c>
      <c r="L674">
        <f>'2 transformar y limpiar'!L688</f>
        <v/>
      </c>
      <c r="M674">
        <f>'2 transformar y limpiar'!M688</f>
        <v/>
      </c>
      <c r="N674">
        <f>'2 transformar y limpiar'!N688</f>
        <v/>
      </c>
      <c r="O674">
        <f>'2 transformar y limpiar'!O688</f>
        <v/>
      </c>
      <c r="P674">
        <f>'2 transformar y limpiar'!P688</f>
        <v/>
      </c>
      <c r="Q674">
        <f>'2 transformar y limpiar'!Q688</f>
        <v/>
      </c>
      <c r="R674">
        <f>'2 transformar y limpiar'!R688</f>
        <v/>
      </c>
      <c r="S674">
        <f>'2 transformar y limpiar'!S688</f>
        <v/>
      </c>
      <c r="T674">
        <f>'2 transformar y limpiar'!T688</f>
        <v/>
      </c>
      <c r="U674" s="5">
        <f>'2 transformar y limpiar'!U688</f>
        <v/>
      </c>
    </row>
    <row r="675">
      <c r="A675">
        <f>'2 transformar y limpiar'!A689</f>
        <v/>
      </c>
      <c r="B675">
        <f>'2 transformar y limpiar'!B689</f>
        <v/>
      </c>
      <c r="C675" s="6">
        <f>('2 transformar y limpiar'!C689-$B$6)/$C$6</f>
        <v/>
      </c>
      <c r="D675" s="6">
        <f>('2 transformar y limpiar'!D689-$B$7)/$C$7</f>
        <v/>
      </c>
      <c r="E675" s="6">
        <f>('2 transformar y limpiar'!E689-$B$8)/$C$8</f>
        <v/>
      </c>
      <c r="F675" s="6">
        <f>('2 transformar y limpiar'!F689-$B$9)/$C$9</f>
        <v/>
      </c>
      <c r="G675">
        <f>'2 transformar y limpiar'!G689</f>
        <v/>
      </c>
      <c r="H675">
        <f>'2 transformar y limpiar'!H689</f>
        <v/>
      </c>
      <c r="I675">
        <f>'2 transformar y limpiar'!I689</f>
        <v/>
      </c>
      <c r="J675">
        <f>'2 transformar y limpiar'!J689</f>
        <v/>
      </c>
      <c r="K675">
        <f>'2 transformar y limpiar'!K689</f>
        <v/>
      </c>
      <c r="L675">
        <f>'2 transformar y limpiar'!L689</f>
        <v/>
      </c>
      <c r="M675">
        <f>'2 transformar y limpiar'!M689</f>
        <v/>
      </c>
      <c r="N675">
        <f>'2 transformar y limpiar'!N689</f>
        <v/>
      </c>
      <c r="O675">
        <f>'2 transformar y limpiar'!O689</f>
        <v/>
      </c>
      <c r="P675">
        <f>'2 transformar y limpiar'!P689</f>
        <v/>
      </c>
      <c r="Q675">
        <f>'2 transformar y limpiar'!Q689</f>
        <v/>
      </c>
      <c r="R675">
        <f>'2 transformar y limpiar'!R689</f>
        <v/>
      </c>
      <c r="S675">
        <f>'2 transformar y limpiar'!S689</f>
        <v/>
      </c>
      <c r="T675">
        <f>'2 transformar y limpiar'!T689</f>
        <v/>
      </c>
      <c r="U675" s="5">
        <f>'2 transformar y limpiar'!U689</f>
        <v/>
      </c>
    </row>
    <row r="676">
      <c r="A676">
        <f>'2 transformar y limpiar'!A690</f>
        <v/>
      </c>
      <c r="B676">
        <f>'2 transformar y limpiar'!B690</f>
        <v/>
      </c>
      <c r="C676" s="6">
        <f>('2 transformar y limpiar'!C690-$B$6)/$C$6</f>
        <v/>
      </c>
      <c r="D676" s="6">
        <f>('2 transformar y limpiar'!D690-$B$7)/$C$7</f>
        <v/>
      </c>
      <c r="E676" s="6">
        <f>('2 transformar y limpiar'!E690-$B$8)/$C$8</f>
        <v/>
      </c>
      <c r="F676" s="6">
        <f>('2 transformar y limpiar'!F690-$B$9)/$C$9</f>
        <v/>
      </c>
      <c r="G676">
        <f>'2 transformar y limpiar'!G690</f>
        <v/>
      </c>
      <c r="H676">
        <f>'2 transformar y limpiar'!H690</f>
        <v/>
      </c>
      <c r="I676">
        <f>'2 transformar y limpiar'!I690</f>
        <v/>
      </c>
      <c r="J676">
        <f>'2 transformar y limpiar'!J690</f>
        <v/>
      </c>
      <c r="K676">
        <f>'2 transformar y limpiar'!K690</f>
        <v/>
      </c>
      <c r="L676">
        <f>'2 transformar y limpiar'!L690</f>
        <v/>
      </c>
      <c r="M676">
        <f>'2 transformar y limpiar'!M690</f>
        <v/>
      </c>
      <c r="N676">
        <f>'2 transformar y limpiar'!N690</f>
        <v/>
      </c>
      <c r="O676">
        <f>'2 transformar y limpiar'!O690</f>
        <v/>
      </c>
      <c r="P676">
        <f>'2 transformar y limpiar'!P690</f>
        <v/>
      </c>
      <c r="Q676">
        <f>'2 transformar y limpiar'!Q690</f>
        <v/>
      </c>
      <c r="R676">
        <f>'2 transformar y limpiar'!R690</f>
        <v/>
      </c>
      <c r="S676">
        <f>'2 transformar y limpiar'!S690</f>
        <v/>
      </c>
      <c r="T676">
        <f>'2 transformar y limpiar'!T690</f>
        <v/>
      </c>
      <c r="U676" s="5">
        <f>'2 transformar y limpiar'!U690</f>
        <v/>
      </c>
    </row>
    <row r="677">
      <c r="A677">
        <f>'2 transformar y limpiar'!A691</f>
        <v/>
      </c>
      <c r="B677">
        <f>'2 transformar y limpiar'!B691</f>
        <v/>
      </c>
      <c r="C677" s="6">
        <f>('2 transformar y limpiar'!C691-$B$6)/$C$6</f>
        <v/>
      </c>
      <c r="D677" s="6">
        <f>('2 transformar y limpiar'!D691-$B$7)/$C$7</f>
        <v/>
      </c>
      <c r="E677" s="6">
        <f>('2 transformar y limpiar'!E691-$B$8)/$C$8</f>
        <v/>
      </c>
      <c r="F677" s="6">
        <f>('2 transformar y limpiar'!F691-$B$9)/$C$9</f>
        <v/>
      </c>
      <c r="G677">
        <f>'2 transformar y limpiar'!G691</f>
        <v/>
      </c>
      <c r="H677">
        <f>'2 transformar y limpiar'!H691</f>
        <v/>
      </c>
      <c r="I677">
        <f>'2 transformar y limpiar'!I691</f>
        <v/>
      </c>
      <c r="J677">
        <f>'2 transformar y limpiar'!J691</f>
        <v/>
      </c>
      <c r="K677">
        <f>'2 transformar y limpiar'!K691</f>
        <v/>
      </c>
      <c r="L677">
        <f>'2 transformar y limpiar'!L691</f>
        <v/>
      </c>
      <c r="M677">
        <f>'2 transformar y limpiar'!M691</f>
        <v/>
      </c>
      <c r="N677">
        <f>'2 transformar y limpiar'!N691</f>
        <v/>
      </c>
      <c r="O677">
        <f>'2 transformar y limpiar'!O691</f>
        <v/>
      </c>
      <c r="P677">
        <f>'2 transformar y limpiar'!P691</f>
        <v/>
      </c>
      <c r="Q677">
        <f>'2 transformar y limpiar'!Q691</f>
        <v/>
      </c>
      <c r="R677">
        <f>'2 transformar y limpiar'!R691</f>
        <v/>
      </c>
      <c r="S677">
        <f>'2 transformar y limpiar'!S691</f>
        <v/>
      </c>
      <c r="T677">
        <f>'2 transformar y limpiar'!T691</f>
        <v/>
      </c>
      <c r="U677" s="5">
        <f>'2 transformar y limpiar'!U691</f>
        <v/>
      </c>
    </row>
    <row r="678">
      <c r="A678">
        <f>'2 transformar y limpiar'!A692</f>
        <v/>
      </c>
      <c r="B678">
        <f>'2 transformar y limpiar'!B692</f>
        <v/>
      </c>
      <c r="C678" s="6">
        <f>('2 transformar y limpiar'!C692-$B$6)/$C$6</f>
        <v/>
      </c>
      <c r="D678" s="6">
        <f>('2 transformar y limpiar'!D692-$B$7)/$C$7</f>
        <v/>
      </c>
      <c r="E678" s="6">
        <f>('2 transformar y limpiar'!E692-$B$8)/$C$8</f>
        <v/>
      </c>
      <c r="F678" s="6">
        <f>('2 transformar y limpiar'!F692-$B$9)/$C$9</f>
        <v/>
      </c>
      <c r="G678">
        <f>'2 transformar y limpiar'!G692</f>
        <v/>
      </c>
      <c r="H678">
        <f>'2 transformar y limpiar'!H692</f>
        <v/>
      </c>
      <c r="I678">
        <f>'2 transformar y limpiar'!I692</f>
        <v/>
      </c>
      <c r="J678">
        <f>'2 transformar y limpiar'!J692</f>
        <v/>
      </c>
      <c r="K678">
        <f>'2 transformar y limpiar'!K692</f>
        <v/>
      </c>
      <c r="L678">
        <f>'2 transformar y limpiar'!L692</f>
        <v/>
      </c>
      <c r="M678">
        <f>'2 transformar y limpiar'!M692</f>
        <v/>
      </c>
      <c r="N678">
        <f>'2 transformar y limpiar'!N692</f>
        <v/>
      </c>
      <c r="O678">
        <f>'2 transformar y limpiar'!O692</f>
        <v/>
      </c>
      <c r="P678">
        <f>'2 transformar y limpiar'!P692</f>
        <v/>
      </c>
      <c r="Q678">
        <f>'2 transformar y limpiar'!Q692</f>
        <v/>
      </c>
      <c r="R678">
        <f>'2 transformar y limpiar'!R692</f>
        <v/>
      </c>
      <c r="S678">
        <f>'2 transformar y limpiar'!S692</f>
        <v/>
      </c>
      <c r="T678">
        <f>'2 transformar y limpiar'!T692</f>
        <v/>
      </c>
      <c r="U678" s="5">
        <f>'2 transformar y limpiar'!U692</f>
        <v/>
      </c>
    </row>
    <row r="679">
      <c r="A679">
        <f>'2 transformar y limpiar'!A693</f>
        <v/>
      </c>
      <c r="B679">
        <f>'2 transformar y limpiar'!B693</f>
        <v/>
      </c>
      <c r="C679" s="6">
        <f>('2 transformar y limpiar'!C693-$B$6)/$C$6</f>
        <v/>
      </c>
      <c r="D679" s="6">
        <f>('2 transformar y limpiar'!D693-$B$7)/$C$7</f>
        <v/>
      </c>
      <c r="E679" s="6">
        <f>('2 transformar y limpiar'!E693-$B$8)/$C$8</f>
        <v/>
      </c>
      <c r="F679" s="6">
        <f>('2 transformar y limpiar'!F693-$B$9)/$C$9</f>
        <v/>
      </c>
      <c r="G679">
        <f>'2 transformar y limpiar'!G693</f>
        <v/>
      </c>
      <c r="H679">
        <f>'2 transformar y limpiar'!H693</f>
        <v/>
      </c>
      <c r="I679">
        <f>'2 transformar y limpiar'!I693</f>
        <v/>
      </c>
      <c r="J679">
        <f>'2 transformar y limpiar'!J693</f>
        <v/>
      </c>
      <c r="K679">
        <f>'2 transformar y limpiar'!K693</f>
        <v/>
      </c>
      <c r="L679">
        <f>'2 transformar y limpiar'!L693</f>
        <v/>
      </c>
      <c r="M679">
        <f>'2 transformar y limpiar'!M693</f>
        <v/>
      </c>
      <c r="N679">
        <f>'2 transformar y limpiar'!N693</f>
        <v/>
      </c>
      <c r="O679">
        <f>'2 transformar y limpiar'!O693</f>
        <v/>
      </c>
      <c r="P679">
        <f>'2 transformar y limpiar'!P693</f>
        <v/>
      </c>
      <c r="Q679">
        <f>'2 transformar y limpiar'!Q693</f>
        <v/>
      </c>
      <c r="R679">
        <f>'2 transformar y limpiar'!R693</f>
        <v/>
      </c>
      <c r="S679">
        <f>'2 transformar y limpiar'!S693</f>
        <v/>
      </c>
      <c r="T679">
        <f>'2 transformar y limpiar'!T693</f>
        <v/>
      </c>
      <c r="U679" s="5">
        <f>'2 transformar y limpiar'!U693</f>
        <v/>
      </c>
    </row>
    <row r="680">
      <c r="A680">
        <f>'2 transformar y limpiar'!A694</f>
        <v/>
      </c>
      <c r="B680">
        <f>'2 transformar y limpiar'!B694</f>
        <v/>
      </c>
      <c r="C680" s="6">
        <f>('2 transformar y limpiar'!C694-$B$6)/$C$6</f>
        <v/>
      </c>
      <c r="D680" s="6">
        <f>('2 transformar y limpiar'!D694-$B$7)/$C$7</f>
        <v/>
      </c>
      <c r="E680" s="6">
        <f>('2 transformar y limpiar'!E694-$B$8)/$C$8</f>
        <v/>
      </c>
      <c r="F680" s="6">
        <f>('2 transformar y limpiar'!F694-$B$9)/$C$9</f>
        <v/>
      </c>
      <c r="G680">
        <f>'2 transformar y limpiar'!G694</f>
        <v/>
      </c>
      <c r="H680">
        <f>'2 transformar y limpiar'!H694</f>
        <v/>
      </c>
      <c r="I680">
        <f>'2 transformar y limpiar'!I694</f>
        <v/>
      </c>
      <c r="J680">
        <f>'2 transformar y limpiar'!J694</f>
        <v/>
      </c>
      <c r="K680">
        <f>'2 transformar y limpiar'!K694</f>
        <v/>
      </c>
      <c r="L680">
        <f>'2 transformar y limpiar'!L694</f>
        <v/>
      </c>
      <c r="M680">
        <f>'2 transformar y limpiar'!M694</f>
        <v/>
      </c>
      <c r="N680">
        <f>'2 transformar y limpiar'!N694</f>
        <v/>
      </c>
      <c r="O680">
        <f>'2 transformar y limpiar'!O694</f>
        <v/>
      </c>
      <c r="P680">
        <f>'2 transformar y limpiar'!P694</f>
        <v/>
      </c>
      <c r="Q680">
        <f>'2 transformar y limpiar'!Q694</f>
        <v/>
      </c>
      <c r="R680">
        <f>'2 transformar y limpiar'!R694</f>
        <v/>
      </c>
      <c r="S680">
        <f>'2 transformar y limpiar'!S694</f>
        <v/>
      </c>
      <c r="T680">
        <f>'2 transformar y limpiar'!T694</f>
        <v/>
      </c>
      <c r="U680" s="5">
        <f>'2 transformar y limpiar'!U694</f>
        <v/>
      </c>
    </row>
    <row r="681">
      <c r="A681">
        <f>'2 transformar y limpiar'!A695</f>
        <v/>
      </c>
      <c r="B681">
        <f>'2 transformar y limpiar'!B695</f>
        <v/>
      </c>
      <c r="C681" s="6">
        <f>('2 transformar y limpiar'!C695-$B$6)/$C$6</f>
        <v/>
      </c>
      <c r="D681" s="6">
        <f>('2 transformar y limpiar'!D695-$B$7)/$C$7</f>
        <v/>
      </c>
      <c r="E681" s="6">
        <f>('2 transformar y limpiar'!E695-$B$8)/$C$8</f>
        <v/>
      </c>
      <c r="F681" s="6">
        <f>('2 transformar y limpiar'!F695-$B$9)/$C$9</f>
        <v/>
      </c>
      <c r="G681">
        <f>'2 transformar y limpiar'!G695</f>
        <v/>
      </c>
      <c r="H681">
        <f>'2 transformar y limpiar'!H695</f>
        <v/>
      </c>
      <c r="I681">
        <f>'2 transformar y limpiar'!I695</f>
        <v/>
      </c>
      <c r="J681">
        <f>'2 transformar y limpiar'!J695</f>
        <v/>
      </c>
      <c r="K681">
        <f>'2 transformar y limpiar'!K695</f>
        <v/>
      </c>
      <c r="L681">
        <f>'2 transformar y limpiar'!L695</f>
        <v/>
      </c>
      <c r="M681">
        <f>'2 transformar y limpiar'!M695</f>
        <v/>
      </c>
      <c r="N681">
        <f>'2 transformar y limpiar'!N695</f>
        <v/>
      </c>
      <c r="O681">
        <f>'2 transformar y limpiar'!O695</f>
        <v/>
      </c>
      <c r="P681">
        <f>'2 transformar y limpiar'!P695</f>
        <v/>
      </c>
      <c r="Q681">
        <f>'2 transformar y limpiar'!Q695</f>
        <v/>
      </c>
      <c r="R681">
        <f>'2 transformar y limpiar'!R695</f>
        <v/>
      </c>
      <c r="S681">
        <f>'2 transformar y limpiar'!S695</f>
        <v/>
      </c>
      <c r="T681">
        <f>'2 transformar y limpiar'!T695</f>
        <v/>
      </c>
      <c r="U681" s="5">
        <f>'2 transformar y limpiar'!U695</f>
        <v/>
      </c>
    </row>
    <row r="682">
      <c r="A682">
        <f>'2 transformar y limpiar'!A696</f>
        <v/>
      </c>
      <c r="B682">
        <f>'2 transformar y limpiar'!B696</f>
        <v/>
      </c>
      <c r="C682" s="6">
        <f>('2 transformar y limpiar'!C696-$B$6)/$C$6</f>
        <v/>
      </c>
      <c r="D682" s="6">
        <f>('2 transformar y limpiar'!D696-$B$7)/$C$7</f>
        <v/>
      </c>
      <c r="E682" s="6">
        <f>('2 transformar y limpiar'!E696-$B$8)/$C$8</f>
        <v/>
      </c>
      <c r="F682" s="6">
        <f>('2 transformar y limpiar'!F696-$B$9)/$C$9</f>
        <v/>
      </c>
      <c r="G682">
        <f>'2 transformar y limpiar'!G696</f>
        <v/>
      </c>
      <c r="H682">
        <f>'2 transformar y limpiar'!H696</f>
        <v/>
      </c>
      <c r="I682">
        <f>'2 transformar y limpiar'!I696</f>
        <v/>
      </c>
      <c r="J682">
        <f>'2 transformar y limpiar'!J696</f>
        <v/>
      </c>
      <c r="K682">
        <f>'2 transformar y limpiar'!K696</f>
        <v/>
      </c>
      <c r="L682">
        <f>'2 transformar y limpiar'!L696</f>
        <v/>
      </c>
      <c r="M682">
        <f>'2 transformar y limpiar'!M696</f>
        <v/>
      </c>
      <c r="N682">
        <f>'2 transformar y limpiar'!N696</f>
        <v/>
      </c>
      <c r="O682">
        <f>'2 transformar y limpiar'!O696</f>
        <v/>
      </c>
      <c r="P682">
        <f>'2 transformar y limpiar'!P696</f>
        <v/>
      </c>
      <c r="Q682">
        <f>'2 transformar y limpiar'!Q696</f>
        <v/>
      </c>
      <c r="R682">
        <f>'2 transformar y limpiar'!R696</f>
        <v/>
      </c>
      <c r="S682">
        <f>'2 transformar y limpiar'!S696</f>
        <v/>
      </c>
      <c r="T682">
        <f>'2 transformar y limpiar'!T696</f>
        <v/>
      </c>
      <c r="U682" s="5">
        <f>'2 transformar y limpiar'!U696</f>
        <v/>
      </c>
    </row>
    <row r="683">
      <c r="A683">
        <f>'2 transformar y limpiar'!A697</f>
        <v/>
      </c>
      <c r="B683">
        <f>'2 transformar y limpiar'!B697</f>
        <v/>
      </c>
      <c r="C683" s="6">
        <f>('2 transformar y limpiar'!C697-$B$6)/$C$6</f>
        <v/>
      </c>
      <c r="D683" s="6">
        <f>('2 transformar y limpiar'!D697-$B$7)/$C$7</f>
        <v/>
      </c>
      <c r="E683" s="6">
        <f>('2 transformar y limpiar'!E697-$B$8)/$C$8</f>
        <v/>
      </c>
      <c r="F683" s="6">
        <f>('2 transformar y limpiar'!F697-$B$9)/$C$9</f>
        <v/>
      </c>
      <c r="G683">
        <f>'2 transformar y limpiar'!G697</f>
        <v/>
      </c>
      <c r="H683">
        <f>'2 transformar y limpiar'!H697</f>
        <v/>
      </c>
      <c r="I683">
        <f>'2 transformar y limpiar'!I697</f>
        <v/>
      </c>
      <c r="J683">
        <f>'2 transformar y limpiar'!J697</f>
        <v/>
      </c>
      <c r="K683">
        <f>'2 transformar y limpiar'!K697</f>
        <v/>
      </c>
      <c r="L683">
        <f>'2 transformar y limpiar'!L697</f>
        <v/>
      </c>
      <c r="M683">
        <f>'2 transformar y limpiar'!M697</f>
        <v/>
      </c>
      <c r="N683">
        <f>'2 transformar y limpiar'!N697</f>
        <v/>
      </c>
      <c r="O683">
        <f>'2 transformar y limpiar'!O697</f>
        <v/>
      </c>
      <c r="P683">
        <f>'2 transformar y limpiar'!P697</f>
        <v/>
      </c>
      <c r="Q683">
        <f>'2 transformar y limpiar'!Q697</f>
        <v/>
      </c>
      <c r="R683">
        <f>'2 transformar y limpiar'!R697</f>
        <v/>
      </c>
      <c r="S683">
        <f>'2 transformar y limpiar'!S697</f>
        <v/>
      </c>
      <c r="T683">
        <f>'2 transformar y limpiar'!T697</f>
        <v/>
      </c>
      <c r="U683" s="5">
        <f>'2 transformar y limpiar'!U697</f>
        <v/>
      </c>
    </row>
    <row r="684">
      <c r="A684">
        <f>'2 transformar y limpiar'!A698</f>
        <v/>
      </c>
      <c r="B684">
        <f>'2 transformar y limpiar'!B698</f>
        <v/>
      </c>
      <c r="C684" s="6">
        <f>('2 transformar y limpiar'!C698-$B$6)/$C$6</f>
        <v/>
      </c>
      <c r="D684" s="6">
        <f>('2 transformar y limpiar'!D698-$B$7)/$C$7</f>
        <v/>
      </c>
      <c r="E684" s="6">
        <f>('2 transformar y limpiar'!E698-$B$8)/$C$8</f>
        <v/>
      </c>
      <c r="F684" s="6">
        <f>('2 transformar y limpiar'!F698-$B$9)/$C$9</f>
        <v/>
      </c>
      <c r="G684">
        <f>'2 transformar y limpiar'!G698</f>
        <v/>
      </c>
      <c r="H684">
        <f>'2 transformar y limpiar'!H698</f>
        <v/>
      </c>
      <c r="I684">
        <f>'2 transformar y limpiar'!I698</f>
        <v/>
      </c>
      <c r="J684">
        <f>'2 transformar y limpiar'!J698</f>
        <v/>
      </c>
      <c r="K684">
        <f>'2 transformar y limpiar'!K698</f>
        <v/>
      </c>
      <c r="L684">
        <f>'2 transformar y limpiar'!L698</f>
        <v/>
      </c>
      <c r="M684">
        <f>'2 transformar y limpiar'!M698</f>
        <v/>
      </c>
      <c r="N684">
        <f>'2 transformar y limpiar'!N698</f>
        <v/>
      </c>
      <c r="O684">
        <f>'2 transformar y limpiar'!O698</f>
        <v/>
      </c>
      <c r="P684">
        <f>'2 transformar y limpiar'!P698</f>
        <v/>
      </c>
      <c r="Q684">
        <f>'2 transformar y limpiar'!Q698</f>
        <v/>
      </c>
      <c r="R684">
        <f>'2 transformar y limpiar'!R698</f>
        <v/>
      </c>
      <c r="S684">
        <f>'2 transformar y limpiar'!S698</f>
        <v/>
      </c>
      <c r="T684">
        <f>'2 transformar y limpiar'!T698</f>
        <v/>
      </c>
      <c r="U684" s="5">
        <f>'2 transformar y limpiar'!U698</f>
        <v/>
      </c>
    </row>
    <row r="685">
      <c r="A685">
        <f>'2 transformar y limpiar'!A699</f>
        <v/>
      </c>
      <c r="B685">
        <f>'2 transformar y limpiar'!B699</f>
        <v/>
      </c>
      <c r="C685" s="6">
        <f>('2 transformar y limpiar'!C699-$B$6)/$C$6</f>
        <v/>
      </c>
      <c r="D685" s="6">
        <f>('2 transformar y limpiar'!D699-$B$7)/$C$7</f>
        <v/>
      </c>
      <c r="E685" s="6">
        <f>('2 transformar y limpiar'!E699-$B$8)/$C$8</f>
        <v/>
      </c>
      <c r="F685" s="6">
        <f>('2 transformar y limpiar'!F699-$B$9)/$C$9</f>
        <v/>
      </c>
      <c r="G685">
        <f>'2 transformar y limpiar'!G699</f>
        <v/>
      </c>
      <c r="H685">
        <f>'2 transformar y limpiar'!H699</f>
        <v/>
      </c>
      <c r="I685">
        <f>'2 transformar y limpiar'!I699</f>
        <v/>
      </c>
      <c r="J685">
        <f>'2 transformar y limpiar'!J699</f>
        <v/>
      </c>
      <c r="K685">
        <f>'2 transformar y limpiar'!K699</f>
        <v/>
      </c>
      <c r="L685">
        <f>'2 transformar y limpiar'!L699</f>
        <v/>
      </c>
      <c r="M685">
        <f>'2 transformar y limpiar'!M699</f>
        <v/>
      </c>
      <c r="N685">
        <f>'2 transformar y limpiar'!N699</f>
        <v/>
      </c>
      <c r="O685">
        <f>'2 transformar y limpiar'!O699</f>
        <v/>
      </c>
      <c r="P685">
        <f>'2 transformar y limpiar'!P699</f>
        <v/>
      </c>
      <c r="Q685">
        <f>'2 transformar y limpiar'!Q699</f>
        <v/>
      </c>
      <c r="R685">
        <f>'2 transformar y limpiar'!R699</f>
        <v/>
      </c>
      <c r="S685">
        <f>'2 transformar y limpiar'!S699</f>
        <v/>
      </c>
      <c r="T685">
        <f>'2 transformar y limpiar'!T699</f>
        <v/>
      </c>
      <c r="U685" s="5">
        <f>'2 transformar y limpiar'!U699</f>
        <v/>
      </c>
    </row>
    <row r="686">
      <c r="A686">
        <f>'2 transformar y limpiar'!A700</f>
        <v/>
      </c>
      <c r="B686">
        <f>'2 transformar y limpiar'!B700</f>
        <v/>
      </c>
      <c r="C686" s="6">
        <f>('2 transformar y limpiar'!C700-$B$6)/$C$6</f>
        <v/>
      </c>
      <c r="D686" s="6">
        <f>('2 transformar y limpiar'!D700-$B$7)/$C$7</f>
        <v/>
      </c>
      <c r="E686" s="6">
        <f>('2 transformar y limpiar'!E700-$B$8)/$C$8</f>
        <v/>
      </c>
      <c r="F686" s="6">
        <f>('2 transformar y limpiar'!F700-$B$9)/$C$9</f>
        <v/>
      </c>
      <c r="G686">
        <f>'2 transformar y limpiar'!G700</f>
        <v/>
      </c>
      <c r="H686">
        <f>'2 transformar y limpiar'!H700</f>
        <v/>
      </c>
      <c r="I686">
        <f>'2 transformar y limpiar'!I700</f>
        <v/>
      </c>
      <c r="J686">
        <f>'2 transformar y limpiar'!J700</f>
        <v/>
      </c>
      <c r="K686">
        <f>'2 transformar y limpiar'!K700</f>
        <v/>
      </c>
      <c r="L686">
        <f>'2 transformar y limpiar'!L700</f>
        <v/>
      </c>
      <c r="M686">
        <f>'2 transformar y limpiar'!M700</f>
        <v/>
      </c>
      <c r="N686">
        <f>'2 transformar y limpiar'!N700</f>
        <v/>
      </c>
      <c r="O686">
        <f>'2 transformar y limpiar'!O700</f>
        <v/>
      </c>
      <c r="P686">
        <f>'2 transformar y limpiar'!P700</f>
        <v/>
      </c>
      <c r="Q686">
        <f>'2 transformar y limpiar'!Q700</f>
        <v/>
      </c>
      <c r="R686">
        <f>'2 transformar y limpiar'!R700</f>
        <v/>
      </c>
      <c r="S686">
        <f>'2 transformar y limpiar'!S700</f>
        <v/>
      </c>
      <c r="T686">
        <f>'2 transformar y limpiar'!T700</f>
        <v/>
      </c>
      <c r="U686" s="5">
        <f>'2 transformar y limpiar'!U700</f>
        <v/>
      </c>
    </row>
    <row r="687">
      <c r="A687">
        <f>'2 transformar y limpiar'!A701</f>
        <v/>
      </c>
      <c r="B687">
        <f>'2 transformar y limpiar'!B701</f>
        <v/>
      </c>
      <c r="C687" s="6">
        <f>('2 transformar y limpiar'!C701-$B$6)/$C$6</f>
        <v/>
      </c>
      <c r="D687" s="6">
        <f>('2 transformar y limpiar'!D701-$B$7)/$C$7</f>
        <v/>
      </c>
      <c r="E687" s="6">
        <f>('2 transformar y limpiar'!E701-$B$8)/$C$8</f>
        <v/>
      </c>
      <c r="F687" s="6">
        <f>('2 transformar y limpiar'!F701-$B$9)/$C$9</f>
        <v/>
      </c>
      <c r="G687">
        <f>'2 transformar y limpiar'!G701</f>
        <v/>
      </c>
      <c r="H687">
        <f>'2 transformar y limpiar'!H701</f>
        <v/>
      </c>
      <c r="I687">
        <f>'2 transformar y limpiar'!I701</f>
        <v/>
      </c>
      <c r="J687">
        <f>'2 transformar y limpiar'!J701</f>
        <v/>
      </c>
      <c r="K687">
        <f>'2 transformar y limpiar'!K701</f>
        <v/>
      </c>
      <c r="L687">
        <f>'2 transformar y limpiar'!L701</f>
        <v/>
      </c>
      <c r="M687">
        <f>'2 transformar y limpiar'!M701</f>
        <v/>
      </c>
      <c r="N687">
        <f>'2 transformar y limpiar'!N701</f>
        <v/>
      </c>
      <c r="O687">
        <f>'2 transformar y limpiar'!O701</f>
        <v/>
      </c>
      <c r="P687">
        <f>'2 transformar y limpiar'!P701</f>
        <v/>
      </c>
      <c r="Q687">
        <f>'2 transformar y limpiar'!Q701</f>
        <v/>
      </c>
      <c r="R687">
        <f>'2 transformar y limpiar'!R701</f>
        <v/>
      </c>
      <c r="S687">
        <f>'2 transformar y limpiar'!S701</f>
        <v/>
      </c>
      <c r="T687">
        <f>'2 transformar y limpiar'!T701</f>
        <v/>
      </c>
      <c r="U687" s="5">
        <f>'2 transformar y limpiar'!U701</f>
        <v/>
      </c>
    </row>
    <row r="688">
      <c r="A688">
        <f>'2 transformar y limpiar'!A702</f>
        <v/>
      </c>
      <c r="B688">
        <f>'2 transformar y limpiar'!B702</f>
        <v/>
      </c>
      <c r="C688" s="6">
        <f>('2 transformar y limpiar'!C702-$B$6)/$C$6</f>
        <v/>
      </c>
      <c r="D688" s="6">
        <f>('2 transformar y limpiar'!D702-$B$7)/$C$7</f>
        <v/>
      </c>
      <c r="E688" s="6">
        <f>('2 transformar y limpiar'!E702-$B$8)/$C$8</f>
        <v/>
      </c>
      <c r="F688" s="6">
        <f>('2 transformar y limpiar'!F702-$B$9)/$C$9</f>
        <v/>
      </c>
      <c r="G688">
        <f>'2 transformar y limpiar'!G702</f>
        <v/>
      </c>
      <c r="H688">
        <f>'2 transformar y limpiar'!H702</f>
        <v/>
      </c>
      <c r="I688">
        <f>'2 transformar y limpiar'!I702</f>
        <v/>
      </c>
      <c r="J688">
        <f>'2 transformar y limpiar'!J702</f>
        <v/>
      </c>
      <c r="K688">
        <f>'2 transformar y limpiar'!K702</f>
        <v/>
      </c>
      <c r="L688">
        <f>'2 transformar y limpiar'!L702</f>
        <v/>
      </c>
      <c r="M688">
        <f>'2 transformar y limpiar'!M702</f>
        <v/>
      </c>
      <c r="N688">
        <f>'2 transformar y limpiar'!N702</f>
        <v/>
      </c>
      <c r="O688">
        <f>'2 transformar y limpiar'!O702</f>
        <v/>
      </c>
      <c r="P688">
        <f>'2 transformar y limpiar'!P702</f>
        <v/>
      </c>
      <c r="Q688">
        <f>'2 transformar y limpiar'!Q702</f>
        <v/>
      </c>
      <c r="R688">
        <f>'2 transformar y limpiar'!R702</f>
        <v/>
      </c>
      <c r="S688">
        <f>'2 transformar y limpiar'!S702</f>
        <v/>
      </c>
      <c r="T688">
        <f>'2 transformar y limpiar'!T702</f>
        <v/>
      </c>
      <c r="U688" s="5">
        <f>'2 transformar y limpiar'!U702</f>
        <v/>
      </c>
    </row>
    <row r="689">
      <c r="A689">
        <f>'2 transformar y limpiar'!A703</f>
        <v/>
      </c>
      <c r="B689">
        <f>'2 transformar y limpiar'!B703</f>
        <v/>
      </c>
      <c r="C689" s="6">
        <f>('2 transformar y limpiar'!C703-$B$6)/$C$6</f>
        <v/>
      </c>
      <c r="D689" s="6">
        <f>('2 transformar y limpiar'!D703-$B$7)/$C$7</f>
        <v/>
      </c>
      <c r="E689" s="6">
        <f>('2 transformar y limpiar'!E703-$B$8)/$C$8</f>
        <v/>
      </c>
      <c r="F689" s="6">
        <f>('2 transformar y limpiar'!F703-$B$9)/$C$9</f>
        <v/>
      </c>
      <c r="G689">
        <f>'2 transformar y limpiar'!G703</f>
        <v/>
      </c>
      <c r="H689">
        <f>'2 transformar y limpiar'!H703</f>
        <v/>
      </c>
      <c r="I689">
        <f>'2 transformar y limpiar'!I703</f>
        <v/>
      </c>
      <c r="J689">
        <f>'2 transformar y limpiar'!J703</f>
        <v/>
      </c>
      <c r="K689">
        <f>'2 transformar y limpiar'!K703</f>
        <v/>
      </c>
      <c r="L689">
        <f>'2 transformar y limpiar'!L703</f>
        <v/>
      </c>
      <c r="M689">
        <f>'2 transformar y limpiar'!M703</f>
        <v/>
      </c>
      <c r="N689">
        <f>'2 transformar y limpiar'!N703</f>
        <v/>
      </c>
      <c r="O689">
        <f>'2 transformar y limpiar'!O703</f>
        <v/>
      </c>
      <c r="P689">
        <f>'2 transformar y limpiar'!P703</f>
        <v/>
      </c>
      <c r="Q689">
        <f>'2 transformar y limpiar'!Q703</f>
        <v/>
      </c>
      <c r="R689">
        <f>'2 transformar y limpiar'!R703</f>
        <v/>
      </c>
      <c r="S689">
        <f>'2 transformar y limpiar'!S703</f>
        <v/>
      </c>
      <c r="T689">
        <f>'2 transformar y limpiar'!T703</f>
        <v/>
      </c>
      <c r="U689" s="5">
        <f>'2 transformar y limpiar'!U703</f>
        <v/>
      </c>
    </row>
    <row r="690">
      <c r="A690">
        <f>'2 transformar y limpiar'!A704</f>
        <v/>
      </c>
      <c r="B690">
        <f>'2 transformar y limpiar'!B704</f>
        <v/>
      </c>
      <c r="C690" s="6">
        <f>('2 transformar y limpiar'!C704-$B$6)/$C$6</f>
        <v/>
      </c>
      <c r="D690" s="6">
        <f>('2 transformar y limpiar'!D704-$B$7)/$C$7</f>
        <v/>
      </c>
      <c r="E690" s="6">
        <f>('2 transformar y limpiar'!E704-$B$8)/$C$8</f>
        <v/>
      </c>
      <c r="F690" s="6">
        <f>('2 transformar y limpiar'!F704-$B$9)/$C$9</f>
        <v/>
      </c>
      <c r="G690">
        <f>'2 transformar y limpiar'!G704</f>
        <v/>
      </c>
      <c r="H690">
        <f>'2 transformar y limpiar'!H704</f>
        <v/>
      </c>
      <c r="I690">
        <f>'2 transformar y limpiar'!I704</f>
        <v/>
      </c>
      <c r="J690">
        <f>'2 transformar y limpiar'!J704</f>
        <v/>
      </c>
      <c r="K690">
        <f>'2 transformar y limpiar'!K704</f>
        <v/>
      </c>
      <c r="L690">
        <f>'2 transformar y limpiar'!L704</f>
        <v/>
      </c>
      <c r="M690">
        <f>'2 transformar y limpiar'!M704</f>
        <v/>
      </c>
      <c r="N690">
        <f>'2 transformar y limpiar'!N704</f>
        <v/>
      </c>
      <c r="O690">
        <f>'2 transformar y limpiar'!O704</f>
        <v/>
      </c>
      <c r="P690">
        <f>'2 transformar y limpiar'!P704</f>
        <v/>
      </c>
      <c r="Q690">
        <f>'2 transformar y limpiar'!Q704</f>
        <v/>
      </c>
      <c r="R690">
        <f>'2 transformar y limpiar'!R704</f>
        <v/>
      </c>
      <c r="S690">
        <f>'2 transformar y limpiar'!S704</f>
        <v/>
      </c>
      <c r="T690">
        <f>'2 transformar y limpiar'!T704</f>
        <v/>
      </c>
      <c r="U690" s="5">
        <f>'2 transformar y limpiar'!U704</f>
        <v/>
      </c>
    </row>
    <row r="691">
      <c r="A691">
        <f>'2 transformar y limpiar'!A705</f>
        <v/>
      </c>
      <c r="B691">
        <f>'2 transformar y limpiar'!B705</f>
        <v/>
      </c>
      <c r="C691" s="6">
        <f>('2 transformar y limpiar'!C705-$B$6)/$C$6</f>
        <v/>
      </c>
      <c r="D691" s="6">
        <f>('2 transformar y limpiar'!D705-$B$7)/$C$7</f>
        <v/>
      </c>
      <c r="E691" s="6">
        <f>('2 transformar y limpiar'!E705-$B$8)/$C$8</f>
        <v/>
      </c>
      <c r="F691" s="6">
        <f>('2 transformar y limpiar'!F705-$B$9)/$C$9</f>
        <v/>
      </c>
      <c r="G691">
        <f>'2 transformar y limpiar'!G705</f>
        <v/>
      </c>
      <c r="H691">
        <f>'2 transformar y limpiar'!H705</f>
        <v/>
      </c>
      <c r="I691">
        <f>'2 transformar y limpiar'!I705</f>
        <v/>
      </c>
      <c r="J691">
        <f>'2 transformar y limpiar'!J705</f>
        <v/>
      </c>
      <c r="K691">
        <f>'2 transformar y limpiar'!K705</f>
        <v/>
      </c>
      <c r="L691">
        <f>'2 transformar y limpiar'!L705</f>
        <v/>
      </c>
      <c r="M691">
        <f>'2 transformar y limpiar'!M705</f>
        <v/>
      </c>
      <c r="N691">
        <f>'2 transformar y limpiar'!N705</f>
        <v/>
      </c>
      <c r="O691">
        <f>'2 transformar y limpiar'!O705</f>
        <v/>
      </c>
      <c r="P691">
        <f>'2 transformar y limpiar'!P705</f>
        <v/>
      </c>
      <c r="Q691">
        <f>'2 transformar y limpiar'!Q705</f>
        <v/>
      </c>
      <c r="R691">
        <f>'2 transformar y limpiar'!R705</f>
        <v/>
      </c>
      <c r="S691">
        <f>'2 transformar y limpiar'!S705</f>
        <v/>
      </c>
      <c r="T691">
        <f>'2 transformar y limpiar'!T705</f>
        <v/>
      </c>
      <c r="U691" s="5">
        <f>'2 transformar y limpiar'!U705</f>
        <v/>
      </c>
    </row>
    <row r="692">
      <c r="A692">
        <f>'2 transformar y limpiar'!A706</f>
        <v/>
      </c>
      <c r="B692">
        <f>'2 transformar y limpiar'!B706</f>
        <v/>
      </c>
      <c r="C692" s="6">
        <f>('2 transformar y limpiar'!C706-$B$6)/$C$6</f>
        <v/>
      </c>
      <c r="D692" s="6">
        <f>('2 transformar y limpiar'!D706-$B$7)/$C$7</f>
        <v/>
      </c>
      <c r="E692" s="6">
        <f>('2 transformar y limpiar'!E706-$B$8)/$C$8</f>
        <v/>
      </c>
      <c r="F692" s="6">
        <f>('2 transformar y limpiar'!F706-$B$9)/$C$9</f>
        <v/>
      </c>
      <c r="G692">
        <f>'2 transformar y limpiar'!G706</f>
        <v/>
      </c>
      <c r="H692">
        <f>'2 transformar y limpiar'!H706</f>
        <v/>
      </c>
      <c r="I692">
        <f>'2 transformar y limpiar'!I706</f>
        <v/>
      </c>
      <c r="J692">
        <f>'2 transformar y limpiar'!J706</f>
        <v/>
      </c>
      <c r="K692">
        <f>'2 transformar y limpiar'!K706</f>
        <v/>
      </c>
      <c r="L692">
        <f>'2 transformar y limpiar'!L706</f>
        <v/>
      </c>
      <c r="M692">
        <f>'2 transformar y limpiar'!M706</f>
        <v/>
      </c>
      <c r="N692">
        <f>'2 transformar y limpiar'!N706</f>
        <v/>
      </c>
      <c r="O692">
        <f>'2 transformar y limpiar'!O706</f>
        <v/>
      </c>
      <c r="P692">
        <f>'2 transformar y limpiar'!P706</f>
        <v/>
      </c>
      <c r="Q692">
        <f>'2 transformar y limpiar'!Q706</f>
        <v/>
      </c>
      <c r="R692">
        <f>'2 transformar y limpiar'!R706</f>
        <v/>
      </c>
      <c r="S692">
        <f>'2 transformar y limpiar'!S706</f>
        <v/>
      </c>
      <c r="T692">
        <f>'2 transformar y limpiar'!T706</f>
        <v/>
      </c>
      <c r="U692" s="5">
        <f>'2 transformar y limpiar'!U706</f>
        <v/>
      </c>
    </row>
    <row r="693">
      <c r="A693">
        <f>'2 transformar y limpiar'!A707</f>
        <v/>
      </c>
      <c r="B693">
        <f>'2 transformar y limpiar'!B707</f>
        <v/>
      </c>
      <c r="C693" s="6">
        <f>('2 transformar y limpiar'!C707-$B$6)/$C$6</f>
        <v/>
      </c>
      <c r="D693" s="6">
        <f>('2 transformar y limpiar'!D707-$B$7)/$C$7</f>
        <v/>
      </c>
      <c r="E693" s="6">
        <f>('2 transformar y limpiar'!E707-$B$8)/$C$8</f>
        <v/>
      </c>
      <c r="F693" s="6">
        <f>('2 transformar y limpiar'!F707-$B$9)/$C$9</f>
        <v/>
      </c>
      <c r="G693">
        <f>'2 transformar y limpiar'!G707</f>
        <v/>
      </c>
      <c r="H693">
        <f>'2 transformar y limpiar'!H707</f>
        <v/>
      </c>
      <c r="I693">
        <f>'2 transformar y limpiar'!I707</f>
        <v/>
      </c>
      <c r="J693">
        <f>'2 transformar y limpiar'!J707</f>
        <v/>
      </c>
      <c r="K693">
        <f>'2 transformar y limpiar'!K707</f>
        <v/>
      </c>
      <c r="L693">
        <f>'2 transformar y limpiar'!L707</f>
        <v/>
      </c>
      <c r="M693">
        <f>'2 transformar y limpiar'!M707</f>
        <v/>
      </c>
      <c r="N693">
        <f>'2 transformar y limpiar'!N707</f>
        <v/>
      </c>
      <c r="O693">
        <f>'2 transformar y limpiar'!O707</f>
        <v/>
      </c>
      <c r="P693">
        <f>'2 transformar y limpiar'!P707</f>
        <v/>
      </c>
      <c r="Q693">
        <f>'2 transformar y limpiar'!Q707</f>
        <v/>
      </c>
      <c r="R693">
        <f>'2 transformar y limpiar'!R707</f>
        <v/>
      </c>
      <c r="S693">
        <f>'2 transformar y limpiar'!S707</f>
        <v/>
      </c>
      <c r="T693">
        <f>'2 transformar y limpiar'!T707</f>
        <v/>
      </c>
      <c r="U693" s="5">
        <f>'2 transformar y limpiar'!U707</f>
        <v/>
      </c>
    </row>
    <row r="694">
      <c r="A694">
        <f>'2 transformar y limpiar'!A708</f>
        <v/>
      </c>
      <c r="B694">
        <f>'2 transformar y limpiar'!B708</f>
        <v/>
      </c>
      <c r="C694" s="6">
        <f>('2 transformar y limpiar'!C708-$B$6)/$C$6</f>
        <v/>
      </c>
      <c r="D694" s="6">
        <f>('2 transformar y limpiar'!D708-$B$7)/$C$7</f>
        <v/>
      </c>
      <c r="E694" s="6">
        <f>('2 transformar y limpiar'!E708-$B$8)/$C$8</f>
        <v/>
      </c>
      <c r="F694" s="6">
        <f>('2 transformar y limpiar'!F708-$B$9)/$C$9</f>
        <v/>
      </c>
      <c r="G694">
        <f>'2 transformar y limpiar'!G708</f>
        <v/>
      </c>
      <c r="H694">
        <f>'2 transformar y limpiar'!H708</f>
        <v/>
      </c>
      <c r="I694">
        <f>'2 transformar y limpiar'!I708</f>
        <v/>
      </c>
      <c r="J694">
        <f>'2 transformar y limpiar'!J708</f>
        <v/>
      </c>
      <c r="K694">
        <f>'2 transformar y limpiar'!K708</f>
        <v/>
      </c>
      <c r="L694">
        <f>'2 transformar y limpiar'!L708</f>
        <v/>
      </c>
      <c r="M694">
        <f>'2 transformar y limpiar'!M708</f>
        <v/>
      </c>
      <c r="N694">
        <f>'2 transformar y limpiar'!N708</f>
        <v/>
      </c>
      <c r="O694">
        <f>'2 transformar y limpiar'!O708</f>
        <v/>
      </c>
      <c r="P694">
        <f>'2 transformar y limpiar'!P708</f>
        <v/>
      </c>
      <c r="Q694">
        <f>'2 transformar y limpiar'!Q708</f>
        <v/>
      </c>
      <c r="R694">
        <f>'2 transformar y limpiar'!R708</f>
        <v/>
      </c>
      <c r="S694">
        <f>'2 transformar y limpiar'!S708</f>
        <v/>
      </c>
      <c r="T694">
        <f>'2 transformar y limpiar'!T708</f>
        <v/>
      </c>
      <c r="U694" s="5">
        <f>'2 transformar y limpiar'!U708</f>
        <v/>
      </c>
    </row>
    <row r="695">
      <c r="A695">
        <f>'2 transformar y limpiar'!A709</f>
        <v/>
      </c>
      <c r="B695">
        <f>'2 transformar y limpiar'!B709</f>
        <v/>
      </c>
      <c r="C695" s="6">
        <f>('2 transformar y limpiar'!C709-$B$6)/$C$6</f>
        <v/>
      </c>
      <c r="D695" s="6">
        <f>('2 transformar y limpiar'!D709-$B$7)/$C$7</f>
        <v/>
      </c>
      <c r="E695" s="6">
        <f>('2 transformar y limpiar'!E709-$B$8)/$C$8</f>
        <v/>
      </c>
      <c r="F695" s="6">
        <f>('2 transformar y limpiar'!F709-$B$9)/$C$9</f>
        <v/>
      </c>
      <c r="G695">
        <f>'2 transformar y limpiar'!G709</f>
        <v/>
      </c>
      <c r="H695">
        <f>'2 transformar y limpiar'!H709</f>
        <v/>
      </c>
      <c r="I695">
        <f>'2 transformar y limpiar'!I709</f>
        <v/>
      </c>
      <c r="J695">
        <f>'2 transformar y limpiar'!J709</f>
        <v/>
      </c>
      <c r="K695">
        <f>'2 transformar y limpiar'!K709</f>
        <v/>
      </c>
      <c r="L695">
        <f>'2 transformar y limpiar'!L709</f>
        <v/>
      </c>
      <c r="M695">
        <f>'2 transformar y limpiar'!M709</f>
        <v/>
      </c>
      <c r="N695">
        <f>'2 transformar y limpiar'!N709</f>
        <v/>
      </c>
      <c r="O695">
        <f>'2 transformar y limpiar'!O709</f>
        <v/>
      </c>
      <c r="P695">
        <f>'2 transformar y limpiar'!P709</f>
        <v/>
      </c>
      <c r="Q695">
        <f>'2 transformar y limpiar'!Q709</f>
        <v/>
      </c>
      <c r="R695">
        <f>'2 transformar y limpiar'!R709</f>
        <v/>
      </c>
      <c r="S695">
        <f>'2 transformar y limpiar'!S709</f>
        <v/>
      </c>
      <c r="T695">
        <f>'2 transformar y limpiar'!T709</f>
        <v/>
      </c>
      <c r="U695" s="5">
        <f>'2 transformar y limpiar'!U709</f>
        <v/>
      </c>
    </row>
    <row r="696">
      <c r="A696">
        <f>'2 transformar y limpiar'!A710</f>
        <v/>
      </c>
      <c r="B696">
        <f>'2 transformar y limpiar'!B710</f>
        <v/>
      </c>
      <c r="C696" s="6">
        <f>('2 transformar y limpiar'!C710-$B$6)/$C$6</f>
        <v/>
      </c>
      <c r="D696" s="6">
        <f>('2 transformar y limpiar'!D710-$B$7)/$C$7</f>
        <v/>
      </c>
      <c r="E696" s="6">
        <f>('2 transformar y limpiar'!E710-$B$8)/$C$8</f>
        <v/>
      </c>
      <c r="F696" s="6">
        <f>('2 transformar y limpiar'!F710-$B$9)/$C$9</f>
        <v/>
      </c>
      <c r="G696">
        <f>'2 transformar y limpiar'!G710</f>
        <v/>
      </c>
      <c r="H696">
        <f>'2 transformar y limpiar'!H710</f>
        <v/>
      </c>
      <c r="I696">
        <f>'2 transformar y limpiar'!I710</f>
        <v/>
      </c>
      <c r="J696">
        <f>'2 transformar y limpiar'!J710</f>
        <v/>
      </c>
      <c r="K696">
        <f>'2 transformar y limpiar'!K710</f>
        <v/>
      </c>
      <c r="L696">
        <f>'2 transformar y limpiar'!L710</f>
        <v/>
      </c>
      <c r="M696">
        <f>'2 transformar y limpiar'!M710</f>
        <v/>
      </c>
      <c r="N696">
        <f>'2 transformar y limpiar'!N710</f>
        <v/>
      </c>
      <c r="O696">
        <f>'2 transformar y limpiar'!O710</f>
        <v/>
      </c>
      <c r="P696">
        <f>'2 transformar y limpiar'!P710</f>
        <v/>
      </c>
      <c r="Q696">
        <f>'2 transformar y limpiar'!Q710</f>
        <v/>
      </c>
      <c r="R696">
        <f>'2 transformar y limpiar'!R710</f>
        <v/>
      </c>
      <c r="S696">
        <f>'2 transformar y limpiar'!S710</f>
        <v/>
      </c>
      <c r="T696">
        <f>'2 transformar y limpiar'!T710</f>
        <v/>
      </c>
      <c r="U696" s="5">
        <f>'2 transformar y limpiar'!U710</f>
        <v/>
      </c>
    </row>
    <row r="697">
      <c r="A697">
        <f>'2 transformar y limpiar'!A711</f>
        <v/>
      </c>
      <c r="B697">
        <f>'2 transformar y limpiar'!B711</f>
        <v/>
      </c>
      <c r="C697" s="6">
        <f>('2 transformar y limpiar'!C711-$B$6)/$C$6</f>
        <v/>
      </c>
      <c r="D697" s="6">
        <f>('2 transformar y limpiar'!D711-$B$7)/$C$7</f>
        <v/>
      </c>
      <c r="E697" s="6">
        <f>('2 transformar y limpiar'!E711-$B$8)/$C$8</f>
        <v/>
      </c>
      <c r="F697" s="6">
        <f>('2 transformar y limpiar'!F711-$B$9)/$C$9</f>
        <v/>
      </c>
      <c r="G697">
        <f>'2 transformar y limpiar'!G711</f>
        <v/>
      </c>
      <c r="H697">
        <f>'2 transformar y limpiar'!H711</f>
        <v/>
      </c>
      <c r="I697">
        <f>'2 transformar y limpiar'!I711</f>
        <v/>
      </c>
      <c r="J697">
        <f>'2 transformar y limpiar'!J711</f>
        <v/>
      </c>
      <c r="K697">
        <f>'2 transformar y limpiar'!K711</f>
        <v/>
      </c>
      <c r="L697">
        <f>'2 transformar y limpiar'!L711</f>
        <v/>
      </c>
      <c r="M697">
        <f>'2 transformar y limpiar'!M711</f>
        <v/>
      </c>
      <c r="N697">
        <f>'2 transformar y limpiar'!N711</f>
        <v/>
      </c>
      <c r="O697">
        <f>'2 transformar y limpiar'!O711</f>
        <v/>
      </c>
      <c r="P697">
        <f>'2 transformar y limpiar'!P711</f>
        <v/>
      </c>
      <c r="Q697">
        <f>'2 transformar y limpiar'!Q711</f>
        <v/>
      </c>
      <c r="R697">
        <f>'2 transformar y limpiar'!R711</f>
        <v/>
      </c>
      <c r="S697">
        <f>'2 transformar y limpiar'!S711</f>
        <v/>
      </c>
      <c r="T697">
        <f>'2 transformar y limpiar'!T711</f>
        <v/>
      </c>
      <c r="U697" s="5">
        <f>'2 transformar y limpiar'!U711</f>
        <v/>
      </c>
    </row>
    <row r="698">
      <c r="A698">
        <f>'2 transformar y limpiar'!A712</f>
        <v/>
      </c>
      <c r="B698">
        <f>'2 transformar y limpiar'!B712</f>
        <v/>
      </c>
      <c r="C698" s="6">
        <f>('2 transformar y limpiar'!C712-$B$6)/$C$6</f>
        <v/>
      </c>
      <c r="D698" s="6">
        <f>('2 transformar y limpiar'!D712-$B$7)/$C$7</f>
        <v/>
      </c>
      <c r="E698" s="6">
        <f>('2 transformar y limpiar'!E712-$B$8)/$C$8</f>
        <v/>
      </c>
      <c r="F698" s="6">
        <f>('2 transformar y limpiar'!F712-$B$9)/$C$9</f>
        <v/>
      </c>
      <c r="G698">
        <f>'2 transformar y limpiar'!G712</f>
        <v/>
      </c>
      <c r="H698">
        <f>'2 transformar y limpiar'!H712</f>
        <v/>
      </c>
      <c r="I698">
        <f>'2 transformar y limpiar'!I712</f>
        <v/>
      </c>
      <c r="J698">
        <f>'2 transformar y limpiar'!J712</f>
        <v/>
      </c>
      <c r="K698">
        <f>'2 transformar y limpiar'!K712</f>
        <v/>
      </c>
      <c r="L698">
        <f>'2 transformar y limpiar'!L712</f>
        <v/>
      </c>
      <c r="M698">
        <f>'2 transformar y limpiar'!M712</f>
        <v/>
      </c>
      <c r="N698">
        <f>'2 transformar y limpiar'!N712</f>
        <v/>
      </c>
      <c r="O698">
        <f>'2 transformar y limpiar'!O712</f>
        <v/>
      </c>
      <c r="P698">
        <f>'2 transformar y limpiar'!P712</f>
        <v/>
      </c>
      <c r="Q698">
        <f>'2 transformar y limpiar'!Q712</f>
        <v/>
      </c>
      <c r="R698">
        <f>'2 transformar y limpiar'!R712</f>
        <v/>
      </c>
      <c r="S698">
        <f>'2 transformar y limpiar'!S712</f>
        <v/>
      </c>
      <c r="T698">
        <f>'2 transformar y limpiar'!T712</f>
        <v/>
      </c>
      <c r="U698" s="5">
        <f>'2 transformar y limpiar'!U712</f>
        <v/>
      </c>
    </row>
    <row r="699">
      <c r="A699">
        <f>'2 transformar y limpiar'!A713</f>
        <v/>
      </c>
      <c r="B699">
        <f>'2 transformar y limpiar'!B713</f>
        <v/>
      </c>
      <c r="C699" s="6">
        <f>('2 transformar y limpiar'!C713-$B$6)/$C$6</f>
        <v/>
      </c>
      <c r="D699" s="6">
        <f>('2 transformar y limpiar'!D713-$B$7)/$C$7</f>
        <v/>
      </c>
      <c r="E699" s="6">
        <f>('2 transformar y limpiar'!E713-$B$8)/$C$8</f>
        <v/>
      </c>
      <c r="F699" s="6">
        <f>('2 transformar y limpiar'!F713-$B$9)/$C$9</f>
        <v/>
      </c>
      <c r="G699">
        <f>'2 transformar y limpiar'!G713</f>
        <v/>
      </c>
      <c r="H699">
        <f>'2 transformar y limpiar'!H713</f>
        <v/>
      </c>
      <c r="I699">
        <f>'2 transformar y limpiar'!I713</f>
        <v/>
      </c>
      <c r="J699">
        <f>'2 transformar y limpiar'!J713</f>
        <v/>
      </c>
      <c r="K699">
        <f>'2 transformar y limpiar'!K713</f>
        <v/>
      </c>
      <c r="L699">
        <f>'2 transformar y limpiar'!L713</f>
        <v/>
      </c>
      <c r="M699">
        <f>'2 transformar y limpiar'!M713</f>
        <v/>
      </c>
      <c r="N699">
        <f>'2 transformar y limpiar'!N713</f>
        <v/>
      </c>
      <c r="O699">
        <f>'2 transformar y limpiar'!O713</f>
        <v/>
      </c>
      <c r="P699">
        <f>'2 transformar y limpiar'!P713</f>
        <v/>
      </c>
      <c r="Q699">
        <f>'2 transformar y limpiar'!Q713</f>
        <v/>
      </c>
      <c r="R699">
        <f>'2 transformar y limpiar'!R713</f>
        <v/>
      </c>
      <c r="S699">
        <f>'2 transformar y limpiar'!S713</f>
        <v/>
      </c>
      <c r="T699">
        <f>'2 transformar y limpiar'!T713</f>
        <v/>
      </c>
      <c r="U699" s="5">
        <f>'2 transformar y limpiar'!U713</f>
        <v/>
      </c>
    </row>
    <row r="700">
      <c r="A700">
        <f>'2 transformar y limpiar'!A714</f>
        <v/>
      </c>
      <c r="B700">
        <f>'2 transformar y limpiar'!B714</f>
        <v/>
      </c>
      <c r="C700" s="6">
        <f>('2 transformar y limpiar'!C714-$B$6)/$C$6</f>
        <v/>
      </c>
      <c r="D700" s="6">
        <f>('2 transformar y limpiar'!D714-$B$7)/$C$7</f>
        <v/>
      </c>
      <c r="E700" s="6">
        <f>('2 transformar y limpiar'!E714-$B$8)/$C$8</f>
        <v/>
      </c>
      <c r="F700" s="6">
        <f>('2 transformar y limpiar'!F714-$B$9)/$C$9</f>
        <v/>
      </c>
      <c r="G700">
        <f>'2 transformar y limpiar'!G714</f>
        <v/>
      </c>
      <c r="H700">
        <f>'2 transformar y limpiar'!H714</f>
        <v/>
      </c>
      <c r="I700">
        <f>'2 transformar y limpiar'!I714</f>
        <v/>
      </c>
      <c r="J700">
        <f>'2 transformar y limpiar'!J714</f>
        <v/>
      </c>
      <c r="K700">
        <f>'2 transformar y limpiar'!K714</f>
        <v/>
      </c>
      <c r="L700">
        <f>'2 transformar y limpiar'!L714</f>
        <v/>
      </c>
      <c r="M700">
        <f>'2 transformar y limpiar'!M714</f>
        <v/>
      </c>
      <c r="N700">
        <f>'2 transformar y limpiar'!N714</f>
        <v/>
      </c>
      <c r="O700">
        <f>'2 transformar y limpiar'!O714</f>
        <v/>
      </c>
      <c r="P700">
        <f>'2 transformar y limpiar'!P714</f>
        <v/>
      </c>
      <c r="Q700">
        <f>'2 transformar y limpiar'!Q714</f>
        <v/>
      </c>
      <c r="R700">
        <f>'2 transformar y limpiar'!R714</f>
        <v/>
      </c>
      <c r="S700">
        <f>'2 transformar y limpiar'!S714</f>
        <v/>
      </c>
      <c r="T700">
        <f>'2 transformar y limpiar'!T714</f>
        <v/>
      </c>
      <c r="U700" s="5">
        <f>'2 transformar y limpiar'!U714</f>
        <v/>
      </c>
    </row>
    <row r="701">
      <c r="A701">
        <f>'2 transformar y limpiar'!A715</f>
        <v/>
      </c>
      <c r="B701">
        <f>'2 transformar y limpiar'!B715</f>
        <v/>
      </c>
      <c r="C701" s="6">
        <f>('2 transformar y limpiar'!C715-$B$6)/$C$6</f>
        <v/>
      </c>
      <c r="D701" s="6">
        <f>('2 transformar y limpiar'!D715-$B$7)/$C$7</f>
        <v/>
      </c>
      <c r="E701" s="6">
        <f>('2 transformar y limpiar'!E715-$B$8)/$C$8</f>
        <v/>
      </c>
      <c r="F701" s="6">
        <f>('2 transformar y limpiar'!F715-$B$9)/$C$9</f>
        <v/>
      </c>
      <c r="G701">
        <f>'2 transformar y limpiar'!G715</f>
        <v/>
      </c>
      <c r="H701">
        <f>'2 transformar y limpiar'!H715</f>
        <v/>
      </c>
      <c r="I701">
        <f>'2 transformar y limpiar'!I715</f>
        <v/>
      </c>
      <c r="J701">
        <f>'2 transformar y limpiar'!J715</f>
        <v/>
      </c>
      <c r="K701">
        <f>'2 transformar y limpiar'!K715</f>
        <v/>
      </c>
      <c r="L701">
        <f>'2 transformar y limpiar'!L715</f>
        <v/>
      </c>
      <c r="M701">
        <f>'2 transformar y limpiar'!M715</f>
        <v/>
      </c>
      <c r="N701">
        <f>'2 transformar y limpiar'!N715</f>
        <v/>
      </c>
      <c r="O701">
        <f>'2 transformar y limpiar'!O715</f>
        <v/>
      </c>
      <c r="P701">
        <f>'2 transformar y limpiar'!P715</f>
        <v/>
      </c>
      <c r="Q701">
        <f>'2 transformar y limpiar'!Q715</f>
        <v/>
      </c>
      <c r="R701">
        <f>'2 transformar y limpiar'!R715</f>
        <v/>
      </c>
      <c r="S701">
        <f>'2 transformar y limpiar'!S715</f>
        <v/>
      </c>
      <c r="T701">
        <f>'2 transformar y limpiar'!T715</f>
        <v/>
      </c>
      <c r="U701" s="5">
        <f>'2 transformar y limpiar'!U715</f>
        <v/>
      </c>
    </row>
    <row r="702">
      <c r="A702">
        <f>'2 transformar y limpiar'!A716</f>
        <v/>
      </c>
      <c r="B702">
        <f>'2 transformar y limpiar'!B716</f>
        <v/>
      </c>
      <c r="C702" s="6">
        <f>('2 transformar y limpiar'!C716-$B$6)/$C$6</f>
        <v/>
      </c>
      <c r="D702" s="6">
        <f>('2 transformar y limpiar'!D716-$B$7)/$C$7</f>
        <v/>
      </c>
      <c r="E702" s="6">
        <f>('2 transformar y limpiar'!E716-$B$8)/$C$8</f>
        <v/>
      </c>
      <c r="F702" s="6">
        <f>('2 transformar y limpiar'!F716-$B$9)/$C$9</f>
        <v/>
      </c>
      <c r="G702">
        <f>'2 transformar y limpiar'!G716</f>
        <v/>
      </c>
      <c r="H702">
        <f>'2 transformar y limpiar'!H716</f>
        <v/>
      </c>
      <c r="I702">
        <f>'2 transformar y limpiar'!I716</f>
        <v/>
      </c>
      <c r="J702">
        <f>'2 transformar y limpiar'!J716</f>
        <v/>
      </c>
      <c r="K702">
        <f>'2 transformar y limpiar'!K716</f>
        <v/>
      </c>
      <c r="L702">
        <f>'2 transformar y limpiar'!L716</f>
        <v/>
      </c>
      <c r="M702">
        <f>'2 transformar y limpiar'!M716</f>
        <v/>
      </c>
      <c r="N702">
        <f>'2 transformar y limpiar'!N716</f>
        <v/>
      </c>
      <c r="O702">
        <f>'2 transformar y limpiar'!O716</f>
        <v/>
      </c>
      <c r="P702">
        <f>'2 transformar y limpiar'!P716</f>
        <v/>
      </c>
      <c r="Q702">
        <f>'2 transformar y limpiar'!Q716</f>
        <v/>
      </c>
      <c r="R702">
        <f>'2 transformar y limpiar'!R716</f>
        <v/>
      </c>
      <c r="S702">
        <f>'2 transformar y limpiar'!S716</f>
        <v/>
      </c>
      <c r="T702">
        <f>'2 transformar y limpiar'!T716</f>
        <v/>
      </c>
      <c r="U702" s="5">
        <f>'2 transformar y limpiar'!U716</f>
        <v/>
      </c>
    </row>
    <row r="703">
      <c r="A703">
        <f>'2 transformar y limpiar'!A717</f>
        <v/>
      </c>
      <c r="B703">
        <f>'2 transformar y limpiar'!B717</f>
        <v/>
      </c>
      <c r="C703" s="6">
        <f>('2 transformar y limpiar'!C717-$B$6)/$C$6</f>
        <v/>
      </c>
      <c r="D703" s="6">
        <f>('2 transformar y limpiar'!D717-$B$7)/$C$7</f>
        <v/>
      </c>
      <c r="E703" s="6">
        <f>('2 transformar y limpiar'!E717-$B$8)/$C$8</f>
        <v/>
      </c>
      <c r="F703" s="6">
        <f>('2 transformar y limpiar'!F717-$B$9)/$C$9</f>
        <v/>
      </c>
      <c r="G703">
        <f>'2 transformar y limpiar'!G717</f>
        <v/>
      </c>
      <c r="H703">
        <f>'2 transformar y limpiar'!H717</f>
        <v/>
      </c>
      <c r="I703">
        <f>'2 transformar y limpiar'!I717</f>
        <v/>
      </c>
      <c r="J703">
        <f>'2 transformar y limpiar'!J717</f>
        <v/>
      </c>
      <c r="K703">
        <f>'2 transformar y limpiar'!K717</f>
        <v/>
      </c>
      <c r="L703">
        <f>'2 transformar y limpiar'!L717</f>
        <v/>
      </c>
      <c r="M703">
        <f>'2 transformar y limpiar'!M717</f>
        <v/>
      </c>
      <c r="N703">
        <f>'2 transformar y limpiar'!N717</f>
        <v/>
      </c>
      <c r="O703">
        <f>'2 transformar y limpiar'!O717</f>
        <v/>
      </c>
      <c r="P703">
        <f>'2 transformar y limpiar'!P717</f>
        <v/>
      </c>
      <c r="Q703">
        <f>'2 transformar y limpiar'!Q717</f>
        <v/>
      </c>
      <c r="R703">
        <f>'2 transformar y limpiar'!R717</f>
        <v/>
      </c>
      <c r="S703">
        <f>'2 transformar y limpiar'!S717</f>
        <v/>
      </c>
      <c r="T703">
        <f>'2 transformar y limpiar'!T717</f>
        <v/>
      </c>
      <c r="U703" s="5">
        <f>'2 transformar y limpiar'!U717</f>
        <v/>
      </c>
    </row>
    <row r="704">
      <c r="A704">
        <f>'2 transformar y limpiar'!A718</f>
        <v/>
      </c>
      <c r="B704">
        <f>'2 transformar y limpiar'!B718</f>
        <v/>
      </c>
      <c r="C704" s="6">
        <f>('2 transformar y limpiar'!C718-$B$6)/$C$6</f>
        <v/>
      </c>
      <c r="D704" s="6">
        <f>('2 transformar y limpiar'!D718-$B$7)/$C$7</f>
        <v/>
      </c>
      <c r="E704" s="6">
        <f>('2 transformar y limpiar'!E718-$B$8)/$C$8</f>
        <v/>
      </c>
      <c r="F704" s="6">
        <f>('2 transformar y limpiar'!F718-$B$9)/$C$9</f>
        <v/>
      </c>
      <c r="G704">
        <f>'2 transformar y limpiar'!G718</f>
        <v/>
      </c>
      <c r="H704">
        <f>'2 transformar y limpiar'!H718</f>
        <v/>
      </c>
      <c r="I704">
        <f>'2 transformar y limpiar'!I718</f>
        <v/>
      </c>
      <c r="J704">
        <f>'2 transformar y limpiar'!J718</f>
        <v/>
      </c>
      <c r="K704">
        <f>'2 transformar y limpiar'!K718</f>
        <v/>
      </c>
      <c r="L704">
        <f>'2 transformar y limpiar'!L718</f>
        <v/>
      </c>
      <c r="M704">
        <f>'2 transformar y limpiar'!M718</f>
        <v/>
      </c>
      <c r="N704">
        <f>'2 transformar y limpiar'!N718</f>
        <v/>
      </c>
      <c r="O704">
        <f>'2 transformar y limpiar'!O718</f>
        <v/>
      </c>
      <c r="P704">
        <f>'2 transformar y limpiar'!P718</f>
        <v/>
      </c>
      <c r="Q704">
        <f>'2 transformar y limpiar'!Q718</f>
        <v/>
      </c>
      <c r="R704">
        <f>'2 transformar y limpiar'!R718</f>
        <v/>
      </c>
      <c r="S704">
        <f>'2 transformar y limpiar'!S718</f>
        <v/>
      </c>
      <c r="T704">
        <f>'2 transformar y limpiar'!T718</f>
        <v/>
      </c>
      <c r="U704" s="5">
        <f>'2 transformar y limpiar'!U718</f>
        <v/>
      </c>
    </row>
    <row r="705">
      <c r="A705">
        <f>'2 transformar y limpiar'!A719</f>
        <v/>
      </c>
      <c r="B705">
        <f>'2 transformar y limpiar'!B719</f>
        <v/>
      </c>
      <c r="C705" s="6">
        <f>('2 transformar y limpiar'!C719-$B$6)/$C$6</f>
        <v/>
      </c>
      <c r="D705" s="6">
        <f>('2 transformar y limpiar'!D719-$B$7)/$C$7</f>
        <v/>
      </c>
      <c r="E705" s="6">
        <f>('2 transformar y limpiar'!E719-$B$8)/$C$8</f>
        <v/>
      </c>
      <c r="F705" s="6">
        <f>('2 transformar y limpiar'!F719-$B$9)/$C$9</f>
        <v/>
      </c>
      <c r="G705">
        <f>'2 transformar y limpiar'!G719</f>
        <v/>
      </c>
      <c r="H705">
        <f>'2 transformar y limpiar'!H719</f>
        <v/>
      </c>
      <c r="I705">
        <f>'2 transformar y limpiar'!I719</f>
        <v/>
      </c>
      <c r="J705">
        <f>'2 transformar y limpiar'!J719</f>
        <v/>
      </c>
      <c r="K705">
        <f>'2 transformar y limpiar'!K719</f>
        <v/>
      </c>
      <c r="L705">
        <f>'2 transformar y limpiar'!L719</f>
        <v/>
      </c>
      <c r="M705">
        <f>'2 transformar y limpiar'!M719</f>
        <v/>
      </c>
      <c r="N705">
        <f>'2 transformar y limpiar'!N719</f>
        <v/>
      </c>
      <c r="O705">
        <f>'2 transformar y limpiar'!O719</f>
        <v/>
      </c>
      <c r="P705">
        <f>'2 transformar y limpiar'!P719</f>
        <v/>
      </c>
      <c r="Q705">
        <f>'2 transformar y limpiar'!Q719</f>
        <v/>
      </c>
      <c r="R705">
        <f>'2 transformar y limpiar'!R719</f>
        <v/>
      </c>
      <c r="S705">
        <f>'2 transformar y limpiar'!S719</f>
        <v/>
      </c>
      <c r="T705">
        <f>'2 transformar y limpiar'!T719</f>
        <v/>
      </c>
      <c r="U705" s="5">
        <f>'2 transformar y limpiar'!U719</f>
        <v/>
      </c>
    </row>
    <row r="706">
      <c r="A706">
        <f>'2 transformar y limpiar'!A720</f>
        <v/>
      </c>
      <c r="B706">
        <f>'2 transformar y limpiar'!B720</f>
        <v/>
      </c>
      <c r="C706" s="6">
        <f>('2 transformar y limpiar'!C720-$B$6)/$C$6</f>
        <v/>
      </c>
      <c r="D706" s="6">
        <f>('2 transformar y limpiar'!D720-$B$7)/$C$7</f>
        <v/>
      </c>
      <c r="E706" s="6">
        <f>('2 transformar y limpiar'!E720-$B$8)/$C$8</f>
        <v/>
      </c>
      <c r="F706" s="6">
        <f>('2 transformar y limpiar'!F720-$B$9)/$C$9</f>
        <v/>
      </c>
      <c r="G706">
        <f>'2 transformar y limpiar'!G720</f>
        <v/>
      </c>
      <c r="H706">
        <f>'2 transformar y limpiar'!H720</f>
        <v/>
      </c>
      <c r="I706">
        <f>'2 transformar y limpiar'!I720</f>
        <v/>
      </c>
      <c r="J706">
        <f>'2 transformar y limpiar'!J720</f>
        <v/>
      </c>
      <c r="K706">
        <f>'2 transformar y limpiar'!K720</f>
        <v/>
      </c>
      <c r="L706">
        <f>'2 transformar y limpiar'!L720</f>
        <v/>
      </c>
      <c r="M706">
        <f>'2 transformar y limpiar'!M720</f>
        <v/>
      </c>
      <c r="N706">
        <f>'2 transformar y limpiar'!N720</f>
        <v/>
      </c>
      <c r="O706">
        <f>'2 transformar y limpiar'!O720</f>
        <v/>
      </c>
      <c r="P706">
        <f>'2 transformar y limpiar'!P720</f>
        <v/>
      </c>
      <c r="Q706">
        <f>'2 transformar y limpiar'!Q720</f>
        <v/>
      </c>
      <c r="R706">
        <f>'2 transformar y limpiar'!R720</f>
        <v/>
      </c>
      <c r="S706">
        <f>'2 transformar y limpiar'!S720</f>
        <v/>
      </c>
      <c r="T706">
        <f>'2 transformar y limpiar'!T720</f>
        <v/>
      </c>
      <c r="U706" s="5">
        <f>'2 transformar y limpiar'!U720</f>
        <v/>
      </c>
    </row>
    <row r="707">
      <c r="A707">
        <f>'2 transformar y limpiar'!A721</f>
        <v/>
      </c>
      <c r="B707">
        <f>'2 transformar y limpiar'!B721</f>
        <v/>
      </c>
      <c r="C707" s="6">
        <f>('2 transformar y limpiar'!C721-$B$6)/$C$6</f>
        <v/>
      </c>
      <c r="D707" s="6">
        <f>('2 transformar y limpiar'!D721-$B$7)/$C$7</f>
        <v/>
      </c>
      <c r="E707" s="6">
        <f>('2 transformar y limpiar'!E721-$B$8)/$C$8</f>
        <v/>
      </c>
      <c r="F707" s="6">
        <f>('2 transformar y limpiar'!F721-$B$9)/$C$9</f>
        <v/>
      </c>
      <c r="G707">
        <f>'2 transformar y limpiar'!G721</f>
        <v/>
      </c>
      <c r="H707">
        <f>'2 transformar y limpiar'!H721</f>
        <v/>
      </c>
      <c r="I707">
        <f>'2 transformar y limpiar'!I721</f>
        <v/>
      </c>
      <c r="J707">
        <f>'2 transformar y limpiar'!J721</f>
        <v/>
      </c>
      <c r="K707">
        <f>'2 transformar y limpiar'!K721</f>
        <v/>
      </c>
      <c r="L707">
        <f>'2 transformar y limpiar'!L721</f>
        <v/>
      </c>
      <c r="M707">
        <f>'2 transformar y limpiar'!M721</f>
        <v/>
      </c>
      <c r="N707">
        <f>'2 transformar y limpiar'!N721</f>
        <v/>
      </c>
      <c r="O707">
        <f>'2 transformar y limpiar'!O721</f>
        <v/>
      </c>
      <c r="P707">
        <f>'2 transformar y limpiar'!P721</f>
        <v/>
      </c>
      <c r="Q707">
        <f>'2 transformar y limpiar'!Q721</f>
        <v/>
      </c>
      <c r="R707">
        <f>'2 transformar y limpiar'!R721</f>
        <v/>
      </c>
      <c r="S707">
        <f>'2 transformar y limpiar'!S721</f>
        <v/>
      </c>
      <c r="T707">
        <f>'2 transformar y limpiar'!T721</f>
        <v/>
      </c>
      <c r="U707" s="5">
        <f>'2 transformar y limpiar'!U721</f>
        <v/>
      </c>
    </row>
    <row r="708">
      <c r="A708">
        <f>'2 transformar y limpiar'!A722</f>
        <v/>
      </c>
      <c r="B708">
        <f>'2 transformar y limpiar'!B722</f>
        <v/>
      </c>
      <c r="C708" s="6">
        <f>('2 transformar y limpiar'!C722-$B$6)/$C$6</f>
        <v/>
      </c>
      <c r="D708" s="6">
        <f>('2 transformar y limpiar'!D722-$B$7)/$C$7</f>
        <v/>
      </c>
      <c r="E708" s="6">
        <f>('2 transformar y limpiar'!E722-$B$8)/$C$8</f>
        <v/>
      </c>
      <c r="F708" s="6">
        <f>('2 transformar y limpiar'!F722-$B$9)/$C$9</f>
        <v/>
      </c>
      <c r="G708">
        <f>'2 transformar y limpiar'!G722</f>
        <v/>
      </c>
      <c r="H708">
        <f>'2 transformar y limpiar'!H722</f>
        <v/>
      </c>
      <c r="I708">
        <f>'2 transformar y limpiar'!I722</f>
        <v/>
      </c>
      <c r="J708">
        <f>'2 transformar y limpiar'!J722</f>
        <v/>
      </c>
      <c r="K708">
        <f>'2 transformar y limpiar'!K722</f>
        <v/>
      </c>
      <c r="L708">
        <f>'2 transformar y limpiar'!L722</f>
        <v/>
      </c>
      <c r="M708">
        <f>'2 transformar y limpiar'!M722</f>
        <v/>
      </c>
      <c r="N708">
        <f>'2 transformar y limpiar'!N722</f>
        <v/>
      </c>
      <c r="O708">
        <f>'2 transformar y limpiar'!O722</f>
        <v/>
      </c>
      <c r="P708">
        <f>'2 transformar y limpiar'!P722</f>
        <v/>
      </c>
      <c r="Q708">
        <f>'2 transformar y limpiar'!Q722</f>
        <v/>
      </c>
      <c r="R708">
        <f>'2 transformar y limpiar'!R722</f>
        <v/>
      </c>
      <c r="S708">
        <f>'2 transformar y limpiar'!S722</f>
        <v/>
      </c>
      <c r="T708">
        <f>'2 transformar y limpiar'!T722</f>
        <v/>
      </c>
      <c r="U708" s="5">
        <f>'2 transformar y limpiar'!U722</f>
        <v/>
      </c>
    </row>
    <row r="709">
      <c r="A709">
        <f>'2 transformar y limpiar'!A723</f>
        <v/>
      </c>
      <c r="B709">
        <f>'2 transformar y limpiar'!B723</f>
        <v/>
      </c>
      <c r="C709" s="6">
        <f>('2 transformar y limpiar'!C723-$B$6)/$C$6</f>
        <v/>
      </c>
      <c r="D709" s="6">
        <f>('2 transformar y limpiar'!D723-$B$7)/$C$7</f>
        <v/>
      </c>
      <c r="E709" s="6">
        <f>('2 transformar y limpiar'!E723-$B$8)/$C$8</f>
        <v/>
      </c>
      <c r="F709" s="6">
        <f>('2 transformar y limpiar'!F723-$B$9)/$C$9</f>
        <v/>
      </c>
      <c r="G709">
        <f>'2 transformar y limpiar'!G723</f>
        <v/>
      </c>
      <c r="H709">
        <f>'2 transformar y limpiar'!H723</f>
        <v/>
      </c>
      <c r="I709">
        <f>'2 transformar y limpiar'!I723</f>
        <v/>
      </c>
      <c r="J709">
        <f>'2 transformar y limpiar'!J723</f>
        <v/>
      </c>
      <c r="K709">
        <f>'2 transformar y limpiar'!K723</f>
        <v/>
      </c>
      <c r="L709">
        <f>'2 transformar y limpiar'!L723</f>
        <v/>
      </c>
      <c r="M709">
        <f>'2 transformar y limpiar'!M723</f>
        <v/>
      </c>
      <c r="N709">
        <f>'2 transformar y limpiar'!N723</f>
        <v/>
      </c>
      <c r="O709">
        <f>'2 transformar y limpiar'!O723</f>
        <v/>
      </c>
      <c r="P709">
        <f>'2 transformar y limpiar'!P723</f>
        <v/>
      </c>
      <c r="Q709">
        <f>'2 transformar y limpiar'!Q723</f>
        <v/>
      </c>
      <c r="R709">
        <f>'2 transformar y limpiar'!R723</f>
        <v/>
      </c>
      <c r="S709">
        <f>'2 transformar y limpiar'!S723</f>
        <v/>
      </c>
      <c r="T709">
        <f>'2 transformar y limpiar'!T723</f>
        <v/>
      </c>
      <c r="U709" s="5">
        <f>'2 transformar y limpiar'!U723</f>
        <v/>
      </c>
    </row>
    <row r="710">
      <c r="A710">
        <f>'2 transformar y limpiar'!A724</f>
        <v/>
      </c>
      <c r="B710">
        <f>'2 transformar y limpiar'!B724</f>
        <v/>
      </c>
      <c r="C710" s="6">
        <f>('2 transformar y limpiar'!C724-$B$6)/$C$6</f>
        <v/>
      </c>
      <c r="D710" s="6">
        <f>('2 transformar y limpiar'!D724-$B$7)/$C$7</f>
        <v/>
      </c>
      <c r="E710" s="6">
        <f>('2 transformar y limpiar'!E724-$B$8)/$C$8</f>
        <v/>
      </c>
      <c r="F710" s="6">
        <f>('2 transformar y limpiar'!F724-$B$9)/$C$9</f>
        <v/>
      </c>
      <c r="G710">
        <f>'2 transformar y limpiar'!G724</f>
        <v/>
      </c>
      <c r="H710">
        <f>'2 transformar y limpiar'!H724</f>
        <v/>
      </c>
      <c r="I710">
        <f>'2 transformar y limpiar'!I724</f>
        <v/>
      </c>
      <c r="J710">
        <f>'2 transformar y limpiar'!J724</f>
        <v/>
      </c>
      <c r="K710">
        <f>'2 transformar y limpiar'!K724</f>
        <v/>
      </c>
      <c r="L710">
        <f>'2 transformar y limpiar'!L724</f>
        <v/>
      </c>
      <c r="M710">
        <f>'2 transformar y limpiar'!M724</f>
        <v/>
      </c>
      <c r="N710">
        <f>'2 transformar y limpiar'!N724</f>
        <v/>
      </c>
      <c r="O710">
        <f>'2 transformar y limpiar'!O724</f>
        <v/>
      </c>
      <c r="P710">
        <f>'2 transformar y limpiar'!P724</f>
        <v/>
      </c>
      <c r="Q710">
        <f>'2 transformar y limpiar'!Q724</f>
        <v/>
      </c>
      <c r="R710">
        <f>'2 transformar y limpiar'!R724</f>
        <v/>
      </c>
      <c r="S710">
        <f>'2 transformar y limpiar'!S724</f>
        <v/>
      </c>
      <c r="T710">
        <f>'2 transformar y limpiar'!T724</f>
        <v/>
      </c>
      <c r="U710" s="5">
        <f>'2 transformar y limpiar'!U724</f>
        <v/>
      </c>
    </row>
    <row r="711">
      <c r="A711">
        <f>'2 transformar y limpiar'!A725</f>
        <v/>
      </c>
      <c r="B711">
        <f>'2 transformar y limpiar'!B725</f>
        <v/>
      </c>
      <c r="C711" s="6">
        <f>('2 transformar y limpiar'!C725-$B$6)/$C$6</f>
        <v/>
      </c>
      <c r="D711" s="6">
        <f>('2 transformar y limpiar'!D725-$B$7)/$C$7</f>
        <v/>
      </c>
      <c r="E711" s="6">
        <f>('2 transformar y limpiar'!E725-$B$8)/$C$8</f>
        <v/>
      </c>
      <c r="F711" s="6">
        <f>('2 transformar y limpiar'!F725-$B$9)/$C$9</f>
        <v/>
      </c>
      <c r="G711">
        <f>'2 transformar y limpiar'!G725</f>
        <v/>
      </c>
      <c r="H711">
        <f>'2 transformar y limpiar'!H725</f>
        <v/>
      </c>
      <c r="I711">
        <f>'2 transformar y limpiar'!I725</f>
        <v/>
      </c>
      <c r="J711">
        <f>'2 transformar y limpiar'!J725</f>
        <v/>
      </c>
      <c r="K711">
        <f>'2 transformar y limpiar'!K725</f>
        <v/>
      </c>
      <c r="L711">
        <f>'2 transformar y limpiar'!L725</f>
        <v/>
      </c>
      <c r="M711">
        <f>'2 transformar y limpiar'!M725</f>
        <v/>
      </c>
      <c r="N711">
        <f>'2 transformar y limpiar'!N725</f>
        <v/>
      </c>
      <c r="O711">
        <f>'2 transformar y limpiar'!O725</f>
        <v/>
      </c>
      <c r="P711">
        <f>'2 transformar y limpiar'!P725</f>
        <v/>
      </c>
      <c r="Q711">
        <f>'2 transformar y limpiar'!Q725</f>
        <v/>
      </c>
      <c r="R711">
        <f>'2 transformar y limpiar'!R725</f>
        <v/>
      </c>
      <c r="S711">
        <f>'2 transformar y limpiar'!S725</f>
        <v/>
      </c>
      <c r="T711">
        <f>'2 transformar y limpiar'!T725</f>
        <v/>
      </c>
      <c r="U711" s="5">
        <f>'2 transformar y limpiar'!U725</f>
        <v/>
      </c>
    </row>
    <row r="712">
      <c r="A712">
        <f>'2 transformar y limpiar'!A726</f>
        <v/>
      </c>
      <c r="B712">
        <f>'2 transformar y limpiar'!B726</f>
        <v/>
      </c>
      <c r="C712" s="6">
        <f>('2 transformar y limpiar'!C726-$B$6)/$C$6</f>
        <v/>
      </c>
      <c r="D712" s="6">
        <f>('2 transformar y limpiar'!D726-$B$7)/$C$7</f>
        <v/>
      </c>
      <c r="E712" s="6">
        <f>('2 transformar y limpiar'!E726-$B$8)/$C$8</f>
        <v/>
      </c>
      <c r="F712" s="6">
        <f>('2 transformar y limpiar'!F726-$B$9)/$C$9</f>
        <v/>
      </c>
      <c r="G712">
        <f>'2 transformar y limpiar'!G726</f>
        <v/>
      </c>
      <c r="H712">
        <f>'2 transformar y limpiar'!H726</f>
        <v/>
      </c>
      <c r="I712">
        <f>'2 transformar y limpiar'!I726</f>
        <v/>
      </c>
      <c r="J712">
        <f>'2 transformar y limpiar'!J726</f>
        <v/>
      </c>
      <c r="K712">
        <f>'2 transformar y limpiar'!K726</f>
        <v/>
      </c>
      <c r="L712">
        <f>'2 transformar y limpiar'!L726</f>
        <v/>
      </c>
      <c r="M712">
        <f>'2 transformar y limpiar'!M726</f>
        <v/>
      </c>
      <c r="N712">
        <f>'2 transformar y limpiar'!N726</f>
        <v/>
      </c>
      <c r="O712">
        <f>'2 transformar y limpiar'!O726</f>
        <v/>
      </c>
      <c r="P712">
        <f>'2 transformar y limpiar'!P726</f>
        <v/>
      </c>
      <c r="Q712">
        <f>'2 transformar y limpiar'!Q726</f>
        <v/>
      </c>
      <c r="R712">
        <f>'2 transformar y limpiar'!R726</f>
        <v/>
      </c>
      <c r="S712">
        <f>'2 transformar y limpiar'!S726</f>
        <v/>
      </c>
      <c r="T712">
        <f>'2 transformar y limpiar'!T726</f>
        <v/>
      </c>
      <c r="U712" s="5">
        <f>'2 transformar y limpiar'!U726</f>
        <v/>
      </c>
    </row>
    <row r="713">
      <c r="A713">
        <f>'2 transformar y limpiar'!A727</f>
        <v/>
      </c>
      <c r="B713">
        <f>'2 transformar y limpiar'!B727</f>
        <v/>
      </c>
      <c r="C713" s="6">
        <f>('2 transformar y limpiar'!C727-$B$6)/$C$6</f>
        <v/>
      </c>
      <c r="D713" s="6">
        <f>('2 transformar y limpiar'!D727-$B$7)/$C$7</f>
        <v/>
      </c>
      <c r="E713" s="6">
        <f>('2 transformar y limpiar'!E727-$B$8)/$C$8</f>
        <v/>
      </c>
      <c r="F713" s="6">
        <f>('2 transformar y limpiar'!F727-$B$9)/$C$9</f>
        <v/>
      </c>
      <c r="G713">
        <f>'2 transformar y limpiar'!G727</f>
        <v/>
      </c>
      <c r="H713">
        <f>'2 transformar y limpiar'!H727</f>
        <v/>
      </c>
      <c r="I713">
        <f>'2 transformar y limpiar'!I727</f>
        <v/>
      </c>
      <c r="J713">
        <f>'2 transformar y limpiar'!J727</f>
        <v/>
      </c>
      <c r="K713">
        <f>'2 transformar y limpiar'!K727</f>
        <v/>
      </c>
      <c r="L713">
        <f>'2 transformar y limpiar'!L727</f>
        <v/>
      </c>
      <c r="M713">
        <f>'2 transformar y limpiar'!M727</f>
        <v/>
      </c>
      <c r="N713">
        <f>'2 transformar y limpiar'!N727</f>
        <v/>
      </c>
      <c r="O713">
        <f>'2 transformar y limpiar'!O727</f>
        <v/>
      </c>
      <c r="P713">
        <f>'2 transformar y limpiar'!P727</f>
        <v/>
      </c>
      <c r="Q713">
        <f>'2 transformar y limpiar'!Q727</f>
        <v/>
      </c>
      <c r="R713">
        <f>'2 transformar y limpiar'!R727</f>
        <v/>
      </c>
      <c r="S713">
        <f>'2 transformar y limpiar'!S727</f>
        <v/>
      </c>
      <c r="T713">
        <f>'2 transformar y limpiar'!T727</f>
        <v/>
      </c>
      <c r="U713" s="5">
        <f>'2 transformar y limpiar'!U727</f>
        <v/>
      </c>
    </row>
    <row r="714">
      <c r="A714">
        <f>'2 transformar y limpiar'!A728</f>
        <v/>
      </c>
      <c r="B714">
        <f>'2 transformar y limpiar'!B728</f>
        <v/>
      </c>
      <c r="C714" s="6">
        <f>('2 transformar y limpiar'!C728-$B$6)/$C$6</f>
        <v/>
      </c>
      <c r="D714" s="6">
        <f>('2 transformar y limpiar'!D728-$B$7)/$C$7</f>
        <v/>
      </c>
      <c r="E714" s="6">
        <f>('2 transformar y limpiar'!E728-$B$8)/$C$8</f>
        <v/>
      </c>
      <c r="F714" s="6">
        <f>('2 transformar y limpiar'!F728-$B$9)/$C$9</f>
        <v/>
      </c>
      <c r="G714">
        <f>'2 transformar y limpiar'!G728</f>
        <v/>
      </c>
      <c r="H714">
        <f>'2 transformar y limpiar'!H728</f>
        <v/>
      </c>
      <c r="I714">
        <f>'2 transformar y limpiar'!I728</f>
        <v/>
      </c>
      <c r="J714">
        <f>'2 transformar y limpiar'!J728</f>
        <v/>
      </c>
      <c r="K714">
        <f>'2 transformar y limpiar'!K728</f>
        <v/>
      </c>
      <c r="L714">
        <f>'2 transformar y limpiar'!L728</f>
        <v/>
      </c>
      <c r="M714">
        <f>'2 transformar y limpiar'!M728</f>
        <v/>
      </c>
      <c r="N714">
        <f>'2 transformar y limpiar'!N728</f>
        <v/>
      </c>
      <c r="O714">
        <f>'2 transformar y limpiar'!O728</f>
        <v/>
      </c>
      <c r="P714">
        <f>'2 transformar y limpiar'!P728</f>
        <v/>
      </c>
      <c r="Q714">
        <f>'2 transformar y limpiar'!Q728</f>
        <v/>
      </c>
      <c r="R714">
        <f>'2 transformar y limpiar'!R728</f>
        <v/>
      </c>
      <c r="S714">
        <f>'2 transformar y limpiar'!S728</f>
        <v/>
      </c>
      <c r="T714">
        <f>'2 transformar y limpiar'!T728</f>
        <v/>
      </c>
      <c r="U714" s="5">
        <f>'2 transformar y limpiar'!U728</f>
        <v/>
      </c>
    </row>
    <row r="715">
      <c r="A715">
        <f>'2 transformar y limpiar'!A729</f>
        <v/>
      </c>
      <c r="B715">
        <f>'2 transformar y limpiar'!B729</f>
        <v/>
      </c>
      <c r="C715" s="6">
        <f>('2 transformar y limpiar'!C729-$B$6)/$C$6</f>
        <v/>
      </c>
      <c r="D715" s="6">
        <f>('2 transformar y limpiar'!D729-$B$7)/$C$7</f>
        <v/>
      </c>
      <c r="E715" s="6">
        <f>('2 transformar y limpiar'!E729-$B$8)/$C$8</f>
        <v/>
      </c>
      <c r="F715" s="6">
        <f>('2 transformar y limpiar'!F729-$B$9)/$C$9</f>
        <v/>
      </c>
      <c r="G715">
        <f>'2 transformar y limpiar'!G729</f>
        <v/>
      </c>
      <c r="H715">
        <f>'2 transformar y limpiar'!H729</f>
        <v/>
      </c>
      <c r="I715">
        <f>'2 transformar y limpiar'!I729</f>
        <v/>
      </c>
      <c r="J715">
        <f>'2 transformar y limpiar'!J729</f>
        <v/>
      </c>
      <c r="K715">
        <f>'2 transformar y limpiar'!K729</f>
        <v/>
      </c>
      <c r="L715">
        <f>'2 transformar y limpiar'!L729</f>
        <v/>
      </c>
      <c r="M715">
        <f>'2 transformar y limpiar'!M729</f>
        <v/>
      </c>
      <c r="N715">
        <f>'2 transformar y limpiar'!N729</f>
        <v/>
      </c>
      <c r="O715">
        <f>'2 transformar y limpiar'!O729</f>
        <v/>
      </c>
      <c r="P715">
        <f>'2 transformar y limpiar'!P729</f>
        <v/>
      </c>
      <c r="Q715">
        <f>'2 transformar y limpiar'!Q729</f>
        <v/>
      </c>
      <c r="R715">
        <f>'2 transformar y limpiar'!R729</f>
        <v/>
      </c>
      <c r="S715">
        <f>'2 transformar y limpiar'!S729</f>
        <v/>
      </c>
      <c r="T715">
        <f>'2 transformar y limpiar'!T729</f>
        <v/>
      </c>
      <c r="U715" s="5">
        <f>'2 transformar y limpiar'!U729</f>
        <v/>
      </c>
    </row>
    <row r="716">
      <c r="A716">
        <f>'2 transformar y limpiar'!A730</f>
        <v/>
      </c>
      <c r="B716">
        <f>'2 transformar y limpiar'!B730</f>
        <v/>
      </c>
      <c r="C716" s="6">
        <f>('2 transformar y limpiar'!C730-$B$6)/$C$6</f>
        <v/>
      </c>
      <c r="D716" s="6">
        <f>('2 transformar y limpiar'!D730-$B$7)/$C$7</f>
        <v/>
      </c>
      <c r="E716" s="6">
        <f>('2 transformar y limpiar'!E730-$B$8)/$C$8</f>
        <v/>
      </c>
      <c r="F716" s="6">
        <f>('2 transformar y limpiar'!F730-$B$9)/$C$9</f>
        <v/>
      </c>
      <c r="G716">
        <f>'2 transformar y limpiar'!G730</f>
        <v/>
      </c>
      <c r="H716">
        <f>'2 transformar y limpiar'!H730</f>
        <v/>
      </c>
      <c r="I716">
        <f>'2 transformar y limpiar'!I730</f>
        <v/>
      </c>
      <c r="J716">
        <f>'2 transformar y limpiar'!J730</f>
        <v/>
      </c>
      <c r="K716">
        <f>'2 transformar y limpiar'!K730</f>
        <v/>
      </c>
      <c r="L716">
        <f>'2 transformar y limpiar'!L730</f>
        <v/>
      </c>
      <c r="M716">
        <f>'2 transformar y limpiar'!M730</f>
        <v/>
      </c>
      <c r="N716">
        <f>'2 transformar y limpiar'!N730</f>
        <v/>
      </c>
      <c r="O716">
        <f>'2 transformar y limpiar'!O730</f>
        <v/>
      </c>
      <c r="P716">
        <f>'2 transformar y limpiar'!P730</f>
        <v/>
      </c>
      <c r="Q716">
        <f>'2 transformar y limpiar'!Q730</f>
        <v/>
      </c>
      <c r="R716">
        <f>'2 transformar y limpiar'!R730</f>
        <v/>
      </c>
      <c r="S716">
        <f>'2 transformar y limpiar'!S730</f>
        <v/>
      </c>
      <c r="T716">
        <f>'2 transformar y limpiar'!T730</f>
        <v/>
      </c>
      <c r="U716" s="5">
        <f>'2 transformar y limpiar'!U730</f>
        <v/>
      </c>
    </row>
    <row r="717">
      <c r="A717">
        <f>'2 transformar y limpiar'!A731</f>
        <v/>
      </c>
      <c r="B717">
        <f>'2 transformar y limpiar'!B731</f>
        <v/>
      </c>
      <c r="C717" s="6">
        <f>('2 transformar y limpiar'!C731-$B$6)/$C$6</f>
        <v/>
      </c>
      <c r="D717" s="6">
        <f>('2 transformar y limpiar'!D731-$B$7)/$C$7</f>
        <v/>
      </c>
      <c r="E717" s="6">
        <f>('2 transformar y limpiar'!E731-$B$8)/$C$8</f>
        <v/>
      </c>
      <c r="F717" s="6">
        <f>('2 transformar y limpiar'!F731-$B$9)/$C$9</f>
        <v/>
      </c>
      <c r="G717">
        <f>'2 transformar y limpiar'!G731</f>
        <v/>
      </c>
      <c r="H717">
        <f>'2 transformar y limpiar'!H731</f>
        <v/>
      </c>
      <c r="I717">
        <f>'2 transformar y limpiar'!I731</f>
        <v/>
      </c>
      <c r="J717">
        <f>'2 transformar y limpiar'!J731</f>
        <v/>
      </c>
      <c r="K717">
        <f>'2 transformar y limpiar'!K731</f>
        <v/>
      </c>
      <c r="L717">
        <f>'2 transformar y limpiar'!L731</f>
        <v/>
      </c>
      <c r="M717">
        <f>'2 transformar y limpiar'!M731</f>
        <v/>
      </c>
      <c r="N717">
        <f>'2 transformar y limpiar'!N731</f>
        <v/>
      </c>
      <c r="O717">
        <f>'2 transformar y limpiar'!O731</f>
        <v/>
      </c>
      <c r="P717">
        <f>'2 transformar y limpiar'!P731</f>
        <v/>
      </c>
      <c r="Q717">
        <f>'2 transformar y limpiar'!Q731</f>
        <v/>
      </c>
      <c r="R717">
        <f>'2 transformar y limpiar'!R731</f>
        <v/>
      </c>
      <c r="S717">
        <f>'2 transformar y limpiar'!S731</f>
        <v/>
      </c>
      <c r="T717">
        <f>'2 transformar y limpiar'!T731</f>
        <v/>
      </c>
      <c r="U717" s="5">
        <f>'2 transformar y limpiar'!U731</f>
        <v/>
      </c>
    </row>
    <row r="718">
      <c r="A718">
        <f>'2 transformar y limpiar'!A732</f>
        <v/>
      </c>
      <c r="B718">
        <f>'2 transformar y limpiar'!B732</f>
        <v/>
      </c>
      <c r="C718" s="6">
        <f>('2 transformar y limpiar'!C732-$B$6)/$C$6</f>
        <v/>
      </c>
      <c r="D718" s="6">
        <f>('2 transformar y limpiar'!D732-$B$7)/$C$7</f>
        <v/>
      </c>
      <c r="E718" s="6">
        <f>('2 transformar y limpiar'!E732-$B$8)/$C$8</f>
        <v/>
      </c>
      <c r="F718" s="6">
        <f>('2 transformar y limpiar'!F732-$B$9)/$C$9</f>
        <v/>
      </c>
      <c r="G718">
        <f>'2 transformar y limpiar'!G732</f>
        <v/>
      </c>
      <c r="H718">
        <f>'2 transformar y limpiar'!H732</f>
        <v/>
      </c>
      <c r="I718">
        <f>'2 transformar y limpiar'!I732</f>
        <v/>
      </c>
      <c r="J718">
        <f>'2 transformar y limpiar'!J732</f>
        <v/>
      </c>
      <c r="K718">
        <f>'2 transformar y limpiar'!K732</f>
        <v/>
      </c>
      <c r="L718">
        <f>'2 transformar y limpiar'!L732</f>
        <v/>
      </c>
      <c r="M718">
        <f>'2 transformar y limpiar'!M732</f>
        <v/>
      </c>
      <c r="N718">
        <f>'2 transformar y limpiar'!N732</f>
        <v/>
      </c>
      <c r="O718">
        <f>'2 transformar y limpiar'!O732</f>
        <v/>
      </c>
      <c r="P718">
        <f>'2 transformar y limpiar'!P732</f>
        <v/>
      </c>
      <c r="Q718">
        <f>'2 transformar y limpiar'!Q732</f>
        <v/>
      </c>
      <c r="R718">
        <f>'2 transformar y limpiar'!R732</f>
        <v/>
      </c>
      <c r="S718">
        <f>'2 transformar y limpiar'!S732</f>
        <v/>
      </c>
      <c r="T718">
        <f>'2 transformar y limpiar'!T732</f>
        <v/>
      </c>
      <c r="U718" s="5">
        <f>'2 transformar y limpiar'!U732</f>
        <v/>
      </c>
    </row>
    <row r="719">
      <c r="A719">
        <f>'2 transformar y limpiar'!A733</f>
        <v/>
      </c>
      <c r="B719">
        <f>'2 transformar y limpiar'!B733</f>
        <v/>
      </c>
      <c r="C719" s="6">
        <f>('2 transformar y limpiar'!C733-$B$6)/$C$6</f>
        <v/>
      </c>
      <c r="D719" s="6">
        <f>('2 transformar y limpiar'!D733-$B$7)/$C$7</f>
        <v/>
      </c>
      <c r="E719" s="6">
        <f>('2 transformar y limpiar'!E733-$B$8)/$C$8</f>
        <v/>
      </c>
      <c r="F719" s="6">
        <f>('2 transformar y limpiar'!F733-$B$9)/$C$9</f>
        <v/>
      </c>
      <c r="G719">
        <f>'2 transformar y limpiar'!G733</f>
        <v/>
      </c>
      <c r="H719">
        <f>'2 transformar y limpiar'!H733</f>
        <v/>
      </c>
      <c r="I719">
        <f>'2 transformar y limpiar'!I733</f>
        <v/>
      </c>
      <c r="J719">
        <f>'2 transformar y limpiar'!J733</f>
        <v/>
      </c>
      <c r="K719">
        <f>'2 transformar y limpiar'!K733</f>
        <v/>
      </c>
      <c r="L719">
        <f>'2 transformar y limpiar'!L733</f>
        <v/>
      </c>
      <c r="M719">
        <f>'2 transformar y limpiar'!M733</f>
        <v/>
      </c>
      <c r="N719">
        <f>'2 transformar y limpiar'!N733</f>
        <v/>
      </c>
      <c r="O719">
        <f>'2 transformar y limpiar'!O733</f>
        <v/>
      </c>
      <c r="P719">
        <f>'2 transformar y limpiar'!P733</f>
        <v/>
      </c>
      <c r="Q719">
        <f>'2 transformar y limpiar'!Q733</f>
        <v/>
      </c>
      <c r="R719">
        <f>'2 transformar y limpiar'!R733</f>
        <v/>
      </c>
      <c r="S719">
        <f>'2 transformar y limpiar'!S733</f>
        <v/>
      </c>
      <c r="T719">
        <f>'2 transformar y limpiar'!T733</f>
        <v/>
      </c>
      <c r="U719" s="5">
        <f>'2 transformar y limpiar'!U733</f>
        <v/>
      </c>
    </row>
    <row r="720">
      <c r="A720">
        <f>'2 transformar y limpiar'!A734</f>
        <v/>
      </c>
      <c r="B720">
        <f>'2 transformar y limpiar'!B734</f>
        <v/>
      </c>
      <c r="C720" s="6">
        <f>('2 transformar y limpiar'!C734-$B$6)/$C$6</f>
        <v/>
      </c>
      <c r="D720" s="6">
        <f>('2 transformar y limpiar'!D734-$B$7)/$C$7</f>
        <v/>
      </c>
      <c r="E720" s="6">
        <f>('2 transformar y limpiar'!E734-$B$8)/$C$8</f>
        <v/>
      </c>
      <c r="F720" s="6">
        <f>('2 transformar y limpiar'!F734-$B$9)/$C$9</f>
        <v/>
      </c>
      <c r="G720">
        <f>'2 transformar y limpiar'!G734</f>
        <v/>
      </c>
      <c r="H720">
        <f>'2 transformar y limpiar'!H734</f>
        <v/>
      </c>
      <c r="I720">
        <f>'2 transformar y limpiar'!I734</f>
        <v/>
      </c>
      <c r="J720">
        <f>'2 transformar y limpiar'!J734</f>
        <v/>
      </c>
      <c r="K720">
        <f>'2 transformar y limpiar'!K734</f>
        <v/>
      </c>
      <c r="L720">
        <f>'2 transformar y limpiar'!L734</f>
        <v/>
      </c>
      <c r="M720">
        <f>'2 transformar y limpiar'!M734</f>
        <v/>
      </c>
      <c r="N720">
        <f>'2 transformar y limpiar'!N734</f>
        <v/>
      </c>
      <c r="O720">
        <f>'2 transformar y limpiar'!O734</f>
        <v/>
      </c>
      <c r="P720">
        <f>'2 transformar y limpiar'!P734</f>
        <v/>
      </c>
      <c r="Q720">
        <f>'2 transformar y limpiar'!Q734</f>
        <v/>
      </c>
      <c r="R720">
        <f>'2 transformar y limpiar'!R734</f>
        <v/>
      </c>
      <c r="S720">
        <f>'2 transformar y limpiar'!S734</f>
        <v/>
      </c>
      <c r="T720">
        <f>'2 transformar y limpiar'!T734</f>
        <v/>
      </c>
      <c r="U720" s="5">
        <f>'2 transformar y limpiar'!U734</f>
        <v/>
      </c>
    </row>
    <row r="721">
      <c r="A721">
        <f>'2 transformar y limpiar'!A735</f>
        <v/>
      </c>
      <c r="B721">
        <f>'2 transformar y limpiar'!B735</f>
        <v/>
      </c>
      <c r="C721" s="6">
        <f>('2 transformar y limpiar'!C735-$B$6)/$C$6</f>
        <v/>
      </c>
      <c r="D721" s="6">
        <f>('2 transformar y limpiar'!D735-$B$7)/$C$7</f>
        <v/>
      </c>
      <c r="E721" s="6">
        <f>('2 transformar y limpiar'!E735-$B$8)/$C$8</f>
        <v/>
      </c>
      <c r="F721" s="6">
        <f>('2 transformar y limpiar'!F735-$B$9)/$C$9</f>
        <v/>
      </c>
      <c r="G721">
        <f>'2 transformar y limpiar'!G735</f>
        <v/>
      </c>
      <c r="H721">
        <f>'2 transformar y limpiar'!H735</f>
        <v/>
      </c>
      <c r="I721">
        <f>'2 transformar y limpiar'!I735</f>
        <v/>
      </c>
      <c r="J721">
        <f>'2 transformar y limpiar'!J735</f>
        <v/>
      </c>
      <c r="K721">
        <f>'2 transformar y limpiar'!K735</f>
        <v/>
      </c>
      <c r="L721">
        <f>'2 transformar y limpiar'!L735</f>
        <v/>
      </c>
      <c r="M721">
        <f>'2 transformar y limpiar'!M735</f>
        <v/>
      </c>
      <c r="N721">
        <f>'2 transformar y limpiar'!N735</f>
        <v/>
      </c>
      <c r="O721">
        <f>'2 transformar y limpiar'!O735</f>
        <v/>
      </c>
      <c r="P721">
        <f>'2 transformar y limpiar'!P735</f>
        <v/>
      </c>
      <c r="Q721">
        <f>'2 transformar y limpiar'!Q735</f>
        <v/>
      </c>
      <c r="R721">
        <f>'2 transformar y limpiar'!R735</f>
        <v/>
      </c>
      <c r="S721">
        <f>'2 transformar y limpiar'!S735</f>
        <v/>
      </c>
      <c r="T721">
        <f>'2 transformar y limpiar'!T735</f>
        <v/>
      </c>
      <c r="U721" s="5">
        <f>'2 transformar y limpiar'!U735</f>
        <v/>
      </c>
    </row>
    <row r="722">
      <c r="A722">
        <f>'2 transformar y limpiar'!A736</f>
        <v/>
      </c>
      <c r="B722">
        <f>'2 transformar y limpiar'!B736</f>
        <v/>
      </c>
      <c r="C722" s="6">
        <f>('2 transformar y limpiar'!C736-$B$6)/$C$6</f>
        <v/>
      </c>
      <c r="D722" s="6">
        <f>('2 transformar y limpiar'!D736-$B$7)/$C$7</f>
        <v/>
      </c>
      <c r="E722" s="6">
        <f>('2 transformar y limpiar'!E736-$B$8)/$C$8</f>
        <v/>
      </c>
      <c r="F722" s="6">
        <f>('2 transformar y limpiar'!F736-$B$9)/$C$9</f>
        <v/>
      </c>
      <c r="G722">
        <f>'2 transformar y limpiar'!G736</f>
        <v/>
      </c>
      <c r="H722">
        <f>'2 transformar y limpiar'!H736</f>
        <v/>
      </c>
      <c r="I722">
        <f>'2 transformar y limpiar'!I736</f>
        <v/>
      </c>
      <c r="J722">
        <f>'2 transformar y limpiar'!J736</f>
        <v/>
      </c>
      <c r="K722">
        <f>'2 transformar y limpiar'!K736</f>
        <v/>
      </c>
      <c r="L722">
        <f>'2 transformar y limpiar'!L736</f>
        <v/>
      </c>
      <c r="M722">
        <f>'2 transformar y limpiar'!M736</f>
        <v/>
      </c>
      <c r="N722">
        <f>'2 transformar y limpiar'!N736</f>
        <v/>
      </c>
      <c r="O722">
        <f>'2 transformar y limpiar'!O736</f>
        <v/>
      </c>
      <c r="P722">
        <f>'2 transformar y limpiar'!P736</f>
        <v/>
      </c>
      <c r="Q722">
        <f>'2 transformar y limpiar'!Q736</f>
        <v/>
      </c>
      <c r="R722">
        <f>'2 transformar y limpiar'!R736</f>
        <v/>
      </c>
      <c r="S722">
        <f>'2 transformar y limpiar'!S736</f>
        <v/>
      </c>
      <c r="T722">
        <f>'2 transformar y limpiar'!T736</f>
        <v/>
      </c>
      <c r="U722" s="5">
        <f>'2 transformar y limpiar'!U736</f>
        <v/>
      </c>
    </row>
    <row r="723">
      <c r="A723">
        <f>'2 transformar y limpiar'!A737</f>
        <v/>
      </c>
      <c r="B723">
        <f>'2 transformar y limpiar'!B737</f>
        <v/>
      </c>
      <c r="C723" s="6">
        <f>('2 transformar y limpiar'!C737-$B$6)/$C$6</f>
        <v/>
      </c>
      <c r="D723" s="6">
        <f>('2 transformar y limpiar'!D737-$B$7)/$C$7</f>
        <v/>
      </c>
      <c r="E723" s="6">
        <f>('2 transformar y limpiar'!E737-$B$8)/$C$8</f>
        <v/>
      </c>
      <c r="F723" s="6">
        <f>('2 transformar y limpiar'!F737-$B$9)/$C$9</f>
        <v/>
      </c>
      <c r="G723">
        <f>'2 transformar y limpiar'!G737</f>
        <v/>
      </c>
      <c r="H723">
        <f>'2 transformar y limpiar'!H737</f>
        <v/>
      </c>
      <c r="I723">
        <f>'2 transformar y limpiar'!I737</f>
        <v/>
      </c>
      <c r="J723">
        <f>'2 transformar y limpiar'!J737</f>
        <v/>
      </c>
      <c r="K723">
        <f>'2 transformar y limpiar'!K737</f>
        <v/>
      </c>
      <c r="L723">
        <f>'2 transformar y limpiar'!L737</f>
        <v/>
      </c>
      <c r="M723">
        <f>'2 transformar y limpiar'!M737</f>
        <v/>
      </c>
      <c r="N723">
        <f>'2 transformar y limpiar'!N737</f>
        <v/>
      </c>
      <c r="O723">
        <f>'2 transformar y limpiar'!O737</f>
        <v/>
      </c>
      <c r="P723">
        <f>'2 transformar y limpiar'!P737</f>
        <v/>
      </c>
      <c r="Q723">
        <f>'2 transformar y limpiar'!Q737</f>
        <v/>
      </c>
      <c r="R723">
        <f>'2 transformar y limpiar'!R737</f>
        <v/>
      </c>
      <c r="S723">
        <f>'2 transformar y limpiar'!S737</f>
        <v/>
      </c>
      <c r="T723">
        <f>'2 transformar y limpiar'!T737</f>
        <v/>
      </c>
      <c r="U723" s="5">
        <f>'2 transformar y limpiar'!U737</f>
        <v/>
      </c>
    </row>
    <row r="724">
      <c r="A724">
        <f>'2 transformar y limpiar'!A738</f>
        <v/>
      </c>
      <c r="B724">
        <f>'2 transformar y limpiar'!B738</f>
        <v/>
      </c>
      <c r="C724" s="6">
        <f>('2 transformar y limpiar'!C738-$B$6)/$C$6</f>
        <v/>
      </c>
      <c r="D724" s="6">
        <f>('2 transformar y limpiar'!D738-$B$7)/$C$7</f>
        <v/>
      </c>
      <c r="E724" s="6">
        <f>('2 transformar y limpiar'!E738-$B$8)/$C$8</f>
        <v/>
      </c>
      <c r="F724" s="6">
        <f>('2 transformar y limpiar'!F738-$B$9)/$C$9</f>
        <v/>
      </c>
      <c r="G724">
        <f>'2 transformar y limpiar'!G738</f>
        <v/>
      </c>
      <c r="H724">
        <f>'2 transformar y limpiar'!H738</f>
        <v/>
      </c>
      <c r="I724">
        <f>'2 transformar y limpiar'!I738</f>
        <v/>
      </c>
      <c r="J724">
        <f>'2 transformar y limpiar'!J738</f>
        <v/>
      </c>
      <c r="K724">
        <f>'2 transformar y limpiar'!K738</f>
        <v/>
      </c>
      <c r="L724">
        <f>'2 transformar y limpiar'!L738</f>
        <v/>
      </c>
      <c r="M724">
        <f>'2 transformar y limpiar'!M738</f>
        <v/>
      </c>
      <c r="N724">
        <f>'2 transformar y limpiar'!N738</f>
        <v/>
      </c>
      <c r="O724">
        <f>'2 transformar y limpiar'!O738</f>
        <v/>
      </c>
      <c r="P724">
        <f>'2 transformar y limpiar'!P738</f>
        <v/>
      </c>
      <c r="Q724">
        <f>'2 transformar y limpiar'!Q738</f>
        <v/>
      </c>
      <c r="R724">
        <f>'2 transformar y limpiar'!R738</f>
        <v/>
      </c>
      <c r="S724">
        <f>'2 transformar y limpiar'!S738</f>
        <v/>
      </c>
      <c r="T724">
        <f>'2 transformar y limpiar'!T738</f>
        <v/>
      </c>
      <c r="U724" s="5">
        <f>'2 transformar y limpiar'!U738</f>
        <v/>
      </c>
    </row>
    <row r="725">
      <c r="A725">
        <f>'2 transformar y limpiar'!A739</f>
        <v/>
      </c>
      <c r="B725">
        <f>'2 transformar y limpiar'!B739</f>
        <v/>
      </c>
      <c r="C725" s="6">
        <f>('2 transformar y limpiar'!C739-$B$6)/$C$6</f>
        <v/>
      </c>
      <c r="D725" s="6">
        <f>('2 transformar y limpiar'!D739-$B$7)/$C$7</f>
        <v/>
      </c>
      <c r="E725" s="6">
        <f>('2 transformar y limpiar'!E739-$B$8)/$C$8</f>
        <v/>
      </c>
      <c r="F725" s="6">
        <f>('2 transformar y limpiar'!F739-$B$9)/$C$9</f>
        <v/>
      </c>
      <c r="G725">
        <f>'2 transformar y limpiar'!G739</f>
        <v/>
      </c>
      <c r="H725">
        <f>'2 transformar y limpiar'!H739</f>
        <v/>
      </c>
      <c r="I725">
        <f>'2 transformar y limpiar'!I739</f>
        <v/>
      </c>
      <c r="J725">
        <f>'2 transformar y limpiar'!J739</f>
        <v/>
      </c>
      <c r="K725">
        <f>'2 transformar y limpiar'!K739</f>
        <v/>
      </c>
      <c r="L725">
        <f>'2 transformar y limpiar'!L739</f>
        <v/>
      </c>
      <c r="M725">
        <f>'2 transformar y limpiar'!M739</f>
        <v/>
      </c>
      <c r="N725">
        <f>'2 transformar y limpiar'!N739</f>
        <v/>
      </c>
      <c r="O725">
        <f>'2 transformar y limpiar'!O739</f>
        <v/>
      </c>
      <c r="P725">
        <f>'2 transformar y limpiar'!P739</f>
        <v/>
      </c>
      <c r="Q725">
        <f>'2 transformar y limpiar'!Q739</f>
        <v/>
      </c>
      <c r="R725">
        <f>'2 transformar y limpiar'!R739</f>
        <v/>
      </c>
      <c r="S725">
        <f>'2 transformar y limpiar'!S739</f>
        <v/>
      </c>
      <c r="T725">
        <f>'2 transformar y limpiar'!T739</f>
        <v/>
      </c>
      <c r="U725" s="5">
        <f>'2 transformar y limpiar'!U739</f>
        <v/>
      </c>
    </row>
    <row r="726">
      <c r="A726">
        <f>'2 transformar y limpiar'!A740</f>
        <v/>
      </c>
      <c r="B726">
        <f>'2 transformar y limpiar'!B740</f>
        <v/>
      </c>
      <c r="C726" s="6">
        <f>('2 transformar y limpiar'!C740-$B$6)/$C$6</f>
        <v/>
      </c>
      <c r="D726" s="6">
        <f>('2 transformar y limpiar'!D740-$B$7)/$C$7</f>
        <v/>
      </c>
      <c r="E726" s="6">
        <f>('2 transformar y limpiar'!E740-$B$8)/$C$8</f>
        <v/>
      </c>
      <c r="F726" s="6">
        <f>('2 transformar y limpiar'!F740-$B$9)/$C$9</f>
        <v/>
      </c>
      <c r="G726">
        <f>'2 transformar y limpiar'!G740</f>
        <v/>
      </c>
      <c r="H726">
        <f>'2 transformar y limpiar'!H740</f>
        <v/>
      </c>
      <c r="I726">
        <f>'2 transformar y limpiar'!I740</f>
        <v/>
      </c>
      <c r="J726">
        <f>'2 transformar y limpiar'!J740</f>
        <v/>
      </c>
      <c r="K726">
        <f>'2 transformar y limpiar'!K740</f>
        <v/>
      </c>
      <c r="L726">
        <f>'2 transformar y limpiar'!L740</f>
        <v/>
      </c>
      <c r="M726">
        <f>'2 transformar y limpiar'!M740</f>
        <v/>
      </c>
      <c r="N726">
        <f>'2 transformar y limpiar'!N740</f>
        <v/>
      </c>
      <c r="O726">
        <f>'2 transformar y limpiar'!O740</f>
        <v/>
      </c>
      <c r="P726">
        <f>'2 transformar y limpiar'!P740</f>
        <v/>
      </c>
      <c r="Q726">
        <f>'2 transformar y limpiar'!Q740</f>
        <v/>
      </c>
      <c r="R726">
        <f>'2 transformar y limpiar'!R740</f>
        <v/>
      </c>
      <c r="S726">
        <f>'2 transformar y limpiar'!S740</f>
        <v/>
      </c>
      <c r="T726">
        <f>'2 transformar y limpiar'!T740</f>
        <v/>
      </c>
      <c r="U726" s="5">
        <f>'2 transformar y limpiar'!U740</f>
        <v/>
      </c>
    </row>
    <row r="727">
      <c r="A727">
        <f>'2 transformar y limpiar'!A741</f>
        <v/>
      </c>
      <c r="B727">
        <f>'2 transformar y limpiar'!B741</f>
        <v/>
      </c>
      <c r="C727" s="6">
        <f>('2 transformar y limpiar'!C741-$B$6)/$C$6</f>
        <v/>
      </c>
      <c r="D727" s="6">
        <f>('2 transformar y limpiar'!D741-$B$7)/$C$7</f>
        <v/>
      </c>
      <c r="E727" s="6">
        <f>('2 transformar y limpiar'!E741-$B$8)/$C$8</f>
        <v/>
      </c>
      <c r="F727" s="6">
        <f>('2 transformar y limpiar'!F741-$B$9)/$C$9</f>
        <v/>
      </c>
      <c r="G727">
        <f>'2 transformar y limpiar'!G741</f>
        <v/>
      </c>
      <c r="H727">
        <f>'2 transformar y limpiar'!H741</f>
        <v/>
      </c>
      <c r="I727">
        <f>'2 transformar y limpiar'!I741</f>
        <v/>
      </c>
      <c r="J727">
        <f>'2 transformar y limpiar'!J741</f>
        <v/>
      </c>
      <c r="K727">
        <f>'2 transformar y limpiar'!K741</f>
        <v/>
      </c>
      <c r="L727">
        <f>'2 transformar y limpiar'!L741</f>
        <v/>
      </c>
      <c r="M727">
        <f>'2 transformar y limpiar'!M741</f>
        <v/>
      </c>
      <c r="N727">
        <f>'2 transformar y limpiar'!N741</f>
        <v/>
      </c>
      <c r="O727">
        <f>'2 transformar y limpiar'!O741</f>
        <v/>
      </c>
      <c r="P727">
        <f>'2 transformar y limpiar'!P741</f>
        <v/>
      </c>
      <c r="Q727">
        <f>'2 transformar y limpiar'!Q741</f>
        <v/>
      </c>
      <c r="R727">
        <f>'2 transformar y limpiar'!R741</f>
        <v/>
      </c>
      <c r="S727">
        <f>'2 transformar y limpiar'!S741</f>
        <v/>
      </c>
      <c r="T727">
        <f>'2 transformar y limpiar'!T741</f>
        <v/>
      </c>
      <c r="U727" s="5">
        <f>'2 transformar y limpiar'!U741</f>
        <v/>
      </c>
    </row>
    <row r="728">
      <c r="A728">
        <f>'2 transformar y limpiar'!A742</f>
        <v/>
      </c>
      <c r="B728">
        <f>'2 transformar y limpiar'!B742</f>
        <v/>
      </c>
      <c r="C728" s="6">
        <f>('2 transformar y limpiar'!C742-$B$6)/$C$6</f>
        <v/>
      </c>
      <c r="D728" s="6">
        <f>('2 transformar y limpiar'!D742-$B$7)/$C$7</f>
        <v/>
      </c>
      <c r="E728" s="6">
        <f>('2 transformar y limpiar'!E742-$B$8)/$C$8</f>
        <v/>
      </c>
      <c r="F728" s="6">
        <f>('2 transformar y limpiar'!F742-$B$9)/$C$9</f>
        <v/>
      </c>
      <c r="G728">
        <f>'2 transformar y limpiar'!G742</f>
        <v/>
      </c>
      <c r="H728">
        <f>'2 transformar y limpiar'!H742</f>
        <v/>
      </c>
      <c r="I728">
        <f>'2 transformar y limpiar'!I742</f>
        <v/>
      </c>
      <c r="J728">
        <f>'2 transformar y limpiar'!J742</f>
        <v/>
      </c>
      <c r="K728">
        <f>'2 transformar y limpiar'!K742</f>
        <v/>
      </c>
      <c r="L728">
        <f>'2 transformar y limpiar'!L742</f>
        <v/>
      </c>
      <c r="M728">
        <f>'2 transformar y limpiar'!M742</f>
        <v/>
      </c>
      <c r="N728">
        <f>'2 transformar y limpiar'!N742</f>
        <v/>
      </c>
      <c r="O728">
        <f>'2 transformar y limpiar'!O742</f>
        <v/>
      </c>
      <c r="P728">
        <f>'2 transformar y limpiar'!P742</f>
        <v/>
      </c>
      <c r="Q728">
        <f>'2 transformar y limpiar'!Q742</f>
        <v/>
      </c>
      <c r="R728">
        <f>'2 transformar y limpiar'!R742</f>
        <v/>
      </c>
      <c r="S728">
        <f>'2 transformar y limpiar'!S742</f>
        <v/>
      </c>
      <c r="T728">
        <f>'2 transformar y limpiar'!T742</f>
        <v/>
      </c>
      <c r="U728" s="5">
        <f>'2 transformar y limpiar'!U742</f>
        <v/>
      </c>
    </row>
    <row r="729">
      <c r="A729">
        <f>'2 transformar y limpiar'!A743</f>
        <v/>
      </c>
      <c r="B729">
        <f>'2 transformar y limpiar'!B743</f>
        <v/>
      </c>
      <c r="C729" s="6">
        <f>('2 transformar y limpiar'!C743-$B$6)/$C$6</f>
        <v/>
      </c>
      <c r="D729" s="6">
        <f>('2 transformar y limpiar'!D743-$B$7)/$C$7</f>
        <v/>
      </c>
      <c r="E729" s="6">
        <f>('2 transformar y limpiar'!E743-$B$8)/$C$8</f>
        <v/>
      </c>
      <c r="F729" s="6">
        <f>('2 transformar y limpiar'!F743-$B$9)/$C$9</f>
        <v/>
      </c>
      <c r="G729">
        <f>'2 transformar y limpiar'!G743</f>
        <v/>
      </c>
      <c r="H729">
        <f>'2 transformar y limpiar'!H743</f>
        <v/>
      </c>
      <c r="I729">
        <f>'2 transformar y limpiar'!I743</f>
        <v/>
      </c>
      <c r="J729">
        <f>'2 transformar y limpiar'!J743</f>
        <v/>
      </c>
      <c r="K729">
        <f>'2 transformar y limpiar'!K743</f>
        <v/>
      </c>
      <c r="L729">
        <f>'2 transformar y limpiar'!L743</f>
        <v/>
      </c>
      <c r="M729">
        <f>'2 transformar y limpiar'!M743</f>
        <v/>
      </c>
      <c r="N729">
        <f>'2 transformar y limpiar'!N743</f>
        <v/>
      </c>
      <c r="O729">
        <f>'2 transformar y limpiar'!O743</f>
        <v/>
      </c>
      <c r="P729">
        <f>'2 transformar y limpiar'!P743</f>
        <v/>
      </c>
      <c r="Q729">
        <f>'2 transformar y limpiar'!Q743</f>
        <v/>
      </c>
      <c r="R729">
        <f>'2 transformar y limpiar'!R743</f>
        <v/>
      </c>
      <c r="S729">
        <f>'2 transformar y limpiar'!S743</f>
        <v/>
      </c>
      <c r="T729">
        <f>'2 transformar y limpiar'!T743</f>
        <v/>
      </c>
      <c r="U729" s="5">
        <f>'2 transformar y limpiar'!U743</f>
        <v/>
      </c>
    </row>
    <row r="730">
      <c r="A730">
        <f>'2 transformar y limpiar'!A744</f>
        <v/>
      </c>
      <c r="B730">
        <f>'2 transformar y limpiar'!B744</f>
        <v/>
      </c>
      <c r="C730" s="6">
        <f>('2 transformar y limpiar'!C744-$B$6)/$C$6</f>
        <v/>
      </c>
      <c r="D730" s="6">
        <f>('2 transformar y limpiar'!D744-$B$7)/$C$7</f>
        <v/>
      </c>
      <c r="E730" s="6">
        <f>('2 transformar y limpiar'!E744-$B$8)/$C$8</f>
        <v/>
      </c>
      <c r="F730" s="6">
        <f>('2 transformar y limpiar'!F744-$B$9)/$C$9</f>
        <v/>
      </c>
      <c r="G730">
        <f>'2 transformar y limpiar'!G744</f>
        <v/>
      </c>
      <c r="H730">
        <f>'2 transformar y limpiar'!H744</f>
        <v/>
      </c>
      <c r="I730">
        <f>'2 transformar y limpiar'!I744</f>
        <v/>
      </c>
      <c r="J730">
        <f>'2 transformar y limpiar'!J744</f>
        <v/>
      </c>
      <c r="K730">
        <f>'2 transformar y limpiar'!K744</f>
        <v/>
      </c>
      <c r="L730">
        <f>'2 transformar y limpiar'!L744</f>
        <v/>
      </c>
      <c r="M730">
        <f>'2 transformar y limpiar'!M744</f>
        <v/>
      </c>
      <c r="N730">
        <f>'2 transformar y limpiar'!N744</f>
        <v/>
      </c>
      <c r="O730">
        <f>'2 transformar y limpiar'!O744</f>
        <v/>
      </c>
      <c r="P730">
        <f>'2 transformar y limpiar'!P744</f>
        <v/>
      </c>
      <c r="Q730">
        <f>'2 transformar y limpiar'!Q744</f>
        <v/>
      </c>
      <c r="R730">
        <f>'2 transformar y limpiar'!R744</f>
        <v/>
      </c>
      <c r="S730">
        <f>'2 transformar y limpiar'!S744</f>
        <v/>
      </c>
      <c r="T730">
        <f>'2 transformar y limpiar'!T744</f>
        <v/>
      </c>
      <c r="U730" s="5">
        <f>'2 transformar y limpiar'!U744</f>
        <v/>
      </c>
    </row>
    <row r="731">
      <c r="A731">
        <f>'2 transformar y limpiar'!A745</f>
        <v/>
      </c>
      <c r="B731">
        <f>'2 transformar y limpiar'!B745</f>
        <v/>
      </c>
      <c r="C731" s="6">
        <f>('2 transformar y limpiar'!C745-$B$6)/$C$6</f>
        <v/>
      </c>
      <c r="D731" s="6">
        <f>('2 transformar y limpiar'!D745-$B$7)/$C$7</f>
        <v/>
      </c>
      <c r="E731" s="6">
        <f>('2 transformar y limpiar'!E745-$B$8)/$C$8</f>
        <v/>
      </c>
      <c r="F731" s="6">
        <f>('2 transformar y limpiar'!F745-$B$9)/$C$9</f>
        <v/>
      </c>
      <c r="G731">
        <f>'2 transformar y limpiar'!G745</f>
        <v/>
      </c>
      <c r="H731">
        <f>'2 transformar y limpiar'!H745</f>
        <v/>
      </c>
      <c r="I731">
        <f>'2 transformar y limpiar'!I745</f>
        <v/>
      </c>
      <c r="J731">
        <f>'2 transformar y limpiar'!J745</f>
        <v/>
      </c>
      <c r="K731">
        <f>'2 transformar y limpiar'!K745</f>
        <v/>
      </c>
      <c r="L731">
        <f>'2 transformar y limpiar'!L745</f>
        <v/>
      </c>
      <c r="M731">
        <f>'2 transformar y limpiar'!M745</f>
        <v/>
      </c>
      <c r="N731">
        <f>'2 transformar y limpiar'!N745</f>
        <v/>
      </c>
      <c r="O731">
        <f>'2 transformar y limpiar'!O745</f>
        <v/>
      </c>
      <c r="P731">
        <f>'2 transformar y limpiar'!P745</f>
        <v/>
      </c>
      <c r="Q731">
        <f>'2 transformar y limpiar'!Q745</f>
        <v/>
      </c>
      <c r="R731">
        <f>'2 transformar y limpiar'!R745</f>
        <v/>
      </c>
      <c r="S731">
        <f>'2 transformar y limpiar'!S745</f>
        <v/>
      </c>
      <c r="T731">
        <f>'2 transformar y limpiar'!T745</f>
        <v/>
      </c>
      <c r="U731" s="5">
        <f>'2 transformar y limpiar'!U745</f>
        <v/>
      </c>
    </row>
    <row r="732">
      <c r="A732">
        <f>'2 transformar y limpiar'!A746</f>
        <v/>
      </c>
      <c r="B732">
        <f>'2 transformar y limpiar'!B746</f>
        <v/>
      </c>
      <c r="C732" s="6">
        <f>('2 transformar y limpiar'!C746-$B$6)/$C$6</f>
        <v/>
      </c>
      <c r="D732" s="6">
        <f>('2 transformar y limpiar'!D746-$B$7)/$C$7</f>
        <v/>
      </c>
      <c r="E732" s="6">
        <f>('2 transformar y limpiar'!E746-$B$8)/$C$8</f>
        <v/>
      </c>
      <c r="F732" s="6">
        <f>('2 transformar y limpiar'!F746-$B$9)/$C$9</f>
        <v/>
      </c>
      <c r="G732">
        <f>'2 transformar y limpiar'!G746</f>
        <v/>
      </c>
      <c r="H732">
        <f>'2 transformar y limpiar'!H746</f>
        <v/>
      </c>
      <c r="I732">
        <f>'2 transformar y limpiar'!I746</f>
        <v/>
      </c>
      <c r="J732">
        <f>'2 transformar y limpiar'!J746</f>
        <v/>
      </c>
      <c r="K732">
        <f>'2 transformar y limpiar'!K746</f>
        <v/>
      </c>
      <c r="L732">
        <f>'2 transformar y limpiar'!L746</f>
        <v/>
      </c>
      <c r="M732">
        <f>'2 transformar y limpiar'!M746</f>
        <v/>
      </c>
      <c r="N732">
        <f>'2 transformar y limpiar'!N746</f>
        <v/>
      </c>
      <c r="O732">
        <f>'2 transformar y limpiar'!O746</f>
        <v/>
      </c>
      <c r="P732">
        <f>'2 transformar y limpiar'!P746</f>
        <v/>
      </c>
      <c r="Q732">
        <f>'2 transformar y limpiar'!Q746</f>
        <v/>
      </c>
      <c r="R732">
        <f>'2 transformar y limpiar'!R746</f>
        <v/>
      </c>
      <c r="S732">
        <f>'2 transformar y limpiar'!S746</f>
        <v/>
      </c>
      <c r="T732">
        <f>'2 transformar y limpiar'!T746</f>
        <v/>
      </c>
      <c r="U732" s="5">
        <f>'2 transformar y limpiar'!U746</f>
        <v/>
      </c>
    </row>
    <row r="733">
      <c r="A733">
        <f>'2 transformar y limpiar'!A747</f>
        <v/>
      </c>
      <c r="B733">
        <f>'2 transformar y limpiar'!B747</f>
        <v/>
      </c>
      <c r="C733" s="6">
        <f>('2 transformar y limpiar'!C747-$B$6)/$C$6</f>
        <v/>
      </c>
      <c r="D733" s="6">
        <f>('2 transformar y limpiar'!D747-$B$7)/$C$7</f>
        <v/>
      </c>
      <c r="E733" s="6">
        <f>('2 transformar y limpiar'!E747-$B$8)/$C$8</f>
        <v/>
      </c>
      <c r="F733" s="6">
        <f>('2 transformar y limpiar'!F747-$B$9)/$C$9</f>
        <v/>
      </c>
      <c r="G733">
        <f>'2 transformar y limpiar'!G747</f>
        <v/>
      </c>
      <c r="H733">
        <f>'2 transformar y limpiar'!H747</f>
        <v/>
      </c>
      <c r="I733">
        <f>'2 transformar y limpiar'!I747</f>
        <v/>
      </c>
      <c r="J733">
        <f>'2 transformar y limpiar'!J747</f>
        <v/>
      </c>
      <c r="K733">
        <f>'2 transformar y limpiar'!K747</f>
        <v/>
      </c>
      <c r="L733">
        <f>'2 transformar y limpiar'!L747</f>
        <v/>
      </c>
      <c r="M733">
        <f>'2 transformar y limpiar'!M747</f>
        <v/>
      </c>
      <c r="N733">
        <f>'2 transformar y limpiar'!N747</f>
        <v/>
      </c>
      <c r="O733">
        <f>'2 transformar y limpiar'!O747</f>
        <v/>
      </c>
      <c r="P733">
        <f>'2 transformar y limpiar'!P747</f>
        <v/>
      </c>
      <c r="Q733">
        <f>'2 transformar y limpiar'!Q747</f>
        <v/>
      </c>
      <c r="R733">
        <f>'2 transformar y limpiar'!R747</f>
        <v/>
      </c>
      <c r="S733">
        <f>'2 transformar y limpiar'!S747</f>
        <v/>
      </c>
      <c r="T733">
        <f>'2 transformar y limpiar'!T747</f>
        <v/>
      </c>
      <c r="U733" s="5">
        <f>'2 transformar y limpiar'!U747</f>
        <v/>
      </c>
    </row>
    <row r="734">
      <c r="A734">
        <f>'2 transformar y limpiar'!A748</f>
        <v/>
      </c>
      <c r="B734">
        <f>'2 transformar y limpiar'!B748</f>
        <v/>
      </c>
      <c r="C734" s="6">
        <f>('2 transformar y limpiar'!C748-$B$6)/$C$6</f>
        <v/>
      </c>
      <c r="D734" s="6">
        <f>('2 transformar y limpiar'!D748-$B$7)/$C$7</f>
        <v/>
      </c>
      <c r="E734" s="6">
        <f>('2 transformar y limpiar'!E748-$B$8)/$C$8</f>
        <v/>
      </c>
      <c r="F734" s="6">
        <f>('2 transformar y limpiar'!F748-$B$9)/$C$9</f>
        <v/>
      </c>
      <c r="G734">
        <f>'2 transformar y limpiar'!G748</f>
        <v/>
      </c>
      <c r="H734">
        <f>'2 transformar y limpiar'!H748</f>
        <v/>
      </c>
      <c r="I734">
        <f>'2 transformar y limpiar'!I748</f>
        <v/>
      </c>
      <c r="J734">
        <f>'2 transformar y limpiar'!J748</f>
        <v/>
      </c>
      <c r="K734">
        <f>'2 transformar y limpiar'!K748</f>
        <v/>
      </c>
      <c r="L734">
        <f>'2 transformar y limpiar'!L748</f>
        <v/>
      </c>
      <c r="M734">
        <f>'2 transformar y limpiar'!M748</f>
        <v/>
      </c>
      <c r="N734">
        <f>'2 transformar y limpiar'!N748</f>
        <v/>
      </c>
      <c r="O734">
        <f>'2 transformar y limpiar'!O748</f>
        <v/>
      </c>
      <c r="P734">
        <f>'2 transformar y limpiar'!P748</f>
        <v/>
      </c>
      <c r="Q734">
        <f>'2 transformar y limpiar'!Q748</f>
        <v/>
      </c>
      <c r="R734">
        <f>'2 transformar y limpiar'!R748</f>
        <v/>
      </c>
      <c r="S734">
        <f>'2 transformar y limpiar'!S748</f>
        <v/>
      </c>
      <c r="T734">
        <f>'2 transformar y limpiar'!T748</f>
        <v/>
      </c>
      <c r="U734" s="5">
        <f>'2 transformar y limpiar'!U748</f>
        <v/>
      </c>
    </row>
    <row r="735">
      <c r="A735">
        <f>'2 transformar y limpiar'!A749</f>
        <v/>
      </c>
      <c r="B735">
        <f>'2 transformar y limpiar'!B749</f>
        <v/>
      </c>
      <c r="C735" s="6">
        <f>('2 transformar y limpiar'!C749-$B$6)/$C$6</f>
        <v/>
      </c>
      <c r="D735" s="6">
        <f>('2 transformar y limpiar'!D749-$B$7)/$C$7</f>
        <v/>
      </c>
      <c r="E735" s="6">
        <f>('2 transformar y limpiar'!E749-$B$8)/$C$8</f>
        <v/>
      </c>
      <c r="F735" s="6">
        <f>('2 transformar y limpiar'!F749-$B$9)/$C$9</f>
        <v/>
      </c>
      <c r="G735">
        <f>'2 transformar y limpiar'!G749</f>
        <v/>
      </c>
      <c r="H735">
        <f>'2 transformar y limpiar'!H749</f>
        <v/>
      </c>
      <c r="I735">
        <f>'2 transformar y limpiar'!I749</f>
        <v/>
      </c>
      <c r="J735">
        <f>'2 transformar y limpiar'!J749</f>
        <v/>
      </c>
      <c r="K735">
        <f>'2 transformar y limpiar'!K749</f>
        <v/>
      </c>
      <c r="L735">
        <f>'2 transformar y limpiar'!L749</f>
        <v/>
      </c>
      <c r="M735">
        <f>'2 transformar y limpiar'!M749</f>
        <v/>
      </c>
      <c r="N735">
        <f>'2 transformar y limpiar'!N749</f>
        <v/>
      </c>
      <c r="O735">
        <f>'2 transformar y limpiar'!O749</f>
        <v/>
      </c>
      <c r="P735">
        <f>'2 transformar y limpiar'!P749</f>
        <v/>
      </c>
      <c r="Q735">
        <f>'2 transformar y limpiar'!Q749</f>
        <v/>
      </c>
      <c r="R735">
        <f>'2 transformar y limpiar'!R749</f>
        <v/>
      </c>
      <c r="S735">
        <f>'2 transformar y limpiar'!S749</f>
        <v/>
      </c>
      <c r="T735">
        <f>'2 transformar y limpiar'!T749</f>
        <v/>
      </c>
      <c r="U735" s="5">
        <f>'2 transformar y limpiar'!U749</f>
        <v/>
      </c>
    </row>
    <row r="736">
      <c r="A736">
        <f>'2 transformar y limpiar'!A750</f>
        <v/>
      </c>
      <c r="B736">
        <f>'2 transformar y limpiar'!B750</f>
        <v/>
      </c>
      <c r="C736" s="6">
        <f>('2 transformar y limpiar'!C750-$B$6)/$C$6</f>
        <v/>
      </c>
      <c r="D736" s="6">
        <f>('2 transformar y limpiar'!D750-$B$7)/$C$7</f>
        <v/>
      </c>
      <c r="E736" s="6">
        <f>('2 transformar y limpiar'!E750-$B$8)/$C$8</f>
        <v/>
      </c>
      <c r="F736" s="6">
        <f>('2 transformar y limpiar'!F750-$B$9)/$C$9</f>
        <v/>
      </c>
      <c r="G736">
        <f>'2 transformar y limpiar'!G750</f>
        <v/>
      </c>
      <c r="H736">
        <f>'2 transformar y limpiar'!H750</f>
        <v/>
      </c>
      <c r="I736">
        <f>'2 transformar y limpiar'!I750</f>
        <v/>
      </c>
      <c r="J736">
        <f>'2 transformar y limpiar'!J750</f>
        <v/>
      </c>
      <c r="K736">
        <f>'2 transformar y limpiar'!K750</f>
        <v/>
      </c>
      <c r="L736">
        <f>'2 transformar y limpiar'!L750</f>
        <v/>
      </c>
      <c r="M736">
        <f>'2 transformar y limpiar'!M750</f>
        <v/>
      </c>
      <c r="N736">
        <f>'2 transformar y limpiar'!N750</f>
        <v/>
      </c>
      <c r="O736">
        <f>'2 transformar y limpiar'!O750</f>
        <v/>
      </c>
      <c r="P736">
        <f>'2 transformar y limpiar'!P750</f>
        <v/>
      </c>
      <c r="Q736">
        <f>'2 transformar y limpiar'!Q750</f>
        <v/>
      </c>
      <c r="R736">
        <f>'2 transformar y limpiar'!R750</f>
        <v/>
      </c>
      <c r="S736">
        <f>'2 transformar y limpiar'!S750</f>
        <v/>
      </c>
      <c r="T736">
        <f>'2 transformar y limpiar'!T750</f>
        <v/>
      </c>
      <c r="U736" s="5">
        <f>'2 transformar y limpiar'!U750</f>
        <v/>
      </c>
    </row>
    <row r="737">
      <c r="A737">
        <f>'2 transformar y limpiar'!A751</f>
        <v/>
      </c>
      <c r="B737">
        <f>'2 transformar y limpiar'!B751</f>
        <v/>
      </c>
      <c r="C737" s="6">
        <f>('2 transformar y limpiar'!C751-$B$6)/$C$6</f>
        <v/>
      </c>
      <c r="D737" s="6">
        <f>('2 transformar y limpiar'!D751-$B$7)/$C$7</f>
        <v/>
      </c>
      <c r="E737" s="6">
        <f>('2 transformar y limpiar'!E751-$B$8)/$C$8</f>
        <v/>
      </c>
      <c r="F737" s="6">
        <f>('2 transformar y limpiar'!F751-$B$9)/$C$9</f>
        <v/>
      </c>
      <c r="G737">
        <f>'2 transformar y limpiar'!G751</f>
        <v/>
      </c>
      <c r="H737">
        <f>'2 transformar y limpiar'!H751</f>
        <v/>
      </c>
      <c r="I737">
        <f>'2 transformar y limpiar'!I751</f>
        <v/>
      </c>
      <c r="J737">
        <f>'2 transformar y limpiar'!J751</f>
        <v/>
      </c>
      <c r="K737">
        <f>'2 transformar y limpiar'!K751</f>
        <v/>
      </c>
      <c r="L737">
        <f>'2 transformar y limpiar'!L751</f>
        <v/>
      </c>
      <c r="M737">
        <f>'2 transformar y limpiar'!M751</f>
        <v/>
      </c>
      <c r="N737">
        <f>'2 transformar y limpiar'!N751</f>
        <v/>
      </c>
      <c r="O737">
        <f>'2 transformar y limpiar'!O751</f>
        <v/>
      </c>
      <c r="P737">
        <f>'2 transformar y limpiar'!P751</f>
        <v/>
      </c>
      <c r="Q737">
        <f>'2 transformar y limpiar'!Q751</f>
        <v/>
      </c>
      <c r="R737">
        <f>'2 transformar y limpiar'!R751</f>
        <v/>
      </c>
      <c r="S737">
        <f>'2 transformar y limpiar'!S751</f>
        <v/>
      </c>
      <c r="T737">
        <f>'2 transformar y limpiar'!T751</f>
        <v/>
      </c>
      <c r="U737" s="5">
        <f>'2 transformar y limpiar'!U751</f>
        <v/>
      </c>
    </row>
    <row r="738">
      <c r="A738">
        <f>'2 transformar y limpiar'!A752</f>
        <v/>
      </c>
      <c r="B738">
        <f>'2 transformar y limpiar'!B752</f>
        <v/>
      </c>
      <c r="C738" s="6">
        <f>('2 transformar y limpiar'!C752-$B$6)/$C$6</f>
        <v/>
      </c>
      <c r="D738" s="6">
        <f>('2 transformar y limpiar'!D752-$B$7)/$C$7</f>
        <v/>
      </c>
      <c r="E738" s="6">
        <f>('2 transformar y limpiar'!E752-$B$8)/$C$8</f>
        <v/>
      </c>
      <c r="F738" s="6">
        <f>('2 transformar y limpiar'!F752-$B$9)/$C$9</f>
        <v/>
      </c>
      <c r="G738">
        <f>'2 transformar y limpiar'!G752</f>
        <v/>
      </c>
      <c r="H738">
        <f>'2 transformar y limpiar'!H752</f>
        <v/>
      </c>
      <c r="I738">
        <f>'2 transformar y limpiar'!I752</f>
        <v/>
      </c>
      <c r="J738">
        <f>'2 transformar y limpiar'!J752</f>
        <v/>
      </c>
      <c r="K738">
        <f>'2 transformar y limpiar'!K752</f>
        <v/>
      </c>
      <c r="L738">
        <f>'2 transformar y limpiar'!L752</f>
        <v/>
      </c>
      <c r="M738">
        <f>'2 transformar y limpiar'!M752</f>
        <v/>
      </c>
      <c r="N738">
        <f>'2 transformar y limpiar'!N752</f>
        <v/>
      </c>
      <c r="O738">
        <f>'2 transformar y limpiar'!O752</f>
        <v/>
      </c>
      <c r="P738">
        <f>'2 transformar y limpiar'!P752</f>
        <v/>
      </c>
      <c r="Q738">
        <f>'2 transformar y limpiar'!Q752</f>
        <v/>
      </c>
      <c r="R738">
        <f>'2 transformar y limpiar'!R752</f>
        <v/>
      </c>
      <c r="S738">
        <f>'2 transformar y limpiar'!S752</f>
        <v/>
      </c>
      <c r="T738">
        <f>'2 transformar y limpiar'!T752</f>
        <v/>
      </c>
      <c r="U738" s="5">
        <f>'2 transformar y limpiar'!U752</f>
        <v/>
      </c>
    </row>
    <row r="739">
      <c r="A739">
        <f>'2 transformar y limpiar'!A753</f>
        <v/>
      </c>
      <c r="B739">
        <f>'2 transformar y limpiar'!B753</f>
        <v/>
      </c>
      <c r="C739" s="6">
        <f>('2 transformar y limpiar'!C753-$B$6)/$C$6</f>
        <v/>
      </c>
      <c r="D739" s="6">
        <f>('2 transformar y limpiar'!D753-$B$7)/$C$7</f>
        <v/>
      </c>
      <c r="E739" s="6">
        <f>('2 transformar y limpiar'!E753-$B$8)/$C$8</f>
        <v/>
      </c>
      <c r="F739" s="6">
        <f>('2 transformar y limpiar'!F753-$B$9)/$C$9</f>
        <v/>
      </c>
      <c r="G739">
        <f>'2 transformar y limpiar'!G753</f>
        <v/>
      </c>
      <c r="H739">
        <f>'2 transformar y limpiar'!H753</f>
        <v/>
      </c>
      <c r="I739">
        <f>'2 transformar y limpiar'!I753</f>
        <v/>
      </c>
      <c r="J739">
        <f>'2 transformar y limpiar'!J753</f>
        <v/>
      </c>
      <c r="K739">
        <f>'2 transformar y limpiar'!K753</f>
        <v/>
      </c>
      <c r="L739">
        <f>'2 transformar y limpiar'!L753</f>
        <v/>
      </c>
      <c r="M739">
        <f>'2 transformar y limpiar'!M753</f>
        <v/>
      </c>
      <c r="N739">
        <f>'2 transformar y limpiar'!N753</f>
        <v/>
      </c>
      <c r="O739">
        <f>'2 transformar y limpiar'!O753</f>
        <v/>
      </c>
      <c r="P739">
        <f>'2 transformar y limpiar'!P753</f>
        <v/>
      </c>
      <c r="Q739">
        <f>'2 transformar y limpiar'!Q753</f>
        <v/>
      </c>
      <c r="R739">
        <f>'2 transformar y limpiar'!R753</f>
        <v/>
      </c>
      <c r="S739">
        <f>'2 transformar y limpiar'!S753</f>
        <v/>
      </c>
      <c r="T739">
        <f>'2 transformar y limpiar'!T753</f>
        <v/>
      </c>
      <c r="U739" s="5">
        <f>'2 transformar y limpiar'!U753</f>
        <v/>
      </c>
    </row>
    <row r="740">
      <c r="A740">
        <f>'2 transformar y limpiar'!A754</f>
        <v/>
      </c>
      <c r="B740">
        <f>'2 transformar y limpiar'!B754</f>
        <v/>
      </c>
      <c r="C740" s="6">
        <f>('2 transformar y limpiar'!C754-$B$6)/$C$6</f>
        <v/>
      </c>
      <c r="D740" s="6">
        <f>('2 transformar y limpiar'!D754-$B$7)/$C$7</f>
        <v/>
      </c>
      <c r="E740" s="6">
        <f>('2 transformar y limpiar'!E754-$B$8)/$C$8</f>
        <v/>
      </c>
      <c r="F740" s="6">
        <f>('2 transformar y limpiar'!F754-$B$9)/$C$9</f>
        <v/>
      </c>
      <c r="G740">
        <f>'2 transformar y limpiar'!G754</f>
        <v/>
      </c>
      <c r="H740">
        <f>'2 transformar y limpiar'!H754</f>
        <v/>
      </c>
      <c r="I740">
        <f>'2 transformar y limpiar'!I754</f>
        <v/>
      </c>
      <c r="J740">
        <f>'2 transformar y limpiar'!J754</f>
        <v/>
      </c>
      <c r="K740">
        <f>'2 transformar y limpiar'!K754</f>
        <v/>
      </c>
      <c r="L740">
        <f>'2 transformar y limpiar'!L754</f>
        <v/>
      </c>
      <c r="M740">
        <f>'2 transformar y limpiar'!M754</f>
        <v/>
      </c>
      <c r="N740">
        <f>'2 transformar y limpiar'!N754</f>
        <v/>
      </c>
      <c r="O740">
        <f>'2 transformar y limpiar'!O754</f>
        <v/>
      </c>
      <c r="P740">
        <f>'2 transformar y limpiar'!P754</f>
        <v/>
      </c>
      <c r="Q740">
        <f>'2 transformar y limpiar'!Q754</f>
        <v/>
      </c>
      <c r="R740">
        <f>'2 transformar y limpiar'!R754</f>
        <v/>
      </c>
      <c r="S740">
        <f>'2 transformar y limpiar'!S754</f>
        <v/>
      </c>
      <c r="T740">
        <f>'2 transformar y limpiar'!T754</f>
        <v/>
      </c>
      <c r="U740" s="5">
        <f>'2 transformar y limpiar'!U754</f>
        <v/>
      </c>
    </row>
    <row r="741">
      <c r="A741">
        <f>'2 transformar y limpiar'!A755</f>
        <v/>
      </c>
      <c r="B741">
        <f>'2 transformar y limpiar'!B755</f>
        <v/>
      </c>
      <c r="C741" s="6">
        <f>('2 transformar y limpiar'!C755-$B$6)/$C$6</f>
        <v/>
      </c>
      <c r="D741" s="6">
        <f>('2 transformar y limpiar'!D755-$B$7)/$C$7</f>
        <v/>
      </c>
      <c r="E741" s="6">
        <f>('2 transformar y limpiar'!E755-$B$8)/$C$8</f>
        <v/>
      </c>
      <c r="F741" s="6">
        <f>('2 transformar y limpiar'!F755-$B$9)/$C$9</f>
        <v/>
      </c>
      <c r="G741">
        <f>'2 transformar y limpiar'!G755</f>
        <v/>
      </c>
      <c r="H741">
        <f>'2 transformar y limpiar'!H755</f>
        <v/>
      </c>
      <c r="I741">
        <f>'2 transformar y limpiar'!I755</f>
        <v/>
      </c>
      <c r="J741">
        <f>'2 transformar y limpiar'!J755</f>
        <v/>
      </c>
      <c r="K741">
        <f>'2 transformar y limpiar'!K755</f>
        <v/>
      </c>
      <c r="L741">
        <f>'2 transformar y limpiar'!L755</f>
        <v/>
      </c>
      <c r="M741">
        <f>'2 transformar y limpiar'!M755</f>
        <v/>
      </c>
      <c r="N741">
        <f>'2 transformar y limpiar'!N755</f>
        <v/>
      </c>
      <c r="O741">
        <f>'2 transformar y limpiar'!O755</f>
        <v/>
      </c>
      <c r="P741">
        <f>'2 transformar y limpiar'!P755</f>
        <v/>
      </c>
      <c r="Q741">
        <f>'2 transformar y limpiar'!Q755</f>
        <v/>
      </c>
      <c r="R741">
        <f>'2 transformar y limpiar'!R755</f>
        <v/>
      </c>
      <c r="S741">
        <f>'2 transformar y limpiar'!S755</f>
        <v/>
      </c>
      <c r="T741">
        <f>'2 transformar y limpiar'!T755</f>
        <v/>
      </c>
      <c r="U741" s="5">
        <f>'2 transformar y limpiar'!U755</f>
        <v/>
      </c>
    </row>
    <row r="742">
      <c r="A742">
        <f>'2 transformar y limpiar'!A756</f>
        <v/>
      </c>
      <c r="B742">
        <f>'2 transformar y limpiar'!B756</f>
        <v/>
      </c>
      <c r="C742" s="6">
        <f>('2 transformar y limpiar'!C756-$B$6)/$C$6</f>
        <v/>
      </c>
      <c r="D742" s="6">
        <f>('2 transformar y limpiar'!D756-$B$7)/$C$7</f>
        <v/>
      </c>
      <c r="E742" s="6">
        <f>('2 transformar y limpiar'!E756-$B$8)/$C$8</f>
        <v/>
      </c>
      <c r="F742" s="6">
        <f>('2 transformar y limpiar'!F756-$B$9)/$C$9</f>
        <v/>
      </c>
      <c r="G742">
        <f>'2 transformar y limpiar'!G756</f>
        <v/>
      </c>
      <c r="H742">
        <f>'2 transformar y limpiar'!H756</f>
        <v/>
      </c>
      <c r="I742">
        <f>'2 transformar y limpiar'!I756</f>
        <v/>
      </c>
      <c r="J742">
        <f>'2 transformar y limpiar'!J756</f>
        <v/>
      </c>
      <c r="K742">
        <f>'2 transformar y limpiar'!K756</f>
        <v/>
      </c>
      <c r="L742">
        <f>'2 transformar y limpiar'!L756</f>
        <v/>
      </c>
      <c r="M742">
        <f>'2 transformar y limpiar'!M756</f>
        <v/>
      </c>
      <c r="N742">
        <f>'2 transformar y limpiar'!N756</f>
        <v/>
      </c>
      <c r="O742">
        <f>'2 transformar y limpiar'!O756</f>
        <v/>
      </c>
      <c r="P742">
        <f>'2 transformar y limpiar'!P756</f>
        <v/>
      </c>
      <c r="Q742">
        <f>'2 transformar y limpiar'!Q756</f>
        <v/>
      </c>
      <c r="R742">
        <f>'2 transformar y limpiar'!R756</f>
        <v/>
      </c>
      <c r="S742">
        <f>'2 transformar y limpiar'!S756</f>
        <v/>
      </c>
      <c r="T742">
        <f>'2 transformar y limpiar'!T756</f>
        <v/>
      </c>
      <c r="U742" s="5">
        <f>'2 transformar y limpiar'!U756</f>
        <v/>
      </c>
    </row>
    <row r="743">
      <c r="A743">
        <f>'2 transformar y limpiar'!A757</f>
        <v/>
      </c>
      <c r="B743">
        <f>'2 transformar y limpiar'!B757</f>
        <v/>
      </c>
      <c r="C743" s="6">
        <f>('2 transformar y limpiar'!C757-$B$6)/$C$6</f>
        <v/>
      </c>
      <c r="D743" s="6">
        <f>('2 transformar y limpiar'!D757-$B$7)/$C$7</f>
        <v/>
      </c>
      <c r="E743" s="6">
        <f>('2 transformar y limpiar'!E757-$B$8)/$C$8</f>
        <v/>
      </c>
      <c r="F743" s="6">
        <f>('2 transformar y limpiar'!F757-$B$9)/$C$9</f>
        <v/>
      </c>
      <c r="G743">
        <f>'2 transformar y limpiar'!G757</f>
        <v/>
      </c>
      <c r="H743">
        <f>'2 transformar y limpiar'!H757</f>
        <v/>
      </c>
      <c r="I743">
        <f>'2 transformar y limpiar'!I757</f>
        <v/>
      </c>
      <c r="J743">
        <f>'2 transformar y limpiar'!J757</f>
        <v/>
      </c>
      <c r="K743">
        <f>'2 transformar y limpiar'!K757</f>
        <v/>
      </c>
      <c r="L743">
        <f>'2 transformar y limpiar'!L757</f>
        <v/>
      </c>
      <c r="M743">
        <f>'2 transformar y limpiar'!M757</f>
        <v/>
      </c>
      <c r="N743">
        <f>'2 transformar y limpiar'!N757</f>
        <v/>
      </c>
      <c r="O743">
        <f>'2 transformar y limpiar'!O757</f>
        <v/>
      </c>
      <c r="P743">
        <f>'2 transformar y limpiar'!P757</f>
        <v/>
      </c>
      <c r="Q743">
        <f>'2 transformar y limpiar'!Q757</f>
        <v/>
      </c>
      <c r="R743">
        <f>'2 transformar y limpiar'!R757</f>
        <v/>
      </c>
      <c r="S743">
        <f>'2 transformar y limpiar'!S757</f>
        <v/>
      </c>
      <c r="T743">
        <f>'2 transformar y limpiar'!T757</f>
        <v/>
      </c>
      <c r="U743" s="5">
        <f>'2 transformar y limpiar'!U757</f>
        <v/>
      </c>
    </row>
    <row r="744">
      <c r="A744">
        <f>'2 transformar y limpiar'!A758</f>
        <v/>
      </c>
      <c r="B744">
        <f>'2 transformar y limpiar'!B758</f>
        <v/>
      </c>
      <c r="C744" s="6">
        <f>('2 transformar y limpiar'!C758-$B$6)/$C$6</f>
        <v/>
      </c>
      <c r="D744" s="6">
        <f>('2 transformar y limpiar'!D758-$B$7)/$C$7</f>
        <v/>
      </c>
      <c r="E744" s="6">
        <f>('2 transformar y limpiar'!E758-$B$8)/$C$8</f>
        <v/>
      </c>
      <c r="F744" s="6">
        <f>('2 transformar y limpiar'!F758-$B$9)/$C$9</f>
        <v/>
      </c>
      <c r="G744">
        <f>'2 transformar y limpiar'!G758</f>
        <v/>
      </c>
      <c r="H744">
        <f>'2 transformar y limpiar'!H758</f>
        <v/>
      </c>
      <c r="I744">
        <f>'2 transformar y limpiar'!I758</f>
        <v/>
      </c>
      <c r="J744">
        <f>'2 transformar y limpiar'!J758</f>
        <v/>
      </c>
      <c r="K744">
        <f>'2 transformar y limpiar'!K758</f>
        <v/>
      </c>
      <c r="L744">
        <f>'2 transformar y limpiar'!L758</f>
        <v/>
      </c>
      <c r="M744">
        <f>'2 transformar y limpiar'!M758</f>
        <v/>
      </c>
      <c r="N744">
        <f>'2 transformar y limpiar'!N758</f>
        <v/>
      </c>
      <c r="O744">
        <f>'2 transformar y limpiar'!O758</f>
        <v/>
      </c>
      <c r="P744">
        <f>'2 transformar y limpiar'!P758</f>
        <v/>
      </c>
      <c r="Q744">
        <f>'2 transformar y limpiar'!Q758</f>
        <v/>
      </c>
      <c r="R744">
        <f>'2 transformar y limpiar'!R758</f>
        <v/>
      </c>
      <c r="S744">
        <f>'2 transformar y limpiar'!S758</f>
        <v/>
      </c>
      <c r="T744">
        <f>'2 transformar y limpiar'!T758</f>
        <v/>
      </c>
      <c r="U744" s="5">
        <f>'2 transformar y limpiar'!U758</f>
        <v/>
      </c>
    </row>
    <row r="745">
      <c r="A745">
        <f>'2 transformar y limpiar'!A759</f>
        <v/>
      </c>
      <c r="B745">
        <f>'2 transformar y limpiar'!B759</f>
        <v/>
      </c>
      <c r="C745" s="6">
        <f>('2 transformar y limpiar'!C759-$B$6)/$C$6</f>
        <v/>
      </c>
      <c r="D745" s="6">
        <f>('2 transformar y limpiar'!D759-$B$7)/$C$7</f>
        <v/>
      </c>
      <c r="E745" s="6">
        <f>('2 transformar y limpiar'!E759-$B$8)/$C$8</f>
        <v/>
      </c>
      <c r="F745" s="6">
        <f>('2 transformar y limpiar'!F759-$B$9)/$C$9</f>
        <v/>
      </c>
      <c r="G745">
        <f>'2 transformar y limpiar'!G759</f>
        <v/>
      </c>
      <c r="H745">
        <f>'2 transformar y limpiar'!H759</f>
        <v/>
      </c>
      <c r="I745">
        <f>'2 transformar y limpiar'!I759</f>
        <v/>
      </c>
      <c r="J745">
        <f>'2 transformar y limpiar'!J759</f>
        <v/>
      </c>
      <c r="K745">
        <f>'2 transformar y limpiar'!K759</f>
        <v/>
      </c>
      <c r="L745">
        <f>'2 transformar y limpiar'!L759</f>
        <v/>
      </c>
      <c r="M745">
        <f>'2 transformar y limpiar'!M759</f>
        <v/>
      </c>
      <c r="N745">
        <f>'2 transformar y limpiar'!N759</f>
        <v/>
      </c>
      <c r="O745">
        <f>'2 transformar y limpiar'!O759</f>
        <v/>
      </c>
      <c r="P745">
        <f>'2 transformar y limpiar'!P759</f>
        <v/>
      </c>
      <c r="Q745">
        <f>'2 transformar y limpiar'!Q759</f>
        <v/>
      </c>
      <c r="R745">
        <f>'2 transformar y limpiar'!R759</f>
        <v/>
      </c>
      <c r="S745">
        <f>'2 transformar y limpiar'!S759</f>
        <v/>
      </c>
      <c r="T745">
        <f>'2 transformar y limpiar'!T759</f>
        <v/>
      </c>
      <c r="U745" s="5">
        <f>'2 transformar y limpiar'!U759</f>
        <v/>
      </c>
    </row>
    <row r="746">
      <c r="A746">
        <f>'2 transformar y limpiar'!A760</f>
        <v/>
      </c>
      <c r="B746">
        <f>'2 transformar y limpiar'!B760</f>
        <v/>
      </c>
      <c r="C746" s="6">
        <f>('2 transformar y limpiar'!C760-$B$6)/$C$6</f>
        <v/>
      </c>
      <c r="D746" s="6">
        <f>('2 transformar y limpiar'!D760-$B$7)/$C$7</f>
        <v/>
      </c>
      <c r="E746" s="6">
        <f>('2 transformar y limpiar'!E760-$B$8)/$C$8</f>
        <v/>
      </c>
      <c r="F746" s="6">
        <f>('2 transformar y limpiar'!F760-$B$9)/$C$9</f>
        <v/>
      </c>
      <c r="G746">
        <f>'2 transformar y limpiar'!G760</f>
        <v/>
      </c>
      <c r="H746">
        <f>'2 transformar y limpiar'!H760</f>
        <v/>
      </c>
      <c r="I746">
        <f>'2 transformar y limpiar'!I760</f>
        <v/>
      </c>
      <c r="J746">
        <f>'2 transformar y limpiar'!J760</f>
        <v/>
      </c>
      <c r="K746">
        <f>'2 transformar y limpiar'!K760</f>
        <v/>
      </c>
      <c r="L746">
        <f>'2 transformar y limpiar'!L760</f>
        <v/>
      </c>
      <c r="M746">
        <f>'2 transformar y limpiar'!M760</f>
        <v/>
      </c>
      <c r="N746">
        <f>'2 transformar y limpiar'!N760</f>
        <v/>
      </c>
      <c r="O746">
        <f>'2 transformar y limpiar'!O760</f>
        <v/>
      </c>
      <c r="P746">
        <f>'2 transformar y limpiar'!P760</f>
        <v/>
      </c>
      <c r="Q746">
        <f>'2 transformar y limpiar'!Q760</f>
        <v/>
      </c>
      <c r="R746">
        <f>'2 transformar y limpiar'!R760</f>
        <v/>
      </c>
      <c r="S746">
        <f>'2 transformar y limpiar'!S760</f>
        <v/>
      </c>
      <c r="T746">
        <f>'2 transformar y limpiar'!T760</f>
        <v/>
      </c>
      <c r="U746" s="5">
        <f>'2 transformar y limpiar'!U760</f>
        <v/>
      </c>
    </row>
    <row r="747">
      <c r="A747">
        <f>'2 transformar y limpiar'!A761</f>
        <v/>
      </c>
      <c r="B747">
        <f>'2 transformar y limpiar'!B761</f>
        <v/>
      </c>
      <c r="C747" s="6">
        <f>('2 transformar y limpiar'!C761-$B$6)/$C$6</f>
        <v/>
      </c>
      <c r="D747" s="6">
        <f>('2 transformar y limpiar'!D761-$B$7)/$C$7</f>
        <v/>
      </c>
      <c r="E747" s="6">
        <f>('2 transformar y limpiar'!E761-$B$8)/$C$8</f>
        <v/>
      </c>
      <c r="F747" s="6">
        <f>('2 transformar y limpiar'!F761-$B$9)/$C$9</f>
        <v/>
      </c>
      <c r="G747">
        <f>'2 transformar y limpiar'!G761</f>
        <v/>
      </c>
      <c r="H747">
        <f>'2 transformar y limpiar'!H761</f>
        <v/>
      </c>
      <c r="I747">
        <f>'2 transformar y limpiar'!I761</f>
        <v/>
      </c>
      <c r="J747">
        <f>'2 transformar y limpiar'!J761</f>
        <v/>
      </c>
      <c r="K747">
        <f>'2 transformar y limpiar'!K761</f>
        <v/>
      </c>
      <c r="L747">
        <f>'2 transformar y limpiar'!L761</f>
        <v/>
      </c>
      <c r="M747">
        <f>'2 transformar y limpiar'!M761</f>
        <v/>
      </c>
      <c r="N747">
        <f>'2 transformar y limpiar'!N761</f>
        <v/>
      </c>
      <c r="O747">
        <f>'2 transformar y limpiar'!O761</f>
        <v/>
      </c>
      <c r="P747">
        <f>'2 transformar y limpiar'!P761</f>
        <v/>
      </c>
      <c r="Q747">
        <f>'2 transformar y limpiar'!Q761</f>
        <v/>
      </c>
      <c r="R747">
        <f>'2 transformar y limpiar'!R761</f>
        <v/>
      </c>
      <c r="S747">
        <f>'2 transformar y limpiar'!S761</f>
        <v/>
      </c>
      <c r="T747">
        <f>'2 transformar y limpiar'!T761</f>
        <v/>
      </c>
      <c r="U747" s="5">
        <f>'2 transformar y limpiar'!U761</f>
        <v/>
      </c>
    </row>
    <row r="748">
      <c r="A748">
        <f>'2 transformar y limpiar'!A762</f>
        <v/>
      </c>
      <c r="B748">
        <f>'2 transformar y limpiar'!B762</f>
        <v/>
      </c>
      <c r="C748" s="6">
        <f>('2 transformar y limpiar'!C762-$B$6)/$C$6</f>
        <v/>
      </c>
      <c r="D748" s="6">
        <f>('2 transformar y limpiar'!D762-$B$7)/$C$7</f>
        <v/>
      </c>
      <c r="E748" s="6">
        <f>('2 transformar y limpiar'!E762-$B$8)/$C$8</f>
        <v/>
      </c>
      <c r="F748" s="6">
        <f>('2 transformar y limpiar'!F762-$B$9)/$C$9</f>
        <v/>
      </c>
      <c r="G748">
        <f>'2 transformar y limpiar'!G762</f>
        <v/>
      </c>
      <c r="H748">
        <f>'2 transformar y limpiar'!H762</f>
        <v/>
      </c>
      <c r="I748">
        <f>'2 transformar y limpiar'!I762</f>
        <v/>
      </c>
      <c r="J748">
        <f>'2 transformar y limpiar'!J762</f>
        <v/>
      </c>
      <c r="K748">
        <f>'2 transformar y limpiar'!K762</f>
        <v/>
      </c>
      <c r="L748">
        <f>'2 transformar y limpiar'!L762</f>
        <v/>
      </c>
      <c r="M748">
        <f>'2 transformar y limpiar'!M762</f>
        <v/>
      </c>
      <c r="N748">
        <f>'2 transformar y limpiar'!N762</f>
        <v/>
      </c>
      <c r="O748">
        <f>'2 transformar y limpiar'!O762</f>
        <v/>
      </c>
      <c r="P748">
        <f>'2 transformar y limpiar'!P762</f>
        <v/>
      </c>
      <c r="Q748">
        <f>'2 transformar y limpiar'!Q762</f>
        <v/>
      </c>
      <c r="R748">
        <f>'2 transformar y limpiar'!R762</f>
        <v/>
      </c>
      <c r="S748">
        <f>'2 transformar y limpiar'!S762</f>
        <v/>
      </c>
      <c r="T748">
        <f>'2 transformar y limpiar'!T762</f>
        <v/>
      </c>
      <c r="U748" s="5">
        <f>'2 transformar y limpiar'!U762</f>
        <v/>
      </c>
    </row>
    <row r="749">
      <c r="A749">
        <f>'2 transformar y limpiar'!A763</f>
        <v/>
      </c>
      <c r="B749">
        <f>'2 transformar y limpiar'!B763</f>
        <v/>
      </c>
      <c r="C749" s="6">
        <f>('2 transformar y limpiar'!C763-$B$6)/$C$6</f>
        <v/>
      </c>
      <c r="D749" s="6">
        <f>('2 transformar y limpiar'!D763-$B$7)/$C$7</f>
        <v/>
      </c>
      <c r="E749" s="6">
        <f>('2 transformar y limpiar'!E763-$B$8)/$C$8</f>
        <v/>
      </c>
      <c r="F749" s="6">
        <f>('2 transformar y limpiar'!F763-$B$9)/$C$9</f>
        <v/>
      </c>
      <c r="G749">
        <f>'2 transformar y limpiar'!G763</f>
        <v/>
      </c>
      <c r="H749">
        <f>'2 transformar y limpiar'!H763</f>
        <v/>
      </c>
      <c r="I749">
        <f>'2 transformar y limpiar'!I763</f>
        <v/>
      </c>
      <c r="J749">
        <f>'2 transformar y limpiar'!J763</f>
        <v/>
      </c>
      <c r="K749">
        <f>'2 transformar y limpiar'!K763</f>
        <v/>
      </c>
      <c r="L749">
        <f>'2 transformar y limpiar'!L763</f>
        <v/>
      </c>
      <c r="M749">
        <f>'2 transformar y limpiar'!M763</f>
        <v/>
      </c>
      <c r="N749">
        <f>'2 transformar y limpiar'!N763</f>
        <v/>
      </c>
      <c r="O749">
        <f>'2 transformar y limpiar'!O763</f>
        <v/>
      </c>
      <c r="P749">
        <f>'2 transformar y limpiar'!P763</f>
        <v/>
      </c>
      <c r="Q749">
        <f>'2 transformar y limpiar'!Q763</f>
        <v/>
      </c>
      <c r="R749">
        <f>'2 transformar y limpiar'!R763</f>
        <v/>
      </c>
      <c r="S749">
        <f>'2 transformar y limpiar'!S763</f>
        <v/>
      </c>
      <c r="T749">
        <f>'2 transformar y limpiar'!T763</f>
        <v/>
      </c>
      <c r="U749" s="5">
        <f>'2 transformar y limpiar'!U763</f>
        <v/>
      </c>
    </row>
    <row r="750">
      <c r="A750">
        <f>'2 transformar y limpiar'!A764</f>
        <v/>
      </c>
      <c r="B750">
        <f>'2 transformar y limpiar'!B764</f>
        <v/>
      </c>
      <c r="C750" s="6">
        <f>('2 transformar y limpiar'!C764-$B$6)/$C$6</f>
        <v/>
      </c>
      <c r="D750" s="6">
        <f>('2 transformar y limpiar'!D764-$B$7)/$C$7</f>
        <v/>
      </c>
      <c r="E750" s="6">
        <f>('2 transformar y limpiar'!E764-$B$8)/$C$8</f>
        <v/>
      </c>
      <c r="F750" s="6">
        <f>('2 transformar y limpiar'!F764-$B$9)/$C$9</f>
        <v/>
      </c>
      <c r="G750">
        <f>'2 transformar y limpiar'!G764</f>
        <v/>
      </c>
      <c r="H750">
        <f>'2 transformar y limpiar'!H764</f>
        <v/>
      </c>
      <c r="I750">
        <f>'2 transformar y limpiar'!I764</f>
        <v/>
      </c>
      <c r="J750">
        <f>'2 transformar y limpiar'!J764</f>
        <v/>
      </c>
      <c r="K750">
        <f>'2 transformar y limpiar'!K764</f>
        <v/>
      </c>
      <c r="L750">
        <f>'2 transformar y limpiar'!L764</f>
        <v/>
      </c>
      <c r="M750">
        <f>'2 transformar y limpiar'!M764</f>
        <v/>
      </c>
      <c r="N750">
        <f>'2 transformar y limpiar'!N764</f>
        <v/>
      </c>
      <c r="O750">
        <f>'2 transformar y limpiar'!O764</f>
        <v/>
      </c>
      <c r="P750">
        <f>'2 transformar y limpiar'!P764</f>
        <v/>
      </c>
      <c r="Q750">
        <f>'2 transformar y limpiar'!Q764</f>
        <v/>
      </c>
      <c r="R750">
        <f>'2 transformar y limpiar'!R764</f>
        <v/>
      </c>
      <c r="S750">
        <f>'2 transformar y limpiar'!S764</f>
        <v/>
      </c>
      <c r="T750">
        <f>'2 transformar y limpiar'!T764</f>
        <v/>
      </c>
      <c r="U750" s="5">
        <f>'2 transformar y limpiar'!U764</f>
        <v/>
      </c>
    </row>
    <row r="751">
      <c r="A751">
        <f>'2 transformar y limpiar'!A765</f>
        <v/>
      </c>
      <c r="B751">
        <f>'2 transformar y limpiar'!B765</f>
        <v/>
      </c>
      <c r="C751" s="6">
        <f>('2 transformar y limpiar'!C765-$B$6)/$C$6</f>
        <v/>
      </c>
      <c r="D751" s="6">
        <f>('2 transformar y limpiar'!D765-$B$7)/$C$7</f>
        <v/>
      </c>
      <c r="E751" s="6">
        <f>('2 transformar y limpiar'!E765-$B$8)/$C$8</f>
        <v/>
      </c>
      <c r="F751" s="6">
        <f>('2 transformar y limpiar'!F765-$B$9)/$C$9</f>
        <v/>
      </c>
      <c r="G751">
        <f>'2 transformar y limpiar'!G765</f>
        <v/>
      </c>
      <c r="H751">
        <f>'2 transformar y limpiar'!H765</f>
        <v/>
      </c>
      <c r="I751">
        <f>'2 transformar y limpiar'!I765</f>
        <v/>
      </c>
      <c r="J751">
        <f>'2 transformar y limpiar'!J765</f>
        <v/>
      </c>
      <c r="K751">
        <f>'2 transformar y limpiar'!K765</f>
        <v/>
      </c>
      <c r="L751">
        <f>'2 transformar y limpiar'!L765</f>
        <v/>
      </c>
      <c r="M751">
        <f>'2 transformar y limpiar'!M765</f>
        <v/>
      </c>
      <c r="N751">
        <f>'2 transformar y limpiar'!N765</f>
        <v/>
      </c>
      <c r="O751">
        <f>'2 transformar y limpiar'!O765</f>
        <v/>
      </c>
      <c r="P751">
        <f>'2 transformar y limpiar'!P765</f>
        <v/>
      </c>
      <c r="Q751">
        <f>'2 transformar y limpiar'!Q765</f>
        <v/>
      </c>
      <c r="R751">
        <f>'2 transformar y limpiar'!R765</f>
        <v/>
      </c>
      <c r="S751">
        <f>'2 transformar y limpiar'!S765</f>
        <v/>
      </c>
      <c r="T751">
        <f>'2 transformar y limpiar'!T765</f>
        <v/>
      </c>
      <c r="U751" s="5">
        <f>'2 transformar y limpiar'!U765</f>
        <v/>
      </c>
    </row>
    <row r="752">
      <c r="A752">
        <f>'2 transformar y limpiar'!A766</f>
        <v/>
      </c>
      <c r="B752">
        <f>'2 transformar y limpiar'!B766</f>
        <v/>
      </c>
      <c r="C752" s="6">
        <f>('2 transformar y limpiar'!C766-$B$6)/$C$6</f>
        <v/>
      </c>
      <c r="D752" s="6">
        <f>('2 transformar y limpiar'!D766-$B$7)/$C$7</f>
        <v/>
      </c>
      <c r="E752" s="6">
        <f>('2 transformar y limpiar'!E766-$B$8)/$C$8</f>
        <v/>
      </c>
      <c r="F752" s="6">
        <f>('2 transformar y limpiar'!F766-$B$9)/$C$9</f>
        <v/>
      </c>
      <c r="G752">
        <f>'2 transformar y limpiar'!G766</f>
        <v/>
      </c>
      <c r="H752">
        <f>'2 transformar y limpiar'!H766</f>
        <v/>
      </c>
      <c r="I752">
        <f>'2 transformar y limpiar'!I766</f>
        <v/>
      </c>
      <c r="J752">
        <f>'2 transformar y limpiar'!J766</f>
        <v/>
      </c>
      <c r="K752">
        <f>'2 transformar y limpiar'!K766</f>
        <v/>
      </c>
      <c r="L752">
        <f>'2 transformar y limpiar'!L766</f>
        <v/>
      </c>
      <c r="M752">
        <f>'2 transformar y limpiar'!M766</f>
        <v/>
      </c>
      <c r="N752">
        <f>'2 transformar y limpiar'!N766</f>
        <v/>
      </c>
      <c r="O752">
        <f>'2 transformar y limpiar'!O766</f>
        <v/>
      </c>
      <c r="P752">
        <f>'2 transformar y limpiar'!P766</f>
        <v/>
      </c>
      <c r="Q752">
        <f>'2 transformar y limpiar'!Q766</f>
        <v/>
      </c>
      <c r="R752">
        <f>'2 transformar y limpiar'!R766</f>
        <v/>
      </c>
      <c r="S752">
        <f>'2 transformar y limpiar'!S766</f>
        <v/>
      </c>
      <c r="T752">
        <f>'2 transformar y limpiar'!T766</f>
        <v/>
      </c>
      <c r="U752" s="5">
        <f>'2 transformar y limpiar'!U766</f>
        <v/>
      </c>
    </row>
    <row r="753">
      <c r="A753">
        <f>'2 transformar y limpiar'!A767</f>
        <v/>
      </c>
      <c r="B753">
        <f>'2 transformar y limpiar'!B767</f>
        <v/>
      </c>
      <c r="C753" s="6">
        <f>('2 transformar y limpiar'!C767-$B$6)/$C$6</f>
        <v/>
      </c>
      <c r="D753" s="6">
        <f>('2 transformar y limpiar'!D767-$B$7)/$C$7</f>
        <v/>
      </c>
      <c r="E753" s="6">
        <f>('2 transformar y limpiar'!E767-$B$8)/$C$8</f>
        <v/>
      </c>
      <c r="F753" s="6">
        <f>('2 transformar y limpiar'!F767-$B$9)/$C$9</f>
        <v/>
      </c>
      <c r="G753">
        <f>'2 transformar y limpiar'!G767</f>
        <v/>
      </c>
      <c r="H753">
        <f>'2 transformar y limpiar'!H767</f>
        <v/>
      </c>
      <c r="I753">
        <f>'2 transformar y limpiar'!I767</f>
        <v/>
      </c>
      <c r="J753">
        <f>'2 transformar y limpiar'!J767</f>
        <v/>
      </c>
      <c r="K753">
        <f>'2 transformar y limpiar'!K767</f>
        <v/>
      </c>
      <c r="L753">
        <f>'2 transformar y limpiar'!L767</f>
        <v/>
      </c>
      <c r="M753">
        <f>'2 transformar y limpiar'!M767</f>
        <v/>
      </c>
      <c r="N753">
        <f>'2 transformar y limpiar'!N767</f>
        <v/>
      </c>
      <c r="O753">
        <f>'2 transformar y limpiar'!O767</f>
        <v/>
      </c>
      <c r="P753">
        <f>'2 transformar y limpiar'!P767</f>
        <v/>
      </c>
      <c r="Q753">
        <f>'2 transformar y limpiar'!Q767</f>
        <v/>
      </c>
      <c r="R753">
        <f>'2 transformar y limpiar'!R767</f>
        <v/>
      </c>
      <c r="S753">
        <f>'2 transformar y limpiar'!S767</f>
        <v/>
      </c>
      <c r="T753">
        <f>'2 transformar y limpiar'!T767</f>
        <v/>
      </c>
      <c r="U753" s="5">
        <f>'2 transformar y limpiar'!U767</f>
        <v/>
      </c>
    </row>
    <row r="754">
      <c r="A754">
        <f>'2 transformar y limpiar'!A768</f>
        <v/>
      </c>
      <c r="B754">
        <f>'2 transformar y limpiar'!B768</f>
        <v/>
      </c>
      <c r="C754" s="6">
        <f>('2 transformar y limpiar'!C768-$B$6)/$C$6</f>
        <v/>
      </c>
      <c r="D754" s="6">
        <f>('2 transformar y limpiar'!D768-$B$7)/$C$7</f>
        <v/>
      </c>
      <c r="E754" s="6">
        <f>('2 transformar y limpiar'!E768-$B$8)/$C$8</f>
        <v/>
      </c>
      <c r="F754" s="6">
        <f>('2 transformar y limpiar'!F768-$B$9)/$C$9</f>
        <v/>
      </c>
      <c r="G754">
        <f>'2 transformar y limpiar'!G768</f>
        <v/>
      </c>
      <c r="H754">
        <f>'2 transformar y limpiar'!H768</f>
        <v/>
      </c>
      <c r="I754">
        <f>'2 transformar y limpiar'!I768</f>
        <v/>
      </c>
      <c r="J754">
        <f>'2 transformar y limpiar'!J768</f>
        <v/>
      </c>
      <c r="K754">
        <f>'2 transformar y limpiar'!K768</f>
        <v/>
      </c>
      <c r="L754">
        <f>'2 transformar y limpiar'!L768</f>
        <v/>
      </c>
      <c r="M754">
        <f>'2 transformar y limpiar'!M768</f>
        <v/>
      </c>
      <c r="N754">
        <f>'2 transformar y limpiar'!N768</f>
        <v/>
      </c>
      <c r="O754">
        <f>'2 transformar y limpiar'!O768</f>
        <v/>
      </c>
      <c r="P754">
        <f>'2 transformar y limpiar'!P768</f>
        <v/>
      </c>
      <c r="Q754">
        <f>'2 transformar y limpiar'!Q768</f>
        <v/>
      </c>
      <c r="R754">
        <f>'2 transformar y limpiar'!R768</f>
        <v/>
      </c>
      <c r="S754">
        <f>'2 transformar y limpiar'!S768</f>
        <v/>
      </c>
      <c r="T754">
        <f>'2 transformar y limpiar'!T768</f>
        <v/>
      </c>
      <c r="U754" s="5">
        <f>'2 transformar y limpiar'!U768</f>
        <v/>
      </c>
    </row>
    <row r="755">
      <c r="A755">
        <f>'2 transformar y limpiar'!A769</f>
        <v/>
      </c>
      <c r="B755">
        <f>'2 transformar y limpiar'!B769</f>
        <v/>
      </c>
      <c r="C755" s="6">
        <f>('2 transformar y limpiar'!C769-$B$6)/$C$6</f>
        <v/>
      </c>
      <c r="D755" s="6">
        <f>('2 transformar y limpiar'!D769-$B$7)/$C$7</f>
        <v/>
      </c>
      <c r="E755" s="6">
        <f>('2 transformar y limpiar'!E769-$B$8)/$C$8</f>
        <v/>
      </c>
      <c r="F755" s="6">
        <f>('2 transformar y limpiar'!F769-$B$9)/$C$9</f>
        <v/>
      </c>
      <c r="G755">
        <f>'2 transformar y limpiar'!G769</f>
        <v/>
      </c>
      <c r="H755">
        <f>'2 transformar y limpiar'!H769</f>
        <v/>
      </c>
      <c r="I755">
        <f>'2 transformar y limpiar'!I769</f>
        <v/>
      </c>
      <c r="J755">
        <f>'2 transformar y limpiar'!J769</f>
        <v/>
      </c>
      <c r="K755">
        <f>'2 transformar y limpiar'!K769</f>
        <v/>
      </c>
      <c r="L755">
        <f>'2 transformar y limpiar'!L769</f>
        <v/>
      </c>
      <c r="M755">
        <f>'2 transformar y limpiar'!M769</f>
        <v/>
      </c>
      <c r="N755">
        <f>'2 transformar y limpiar'!N769</f>
        <v/>
      </c>
      <c r="O755">
        <f>'2 transformar y limpiar'!O769</f>
        <v/>
      </c>
      <c r="P755">
        <f>'2 transformar y limpiar'!P769</f>
        <v/>
      </c>
      <c r="Q755">
        <f>'2 transformar y limpiar'!Q769</f>
        <v/>
      </c>
      <c r="R755">
        <f>'2 transformar y limpiar'!R769</f>
        <v/>
      </c>
      <c r="S755">
        <f>'2 transformar y limpiar'!S769</f>
        <v/>
      </c>
      <c r="T755">
        <f>'2 transformar y limpiar'!T769</f>
        <v/>
      </c>
      <c r="U755" s="5">
        <f>'2 transformar y limpiar'!U769</f>
        <v/>
      </c>
    </row>
    <row r="756">
      <c r="A756">
        <f>'2 transformar y limpiar'!A770</f>
        <v/>
      </c>
      <c r="B756">
        <f>'2 transformar y limpiar'!B770</f>
        <v/>
      </c>
      <c r="C756" s="6">
        <f>('2 transformar y limpiar'!C770-$B$6)/$C$6</f>
        <v/>
      </c>
      <c r="D756" s="6">
        <f>('2 transformar y limpiar'!D770-$B$7)/$C$7</f>
        <v/>
      </c>
      <c r="E756" s="6">
        <f>('2 transformar y limpiar'!E770-$B$8)/$C$8</f>
        <v/>
      </c>
      <c r="F756" s="6">
        <f>('2 transformar y limpiar'!F770-$B$9)/$C$9</f>
        <v/>
      </c>
      <c r="G756">
        <f>'2 transformar y limpiar'!G770</f>
        <v/>
      </c>
      <c r="H756">
        <f>'2 transformar y limpiar'!H770</f>
        <v/>
      </c>
      <c r="I756">
        <f>'2 transformar y limpiar'!I770</f>
        <v/>
      </c>
      <c r="J756">
        <f>'2 transformar y limpiar'!J770</f>
        <v/>
      </c>
      <c r="K756">
        <f>'2 transformar y limpiar'!K770</f>
        <v/>
      </c>
      <c r="L756">
        <f>'2 transformar y limpiar'!L770</f>
        <v/>
      </c>
      <c r="M756">
        <f>'2 transformar y limpiar'!M770</f>
        <v/>
      </c>
      <c r="N756">
        <f>'2 transformar y limpiar'!N770</f>
        <v/>
      </c>
      <c r="O756">
        <f>'2 transformar y limpiar'!O770</f>
        <v/>
      </c>
      <c r="P756">
        <f>'2 transformar y limpiar'!P770</f>
        <v/>
      </c>
      <c r="Q756">
        <f>'2 transformar y limpiar'!Q770</f>
        <v/>
      </c>
      <c r="R756">
        <f>'2 transformar y limpiar'!R770</f>
        <v/>
      </c>
      <c r="S756">
        <f>'2 transformar y limpiar'!S770</f>
        <v/>
      </c>
      <c r="T756">
        <f>'2 transformar y limpiar'!T770</f>
        <v/>
      </c>
      <c r="U756" s="5">
        <f>'2 transformar y limpiar'!U770</f>
        <v/>
      </c>
    </row>
    <row r="757">
      <c r="A757">
        <f>'2 transformar y limpiar'!A771</f>
        <v/>
      </c>
      <c r="B757">
        <f>'2 transformar y limpiar'!B771</f>
        <v/>
      </c>
      <c r="C757" s="6">
        <f>('2 transformar y limpiar'!C771-$B$6)/$C$6</f>
        <v/>
      </c>
      <c r="D757" s="6">
        <f>('2 transformar y limpiar'!D771-$B$7)/$C$7</f>
        <v/>
      </c>
      <c r="E757" s="6">
        <f>('2 transformar y limpiar'!E771-$B$8)/$C$8</f>
        <v/>
      </c>
      <c r="F757" s="6">
        <f>('2 transformar y limpiar'!F771-$B$9)/$C$9</f>
        <v/>
      </c>
      <c r="G757">
        <f>'2 transformar y limpiar'!G771</f>
        <v/>
      </c>
      <c r="H757">
        <f>'2 transformar y limpiar'!H771</f>
        <v/>
      </c>
      <c r="I757">
        <f>'2 transformar y limpiar'!I771</f>
        <v/>
      </c>
      <c r="J757">
        <f>'2 transformar y limpiar'!J771</f>
        <v/>
      </c>
      <c r="K757">
        <f>'2 transformar y limpiar'!K771</f>
        <v/>
      </c>
      <c r="L757">
        <f>'2 transformar y limpiar'!L771</f>
        <v/>
      </c>
      <c r="M757">
        <f>'2 transformar y limpiar'!M771</f>
        <v/>
      </c>
      <c r="N757">
        <f>'2 transformar y limpiar'!N771</f>
        <v/>
      </c>
      <c r="O757">
        <f>'2 transformar y limpiar'!O771</f>
        <v/>
      </c>
      <c r="P757">
        <f>'2 transformar y limpiar'!P771</f>
        <v/>
      </c>
      <c r="Q757">
        <f>'2 transformar y limpiar'!Q771</f>
        <v/>
      </c>
      <c r="R757">
        <f>'2 transformar y limpiar'!R771</f>
        <v/>
      </c>
      <c r="S757">
        <f>'2 transformar y limpiar'!S771</f>
        <v/>
      </c>
      <c r="T757">
        <f>'2 transformar y limpiar'!T771</f>
        <v/>
      </c>
      <c r="U757" s="5">
        <f>'2 transformar y limpiar'!U771</f>
        <v/>
      </c>
    </row>
    <row r="758">
      <c r="A758">
        <f>'2 transformar y limpiar'!A772</f>
        <v/>
      </c>
      <c r="B758">
        <f>'2 transformar y limpiar'!B772</f>
        <v/>
      </c>
      <c r="C758" s="6">
        <f>('2 transformar y limpiar'!C772-$B$6)/$C$6</f>
        <v/>
      </c>
      <c r="D758" s="6">
        <f>('2 transformar y limpiar'!D772-$B$7)/$C$7</f>
        <v/>
      </c>
      <c r="E758" s="6">
        <f>('2 transformar y limpiar'!E772-$B$8)/$C$8</f>
        <v/>
      </c>
      <c r="F758" s="6">
        <f>('2 transformar y limpiar'!F772-$B$9)/$C$9</f>
        <v/>
      </c>
      <c r="G758">
        <f>'2 transformar y limpiar'!G772</f>
        <v/>
      </c>
      <c r="H758">
        <f>'2 transformar y limpiar'!H772</f>
        <v/>
      </c>
      <c r="I758">
        <f>'2 transformar y limpiar'!I772</f>
        <v/>
      </c>
      <c r="J758">
        <f>'2 transformar y limpiar'!J772</f>
        <v/>
      </c>
      <c r="K758">
        <f>'2 transformar y limpiar'!K772</f>
        <v/>
      </c>
      <c r="L758">
        <f>'2 transformar y limpiar'!L772</f>
        <v/>
      </c>
      <c r="M758">
        <f>'2 transformar y limpiar'!M772</f>
        <v/>
      </c>
      <c r="N758">
        <f>'2 transformar y limpiar'!N772</f>
        <v/>
      </c>
      <c r="O758">
        <f>'2 transformar y limpiar'!O772</f>
        <v/>
      </c>
      <c r="P758">
        <f>'2 transformar y limpiar'!P772</f>
        <v/>
      </c>
      <c r="Q758">
        <f>'2 transformar y limpiar'!Q772</f>
        <v/>
      </c>
      <c r="R758">
        <f>'2 transformar y limpiar'!R772</f>
        <v/>
      </c>
      <c r="S758">
        <f>'2 transformar y limpiar'!S772</f>
        <v/>
      </c>
      <c r="T758">
        <f>'2 transformar y limpiar'!T772</f>
        <v/>
      </c>
      <c r="U758" s="5">
        <f>'2 transformar y limpiar'!U772</f>
        <v/>
      </c>
    </row>
    <row r="759">
      <c r="A759">
        <f>'2 transformar y limpiar'!A773</f>
        <v/>
      </c>
      <c r="B759">
        <f>'2 transformar y limpiar'!B773</f>
        <v/>
      </c>
      <c r="C759" s="6">
        <f>('2 transformar y limpiar'!C773-$B$6)/$C$6</f>
        <v/>
      </c>
      <c r="D759" s="6">
        <f>('2 transformar y limpiar'!D773-$B$7)/$C$7</f>
        <v/>
      </c>
      <c r="E759" s="6">
        <f>('2 transformar y limpiar'!E773-$B$8)/$C$8</f>
        <v/>
      </c>
      <c r="F759" s="6">
        <f>('2 transformar y limpiar'!F773-$B$9)/$C$9</f>
        <v/>
      </c>
      <c r="G759">
        <f>'2 transformar y limpiar'!G773</f>
        <v/>
      </c>
      <c r="H759">
        <f>'2 transformar y limpiar'!H773</f>
        <v/>
      </c>
      <c r="I759">
        <f>'2 transformar y limpiar'!I773</f>
        <v/>
      </c>
      <c r="J759">
        <f>'2 transformar y limpiar'!J773</f>
        <v/>
      </c>
      <c r="K759">
        <f>'2 transformar y limpiar'!K773</f>
        <v/>
      </c>
      <c r="L759">
        <f>'2 transformar y limpiar'!L773</f>
        <v/>
      </c>
      <c r="M759">
        <f>'2 transformar y limpiar'!M773</f>
        <v/>
      </c>
      <c r="N759">
        <f>'2 transformar y limpiar'!N773</f>
        <v/>
      </c>
      <c r="O759">
        <f>'2 transformar y limpiar'!O773</f>
        <v/>
      </c>
      <c r="P759">
        <f>'2 transformar y limpiar'!P773</f>
        <v/>
      </c>
      <c r="Q759">
        <f>'2 transformar y limpiar'!Q773</f>
        <v/>
      </c>
      <c r="R759">
        <f>'2 transformar y limpiar'!R773</f>
        <v/>
      </c>
      <c r="S759">
        <f>'2 transformar y limpiar'!S773</f>
        <v/>
      </c>
      <c r="T759">
        <f>'2 transformar y limpiar'!T773</f>
        <v/>
      </c>
      <c r="U759" s="5">
        <f>'2 transformar y limpiar'!U773</f>
        <v/>
      </c>
    </row>
    <row r="760">
      <c r="A760">
        <f>'2 transformar y limpiar'!A774</f>
        <v/>
      </c>
      <c r="B760">
        <f>'2 transformar y limpiar'!B774</f>
        <v/>
      </c>
      <c r="C760" s="6">
        <f>('2 transformar y limpiar'!C774-$B$6)/$C$6</f>
        <v/>
      </c>
      <c r="D760" s="6">
        <f>('2 transformar y limpiar'!D774-$B$7)/$C$7</f>
        <v/>
      </c>
      <c r="E760" s="6">
        <f>('2 transformar y limpiar'!E774-$B$8)/$C$8</f>
        <v/>
      </c>
      <c r="F760" s="6">
        <f>('2 transformar y limpiar'!F774-$B$9)/$C$9</f>
        <v/>
      </c>
      <c r="G760">
        <f>'2 transformar y limpiar'!G774</f>
        <v/>
      </c>
      <c r="H760">
        <f>'2 transformar y limpiar'!H774</f>
        <v/>
      </c>
      <c r="I760">
        <f>'2 transformar y limpiar'!I774</f>
        <v/>
      </c>
      <c r="J760">
        <f>'2 transformar y limpiar'!J774</f>
        <v/>
      </c>
      <c r="K760">
        <f>'2 transformar y limpiar'!K774</f>
        <v/>
      </c>
      <c r="L760">
        <f>'2 transformar y limpiar'!L774</f>
        <v/>
      </c>
      <c r="M760">
        <f>'2 transformar y limpiar'!M774</f>
        <v/>
      </c>
      <c r="N760">
        <f>'2 transformar y limpiar'!N774</f>
        <v/>
      </c>
      <c r="O760">
        <f>'2 transformar y limpiar'!O774</f>
        <v/>
      </c>
      <c r="P760">
        <f>'2 transformar y limpiar'!P774</f>
        <v/>
      </c>
      <c r="Q760">
        <f>'2 transformar y limpiar'!Q774</f>
        <v/>
      </c>
      <c r="R760">
        <f>'2 transformar y limpiar'!R774</f>
        <v/>
      </c>
      <c r="S760">
        <f>'2 transformar y limpiar'!S774</f>
        <v/>
      </c>
      <c r="T760">
        <f>'2 transformar y limpiar'!T774</f>
        <v/>
      </c>
      <c r="U760" s="5">
        <f>'2 transformar y limpiar'!U774</f>
        <v/>
      </c>
    </row>
    <row r="761">
      <c r="A761">
        <f>'2 transformar y limpiar'!A775</f>
        <v/>
      </c>
      <c r="B761">
        <f>'2 transformar y limpiar'!B775</f>
        <v/>
      </c>
      <c r="C761" s="6">
        <f>('2 transformar y limpiar'!C775-$B$6)/$C$6</f>
        <v/>
      </c>
      <c r="D761" s="6">
        <f>('2 transformar y limpiar'!D775-$B$7)/$C$7</f>
        <v/>
      </c>
      <c r="E761" s="6">
        <f>('2 transformar y limpiar'!E775-$B$8)/$C$8</f>
        <v/>
      </c>
      <c r="F761" s="6">
        <f>('2 transformar y limpiar'!F775-$B$9)/$C$9</f>
        <v/>
      </c>
      <c r="G761">
        <f>'2 transformar y limpiar'!G775</f>
        <v/>
      </c>
      <c r="H761">
        <f>'2 transformar y limpiar'!H775</f>
        <v/>
      </c>
      <c r="I761">
        <f>'2 transformar y limpiar'!I775</f>
        <v/>
      </c>
      <c r="J761">
        <f>'2 transformar y limpiar'!J775</f>
        <v/>
      </c>
      <c r="K761">
        <f>'2 transformar y limpiar'!K775</f>
        <v/>
      </c>
      <c r="L761">
        <f>'2 transformar y limpiar'!L775</f>
        <v/>
      </c>
      <c r="M761">
        <f>'2 transformar y limpiar'!M775</f>
        <v/>
      </c>
      <c r="N761">
        <f>'2 transformar y limpiar'!N775</f>
        <v/>
      </c>
      <c r="O761">
        <f>'2 transformar y limpiar'!O775</f>
        <v/>
      </c>
      <c r="P761">
        <f>'2 transformar y limpiar'!P775</f>
        <v/>
      </c>
      <c r="Q761">
        <f>'2 transformar y limpiar'!Q775</f>
        <v/>
      </c>
      <c r="R761">
        <f>'2 transformar y limpiar'!R775</f>
        <v/>
      </c>
      <c r="S761">
        <f>'2 transformar y limpiar'!S775</f>
        <v/>
      </c>
      <c r="T761">
        <f>'2 transformar y limpiar'!T775</f>
        <v/>
      </c>
      <c r="U761" s="5">
        <f>'2 transformar y limpiar'!U775</f>
        <v/>
      </c>
    </row>
    <row r="762">
      <c r="A762">
        <f>'2 transformar y limpiar'!A776</f>
        <v/>
      </c>
      <c r="B762">
        <f>'2 transformar y limpiar'!B776</f>
        <v/>
      </c>
      <c r="C762" s="6">
        <f>('2 transformar y limpiar'!C776-$B$6)/$C$6</f>
        <v/>
      </c>
      <c r="D762" s="6">
        <f>('2 transformar y limpiar'!D776-$B$7)/$C$7</f>
        <v/>
      </c>
      <c r="E762" s="6">
        <f>('2 transformar y limpiar'!E776-$B$8)/$C$8</f>
        <v/>
      </c>
      <c r="F762" s="6">
        <f>('2 transformar y limpiar'!F776-$B$9)/$C$9</f>
        <v/>
      </c>
      <c r="G762">
        <f>'2 transformar y limpiar'!G776</f>
        <v/>
      </c>
      <c r="H762">
        <f>'2 transformar y limpiar'!H776</f>
        <v/>
      </c>
      <c r="I762">
        <f>'2 transformar y limpiar'!I776</f>
        <v/>
      </c>
      <c r="J762">
        <f>'2 transformar y limpiar'!J776</f>
        <v/>
      </c>
      <c r="K762">
        <f>'2 transformar y limpiar'!K776</f>
        <v/>
      </c>
      <c r="L762">
        <f>'2 transformar y limpiar'!L776</f>
        <v/>
      </c>
      <c r="M762">
        <f>'2 transformar y limpiar'!M776</f>
        <v/>
      </c>
      <c r="N762">
        <f>'2 transformar y limpiar'!N776</f>
        <v/>
      </c>
      <c r="O762">
        <f>'2 transformar y limpiar'!O776</f>
        <v/>
      </c>
      <c r="P762">
        <f>'2 transformar y limpiar'!P776</f>
        <v/>
      </c>
      <c r="Q762">
        <f>'2 transformar y limpiar'!Q776</f>
        <v/>
      </c>
      <c r="R762">
        <f>'2 transformar y limpiar'!R776</f>
        <v/>
      </c>
      <c r="S762">
        <f>'2 transformar y limpiar'!S776</f>
        <v/>
      </c>
      <c r="T762">
        <f>'2 transformar y limpiar'!T776</f>
        <v/>
      </c>
      <c r="U762" s="5">
        <f>'2 transformar y limpiar'!U776</f>
        <v/>
      </c>
    </row>
    <row r="763">
      <c r="A763">
        <f>'2 transformar y limpiar'!A777</f>
        <v/>
      </c>
      <c r="B763">
        <f>'2 transformar y limpiar'!B777</f>
        <v/>
      </c>
      <c r="C763" s="6">
        <f>('2 transformar y limpiar'!C777-$B$6)/$C$6</f>
        <v/>
      </c>
      <c r="D763" s="6">
        <f>('2 transformar y limpiar'!D777-$B$7)/$C$7</f>
        <v/>
      </c>
      <c r="E763" s="6">
        <f>('2 transformar y limpiar'!E777-$B$8)/$C$8</f>
        <v/>
      </c>
      <c r="F763" s="6">
        <f>('2 transformar y limpiar'!F777-$B$9)/$C$9</f>
        <v/>
      </c>
      <c r="G763">
        <f>'2 transformar y limpiar'!G777</f>
        <v/>
      </c>
      <c r="H763">
        <f>'2 transformar y limpiar'!H777</f>
        <v/>
      </c>
      <c r="I763">
        <f>'2 transformar y limpiar'!I777</f>
        <v/>
      </c>
      <c r="J763">
        <f>'2 transformar y limpiar'!J777</f>
        <v/>
      </c>
      <c r="K763">
        <f>'2 transformar y limpiar'!K777</f>
        <v/>
      </c>
      <c r="L763">
        <f>'2 transformar y limpiar'!L777</f>
        <v/>
      </c>
      <c r="M763">
        <f>'2 transformar y limpiar'!M777</f>
        <v/>
      </c>
      <c r="N763">
        <f>'2 transformar y limpiar'!N777</f>
        <v/>
      </c>
      <c r="O763">
        <f>'2 transformar y limpiar'!O777</f>
        <v/>
      </c>
      <c r="P763">
        <f>'2 transformar y limpiar'!P777</f>
        <v/>
      </c>
      <c r="Q763">
        <f>'2 transformar y limpiar'!Q777</f>
        <v/>
      </c>
      <c r="R763">
        <f>'2 transformar y limpiar'!R777</f>
        <v/>
      </c>
      <c r="S763">
        <f>'2 transformar y limpiar'!S777</f>
        <v/>
      </c>
      <c r="T763">
        <f>'2 transformar y limpiar'!T777</f>
        <v/>
      </c>
      <c r="U763" s="5">
        <f>'2 transformar y limpiar'!U777</f>
        <v/>
      </c>
    </row>
    <row r="764">
      <c r="A764">
        <f>'2 transformar y limpiar'!A778</f>
        <v/>
      </c>
      <c r="B764">
        <f>'2 transformar y limpiar'!B778</f>
        <v/>
      </c>
      <c r="C764" s="6">
        <f>('2 transformar y limpiar'!C778-$B$6)/$C$6</f>
        <v/>
      </c>
      <c r="D764" s="6">
        <f>('2 transformar y limpiar'!D778-$B$7)/$C$7</f>
        <v/>
      </c>
      <c r="E764" s="6">
        <f>('2 transformar y limpiar'!E778-$B$8)/$C$8</f>
        <v/>
      </c>
      <c r="F764" s="6">
        <f>('2 transformar y limpiar'!F778-$B$9)/$C$9</f>
        <v/>
      </c>
      <c r="G764">
        <f>'2 transformar y limpiar'!G778</f>
        <v/>
      </c>
      <c r="H764">
        <f>'2 transformar y limpiar'!H778</f>
        <v/>
      </c>
      <c r="I764">
        <f>'2 transformar y limpiar'!I778</f>
        <v/>
      </c>
      <c r="J764">
        <f>'2 transformar y limpiar'!J778</f>
        <v/>
      </c>
      <c r="K764">
        <f>'2 transformar y limpiar'!K778</f>
        <v/>
      </c>
      <c r="L764">
        <f>'2 transformar y limpiar'!L778</f>
        <v/>
      </c>
      <c r="M764">
        <f>'2 transformar y limpiar'!M778</f>
        <v/>
      </c>
      <c r="N764">
        <f>'2 transformar y limpiar'!N778</f>
        <v/>
      </c>
      <c r="O764">
        <f>'2 transformar y limpiar'!O778</f>
        <v/>
      </c>
      <c r="P764">
        <f>'2 transformar y limpiar'!P778</f>
        <v/>
      </c>
      <c r="Q764">
        <f>'2 transformar y limpiar'!Q778</f>
        <v/>
      </c>
      <c r="R764">
        <f>'2 transformar y limpiar'!R778</f>
        <v/>
      </c>
      <c r="S764">
        <f>'2 transformar y limpiar'!S778</f>
        <v/>
      </c>
      <c r="T764">
        <f>'2 transformar y limpiar'!T778</f>
        <v/>
      </c>
      <c r="U764" s="5">
        <f>'2 transformar y limpiar'!U778</f>
        <v/>
      </c>
    </row>
    <row r="765">
      <c r="A765">
        <f>'2 transformar y limpiar'!A779</f>
        <v/>
      </c>
      <c r="B765">
        <f>'2 transformar y limpiar'!B779</f>
        <v/>
      </c>
      <c r="C765" s="6">
        <f>('2 transformar y limpiar'!C779-$B$6)/$C$6</f>
        <v/>
      </c>
      <c r="D765" s="6">
        <f>('2 transformar y limpiar'!D779-$B$7)/$C$7</f>
        <v/>
      </c>
      <c r="E765" s="6">
        <f>('2 transformar y limpiar'!E779-$B$8)/$C$8</f>
        <v/>
      </c>
      <c r="F765" s="6">
        <f>('2 transformar y limpiar'!F779-$B$9)/$C$9</f>
        <v/>
      </c>
      <c r="G765">
        <f>'2 transformar y limpiar'!G779</f>
        <v/>
      </c>
      <c r="H765">
        <f>'2 transformar y limpiar'!H779</f>
        <v/>
      </c>
      <c r="I765">
        <f>'2 transformar y limpiar'!I779</f>
        <v/>
      </c>
      <c r="J765">
        <f>'2 transformar y limpiar'!J779</f>
        <v/>
      </c>
      <c r="K765">
        <f>'2 transformar y limpiar'!K779</f>
        <v/>
      </c>
      <c r="L765">
        <f>'2 transformar y limpiar'!L779</f>
        <v/>
      </c>
      <c r="M765">
        <f>'2 transformar y limpiar'!M779</f>
        <v/>
      </c>
      <c r="N765">
        <f>'2 transformar y limpiar'!N779</f>
        <v/>
      </c>
      <c r="O765">
        <f>'2 transformar y limpiar'!O779</f>
        <v/>
      </c>
      <c r="P765">
        <f>'2 transformar y limpiar'!P779</f>
        <v/>
      </c>
      <c r="Q765">
        <f>'2 transformar y limpiar'!Q779</f>
        <v/>
      </c>
      <c r="R765">
        <f>'2 transformar y limpiar'!R779</f>
        <v/>
      </c>
      <c r="S765">
        <f>'2 transformar y limpiar'!S779</f>
        <v/>
      </c>
      <c r="T765">
        <f>'2 transformar y limpiar'!T779</f>
        <v/>
      </c>
      <c r="U765" s="5">
        <f>'2 transformar y limpiar'!U779</f>
        <v/>
      </c>
    </row>
    <row r="766">
      <c r="A766">
        <f>'2 transformar y limpiar'!A780</f>
        <v/>
      </c>
      <c r="B766">
        <f>'2 transformar y limpiar'!B780</f>
        <v/>
      </c>
      <c r="C766" s="6">
        <f>('2 transformar y limpiar'!C780-$B$6)/$C$6</f>
        <v/>
      </c>
      <c r="D766" s="6">
        <f>('2 transformar y limpiar'!D780-$B$7)/$C$7</f>
        <v/>
      </c>
      <c r="E766" s="6">
        <f>('2 transformar y limpiar'!E780-$B$8)/$C$8</f>
        <v/>
      </c>
      <c r="F766" s="6">
        <f>('2 transformar y limpiar'!F780-$B$9)/$C$9</f>
        <v/>
      </c>
      <c r="G766">
        <f>'2 transformar y limpiar'!G780</f>
        <v/>
      </c>
      <c r="H766">
        <f>'2 transformar y limpiar'!H780</f>
        <v/>
      </c>
      <c r="I766">
        <f>'2 transformar y limpiar'!I780</f>
        <v/>
      </c>
      <c r="J766">
        <f>'2 transformar y limpiar'!J780</f>
        <v/>
      </c>
      <c r="K766">
        <f>'2 transformar y limpiar'!K780</f>
        <v/>
      </c>
      <c r="L766">
        <f>'2 transformar y limpiar'!L780</f>
        <v/>
      </c>
      <c r="M766">
        <f>'2 transformar y limpiar'!M780</f>
        <v/>
      </c>
      <c r="N766">
        <f>'2 transformar y limpiar'!N780</f>
        <v/>
      </c>
      <c r="O766">
        <f>'2 transformar y limpiar'!O780</f>
        <v/>
      </c>
      <c r="P766">
        <f>'2 transformar y limpiar'!P780</f>
        <v/>
      </c>
      <c r="Q766">
        <f>'2 transformar y limpiar'!Q780</f>
        <v/>
      </c>
      <c r="R766">
        <f>'2 transformar y limpiar'!R780</f>
        <v/>
      </c>
      <c r="S766">
        <f>'2 transformar y limpiar'!S780</f>
        <v/>
      </c>
      <c r="T766">
        <f>'2 transformar y limpiar'!T780</f>
        <v/>
      </c>
      <c r="U766" s="5">
        <f>'2 transformar y limpiar'!U780</f>
        <v/>
      </c>
    </row>
    <row r="767">
      <c r="A767">
        <f>'2 transformar y limpiar'!A781</f>
        <v/>
      </c>
      <c r="B767">
        <f>'2 transformar y limpiar'!B781</f>
        <v/>
      </c>
      <c r="C767" s="6">
        <f>('2 transformar y limpiar'!C781-$B$6)/$C$6</f>
        <v/>
      </c>
      <c r="D767" s="6">
        <f>('2 transformar y limpiar'!D781-$B$7)/$C$7</f>
        <v/>
      </c>
      <c r="E767" s="6">
        <f>('2 transformar y limpiar'!E781-$B$8)/$C$8</f>
        <v/>
      </c>
      <c r="F767" s="6">
        <f>('2 transformar y limpiar'!F781-$B$9)/$C$9</f>
        <v/>
      </c>
      <c r="G767">
        <f>'2 transformar y limpiar'!G781</f>
        <v/>
      </c>
      <c r="H767">
        <f>'2 transformar y limpiar'!H781</f>
        <v/>
      </c>
      <c r="I767">
        <f>'2 transformar y limpiar'!I781</f>
        <v/>
      </c>
      <c r="J767">
        <f>'2 transformar y limpiar'!J781</f>
        <v/>
      </c>
      <c r="K767">
        <f>'2 transformar y limpiar'!K781</f>
        <v/>
      </c>
      <c r="L767">
        <f>'2 transformar y limpiar'!L781</f>
        <v/>
      </c>
      <c r="M767">
        <f>'2 transformar y limpiar'!M781</f>
        <v/>
      </c>
      <c r="N767">
        <f>'2 transformar y limpiar'!N781</f>
        <v/>
      </c>
      <c r="O767">
        <f>'2 transformar y limpiar'!O781</f>
        <v/>
      </c>
      <c r="P767">
        <f>'2 transformar y limpiar'!P781</f>
        <v/>
      </c>
      <c r="Q767">
        <f>'2 transformar y limpiar'!Q781</f>
        <v/>
      </c>
      <c r="R767">
        <f>'2 transformar y limpiar'!R781</f>
        <v/>
      </c>
      <c r="S767">
        <f>'2 transformar y limpiar'!S781</f>
        <v/>
      </c>
      <c r="T767">
        <f>'2 transformar y limpiar'!T781</f>
        <v/>
      </c>
      <c r="U767" s="5">
        <f>'2 transformar y limpiar'!U781</f>
        <v/>
      </c>
    </row>
    <row r="768">
      <c r="A768">
        <f>'2 transformar y limpiar'!A782</f>
        <v/>
      </c>
      <c r="B768">
        <f>'2 transformar y limpiar'!B782</f>
        <v/>
      </c>
      <c r="C768" s="6">
        <f>('2 transformar y limpiar'!C782-$B$6)/$C$6</f>
        <v/>
      </c>
      <c r="D768" s="6">
        <f>('2 transformar y limpiar'!D782-$B$7)/$C$7</f>
        <v/>
      </c>
      <c r="E768" s="6">
        <f>('2 transformar y limpiar'!E782-$B$8)/$C$8</f>
        <v/>
      </c>
      <c r="F768" s="6">
        <f>('2 transformar y limpiar'!F782-$B$9)/$C$9</f>
        <v/>
      </c>
      <c r="G768">
        <f>'2 transformar y limpiar'!G782</f>
        <v/>
      </c>
      <c r="H768">
        <f>'2 transformar y limpiar'!H782</f>
        <v/>
      </c>
      <c r="I768">
        <f>'2 transformar y limpiar'!I782</f>
        <v/>
      </c>
      <c r="J768">
        <f>'2 transformar y limpiar'!J782</f>
        <v/>
      </c>
      <c r="K768">
        <f>'2 transformar y limpiar'!K782</f>
        <v/>
      </c>
      <c r="L768">
        <f>'2 transformar y limpiar'!L782</f>
        <v/>
      </c>
      <c r="M768">
        <f>'2 transformar y limpiar'!M782</f>
        <v/>
      </c>
      <c r="N768">
        <f>'2 transformar y limpiar'!N782</f>
        <v/>
      </c>
      <c r="O768">
        <f>'2 transformar y limpiar'!O782</f>
        <v/>
      </c>
      <c r="P768">
        <f>'2 transformar y limpiar'!P782</f>
        <v/>
      </c>
      <c r="Q768">
        <f>'2 transformar y limpiar'!Q782</f>
        <v/>
      </c>
      <c r="R768">
        <f>'2 transformar y limpiar'!R782</f>
        <v/>
      </c>
      <c r="S768">
        <f>'2 transformar y limpiar'!S782</f>
        <v/>
      </c>
      <c r="T768">
        <f>'2 transformar y limpiar'!T782</f>
        <v/>
      </c>
      <c r="U768" s="5">
        <f>'2 transformar y limpiar'!U782</f>
        <v/>
      </c>
    </row>
    <row r="769">
      <c r="A769">
        <f>'2 transformar y limpiar'!A783</f>
        <v/>
      </c>
      <c r="B769">
        <f>'2 transformar y limpiar'!B783</f>
        <v/>
      </c>
      <c r="C769" s="6">
        <f>('2 transformar y limpiar'!C783-$B$6)/$C$6</f>
        <v/>
      </c>
      <c r="D769" s="6">
        <f>('2 transformar y limpiar'!D783-$B$7)/$C$7</f>
        <v/>
      </c>
      <c r="E769" s="6">
        <f>('2 transformar y limpiar'!E783-$B$8)/$C$8</f>
        <v/>
      </c>
      <c r="F769" s="6">
        <f>('2 transformar y limpiar'!F783-$B$9)/$C$9</f>
        <v/>
      </c>
      <c r="G769">
        <f>'2 transformar y limpiar'!G783</f>
        <v/>
      </c>
      <c r="H769">
        <f>'2 transformar y limpiar'!H783</f>
        <v/>
      </c>
      <c r="I769">
        <f>'2 transformar y limpiar'!I783</f>
        <v/>
      </c>
      <c r="J769">
        <f>'2 transformar y limpiar'!J783</f>
        <v/>
      </c>
      <c r="K769">
        <f>'2 transformar y limpiar'!K783</f>
        <v/>
      </c>
      <c r="L769">
        <f>'2 transformar y limpiar'!L783</f>
        <v/>
      </c>
      <c r="M769">
        <f>'2 transformar y limpiar'!M783</f>
        <v/>
      </c>
      <c r="N769">
        <f>'2 transformar y limpiar'!N783</f>
        <v/>
      </c>
      <c r="O769">
        <f>'2 transformar y limpiar'!O783</f>
        <v/>
      </c>
      <c r="P769">
        <f>'2 transformar y limpiar'!P783</f>
        <v/>
      </c>
      <c r="Q769">
        <f>'2 transformar y limpiar'!Q783</f>
        <v/>
      </c>
      <c r="R769">
        <f>'2 transformar y limpiar'!R783</f>
        <v/>
      </c>
      <c r="S769">
        <f>'2 transformar y limpiar'!S783</f>
        <v/>
      </c>
      <c r="T769">
        <f>'2 transformar y limpiar'!T783</f>
        <v/>
      </c>
      <c r="U769" s="5">
        <f>'2 transformar y limpiar'!U783</f>
        <v/>
      </c>
    </row>
    <row r="770">
      <c r="A770">
        <f>'2 transformar y limpiar'!A784</f>
        <v/>
      </c>
      <c r="B770">
        <f>'2 transformar y limpiar'!B784</f>
        <v/>
      </c>
      <c r="C770" s="6">
        <f>('2 transformar y limpiar'!C784-$B$6)/$C$6</f>
        <v/>
      </c>
      <c r="D770" s="6">
        <f>('2 transformar y limpiar'!D784-$B$7)/$C$7</f>
        <v/>
      </c>
      <c r="E770" s="6">
        <f>('2 transformar y limpiar'!E784-$B$8)/$C$8</f>
        <v/>
      </c>
      <c r="F770" s="6">
        <f>('2 transformar y limpiar'!F784-$B$9)/$C$9</f>
        <v/>
      </c>
      <c r="G770">
        <f>'2 transformar y limpiar'!G784</f>
        <v/>
      </c>
      <c r="H770">
        <f>'2 transformar y limpiar'!H784</f>
        <v/>
      </c>
      <c r="I770">
        <f>'2 transformar y limpiar'!I784</f>
        <v/>
      </c>
      <c r="J770">
        <f>'2 transformar y limpiar'!J784</f>
        <v/>
      </c>
      <c r="K770">
        <f>'2 transformar y limpiar'!K784</f>
        <v/>
      </c>
      <c r="L770">
        <f>'2 transformar y limpiar'!L784</f>
        <v/>
      </c>
      <c r="M770">
        <f>'2 transformar y limpiar'!M784</f>
        <v/>
      </c>
      <c r="N770">
        <f>'2 transformar y limpiar'!N784</f>
        <v/>
      </c>
      <c r="O770">
        <f>'2 transformar y limpiar'!O784</f>
        <v/>
      </c>
      <c r="P770">
        <f>'2 transformar y limpiar'!P784</f>
        <v/>
      </c>
      <c r="Q770">
        <f>'2 transformar y limpiar'!Q784</f>
        <v/>
      </c>
      <c r="R770">
        <f>'2 transformar y limpiar'!R784</f>
        <v/>
      </c>
      <c r="S770">
        <f>'2 transformar y limpiar'!S784</f>
        <v/>
      </c>
      <c r="T770">
        <f>'2 transformar y limpiar'!T784</f>
        <v/>
      </c>
      <c r="U770" s="5">
        <f>'2 transformar y limpiar'!U784</f>
        <v/>
      </c>
    </row>
    <row r="771">
      <c r="A771">
        <f>'2 transformar y limpiar'!A785</f>
        <v/>
      </c>
      <c r="B771">
        <f>'2 transformar y limpiar'!B785</f>
        <v/>
      </c>
      <c r="C771" s="6">
        <f>('2 transformar y limpiar'!C785-$B$6)/$C$6</f>
        <v/>
      </c>
      <c r="D771" s="6">
        <f>('2 transformar y limpiar'!D785-$B$7)/$C$7</f>
        <v/>
      </c>
      <c r="E771" s="6">
        <f>('2 transformar y limpiar'!E785-$B$8)/$C$8</f>
        <v/>
      </c>
      <c r="F771" s="6">
        <f>('2 transformar y limpiar'!F785-$B$9)/$C$9</f>
        <v/>
      </c>
      <c r="G771">
        <f>'2 transformar y limpiar'!G785</f>
        <v/>
      </c>
      <c r="H771">
        <f>'2 transformar y limpiar'!H785</f>
        <v/>
      </c>
      <c r="I771">
        <f>'2 transformar y limpiar'!I785</f>
        <v/>
      </c>
      <c r="J771">
        <f>'2 transformar y limpiar'!J785</f>
        <v/>
      </c>
      <c r="K771">
        <f>'2 transformar y limpiar'!K785</f>
        <v/>
      </c>
      <c r="L771">
        <f>'2 transformar y limpiar'!L785</f>
        <v/>
      </c>
      <c r="M771">
        <f>'2 transformar y limpiar'!M785</f>
        <v/>
      </c>
      <c r="N771">
        <f>'2 transformar y limpiar'!N785</f>
        <v/>
      </c>
      <c r="O771">
        <f>'2 transformar y limpiar'!O785</f>
        <v/>
      </c>
      <c r="P771">
        <f>'2 transformar y limpiar'!P785</f>
        <v/>
      </c>
      <c r="Q771">
        <f>'2 transformar y limpiar'!Q785</f>
        <v/>
      </c>
      <c r="R771">
        <f>'2 transformar y limpiar'!R785</f>
        <v/>
      </c>
      <c r="S771">
        <f>'2 transformar y limpiar'!S785</f>
        <v/>
      </c>
      <c r="T771">
        <f>'2 transformar y limpiar'!T785</f>
        <v/>
      </c>
      <c r="U771" s="5">
        <f>'2 transformar y limpiar'!U785</f>
        <v/>
      </c>
    </row>
    <row r="772">
      <c r="A772">
        <f>'2 transformar y limpiar'!A786</f>
        <v/>
      </c>
      <c r="B772">
        <f>'2 transformar y limpiar'!B786</f>
        <v/>
      </c>
      <c r="C772" s="6">
        <f>('2 transformar y limpiar'!C786-$B$6)/$C$6</f>
        <v/>
      </c>
      <c r="D772" s="6">
        <f>('2 transformar y limpiar'!D786-$B$7)/$C$7</f>
        <v/>
      </c>
      <c r="E772" s="6">
        <f>('2 transformar y limpiar'!E786-$B$8)/$C$8</f>
        <v/>
      </c>
      <c r="F772" s="6">
        <f>('2 transformar y limpiar'!F786-$B$9)/$C$9</f>
        <v/>
      </c>
      <c r="G772">
        <f>'2 transformar y limpiar'!G786</f>
        <v/>
      </c>
      <c r="H772">
        <f>'2 transformar y limpiar'!H786</f>
        <v/>
      </c>
      <c r="I772">
        <f>'2 transformar y limpiar'!I786</f>
        <v/>
      </c>
      <c r="J772">
        <f>'2 transformar y limpiar'!J786</f>
        <v/>
      </c>
      <c r="K772">
        <f>'2 transformar y limpiar'!K786</f>
        <v/>
      </c>
      <c r="L772">
        <f>'2 transformar y limpiar'!L786</f>
        <v/>
      </c>
      <c r="M772">
        <f>'2 transformar y limpiar'!M786</f>
        <v/>
      </c>
      <c r="N772">
        <f>'2 transformar y limpiar'!N786</f>
        <v/>
      </c>
      <c r="O772">
        <f>'2 transformar y limpiar'!O786</f>
        <v/>
      </c>
      <c r="P772">
        <f>'2 transformar y limpiar'!P786</f>
        <v/>
      </c>
      <c r="Q772">
        <f>'2 transformar y limpiar'!Q786</f>
        <v/>
      </c>
      <c r="R772">
        <f>'2 transformar y limpiar'!R786</f>
        <v/>
      </c>
      <c r="S772">
        <f>'2 transformar y limpiar'!S786</f>
        <v/>
      </c>
      <c r="T772">
        <f>'2 transformar y limpiar'!T786</f>
        <v/>
      </c>
      <c r="U772" s="5">
        <f>'2 transformar y limpiar'!U786</f>
        <v/>
      </c>
    </row>
    <row r="773">
      <c r="A773">
        <f>'2 transformar y limpiar'!A787</f>
        <v/>
      </c>
      <c r="B773">
        <f>'2 transformar y limpiar'!B787</f>
        <v/>
      </c>
      <c r="C773" s="6">
        <f>('2 transformar y limpiar'!C787-$B$6)/$C$6</f>
        <v/>
      </c>
      <c r="D773" s="6">
        <f>('2 transformar y limpiar'!D787-$B$7)/$C$7</f>
        <v/>
      </c>
      <c r="E773" s="6">
        <f>('2 transformar y limpiar'!E787-$B$8)/$C$8</f>
        <v/>
      </c>
      <c r="F773" s="6">
        <f>('2 transformar y limpiar'!F787-$B$9)/$C$9</f>
        <v/>
      </c>
      <c r="G773">
        <f>'2 transformar y limpiar'!G787</f>
        <v/>
      </c>
      <c r="H773">
        <f>'2 transformar y limpiar'!H787</f>
        <v/>
      </c>
      <c r="I773">
        <f>'2 transformar y limpiar'!I787</f>
        <v/>
      </c>
      <c r="J773">
        <f>'2 transformar y limpiar'!J787</f>
        <v/>
      </c>
      <c r="K773">
        <f>'2 transformar y limpiar'!K787</f>
        <v/>
      </c>
      <c r="L773">
        <f>'2 transformar y limpiar'!L787</f>
        <v/>
      </c>
      <c r="M773">
        <f>'2 transformar y limpiar'!M787</f>
        <v/>
      </c>
      <c r="N773">
        <f>'2 transformar y limpiar'!N787</f>
        <v/>
      </c>
      <c r="O773">
        <f>'2 transformar y limpiar'!O787</f>
        <v/>
      </c>
      <c r="P773">
        <f>'2 transformar y limpiar'!P787</f>
        <v/>
      </c>
      <c r="Q773">
        <f>'2 transformar y limpiar'!Q787</f>
        <v/>
      </c>
      <c r="R773">
        <f>'2 transformar y limpiar'!R787</f>
        <v/>
      </c>
      <c r="S773">
        <f>'2 transformar y limpiar'!S787</f>
        <v/>
      </c>
      <c r="T773">
        <f>'2 transformar y limpiar'!T787</f>
        <v/>
      </c>
      <c r="U773" s="5">
        <f>'2 transformar y limpiar'!U787</f>
        <v/>
      </c>
    </row>
    <row r="774">
      <c r="A774">
        <f>'2 transformar y limpiar'!A788</f>
        <v/>
      </c>
      <c r="B774">
        <f>'2 transformar y limpiar'!B788</f>
        <v/>
      </c>
      <c r="C774" s="6">
        <f>('2 transformar y limpiar'!C788-$B$6)/$C$6</f>
        <v/>
      </c>
      <c r="D774" s="6">
        <f>('2 transformar y limpiar'!D788-$B$7)/$C$7</f>
        <v/>
      </c>
      <c r="E774" s="6">
        <f>('2 transformar y limpiar'!E788-$B$8)/$C$8</f>
        <v/>
      </c>
      <c r="F774" s="6">
        <f>('2 transformar y limpiar'!F788-$B$9)/$C$9</f>
        <v/>
      </c>
      <c r="G774">
        <f>'2 transformar y limpiar'!G788</f>
        <v/>
      </c>
      <c r="H774">
        <f>'2 transformar y limpiar'!H788</f>
        <v/>
      </c>
      <c r="I774">
        <f>'2 transformar y limpiar'!I788</f>
        <v/>
      </c>
      <c r="J774">
        <f>'2 transformar y limpiar'!J788</f>
        <v/>
      </c>
      <c r="K774">
        <f>'2 transformar y limpiar'!K788</f>
        <v/>
      </c>
      <c r="L774">
        <f>'2 transformar y limpiar'!L788</f>
        <v/>
      </c>
      <c r="M774">
        <f>'2 transformar y limpiar'!M788</f>
        <v/>
      </c>
      <c r="N774">
        <f>'2 transformar y limpiar'!N788</f>
        <v/>
      </c>
      <c r="O774">
        <f>'2 transformar y limpiar'!O788</f>
        <v/>
      </c>
      <c r="P774">
        <f>'2 transformar y limpiar'!P788</f>
        <v/>
      </c>
      <c r="Q774">
        <f>'2 transformar y limpiar'!Q788</f>
        <v/>
      </c>
      <c r="R774">
        <f>'2 transformar y limpiar'!R788</f>
        <v/>
      </c>
      <c r="S774">
        <f>'2 transformar y limpiar'!S788</f>
        <v/>
      </c>
      <c r="T774">
        <f>'2 transformar y limpiar'!T788</f>
        <v/>
      </c>
      <c r="U774" s="5">
        <f>'2 transformar y limpiar'!U788</f>
        <v/>
      </c>
    </row>
    <row r="775">
      <c r="A775">
        <f>'2 transformar y limpiar'!A789</f>
        <v/>
      </c>
      <c r="B775">
        <f>'2 transformar y limpiar'!B789</f>
        <v/>
      </c>
      <c r="C775" s="6">
        <f>('2 transformar y limpiar'!C789-$B$6)/$C$6</f>
        <v/>
      </c>
      <c r="D775" s="6">
        <f>('2 transformar y limpiar'!D789-$B$7)/$C$7</f>
        <v/>
      </c>
      <c r="E775" s="6">
        <f>('2 transformar y limpiar'!E789-$B$8)/$C$8</f>
        <v/>
      </c>
      <c r="F775" s="6">
        <f>('2 transformar y limpiar'!F789-$B$9)/$C$9</f>
        <v/>
      </c>
      <c r="G775">
        <f>'2 transformar y limpiar'!G789</f>
        <v/>
      </c>
      <c r="H775">
        <f>'2 transformar y limpiar'!H789</f>
        <v/>
      </c>
      <c r="I775">
        <f>'2 transformar y limpiar'!I789</f>
        <v/>
      </c>
      <c r="J775">
        <f>'2 transformar y limpiar'!J789</f>
        <v/>
      </c>
      <c r="K775">
        <f>'2 transformar y limpiar'!K789</f>
        <v/>
      </c>
      <c r="L775">
        <f>'2 transformar y limpiar'!L789</f>
        <v/>
      </c>
      <c r="M775">
        <f>'2 transformar y limpiar'!M789</f>
        <v/>
      </c>
      <c r="N775">
        <f>'2 transformar y limpiar'!N789</f>
        <v/>
      </c>
      <c r="O775">
        <f>'2 transformar y limpiar'!O789</f>
        <v/>
      </c>
      <c r="P775">
        <f>'2 transformar y limpiar'!P789</f>
        <v/>
      </c>
      <c r="Q775">
        <f>'2 transformar y limpiar'!Q789</f>
        <v/>
      </c>
      <c r="R775">
        <f>'2 transformar y limpiar'!R789</f>
        <v/>
      </c>
      <c r="S775">
        <f>'2 transformar y limpiar'!S789</f>
        <v/>
      </c>
      <c r="T775">
        <f>'2 transformar y limpiar'!T789</f>
        <v/>
      </c>
      <c r="U775" s="5">
        <f>'2 transformar y limpiar'!U789</f>
        <v/>
      </c>
    </row>
    <row r="776">
      <c r="A776">
        <f>'2 transformar y limpiar'!A790</f>
        <v/>
      </c>
      <c r="B776">
        <f>'2 transformar y limpiar'!B790</f>
        <v/>
      </c>
      <c r="C776" s="6">
        <f>('2 transformar y limpiar'!C790-$B$6)/$C$6</f>
        <v/>
      </c>
      <c r="D776" s="6">
        <f>('2 transformar y limpiar'!D790-$B$7)/$C$7</f>
        <v/>
      </c>
      <c r="E776" s="6">
        <f>('2 transformar y limpiar'!E790-$B$8)/$C$8</f>
        <v/>
      </c>
      <c r="F776" s="6">
        <f>('2 transformar y limpiar'!F790-$B$9)/$C$9</f>
        <v/>
      </c>
      <c r="G776">
        <f>'2 transformar y limpiar'!G790</f>
        <v/>
      </c>
      <c r="H776">
        <f>'2 transformar y limpiar'!H790</f>
        <v/>
      </c>
      <c r="I776">
        <f>'2 transformar y limpiar'!I790</f>
        <v/>
      </c>
      <c r="J776">
        <f>'2 transformar y limpiar'!J790</f>
        <v/>
      </c>
      <c r="K776">
        <f>'2 transformar y limpiar'!K790</f>
        <v/>
      </c>
      <c r="L776">
        <f>'2 transformar y limpiar'!L790</f>
        <v/>
      </c>
      <c r="M776">
        <f>'2 transformar y limpiar'!M790</f>
        <v/>
      </c>
      <c r="N776">
        <f>'2 transformar y limpiar'!N790</f>
        <v/>
      </c>
      <c r="O776">
        <f>'2 transformar y limpiar'!O790</f>
        <v/>
      </c>
      <c r="P776">
        <f>'2 transformar y limpiar'!P790</f>
        <v/>
      </c>
      <c r="Q776">
        <f>'2 transformar y limpiar'!Q790</f>
        <v/>
      </c>
      <c r="R776">
        <f>'2 transformar y limpiar'!R790</f>
        <v/>
      </c>
      <c r="S776">
        <f>'2 transformar y limpiar'!S790</f>
        <v/>
      </c>
      <c r="T776">
        <f>'2 transformar y limpiar'!T790</f>
        <v/>
      </c>
      <c r="U776" s="5">
        <f>'2 transformar y limpiar'!U790</f>
        <v/>
      </c>
    </row>
    <row r="777">
      <c r="A777">
        <f>'2 transformar y limpiar'!A791</f>
        <v/>
      </c>
      <c r="B777">
        <f>'2 transformar y limpiar'!B791</f>
        <v/>
      </c>
      <c r="C777" s="6">
        <f>('2 transformar y limpiar'!C791-$B$6)/$C$6</f>
        <v/>
      </c>
      <c r="D777" s="6">
        <f>('2 transformar y limpiar'!D791-$B$7)/$C$7</f>
        <v/>
      </c>
      <c r="E777" s="6">
        <f>('2 transformar y limpiar'!E791-$B$8)/$C$8</f>
        <v/>
      </c>
      <c r="F777" s="6">
        <f>('2 transformar y limpiar'!F791-$B$9)/$C$9</f>
        <v/>
      </c>
      <c r="G777">
        <f>'2 transformar y limpiar'!G791</f>
        <v/>
      </c>
      <c r="H777">
        <f>'2 transformar y limpiar'!H791</f>
        <v/>
      </c>
      <c r="I777">
        <f>'2 transformar y limpiar'!I791</f>
        <v/>
      </c>
      <c r="J777">
        <f>'2 transformar y limpiar'!J791</f>
        <v/>
      </c>
      <c r="K777">
        <f>'2 transformar y limpiar'!K791</f>
        <v/>
      </c>
      <c r="L777">
        <f>'2 transformar y limpiar'!L791</f>
        <v/>
      </c>
      <c r="M777">
        <f>'2 transformar y limpiar'!M791</f>
        <v/>
      </c>
      <c r="N777">
        <f>'2 transformar y limpiar'!N791</f>
        <v/>
      </c>
      <c r="O777">
        <f>'2 transformar y limpiar'!O791</f>
        <v/>
      </c>
      <c r="P777">
        <f>'2 transformar y limpiar'!P791</f>
        <v/>
      </c>
      <c r="Q777">
        <f>'2 transformar y limpiar'!Q791</f>
        <v/>
      </c>
      <c r="R777">
        <f>'2 transformar y limpiar'!R791</f>
        <v/>
      </c>
      <c r="S777">
        <f>'2 transformar y limpiar'!S791</f>
        <v/>
      </c>
      <c r="T777">
        <f>'2 transformar y limpiar'!T791</f>
        <v/>
      </c>
      <c r="U777" s="5">
        <f>'2 transformar y limpiar'!U791</f>
        <v/>
      </c>
    </row>
    <row r="778">
      <c r="A778">
        <f>'2 transformar y limpiar'!A792</f>
        <v/>
      </c>
      <c r="B778">
        <f>'2 transformar y limpiar'!B792</f>
        <v/>
      </c>
      <c r="C778" s="6">
        <f>('2 transformar y limpiar'!C792-$B$6)/$C$6</f>
        <v/>
      </c>
      <c r="D778" s="6">
        <f>('2 transformar y limpiar'!D792-$B$7)/$C$7</f>
        <v/>
      </c>
      <c r="E778" s="6">
        <f>('2 transformar y limpiar'!E792-$B$8)/$C$8</f>
        <v/>
      </c>
      <c r="F778" s="6">
        <f>('2 transformar y limpiar'!F792-$B$9)/$C$9</f>
        <v/>
      </c>
      <c r="G778">
        <f>'2 transformar y limpiar'!G792</f>
        <v/>
      </c>
      <c r="H778">
        <f>'2 transformar y limpiar'!H792</f>
        <v/>
      </c>
      <c r="I778">
        <f>'2 transformar y limpiar'!I792</f>
        <v/>
      </c>
      <c r="J778">
        <f>'2 transformar y limpiar'!J792</f>
        <v/>
      </c>
      <c r="K778">
        <f>'2 transformar y limpiar'!K792</f>
        <v/>
      </c>
      <c r="L778">
        <f>'2 transformar y limpiar'!L792</f>
        <v/>
      </c>
      <c r="M778">
        <f>'2 transformar y limpiar'!M792</f>
        <v/>
      </c>
      <c r="N778">
        <f>'2 transformar y limpiar'!N792</f>
        <v/>
      </c>
      <c r="O778">
        <f>'2 transformar y limpiar'!O792</f>
        <v/>
      </c>
      <c r="P778">
        <f>'2 transformar y limpiar'!P792</f>
        <v/>
      </c>
      <c r="Q778">
        <f>'2 transformar y limpiar'!Q792</f>
        <v/>
      </c>
      <c r="R778">
        <f>'2 transformar y limpiar'!R792</f>
        <v/>
      </c>
      <c r="S778">
        <f>'2 transformar y limpiar'!S792</f>
        <v/>
      </c>
      <c r="T778">
        <f>'2 transformar y limpiar'!T792</f>
        <v/>
      </c>
      <c r="U778" s="5">
        <f>'2 transformar y limpiar'!U792</f>
        <v/>
      </c>
    </row>
    <row r="779">
      <c r="A779">
        <f>'2 transformar y limpiar'!A793</f>
        <v/>
      </c>
      <c r="B779">
        <f>'2 transformar y limpiar'!B793</f>
        <v/>
      </c>
      <c r="C779" s="6">
        <f>('2 transformar y limpiar'!C793-$B$6)/$C$6</f>
        <v/>
      </c>
      <c r="D779" s="6">
        <f>('2 transformar y limpiar'!D793-$B$7)/$C$7</f>
        <v/>
      </c>
      <c r="E779" s="6">
        <f>('2 transformar y limpiar'!E793-$B$8)/$C$8</f>
        <v/>
      </c>
      <c r="F779" s="6">
        <f>('2 transformar y limpiar'!F793-$B$9)/$C$9</f>
        <v/>
      </c>
      <c r="G779">
        <f>'2 transformar y limpiar'!G793</f>
        <v/>
      </c>
      <c r="H779">
        <f>'2 transformar y limpiar'!H793</f>
        <v/>
      </c>
      <c r="I779">
        <f>'2 transformar y limpiar'!I793</f>
        <v/>
      </c>
      <c r="J779">
        <f>'2 transformar y limpiar'!J793</f>
        <v/>
      </c>
      <c r="K779">
        <f>'2 transformar y limpiar'!K793</f>
        <v/>
      </c>
      <c r="L779">
        <f>'2 transformar y limpiar'!L793</f>
        <v/>
      </c>
      <c r="M779">
        <f>'2 transformar y limpiar'!M793</f>
        <v/>
      </c>
      <c r="N779">
        <f>'2 transformar y limpiar'!N793</f>
        <v/>
      </c>
      <c r="O779">
        <f>'2 transformar y limpiar'!O793</f>
        <v/>
      </c>
      <c r="P779">
        <f>'2 transformar y limpiar'!P793</f>
        <v/>
      </c>
      <c r="Q779">
        <f>'2 transformar y limpiar'!Q793</f>
        <v/>
      </c>
      <c r="R779">
        <f>'2 transformar y limpiar'!R793</f>
        <v/>
      </c>
      <c r="S779">
        <f>'2 transformar y limpiar'!S793</f>
        <v/>
      </c>
      <c r="T779">
        <f>'2 transformar y limpiar'!T793</f>
        <v/>
      </c>
      <c r="U779" s="5">
        <f>'2 transformar y limpiar'!U793</f>
        <v/>
      </c>
    </row>
    <row r="780">
      <c r="A780">
        <f>'2 transformar y limpiar'!A794</f>
        <v/>
      </c>
      <c r="B780">
        <f>'2 transformar y limpiar'!B794</f>
        <v/>
      </c>
      <c r="C780" s="6">
        <f>('2 transformar y limpiar'!C794-$B$6)/$C$6</f>
        <v/>
      </c>
      <c r="D780" s="6">
        <f>('2 transformar y limpiar'!D794-$B$7)/$C$7</f>
        <v/>
      </c>
      <c r="E780" s="6">
        <f>('2 transformar y limpiar'!E794-$B$8)/$C$8</f>
        <v/>
      </c>
      <c r="F780" s="6">
        <f>('2 transformar y limpiar'!F794-$B$9)/$C$9</f>
        <v/>
      </c>
      <c r="G780">
        <f>'2 transformar y limpiar'!G794</f>
        <v/>
      </c>
      <c r="H780">
        <f>'2 transformar y limpiar'!H794</f>
        <v/>
      </c>
      <c r="I780">
        <f>'2 transformar y limpiar'!I794</f>
        <v/>
      </c>
      <c r="J780">
        <f>'2 transformar y limpiar'!J794</f>
        <v/>
      </c>
      <c r="K780">
        <f>'2 transformar y limpiar'!K794</f>
        <v/>
      </c>
      <c r="L780">
        <f>'2 transformar y limpiar'!L794</f>
        <v/>
      </c>
      <c r="M780">
        <f>'2 transformar y limpiar'!M794</f>
        <v/>
      </c>
      <c r="N780">
        <f>'2 transformar y limpiar'!N794</f>
        <v/>
      </c>
      <c r="O780">
        <f>'2 transformar y limpiar'!O794</f>
        <v/>
      </c>
      <c r="P780">
        <f>'2 transformar y limpiar'!P794</f>
        <v/>
      </c>
      <c r="Q780">
        <f>'2 transformar y limpiar'!Q794</f>
        <v/>
      </c>
      <c r="R780">
        <f>'2 transformar y limpiar'!R794</f>
        <v/>
      </c>
      <c r="S780">
        <f>'2 transformar y limpiar'!S794</f>
        <v/>
      </c>
      <c r="T780">
        <f>'2 transformar y limpiar'!T794</f>
        <v/>
      </c>
      <c r="U780" s="5">
        <f>'2 transformar y limpiar'!U794</f>
        <v/>
      </c>
    </row>
    <row r="781">
      <c r="A781">
        <f>'2 transformar y limpiar'!A795</f>
        <v/>
      </c>
      <c r="B781">
        <f>'2 transformar y limpiar'!B795</f>
        <v/>
      </c>
      <c r="C781" s="6">
        <f>('2 transformar y limpiar'!C795-$B$6)/$C$6</f>
        <v/>
      </c>
      <c r="D781" s="6">
        <f>('2 transformar y limpiar'!D795-$B$7)/$C$7</f>
        <v/>
      </c>
      <c r="E781" s="6">
        <f>('2 transformar y limpiar'!E795-$B$8)/$C$8</f>
        <v/>
      </c>
      <c r="F781" s="6">
        <f>('2 transformar y limpiar'!F795-$B$9)/$C$9</f>
        <v/>
      </c>
      <c r="G781">
        <f>'2 transformar y limpiar'!G795</f>
        <v/>
      </c>
      <c r="H781">
        <f>'2 transformar y limpiar'!H795</f>
        <v/>
      </c>
      <c r="I781">
        <f>'2 transformar y limpiar'!I795</f>
        <v/>
      </c>
      <c r="J781">
        <f>'2 transformar y limpiar'!J795</f>
        <v/>
      </c>
      <c r="K781">
        <f>'2 transformar y limpiar'!K795</f>
        <v/>
      </c>
      <c r="L781">
        <f>'2 transformar y limpiar'!L795</f>
        <v/>
      </c>
      <c r="M781">
        <f>'2 transformar y limpiar'!M795</f>
        <v/>
      </c>
      <c r="N781">
        <f>'2 transformar y limpiar'!N795</f>
        <v/>
      </c>
      <c r="O781">
        <f>'2 transformar y limpiar'!O795</f>
        <v/>
      </c>
      <c r="P781">
        <f>'2 transformar y limpiar'!P795</f>
        <v/>
      </c>
      <c r="Q781">
        <f>'2 transformar y limpiar'!Q795</f>
        <v/>
      </c>
      <c r="R781">
        <f>'2 transformar y limpiar'!R795</f>
        <v/>
      </c>
      <c r="S781">
        <f>'2 transformar y limpiar'!S795</f>
        <v/>
      </c>
      <c r="T781">
        <f>'2 transformar y limpiar'!T795</f>
        <v/>
      </c>
      <c r="U781" s="5">
        <f>'2 transformar y limpiar'!U795</f>
        <v/>
      </c>
    </row>
    <row r="782">
      <c r="A782">
        <f>'2 transformar y limpiar'!A796</f>
        <v/>
      </c>
      <c r="B782">
        <f>'2 transformar y limpiar'!B796</f>
        <v/>
      </c>
      <c r="C782" s="6">
        <f>('2 transformar y limpiar'!C796-$B$6)/$C$6</f>
        <v/>
      </c>
      <c r="D782" s="6">
        <f>('2 transformar y limpiar'!D796-$B$7)/$C$7</f>
        <v/>
      </c>
      <c r="E782" s="6">
        <f>('2 transformar y limpiar'!E796-$B$8)/$C$8</f>
        <v/>
      </c>
      <c r="F782" s="6">
        <f>('2 transformar y limpiar'!F796-$B$9)/$C$9</f>
        <v/>
      </c>
      <c r="G782">
        <f>'2 transformar y limpiar'!G796</f>
        <v/>
      </c>
      <c r="H782">
        <f>'2 transformar y limpiar'!H796</f>
        <v/>
      </c>
      <c r="I782">
        <f>'2 transformar y limpiar'!I796</f>
        <v/>
      </c>
      <c r="J782">
        <f>'2 transformar y limpiar'!J796</f>
        <v/>
      </c>
      <c r="K782">
        <f>'2 transformar y limpiar'!K796</f>
        <v/>
      </c>
      <c r="L782">
        <f>'2 transformar y limpiar'!L796</f>
        <v/>
      </c>
      <c r="M782">
        <f>'2 transformar y limpiar'!M796</f>
        <v/>
      </c>
      <c r="N782">
        <f>'2 transformar y limpiar'!N796</f>
        <v/>
      </c>
      <c r="O782">
        <f>'2 transformar y limpiar'!O796</f>
        <v/>
      </c>
      <c r="P782">
        <f>'2 transformar y limpiar'!P796</f>
        <v/>
      </c>
      <c r="Q782">
        <f>'2 transformar y limpiar'!Q796</f>
        <v/>
      </c>
      <c r="R782">
        <f>'2 transformar y limpiar'!R796</f>
        <v/>
      </c>
      <c r="S782">
        <f>'2 transformar y limpiar'!S796</f>
        <v/>
      </c>
      <c r="T782">
        <f>'2 transformar y limpiar'!T796</f>
        <v/>
      </c>
      <c r="U782" s="5">
        <f>'2 transformar y limpiar'!U796</f>
        <v/>
      </c>
    </row>
    <row r="783">
      <c r="A783">
        <f>'2 transformar y limpiar'!A797</f>
        <v/>
      </c>
      <c r="B783">
        <f>'2 transformar y limpiar'!B797</f>
        <v/>
      </c>
      <c r="C783" s="6">
        <f>('2 transformar y limpiar'!C797-$B$6)/$C$6</f>
        <v/>
      </c>
      <c r="D783" s="6">
        <f>('2 transformar y limpiar'!D797-$B$7)/$C$7</f>
        <v/>
      </c>
      <c r="E783" s="6">
        <f>('2 transformar y limpiar'!E797-$B$8)/$C$8</f>
        <v/>
      </c>
      <c r="F783" s="6">
        <f>('2 transformar y limpiar'!F797-$B$9)/$C$9</f>
        <v/>
      </c>
      <c r="G783">
        <f>'2 transformar y limpiar'!G797</f>
        <v/>
      </c>
      <c r="H783">
        <f>'2 transformar y limpiar'!H797</f>
        <v/>
      </c>
      <c r="I783">
        <f>'2 transformar y limpiar'!I797</f>
        <v/>
      </c>
      <c r="J783">
        <f>'2 transformar y limpiar'!J797</f>
        <v/>
      </c>
      <c r="K783">
        <f>'2 transformar y limpiar'!K797</f>
        <v/>
      </c>
      <c r="L783">
        <f>'2 transformar y limpiar'!L797</f>
        <v/>
      </c>
      <c r="M783">
        <f>'2 transformar y limpiar'!M797</f>
        <v/>
      </c>
      <c r="N783">
        <f>'2 transformar y limpiar'!N797</f>
        <v/>
      </c>
      <c r="O783">
        <f>'2 transformar y limpiar'!O797</f>
        <v/>
      </c>
      <c r="P783">
        <f>'2 transformar y limpiar'!P797</f>
        <v/>
      </c>
      <c r="Q783">
        <f>'2 transformar y limpiar'!Q797</f>
        <v/>
      </c>
      <c r="R783">
        <f>'2 transformar y limpiar'!R797</f>
        <v/>
      </c>
      <c r="S783">
        <f>'2 transformar y limpiar'!S797</f>
        <v/>
      </c>
      <c r="T783">
        <f>'2 transformar y limpiar'!T797</f>
        <v/>
      </c>
      <c r="U783" s="5">
        <f>'2 transformar y limpiar'!U797</f>
        <v/>
      </c>
    </row>
    <row r="784">
      <c r="A784">
        <f>'2 transformar y limpiar'!A798</f>
        <v/>
      </c>
      <c r="B784">
        <f>'2 transformar y limpiar'!B798</f>
        <v/>
      </c>
      <c r="C784" s="6">
        <f>('2 transformar y limpiar'!C798-$B$6)/$C$6</f>
        <v/>
      </c>
      <c r="D784" s="6">
        <f>('2 transformar y limpiar'!D798-$B$7)/$C$7</f>
        <v/>
      </c>
      <c r="E784" s="6">
        <f>('2 transformar y limpiar'!E798-$B$8)/$C$8</f>
        <v/>
      </c>
      <c r="F784" s="6">
        <f>('2 transformar y limpiar'!F798-$B$9)/$C$9</f>
        <v/>
      </c>
      <c r="G784">
        <f>'2 transformar y limpiar'!G798</f>
        <v/>
      </c>
      <c r="H784">
        <f>'2 transformar y limpiar'!H798</f>
        <v/>
      </c>
      <c r="I784">
        <f>'2 transformar y limpiar'!I798</f>
        <v/>
      </c>
      <c r="J784">
        <f>'2 transformar y limpiar'!J798</f>
        <v/>
      </c>
      <c r="K784">
        <f>'2 transformar y limpiar'!K798</f>
        <v/>
      </c>
      <c r="L784">
        <f>'2 transformar y limpiar'!L798</f>
        <v/>
      </c>
      <c r="M784">
        <f>'2 transformar y limpiar'!M798</f>
        <v/>
      </c>
      <c r="N784">
        <f>'2 transformar y limpiar'!N798</f>
        <v/>
      </c>
      <c r="O784">
        <f>'2 transformar y limpiar'!O798</f>
        <v/>
      </c>
      <c r="P784">
        <f>'2 transformar y limpiar'!P798</f>
        <v/>
      </c>
      <c r="Q784">
        <f>'2 transformar y limpiar'!Q798</f>
        <v/>
      </c>
      <c r="R784">
        <f>'2 transformar y limpiar'!R798</f>
        <v/>
      </c>
      <c r="S784">
        <f>'2 transformar y limpiar'!S798</f>
        <v/>
      </c>
      <c r="T784">
        <f>'2 transformar y limpiar'!T798</f>
        <v/>
      </c>
      <c r="U784" s="5">
        <f>'2 transformar y limpiar'!U798</f>
        <v/>
      </c>
    </row>
    <row r="785">
      <c r="A785">
        <f>'2 transformar y limpiar'!A799</f>
        <v/>
      </c>
      <c r="B785">
        <f>'2 transformar y limpiar'!B799</f>
        <v/>
      </c>
      <c r="C785" s="6">
        <f>('2 transformar y limpiar'!C799-$B$6)/$C$6</f>
        <v/>
      </c>
      <c r="D785" s="6">
        <f>('2 transformar y limpiar'!D799-$B$7)/$C$7</f>
        <v/>
      </c>
      <c r="E785" s="6">
        <f>('2 transformar y limpiar'!E799-$B$8)/$C$8</f>
        <v/>
      </c>
      <c r="F785" s="6">
        <f>('2 transformar y limpiar'!F799-$B$9)/$C$9</f>
        <v/>
      </c>
      <c r="G785">
        <f>'2 transformar y limpiar'!G799</f>
        <v/>
      </c>
      <c r="H785">
        <f>'2 transformar y limpiar'!H799</f>
        <v/>
      </c>
      <c r="I785">
        <f>'2 transformar y limpiar'!I799</f>
        <v/>
      </c>
      <c r="J785">
        <f>'2 transformar y limpiar'!J799</f>
        <v/>
      </c>
      <c r="K785">
        <f>'2 transformar y limpiar'!K799</f>
        <v/>
      </c>
      <c r="L785">
        <f>'2 transformar y limpiar'!L799</f>
        <v/>
      </c>
      <c r="M785">
        <f>'2 transformar y limpiar'!M799</f>
        <v/>
      </c>
      <c r="N785">
        <f>'2 transformar y limpiar'!N799</f>
        <v/>
      </c>
      <c r="O785">
        <f>'2 transformar y limpiar'!O799</f>
        <v/>
      </c>
      <c r="P785">
        <f>'2 transformar y limpiar'!P799</f>
        <v/>
      </c>
      <c r="Q785">
        <f>'2 transformar y limpiar'!Q799</f>
        <v/>
      </c>
      <c r="R785">
        <f>'2 transformar y limpiar'!R799</f>
        <v/>
      </c>
      <c r="S785">
        <f>'2 transformar y limpiar'!S799</f>
        <v/>
      </c>
      <c r="T785">
        <f>'2 transformar y limpiar'!T799</f>
        <v/>
      </c>
      <c r="U785" s="5">
        <f>'2 transformar y limpiar'!U799</f>
        <v/>
      </c>
    </row>
    <row r="786">
      <c r="A786">
        <f>'2 transformar y limpiar'!A800</f>
        <v/>
      </c>
      <c r="B786">
        <f>'2 transformar y limpiar'!B800</f>
        <v/>
      </c>
      <c r="C786" s="6">
        <f>('2 transformar y limpiar'!C800-$B$6)/$C$6</f>
        <v/>
      </c>
      <c r="D786" s="6">
        <f>('2 transformar y limpiar'!D800-$B$7)/$C$7</f>
        <v/>
      </c>
      <c r="E786" s="6">
        <f>('2 transformar y limpiar'!E800-$B$8)/$C$8</f>
        <v/>
      </c>
      <c r="F786" s="6">
        <f>('2 transformar y limpiar'!F800-$B$9)/$C$9</f>
        <v/>
      </c>
      <c r="G786">
        <f>'2 transformar y limpiar'!G800</f>
        <v/>
      </c>
      <c r="H786">
        <f>'2 transformar y limpiar'!H800</f>
        <v/>
      </c>
      <c r="I786">
        <f>'2 transformar y limpiar'!I800</f>
        <v/>
      </c>
      <c r="J786">
        <f>'2 transformar y limpiar'!J800</f>
        <v/>
      </c>
      <c r="K786">
        <f>'2 transformar y limpiar'!K800</f>
        <v/>
      </c>
      <c r="L786">
        <f>'2 transformar y limpiar'!L800</f>
        <v/>
      </c>
      <c r="M786">
        <f>'2 transformar y limpiar'!M800</f>
        <v/>
      </c>
      <c r="N786">
        <f>'2 transformar y limpiar'!N800</f>
        <v/>
      </c>
      <c r="O786">
        <f>'2 transformar y limpiar'!O800</f>
        <v/>
      </c>
      <c r="P786">
        <f>'2 transformar y limpiar'!P800</f>
        <v/>
      </c>
      <c r="Q786">
        <f>'2 transformar y limpiar'!Q800</f>
        <v/>
      </c>
      <c r="R786">
        <f>'2 transformar y limpiar'!R800</f>
        <v/>
      </c>
      <c r="S786">
        <f>'2 transformar y limpiar'!S800</f>
        <v/>
      </c>
      <c r="T786">
        <f>'2 transformar y limpiar'!T800</f>
        <v/>
      </c>
      <c r="U786" s="5">
        <f>'2 transformar y limpiar'!U800</f>
        <v/>
      </c>
    </row>
    <row r="787">
      <c r="A787">
        <f>'2 transformar y limpiar'!A801</f>
        <v/>
      </c>
      <c r="B787">
        <f>'2 transformar y limpiar'!B801</f>
        <v/>
      </c>
      <c r="C787" s="6">
        <f>('2 transformar y limpiar'!C801-$B$6)/$C$6</f>
        <v/>
      </c>
      <c r="D787" s="6">
        <f>('2 transformar y limpiar'!D801-$B$7)/$C$7</f>
        <v/>
      </c>
      <c r="E787" s="6">
        <f>('2 transformar y limpiar'!E801-$B$8)/$C$8</f>
        <v/>
      </c>
      <c r="F787" s="6">
        <f>('2 transformar y limpiar'!F801-$B$9)/$C$9</f>
        <v/>
      </c>
      <c r="G787">
        <f>'2 transformar y limpiar'!G801</f>
        <v/>
      </c>
      <c r="H787">
        <f>'2 transformar y limpiar'!H801</f>
        <v/>
      </c>
      <c r="I787">
        <f>'2 transformar y limpiar'!I801</f>
        <v/>
      </c>
      <c r="J787">
        <f>'2 transformar y limpiar'!J801</f>
        <v/>
      </c>
      <c r="K787">
        <f>'2 transformar y limpiar'!K801</f>
        <v/>
      </c>
      <c r="L787">
        <f>'2 transformar y limpiar'!L801</f>
        <v/>
      </c>
      <c r="M787">
        <f>'2 transformar y limpiar'!M801</f>
        <v/>
      </c>
      <c r="N787">
        <f>'2 transformar y limpiar'!N801</f>
        <v/>
      </c>
      <c r="O787">
        <f>'2 transformar y limpiar'!O801</f>
        <v/>
      </c>
      <c r="P787">
        <f>'2 transformar y limpiar'!P801</f>
        <v/>
      </c>
      <c r="Q787">
        <f>'2 transformar y limpiar'!Q801</f>
        <v/>
      </c>
      <c r="R787">
        <f>'2 transformar y limpiar'!R801</f>
        <v/>
      </c>
      <c r="S787">
        <f>'2 transformar y limpiar'!S801</f>
        <v/>
      </c>
      <c r="T787">
        <f>'2 transformar y limpiar'!T801</f>
        <v/>
      </c>
      <c r="U787" s="5">
        <f>'2 transformar y limpiar'!U801</f>
        <v/>
      </c>
    </row>
    <row r="788">
      <c r="A788">
        <f>'2 transformar y limpiar'!A802</f>
        <v/>
      </c>
      <c r="B788">
        <f>'2 transformar y limpiar'!B802</f>
        <v/>
      </c>
      <c r="C788" s="6">
        <f>('2 transformar y limpiar'!C802-$B$6)/$C$6</f>
        <v/>
      </c>
      <c r="D788" s="6">
        <f>('2 transformar y limpiar'!D802-$B$7)/$C$7</f>
        <v/>
      </c>
      <c r="E788" s="6">
        <f>('2 transformar y limpiar'!E802-$B$8)/$C$8</f>
        <v/>
      </c>
      <c r="F788" s="6">
        <f>('2 transformar y limpiar'!F802-$B$9)/$C$9</f>
        <v/>
      </c>
      <c r="G788">
        <f>'2 transformar y limpiar'!G802</f>
        <v/>
      </c>
      <c r="H788">
        <f>'2 transformar y limpiar'!H802</f>
        <v/>
      </c>
      <c r="I788">
        <f>'2 transformar y limpiar'!I802</f>
        <v/>
      </c>
      <c r="J788">
        <f>'2 transformar y limpiar'!J802</f>
        <v/>
      </c>
      <c r="K788">
        <f>'2 transformar y limpiar'!K802</f>
        <v/>
      </c>
      <c r="L788">
        <f>'2 transformar y limpiar'!L802</f>
        <v/>
      </c>
      <c r="M788">
        <f>'2 transformar y limpiar'!M802</f>
        <v/>
      </c>
      <c r="N788">
        <f>'2 transformar y limpiar'!N802</f>
        <v/>
      </c>
      <c r="O788">
        <f>'2 transformar y limpiar'!O802</f>
        <v/>
      </c>
      <c r="P788">
        <f>'2 transformar y limpiar'!P802</f>
        <v/>
      </c>
      <c r="Q788">
        <f>'2 transformar y limpiar'!Q802</f>
        <v/>
      </c>
      <c r="R788">
        <f>'2 transformar y limpiar'!R802</f>
        <v/>
      </c>
      <c r="S788">
        <f>'2 transformar y limpiar'!S802</f>
        <v/>
      </c>
      <c r="T788">
        <f>'2 transformar y limpiar'!T802</f>
        <v/>
      </c>
      <c r="U788" s="5">
        <f>'2 transformar y limpiar'!U802</f>
        <v/>
      </c>
    </row>
    <row r="789">
      <c r="A789">
        <f>'2 transformar y limpiar'!A803</f>
        <v/>
      </c>
      <c r="B789">
        <f>'2 transformar y limpiar'!B803</f>
        <v/>
      </c>
      <c r="C789" s="6">
        <f>('2 transformar y limpiar'!C803-$B$6)/$C$6</f>
        <v/>
      </c>
      <c r="D789" s="6">
        <f>('2 transformar y limpiar'!D803-$B$7)/$C$7</f>
        <v/>
      </c>
      <c r="E789" s="6">
        <f>('2 transformar y limpiar'!E803-$B$8)/$C$8</f>
        <v/>
      </c>
      <c r="F789" s="6">
        <f>('2 transformar y limpiar'!F803-$B$9)/$C$9</f>
        <v/>
      </c>
      <c r="G789">
        <f>'2 transformar y limpiar'!G803</f>
        <v/>
      </c>
      <c r="H789">
        <f>'2 transformar y limpiar'!H803</f>
        <v/>
      </c>
      <c r="I789">
        <f>'2 transformar y limpiar'!I803</f>
        <v/>
      </c>
      <c r="J789">
        <f>'2 transformar y limpiar'!J803</f>
        <v/>
      </c>
      <c r="K789">
        <f>'2 transformar y limpiar'!K803</f>
        <v/>
      </c>
      <c r="L789">
        <f>'2 transformar y limpiar'!L803</f>
        <v/>
      </c>
      <c r="M789">
        <f>'2 transformar y limpiar'!M803</f>
        <v/>
      </c>
      <c r="N789">
        <f>'2 transformar y limpiar'!N803</f>
        <v/>
      </c>
      <c r="O789">
        <f>'2 transformar y limpiar'!O803</f>
        <v/>
      </c>
      <c r="P789">
        <f>'2 transformar y limpiar'!P803</f>
        <v/>
      </c>
      <c r="Q789">
        <f>'2 transformar y limpiar'!Q803</f>
        <v/>
      </c>
      <c r="R789">
        <f>'2 transformar y limpiar'!R803</f>
        <v/>
      </c>
      <c r="S789">
        <f>'2 transformar y limpiar'!S803</f>
        <v/>
      </c>
      <c r="T789">
        <f>'2 transformar y limpiar'!T803</f>
        <v/>
      </c>
      <c r="U789" s="5">
        <f>'2 transformar y limpiar'!U803</f>
        <v/>
      </c>
    </row>
    <row r="790">
      <c r="A790">
        <f>'2 transformar y limpiar'!A804</f>
        <v/>
      </c>
      <c r="B790">
        <f>'2 transformar y limpiar'!B804</f>
        <v/>
      </c>
      <c r="C790" s="6">
        <f>('2 transformar y limpiar'!C804-$B$6)/$C$6</f>
        <v/>
      </c>
      <c r="D790" s="6">
        <f>('2 transformar y limpiar'!D804-$B$7)/$C$7</f>
        <v/>
      </c>
      <c r="E790" s="6">
        <f>('2 transformar y limpiar'!E804-$B$8)/$C$8</f>
        <v/>
      </c>
      <c r="F790" s="6">
        <f>('2 transformar y limpiar'!F804-$B$9)/$C$9</f>
        <v/>
      </c>
      <c r="G790">
        <f>'2 transformar y limpiar'!G804</f>
        <v/>
      </c>
      <c r="H790">
        <f>'2 transformar y limpiar'!H804</f>
        <v/>
      </c>
      <c r="I790">
        <f>'2 transformar y limpiar'!I804</f>
        <v/>
      </c>
      <c r="J790">
        <f>'2 transformar y limpiar'!J804</f>
        <v/>
      </c>
      <c r="K790">
        <f>'2 transformar y limpiar'!K804</f>
        <v/>
      </c>
      <c r="L790">
        <f>'2 transformar y limpiar'!L804</f>
        <v/>
      </c>
      <c r="M790">
        <f>'2 transformar y limpiar'!M804</f>
        <v/>
      </c>
      <c r="N790">
        <f>'2 transformar y limpiar'!N804</f>
        <v/>
      </c>
      <c r="O790">
        <f>'2 transformar y limpiar'!O804</f>
        <v/>
      </c>
      <c r="P790">
        <f>'2 transformar y limpiar'!P804</f>
        <v/>
      </c>
      <c r="Q790">
        <f>'2 transformar y limpiar'!Q804</f>
        <v/>
      </c>
      <c r="R790">
        <f>'2 transformar y limpiar'!R804</f>
        <v/>
      </c>
      <c r="S790">
        <f>'2 transformar y limpiar'!S804</f>
        <v/>
      </c>
      <c r="T790">
        <f>'2 transformar y limpiar'!T804</f>
        <v/>
      </c>
      <c r="U790" s="5">
        <f>'2 transformar y limpiar'!U804</f>
        <v/>
      </c>
    </row>
    <row r="791">
      <c r="A791">
        <f>'2 transformar y limpiar'!A805</f>
        <v/>
      </c>
      <c r="B791">
        <f>'2 transformar y limpiar'!B805</f>
        <v/>
      </c>
      <c r="C791" s="6">
        <f>('2 transformar y limpiar'!C805-$B$6)/$C$6</f>
        <v/>
      </c>
      <c r="D791" s="6">
        <f>('2 transformar y limpiar'!D805-$B$7)/$C$7</f>
        <v/>
      </c>
      <c r="E791" s="6">
        <f>('2 transformar y limpiar'!E805-$B$8)/$C$8</f>
        <v/>
      </c>
      <c r="F791" s="6">
        <f>('2 transformar y limpiar'!F805-$B$9)/$C$9</f>
        <v/>
      </c>
      <c r="G791">
        <f>'2 transformar y limpiar'!G805</f>
        <v/>
      </c>
      <c r="H791">
        <f>'2 transformar y limpiar'!H805</f>
        <v/>
      </c>
      <c r="I791">
        <f>'2 transformar y limpiar'!I805</f>
        <v/>
      </c>
      <c r="J791">
        <f>'2 transformar y limpiar'!J805</f>
        <v/>
      </c>
      <c r="K791">
        <f>'2 transformar y limpiar'!K805</f>
        <v/>
      </c>
      <c r="L791">
        <f>'2 transformar y limpiar'!L805</f>
        <v/>
      </c>
      <c r="M791">
        <f>'2 transformar y limpiar'!M805</f>
        <v/>
      </c>
      <c r="N791">
        <f>'2 transformar y limpiar'!N805</f>
        <v/>
      </c>
      <c r="O791">
        <f>'2 transformar y limpiar'!O805</f>
        <v/>
      </c>
      <c r="P791">
        <f>'2 transformar y limpiar'!P805</f>
        <v/>
      </c>
      <c r="Q791">
        <f>'2 transformar y limpiar'!Q805</f>
        <v/>
      </c>
      <c r="R791">
        <f>'2 transformar y limpiar'!R805</f>
        <v/>
      </c>
      <c r="S791">
        <f>'2 transformar y limpiar'!S805</f>
        <v/>
      </c>
      <c r="T791">
        <f>'2 transformar y limpiar'!T805</f>
        <v/>
      </c>
      <c r="U791" s="5">
        <f>'2 transformar y limpiar'!U805</f>
        <v/>
      </c>
    </row>
    <row r="792">
      <c r="A792">
        <f>'2 transformar y limpiar'!A806</f>
        <v/>
      </c>
      <c r="B792">
        <f>'2 transformar y limpiar'!B806</f>
        <v/>
      </c>
      <c r="C792" s="6">
        <f>('2 transformar y limpiar'!C806-$B$6)/$C$6</f>
        <v/>
      </c>
      <c r="D792" s="6">
        <f>('2 transformar y limpiar'!D806-$B$7)/$C$7</f>
        <v/>
      </c>
      <c r="E792" s="6">
        <f>('2 transformar y limpiar'!E806-$B$8)/$C$8</f>
        <v/>
      </c>
      <c r="F792" s="6">
        <f>('2 transformar y limpiar'!F806-$B$9)/$C$9</f>
        <v/>
      </c>
      <c r="G792">
        <f>'2 transformar y limpiar'!G806</f>
        <v/>
      </c>
      <c r="H792">
        <f>'2 transformar y limpiar'!H806</f>
        <v/>
      </c>
      <c r="I792">
        <f>'2 transformar y limpiar'!I806</f>
        <v/>
      </c>
      <c r="J792">
        <f>'2 transformar y limpiar'!J806</f>
        <v/>
      </c>
      <c r="K792">
        <f>'2 transformar y limpiar'!K806</f>
        <v/>
      </c>
      <c r="L792">
        <f>'2 transformar y limpiar'!L806</f>
        <v/>
      </c>
      <c r="M792">
        <f>'2 transformar y limpiar'!M806</f>
        <v/>
      </c>
      <c r="N792">
        <f>'2 transformar y limpiar'!N806</f>
        <v/>
      </c>
      <c r="O792">
        <f>'2 transformar y limpiar'!O806</f>
        <v/>
      </c>
      <c r="P792">
        <f>'2 transformar y limpiar'!P806</f>
        <v/>
      </c>
      <c r="Q792">
        <f>'2 transformar y limpiar'!Q806</f>
        <v/>
      </c>
      <c r="R792">
        <f>'2 transformar y limpiar'!R806</f>
        <v/>
      </c>
      <c r="S792">
        <f>'2 transformar y limpiar'!S806</f>
        <v/>
      </c>
      <c r="T792">
        <f>'2 transformar y limpiar'!T806</f>
        <v/>
      </c>
      <c r="U792" s="5">
        <f>'2 transformar y limpiar'!U806</f>
        <v/>
      </c>
    </row>
    <row r="793">
      <c r="A793">
        <f>'2 transformar y limpiar'!A807</f>
        <v/>
      </c>
      <c r="B793">
        <f>'2 transformar y limpiar'!B807</f>
        <v/>
      </c>
      <c r="C793" s="6">
        <f>('2 transformar y limpiar'!C807-$B$6)/$C$6</f>
        <v/>
      </c>
      <c r="D793" s="6">
        <f>('2 transformar y limpiar'!D807-$B$7)/$C$7</f>
        <v/>
      </c>
      <c r="E793" s="6">
        <f>('2 transformar y limpiar'!E807-$B$8)/$C$8</f>
        <v/>
      </c>
      <c r="F793" s="6">
        <f>('2 transformar y limpiar'!F807-$B$9)/$C$9</f>
        <v/>
      </c>
      <c r="G793">
        <f>'2 transformar y limpiar'!G807</f>
        <v/>
      </c>
      <c r="H793">
        <f>'2 transformar y limpiar'!H807</f>
        <v/>
      </c>
      <c r="I793">
        <f>'2 transformar y limpiar'!I807</f>
        <v/>
      </c>
      <c r="J793">
        <f>'2 transformar y limpiar'!J807</f>
        <v/>
      </c>
      <c r="K793">
        <f>'2 transformar y limpiar'!K807</f>
        <v/>
      </c>
      <c r="L793">
        <f>'2 transformar y limpiar'!L807</f>
        <v/>
      </c>
      <c r="M793">
        <f>'2 transformar y limpiar'!M807</f>
        <v/>
      </c>
      <c r="N793">
        <f>'2 transformar y limpiar'!N807</f>
        <v/>
      </c>
      <c r="O793">
        <f>'2 transformar y limpiar'!O807</f>
        <v/>
      </c>
      <c r="P793">
        <f>'2 transformar y limpiar'!P807</f>
        <v/>
      </c>
      <c r="Q793">
        <f>'2 transformar y limpiar'!Q807</f>
        <v/>
      </c>
      <c r="R793">
        <f>'2 transformar y limpiar'!R807</f>
        <v/>
      </c>
      <c r="S793">
        <f>'2 transformar y limpiar'!S807</f>
        <v/>
      </c>
      <c r="T793">
        <f>'2 transformar y limpiar'!T807</f>
        <v/>
      </c>
      <c r="U793" s="5">
        <f>'2 transformar y limpiar'!U807</f>
        <v/>
      </c>
    </row>
    <row r="794">
      <c r="A794">
        <f>'2 transformar y limpiar'!A808</f>
        <v/>
      </c>
      <c r="B794">
        <f>'2 transformar y limpiar'!B808</f>
        <v/>
      </c>
      <c r="C794" s="6">
        <f>('2 transformar y limpiar'!C808-$B$6)/$C$6</f>
        <v/>
      </c>
      <c r="D794" s="6">
        <f>('2 transformar y limpiar'!D808-$B$7)/$C$7</f>
        <v/>
      </c>
      <c r="E794" s="6">
        <f>('2 transformar y limpiar'!E808-$B$8)/$C$8</f>
        <v/>
      </c>
      <c r="F794" s="6">
        <f>('2 transformar y limpiar'!F808-$B$9)/$C$9</f>
        <v/>
      </c>
      <c r="G794">
        <f>'2 transformar y limpiar'!G808</f>
        <v/>
      </c>
      <c r="H794">
        <f>'2 transformar y limpiar'!H808</f>
        <v/>
      </c>
      <c r="I794">
        <f>'2 transformar y limpiar'!I808</f>
        <v/>
      </c>
      <c r="J794">
        <f>'2 transformar y limpiar'!J808</f>
        <v/>
      </c>
      <c r="K794">
        <f>'2 transformar y limpiar'!K808</f>
        <v/>
      </c>
      <c r="L794">
        <f>'2 transformar y limpiar'!L808</f>
        <v/>
      </c>
      <c r="M794">
        <f>'2 transformar y limpiar'!M808</f>
        <v/>
      </c>
      <c r="N794">
        <f>'2 transformar y limpiar'!N808</f>
        <v/>
      </c>
      <c r="O794">
        <f>'2 transformar y limpiar'!O808</f>
        <v/>
      </c>
      <c r="P794">
        <f>'2 transformar y limpiar'!P808</f>
        <v/>
      </c>
      <c r="Q794">
        <f>'2 transformar y limpiar'!Q808</f>
        <v/>
      </c>
      <c r="R794">
        <f>'2 transformar y limpiar'!R808</f>
        <v/>
      </c>
      <c r="S794">
        <f>'2 transformar y limpiar'!S808</f>
        <v/>
      </c>
      <c r="T794">
        <f>'2 transformar y limpiar'!T808</f>
        <v/>
      </c>
      <c r="U794" s="5">
        <f>'2 transformar y limpiar'!U808</f>
        <v/>
      </c>
    </row>
    <row r="795">
      <c r="A795">
        <f>'2 transformar y limpiar'!A809</f>
        <v/>
      </c>
      <c r="B795">
        <f>'2 transformar y limpiar'!B809</f>
        <v/>
      </c>
      <c r="C795" s="6">
        <f>('2 transformar y limpiar'!C809-$B$6)/$C$6</f>
        <v/>
      </c>
      <c r="D795" s="6">
        <f>('2 transformar y limpiar'!D809-$B$7)/$C$7</f>
        <v/>
      </c>
      <c r="E795" s="6">
        <f>('2 transformar y limpiar'!E809-$B$8)/$C$8</f>
        <v/>
      </c>
      <c r="F795" s="6">
        <f>('2 transformar y limpiar'!F809-$B$9)/$C$9</f>
        <v/>
      </c>
      <c r="G795">
        <f>'2 transformar y limpiar'!G809</f>
        <v/>
      </c>
      <c r="H795">
        <f>'2 transformar y limpiar'!H809</f>
        <v/>
      </c>
      <c r="I795">
        <f>'2 transformar y limpiar'!I809</f>
        <v/>
      </c>
      <c r="J795">
        <f>'2 transformar y limpiar'!J809</f>
        <v/>
      </c>
      <c r="K795">
        <f>'2 transformar y limpiar'!K809</f>
        <v/>
      </c>
      <c r="L795">
        <f>'2 transformar y limpiar'!L809</f>
        <v/>
      </c>
      <c r="M795">
        <f>'2 transformar y limpiar'!M809</f>
        <v/>
      </c>
      <c r="N795">
        <f>'2 transformar y limpiar'!N809</f>
        <v/>
      </c>
      <c r="O795">
        <f>'2 transformar y limpiar'!O809</f>
        <v/>
      </c>
      <c r="P795">
        <f>'2 transformar y limpiar'!P809</f>
        <v/>
      </c>
      <c r="Q795">
        <f>'2 transformar y limpiar'!Q809</f>
        <v/>
      </c>
      <c r="R795">
        <f>'2 transformar y limpiar'!R809</f>
        <v/>
      </c>
      <c r="S795">
        <f>'2 transformar y limpiar'!S809</f>
        <v/>
      </c>
      <c r="T795">
        <f>'2 transformar y limpiar'!T809</f>
        <v/>
      </c>
      <c r="U795" s="5">
        <f>'2 transformar y limpiar'!U809</f>
        <v/>
      </c>
    </row>
    <row r="796">
      <c r="A796">
        <f>'2 transformar y limpiar'!A810</f>
        <v/>
      </c>
      <c r="B796">
        <f>'2 transformar y limpiar'!B810</f>
        <v/>
      </c>
      <c r="C796" s="6">
        <f>('2 transformar y limpiar'!C810-$B$6)/$C$6</f>
        <v/>
      </c>
      <c r="D796" s="6">
        <f>('2 transformar y limpiar'!D810-$B$7)/$C$7</f>
        <v/>
      </c>
      <c r="E796" s="6">
        <f>('2 transformar y limpiar'!E810-$B$8)/$C$8</f>
        <v/>
      </c>
      <c r="F796" s="6">
        <f>('2 transformar y limpiar'!F810-$B$9)/$C$9</f>
        <v/>
      </c>
      <c r="G796">
        <f>'2 transformar y limpiar'!G810</f>
        <v/>
      </c>
      <c r="H796">
        <f>'2 transformar y limpiar'!H810</f>
        <v/>
      </c>
      <c r="I796">
        <f>'2 transformar y limpiar'!I810</f>
        <v/>
      </c>
      <c r="J796">
        <f>'2 transformar y limpiar'!J810</f>
        <v/>
      </c>
      <c r="K796">
        <f>'2 transformar y limpiar'!K810</f>
        <v/>
      </c>
      <c r="L796">
        <f>'2 transformar y limpiar'!L810</f>
        <v/>
      </c>
      <c r="M796">
        <f>'2 transformar y limpiar'!M810</f>
        <v/>
      </c>
      <c r="N796">
        <f>'2 transformar y limpiar'!N810</f>
        <v/>
      </c>
      <c r="O796">
        <f>'2 transformar y limpiar'!O810</f>
        <v/>
      </c>
      <c r="P796">
        <f>'2 transformar y limpiar'!P810</f>
        <v/>
      </c>
      <c r="Q796">
        <f>'2 transformar y limpiar'!Q810</f>
        <v/>
      </c>
      <c r="R796">
        <f>'2 transformar y limpiar'!R810</f>
        <v/>
      </c>
      <c r="S796">
        <f>'2 transformar y limpiar'!S810</f>
        <v/>
      </c>
      <c r="T796">
        <f>'2 transformar y limpiar'!T810</f>
        <v/>
      </c>
      <c r="U796" s="5">
        <f>'2 transformar y limpiar'!U810</f>
        <v/>
      </c>
    </row>
    <row r="797">
      <c r="A797">
        <f>'2 transformar y limpiar'!A811</f>
        <v/>
      </c>
      <c r="B797">
        <f>'2 transformar y limpiar'!B811</f>
        <v/>
      </c>
      <c r="C797" s="6">
        <f>('2 transformar y limpiar'!C811-$B$6)/$C$6</f>
        <v/>
      </c>
      <c r="D797" s="6">
        <f>('2 transformar y limpiar'!D811-$B$7)/$C$7</f>
        <v/>
      </c>
      <c r="E797" s="6">
        <f>('2 transformar y limpiar'!E811-$B$8)/$C$8</f>
        <v/>
      </c>
      <c r="F797" s="6">
        <f>('2 transformar y limpiar'!F811-$B$9)/$C$9</f>
        <v/>
      </c>
      <c r="G797">
        <f>'2 transformar y limpiar'!G811</f>
        <v/>
      </c>
      <c r="H797">
        <f>'2 transformar y limpiar'!H811</f>
        <v/>
      </c>
      <c r="I797">
        <f>'2 transformar y limpiar'!I811</f>
        <v/>
      </c>
      <c r="J797">
        <f>'2 transformar y limpiar'!J811</f>
        <v/>
      </c>
      <c r="K797">
        <f>'2 transformar y limpiar'!K811</f>
        <v/>
      </c>
      <c r="L797">
        <f>'2 transformar y limpiar'!L811</f>
        <v/>
      </c>
      <c r="M797">
        <f>'2 transformar y limpiar'!M811</f>
        <v/>
      </c>
      <c r="N797">
        <f>'2 transformar y limpiar'!N811</f>
        <v/>
      </c>
      <c r="O797">
        <f>'2 transformar y limpiar'!O811</f>
        <v/>
      </c>
      <c r="P797">
        <f>'2 transformar y limpiar'!P811</f>
        <v/>
      </c>
      <c r="Q797">
        <f>'2 transformar y limpiar'!Q811</f>
        <v/>
      </c>
      <c r="R797">
        <f>'2 transformar y limpiar'!R811</f>
        <v/>
      </c>
      <c r="S797">
        <f>'2 transformar y limpiar'!S811</f>
        <v/>
      </c>
      <c r="T797">
        <f>'2 transformar y limpiar'!T811</f>
        <v/>
      </c>
      <c r="U797" s="5">
        <f>'2 transformar y limpiar'!U811</f>
        <v/>
      </c>
    </row>
    <row r="798">
      <c r="A798">
        <f>'2 transformar y limpiar'!A812</f>
        <v/>
      </c>
      <c r="B798">
        <f>'2 transformar y limpiar'!B812</f>
        <v/>
      </c>
      <c r="C798" s="6">
        <f>('2 transformar y limpiar'!C812-$B$6)/$C$6</f>
        <v/>
      </c>
      <c r="D798" s="6">
        <f>('2 transformar y limpiar'!D812-$B$7)/$C$7</f>
        <v/>
      </c>
      <c r="E798" s="6">
        <f>('2 transformar y limpiar'!E812-$B$8)/$C$8</f>
        <v/>
      </c>
      <c r="F798" s="6">
        <f>('2 transformar y limpiar'!F812-$B$9)/$C$9</f>
        <v/>
      </c>
      <c r="G798">
        <f>'2 transformar y limpiar'!G812</f>
        <v/>
      </c>
      <c r="H798">
        <f>'2 transformar y limpiar'!H812</f>
        <v/>
      </c>
      <c r="I798">
        <f>'2 transformar y limpiar'!I812</f>
        <v/>
      </c>
      <c r="J798">
        <f>'2 transformar y limpiar'!J812</f>
        <v/>
      </c>
      <c r="K798">
        <f>'2 transformar y limpiar'!K812</f>
        <v/>
      </c>
      <c r="L798">
        <f>'2 transformar y limpiar'!L812</f>
        <v/>
      </c>
      <c r="M798">
        <f>'2 transformar y limpiar'!M812</f>
        <v/>
      </c>
      <c r="N798">
        <f>'2 transformar y limpiar'!N812</f>
        <v/>
      </c>
      <c r="O798">
        <f>'2 transformar y limpiar'!O812</f>
        <v/>
      </c>
      <c r="P798">
        <f>'2 transformar y limpiar'!P812</f>
        <v/>
      </c>
      <c r="Q798">
        <f>'2 transformar y limpiar'!Q812</f>
        <v/>
      </c>
      <c r="R798">
        <f>'2 transformar y limpiar'!R812</f>
        <v/>
      </c>
      <c r="S798">
        <f>'2 transformar y limpiar'!S812</f>
        <v/>
      </c>
      <c r="T798">
        <f>'2 transformar y limpiar'!T812</f>
        <v/>
      </c>
      <c r="U798" s="5">
        <f>'2 transformar y limpiar'!U812</f>
        <v/>
      </c>
    </row>
    <row r="799">
      <c r="A799">
        <f>'2 transformar y limpiar'!A813</f>
        <v/>
      </c>
      <c r="B799">
        <f>'2 transformar y limpiar'!B813</f>
        <v/>
      </c>
      <c r="C799" s="6">
        <f>('2 transformar y limpiar'!C813-$B$6)/$C$6</f>
        <v/>
      </c>
      <c r="D799" s="6">
        <f>('2 transformar y limpiar'!D813-$B$7)/$C$7</f>
        <v/>
      </c>
      <c r="E799" s="6">
        <f>('2 transformar y limpiar'!E813-$B$8)/$C$8</f>
        <v/>
      </c>
      <c r="F799" s="6">
        <f>('2 transformar y limpiar'!F813-$B$9)/$C$9</f>
        <v/>
      </c>
      <c r="G799">
        <f>'2 transformar y limpiar'!G813</f>
        <v/>
      </c>
      <c r="H799">
        <f>'2 transformar y limpiar'!H813</f>
        <v/>
      </c>
      <c r="I799">
        <f>'2 transformar y limpiar'!I813</f>
        <v/>
      </c>
      <c r="J799">
        <f>'2 transformar y limpiar'!J813</f>
        <v/>
      </c>
      <c r="K799">
        <f>'2 transformar y limpiar'!K813</f>
        <v/>
      </c>
      <c r="L799">
        <f>'2 transformar y limpiar'!L813</f>
        <v/>
      </c>
      <c r="M799">
        <f>'2 transformar y limpiar'!M813</f>
        <v/>
      </c>
      <c r="N799">
        <f>'2 transformar y limpiar'!N813</f>
        <v/>
      </c>
      <c r="O799">
        <f>'2 transformar y limpiar'!O813</f>
        <v/>
      </c>
      <c r="P799">
        <f>'2 transformar y limpiar'!P813</f>
        <v/>
      </c>
      <c r="Q799">
        <f>'2 transformar y limpiar'!Q813</f>
        <v/>
      </c>
      <c r="R799">
        <f>'2 transformar y limpiar'!R813</f>
        <v/>
      </c>
      <c r="S799">
        <f>'2 transformar y limpiar'!S813</f>
        <v/>
      </c>
      <c r="T799">
        <f>'2 transformar y limpiar'!T813</f>
        <v/>
      </c>
      <c r="U799" s="5">
        <f>'2 transformar y limpiar'!U813</f>
        <v/>
      </c>
    </row>
    <row r="800">
      <c r="A800">
        <f>'2 transformar y limpiar'!A814</f>
        <v/>
      </c>
      <c r="B800">
        <f>'2 transformar y limpiar'!B814</f>
        <v/>
      </c>
      <c r="C800" s="6">
        <f>('2 transformar y limpiar'!C814-$B$6)/$C$6</f>
        <v/>
      </c>
      <c r="D800" s="6">
        <f>('2 transformar y limpiar'!D814-$B$7)/$C$7</f>
        <v/>
      </c>
      <c r="E800" s="6">
        <f>('2 transformar y limpiar'!E814-$B$8)/$C$8</f>
        <v/>
      </c>
      <c r="F800" s="6">
        <f>('2 transformar y limpiar'!F814-$B$9)/$C$9</f>
        <v/>
      </c>
      <c r="G800">
        <f>'2 transformar y limpiar'!G814</f>
        <v/>
      </c>
      <c r="H800">
        <f>'2 transformar y limpiar'!H814</f>
        <v/>
      </c>
      <c r="I800">
        <f>'2 transformar y limpiar'!I814</f>
        <v/>
      </c>
      <c r="J800">
        <f>'2 transformar y limpiar'!J814</f>
        <v/>
      </c>
      <c r="K800">
        <f>'2 transformar y limpiar'!K814</f>
        <v/>
      </c>
      <c r="L800">
        <f>'2 transformar y limpiar'!L814</f>
        <v/>
      </c>
      <c r="M800">
        <f>'2 transformar y limpiar'!M814</f>
        <v/>
      </c>
      <c r="N800">
        <f>'2 transformar y limpiar'!N814</f>
        <v/>
      </c>
      <c r="O800">
        <f>'2 transformar y limpiar'!O814</f>
        <v/>
      </c>
      <c r="P800">
        <f>'2 transformar y limpiar'!P814</f>
        <v/>
      </c>
      <c r="Q800">
        <f>'2 transformar y limpiar'!Q814</f>
        <v/>
      </c>
      <c r="R800">
        <f>'2 transformar y limpiar'!R814</f>
        <v/>
      </c>
      <c r="S800">
        <f>'2 transformar y limpiar'!S814</f>
        <v/>
      </c>
      <c r="T800">
        <f>'2 transformar y limpiar'!T814</f>
        <v/>
      </c>
      <c r="U800" s="5">
        <f>'2 transformar y limpiar'!U814</f>
        <v/>
      </c>
    </row>
    <row r="801">
      <c r="A801">
        <f>'2 transformar y limpiar'!A815</f>
        <v/>
      </c>
      <c r="B801">
        <f>'2 transformar y limpiar'!B815</f>
        <v/>
      </c>
      <c r="C801" s="6">
        <f>('2 transformar y limpiar'!C815-$B$6)/$C$6</f>
        <v/>
      </c>
      <c r="D801" s="6">
        <f>('2 transformar y limpiar'!D815-$B$7)/$C$7</f>
        <v/>
      </c>
      <c r="E801" s="6">
        <f>('2 transformar y limpiar'!E815-$B$8)/$C$8</f>
        <v/>
      </c>
      <c r="F801" s="6">
        <f>('2 transformar y limpiar'!F815-$B$9)/$C$9</f>
        <v/>
      </c>
      <c r="G801">
        <f>'2 transformar y limpiar'!G815</f>
        <v/>
      </c>
      <c r="H801">
        <f>'2 transformar y limpiar'!H815</f>
        <v/>
      </c>
      <c r="I801">
        <f>'2 transformar y limpiar'!I815</f>
        <v/>
      </c>
      <c r="J801">
        <f>'2 transformar y limpiar'!J815</f>
        <v/>
      </c>
      <c r="K801">
        <f>'2 transformar y limpiar'!K815</f>
        <v/>
      </c>
      <c r="L801">
        <f>'2 transformar y limpiar'!L815</f>
        <v/>
      </c>
      <c r="M801">
        <f>'2 transformar y limpiar'!M815</f>
        <v/>
      </c>
      <c r="N801">
        <f>'2 transformar y limpiar'!N815</f>
        <v/>
      </c>
      <c r="O801">
        <f>'2 transformar y limpiar'!O815</f>
        <v/>
      </c>
      <c r="P801">
        <f>'2 transformar y limpiar'!P815</f>
        <v/>
      </c>
      <c r="Q801">
        <f>'2 transformar y limpiar'!Q815</f>
        <v/>
      </c>
      <c r="R801">
        <f>'2 transformar y limpiar'!R815</f>
        <v/>
      </c>
      <c r="S801">
        <f>'2 transformar y limpiar'!S815</f>
        <v/>
      </c>
      <c r="T801">
        <f>'2 transformar y limpiar'!T815</f>
        <v/>
      </c>
      <c r="U801" s="5">
        <f>'2 transformar y limpiar'!U815</f>
        <v/>
      </c>
    </row>
    <row r="802">
      <c r="A802">
        <f>'2 transformar y limpiar'!A816</f>
        <v/>
      </c>
      <c r="B802">
        <f>'2 transformar y limpiar'!B816</f>
        <v/>
      </c>
      <c r="C802" s="6">
        <f>('2 transformar y limpiar'!C816-$B$6)/$C$6</f>
        <v/>
      </c>
      <c r="D802" s="6">
        <f>('2 transformar y limpiar'!D816-$B$7)/$C$7</f>
        <v/>
      </c>
      <c r="E802" s="6">
        <f>('2 transformar y limpiar'!E816-$B$8)/$C$8</f>
        <v/>
      </c>
      <c r="F802" s="6">
        <f>('2 transformar y limpiar'!F816-$B$9)/$C$9</f>
        <v/>
      </c>
      <c r="G802">
        <f>'2 transformar y limpiar'!G816</f>
        <v/>
      </c>
      <c r="H802">
        <f>'2 transformar y limpiar'!H816</f>
        <v/>
      </c>
      <c r="I802">
        <f>'2 transformar y limpiar'!I816</f>
        <v/>
      </c>
      <c r="J802">
        <f>'2 transformar y limpiar'!J816</f>
        <v/>
      </c>
      <c r="K802">
        <f>'2 transformar y limpiar'!K816</f>
        <v/>
      </c>
      <c r="L802">
        <f>'2 transformar y limpiar'!L816</f>
        <v/>
      </c>
      <c r="M802">
        <f>'2 transformar y limpiar'!M816</f>
        <v/>
      </c>
      <c r="N802">
        <f>'2 transformar y limpiar'!N816</f>
        <v/>
      </c>
      <c r="O802">
        <f>'2 transformar y limpiar'!O816</f>
        <v/>
      </c>
      <c r="P802">
        <f>'2 transformar y limpiar'!P816</f>
        <v/>
      </c>
      <c r="Q802">
        <f>'2 transformar y limpiar'!Q816</f>
        <v/>
      </c>
      <c r="R802">
        <f>'2 transformar y limpiar'!R816</f>
        <v/>
      </c>
      <c r="S802">
        <f>'2 transformar y limpiar'!S816</f>
        <v/>
      </c>
      <c r="T802">
        <f>'2 transformar y limpiar'!T816</f>
        <v/>
      </c>
      <c r="U802" s="5">
        <f>'2 transformar y limpiar'!U816</f>
        <v/>
      </c>
    </row>
    <row r="803">
      <c r="A803">
        <f>'2 transformar y limpiar'!A817</f>
        <v/>
      </c>
      <c r="B803">
        <f>'2 transformar y limpiar'!B817</f>
        <v/>
      </c>
      <c r="C803" s="6">
        <f>('2 transformar y limpiar'!C817-$B$6)/$C$6</f>
        <v/>
      </c>
      <c r="D803" s="6">
        <f>('2 transformar y limpiar'!D817-$B$7)/$C$7</f>
        <v/>
      </c>
      <c r="E803" s="6">
        <f>('2 transformar y limpiar'!E817-$B$8)/$C$8</f>
        <v/>
      </c>
      <c r="F803" s="6">
        <f>('2 transformar y limpiar'!F817-$B$9)/$C$9</f>
        <v/>
      </c>
      <c r="G803">
        <f>'2 transformar y limpiar'!G817</f>
        <v/>
      </c>
      <c r="H803">
        <f>'2 transformar y limpiar'!H817</f>
        <v/>
      </c>
      <c r="I803">
        <f>'2 transformar y limpiar'!I817</f>
        <v/>
      </c>
      <c r="J803">
        <f>'2 transformar y limpiar'!J817</f>
        <v/>
      </c>
      <c r="K803">
        <f>'2 transformar y limpiar'!K817</f>
        <v/>
      </c>
      <c r="L803">
        <f>'2 transformar y limpiar'!L817</f>
        <v/>
      </c>
      <c r="M803">
        <f>'2 transformar y limpiar'!M817</f>
        <v/>
      </c>
      <c r="N803">
        <f>'2 transformar y limpiar'!N817</f>
        <v/>
      </c>
      <c r="O803">
        <f>'2 transformar y limpiar'!O817</f>
        <v/>
      </c>
      <c r="P803">
        <f>'2 transformar y limpiar'!P817</f>
        <v/>
      </c>
      <c r="Q803">
        <f>'2 transformar y limpiar'!Q817</f>
        <v/>
      </c>
      <c r="R803">
        <f>'2 transformar y limpiar'!R817</f>
        <v/>
      </c>
      <c r="S803">
        <f>'2 transformar y limpiar'!S817</f>
        <v/>
      </c>
      <c r="T803">
        <f>'2 transformar y limpiar'!T817</f>
        <v/>
      </c>
      <c r="U803" s="5">
        <f>'2 transformar y limpiar'!U817</f>
        <v/>
      </c>
    </row>
    <row r="804">
      <c r="A804">
        <f>'2 transformar y limpiar'!A818</f>
        <v/>
      </c>
      <c r="B804">
        <f>'2 transformar y limpiar'!B818</f>
        <v/>
      </c>
      <c r="C804" s="6">
        <f>('2 transformar y limpiar'!C818-$B$6)/$C$6</f>
        <v/>
      </c>
      <c r="D804" s="6">
        <f>('2 transformar y limpiar'!D818-$B$7)/$C$7</f>
        <v/>
      </c>
      <c r="E804" s="6">
        <f>('2 transformar y limpiar'!E818-$B$8)/$C$8</f>
        <v/>
      </c>
      <c r="F804" s="6">
        <f>('2 transformar y limpiar'!F818-$B$9)/$C$9</f>
        <v/>
      </c>
      <c r="G804">
        <f>'2 transformar y limpiar'!G818</f>
        <v/>
      </c>
      <c r="H804">
        <f>'2 transformar y limpiar'!H818</f>
        <v/>
      </c>
      <c r="I804">
        <f>'2 transformar y limpiar'!I818</f>
        <v/>
      </c>
      <c r="J804">
        <f>'2 transformar y limpiar'!J818</f>
        <v/>
      </c>
      <c r="K804">
        <f>'2 transformar y limpiar'!K818</f>
        <v/>
      </c>
      <c r="L804">
        <f>'2 transformar y limpiar'!L818</f>
        <v/>
      </c>
      <c r="M804">
        <f>'2 transformar y limpiar'!M818</f>
        <v/>
      </c>
      <c r="N804">
        <f>'2 transformar y limpiar'!N818</f>
        <v/>
      </c>
      <c r="O804">
        <f>'2 transformar y limpiar'!O818</f>
        <v/>
      </c>
      <c r="P804">
        <f>'2 transformar y limpiar'!P818</f>
        <v/>
      </c>
      <c r="Q804">
        <f>'2 transformar y limpiar'!Q818</f>
        <v/>
      </c>
      <c r="R804">
        <f>'2 transformar y limpiar'!R818</f>
        <v/>
      </c>
      <c r="S804">
        <f>'2 transformar y limpiar'!S818</f>
        <v/>
      </c>
      <c r="T804">
        <f>'2 transformar y limpiar'!T818</f>
        <v/>
      </c>
      <c r="U804" s="5">
        <f>'2 transformar y limpiar'!U818</f>
        <v/>
      </c>
    </row>
    <row r="805">
      <c r="A805">
        <f>'2 transformar y limpiar'!A819</f>
        <v/>
      </c>
      <c r="B805">
        <f>'2 transformar y limpiar'!B819</f>
        <v/>
      </c>
      <c r="C805" s="6">
        <f>('2 transformar y limpiar'!C819-$B$6)/$C$6</f>
        <v/>
      </c>
      <c r="D805" s="6">
        <f>('2 transformar y limpiar'!D819-$B$7)/$C$7</f>
        <v/>
      </c>
      <c r="E805" s="6">
        <f>('2 transformar y limpiar'!E819-$B$8)/$C$8</f>
        <v/>
      </c>
      <c r="F805" s="6">
        <f>('2 transformar y limpiar'!F819-$B$9)/$C$9</f>
        <v/>
      </c>
      <c r="G805">
        <f>'2 transformar y limpiar'!G819</f>
        <v/>
      </c>
      <c r="H805">
        <f>'2 transformar y limpiar'!H819</f>
        <v/>
      </c>
      <c r="I805">
        <f>'2 transformar y limpiar'!I819</f>
        <v/>
      </c>
      <c r="J805">
        <f>'2 transformar y limpiar'!J819</f>
        <v/>
      </c>
      <c r="K805">
        <f>'2 transformar y limpiar'!K819</f>
        <v/>
      </c>
      <c r="L805">
        <f>'2 transformar y limpiar'!L819</f>
        <v/>
      </c>
      <c r="M805">
        <f>'2 transformar y limpiar'!M819</f>
        <v/>
      </c>
      <c r="N805">
        <f>'2 transformar y limpiar'!N819</f>
        <v/>
      </c>
      <c r="O805">
        <f>'2 transformar y limpiar'!O819</f>
        <v/>
      </c>
      <c r="P805">
        <f>'2 transformar y limpiar'!P819</f>
        <v/>
      </c>
      <c r="Q805">
        <f>'2 transformar y limpiar'!Q819</f>
        <v/>
      </c>
      <c r="R805">
        <f>'2 transformar y limpiar'!R819</f>
        <v/>
      </c>
      <c r="S805">
        <f>'2 transformar y limpiar'!S819</f>
        <v/>
      </c>
      <c r="T805">
        <f>'2 transformar y limpiar'!T819</f>
        <v/>
      </c>
      <c r="U805" s="5">
        <f>'2 transformar y limpiar'!U819</f>
        <v/>
      </c>
    </row>
    <row r="806">
      <c r="A806">
        <f>'2 transformar y limpiar'!A820</f>
        <v/>
      </c>
      <c r="B806">
        <f>'2 transformar y limpiar'!B820</f>
        <v/>
      </c>
      <c r="C806" s="6">
        <f>('2 transformar y limpiar'!C820-$B$6)/$C$6</f>
        <v/>
      </c>
      <c r="D806" s="6">
        <f>('2 transformar y limpiar'!D820-$B$7)/$C$7</f>
        <v/>
      </c>
      <c r="E806" s="6">
        <f>('2 transformar y limpiar'!E820-$B$8)/$C$8</f>
        <v/>
      </c>
      <c r="F806" s="6">
        <f>('2 transformar y limpiar'!F820-$B$9)/$C$9</f>
        <v/>
      </c>
      <c r="G806">
        <f>'2 transformar y limpiar'!G820</f>
        <v/>
      </c>
      <c r="H806">
        <f>'2 transformar y limpiar'!H820</f>
        <v/>
      </c>
      <c r="I806">
        <f>'2 transformar y limpiar'!I820</f>
        <v/>
      </c>
      <c r="J806">
        <f>'2 transformar y limpiar'!J820</f>
        <v/>
      </c>
      <c r="K806">
        <f>'2 transformar y limpiar'!K820</f>
        <v/>
      </c>
      <c r="L806">
        <f>'2 transformar y limpiar'!L820</f>
        <v/>
      </c>
      <c r="M806">
        <f>'2 transformar y limpiar'!M820</f>
        <v/>
      </c>
      <c r="N806">
        <f>'2 transformar y limpiar'!N820</f>
        <v/>
      </c>
      <c r="O806">
        <f>'2 transformar y limpiar'!O820</f>
        <v/>
      </c>
      <c r="P806">
        <f>'2 transformar y limpiar'!P820</f>
        <v/>
      </c>
      <c r="Q806">
        <f>'2 transformar y limpiar'!Q820</f>
        <v/>
      </c>
      <c r="R806">
        <f>'2 transformar y limpiar'!R820</f>
        <v/>
      </c>
      <c r="S806">
        <f>'2 transformar y limpiar'!S820</f>
        <v/>
      </c>
      <c r="T806">
        <f>'2 transformar y limpiar'!T820</f>
        <v/>
      </c>
      <c r="U806" s="5">
        <f>'2 transformar y limpiar'!U820</f>
        <v/>
      </c>
    </row>
    <row r="807">
      <c r="A807">
        <f>'2 transformar y limpiar'!A821</f>
        <v/>
      </c>
      <c r="B807">
        <f>'2 transformar y limpiar'!B821</f>
        <v/>
      </c>
      <c r="C807" s="6">
        <f>('2 transformar y limpiar'!C821-$B$6)/$C$6</f>
        <v/>
      </c>
      <c r="D807" s="6">
        <f>('2 transformar y limpiar'!D821-$B$7)/$C$7</f>
        <v/>
      </c>
      <c r="E807" s="6">
        <f>('2 transformar y limpiar'!E821-$B$8)/$C$8</f>
        <v/>
      </c>
      <c r="F807" s="6">
        <f>('2 transformar y limpiar'!F821-$B$9)/$C$9</f>
        <v/>
      </c>
      <c r="G807">
        <f>'2 transformar y limpiar'!G821</f>
        <v/>
      </c>
      <c r="H807">
        <f>'2 transformar y limpiar'!H821</f>
        <v/>
      </c>
      <c r="I807">
        <f>'2 transformar y limpiar'!I821</f>
        <v/>
      </c>
      <c r="J807">
        <f>'2 transformar y limpiar'!J821</f>
        <v/>
      </c>
      <c r="K807">
        <f>'2 transformar y limpiar'!K821</f>
        <v/>
      </c>
      <c r="L807">
        <f>'2 transformar y limpiar'!L821</f>
        <v/>
      </c>
      <c r="M807">
        <f>'2 transformar y limpiar'!M821</f>
        <v/>
      </c>
      <c r="N807">
        <f>'2 transformar y limpiar'!N821</f>
        <v/>
      </c>
      <c r="O807">
        <f>'2 transformar y limpiar'!O821</f>
        <v/>
      </c>
      <c r="P807">
        <f>'2 transformar y limpiar'!P821</f>
        <v/>
      </c>
      <c r="Q807">
        <f>'2 transformar y limpiar'!Q821</f>
        <v/>
      </c>
      <c r="R807">
        <f>'2 transformar y limpiar'!R821</f>
        <v/>
      </c>
      <c r="S807">
        <f>'2 transformar y limpiar'!S821</f>
        <v/>
      </c>
      <c r="T807">
        <f>'2 transformar y limpiar'!T821</f>
        <v/>
      </c>
      <c r="U807" s="5">
        <f>'2 transformar y limpiar'!U821</f>
        <v/>
      </c>
    </row>
    <row r="808">
      <c r="A808">
        <f>'2 transformar y limpiar'!A822</f>
        <v/>
      </c>
      <c r="B808">
        <f>'2 transformar y limpiar'!B822</f>
        <v/>
      </c>
      <c r="C808" s="6">
        <f>('2 transformar y limpiar'!C822-$B$6)/$C$6</f>
        <v/>
      </c>
      <c r="D808" s="6">
        <f>('2 transformar y limpiar'!D822-$B$7)/$C$7</f>
        <v/>
      </c>
      <c r="E808" s="6">
        <f>('2 transformar y limpiar'!E822-$B$8)/$C$8</f>
        <v/>
      </c>
      <c r="F808" s="6">
        <f>('2 transformar y limpiar'!F822-$B$9)/$C$9</f>
        <v/>
      </c>
      <c r="G808">
        <f>'2 transformar y limpiar'!G822</f>
        <v/>
      </c>
      <c r="H808">
        <f>'2 transformar y limpiar'!H822</f>
        <v/>
      </c>
      <c r="I808">
        <f>'2 transformar y limpiar'!I822</f>
        <v/>
      </c>
      <c r="J808">
        <f>'2 transformar y limpiar'!J822</f>
        <v/>
      </c>
      <c r="K808">
        <f>'2 transformar y limpiar'!K822</f>
        <v/>
      </c>
      <c r="L808">
        <f>'2 transformar y limpiar'!L822</f>
        <v/>
      </c>
      <c r="M808">
        <f>'2 transformar y limpiar'!M822</f>
        <v/>
      </c>
      <c r="N808">
        <f>'2 transformar y limpiar'!N822</f>
        <v/>
      </c>
      <c r="O808">
        <f>'2 transformar y limpiar'!O822</f>
        <v/>
      </c>
      <c r="P808">
        <f>'2 transformar y limpiar'!P822</f>
        <v/>
      </c>
      <c r="Q808">
        <f>'2 transformar y limpiar'!Q822</f>
        <v/>
      </c>
      <c r="R808">
        <f>'2 transformar y limpiar'!R822</f>
        <v/>
      </c>
      <c r="S808">
        <f>'2 transformar y limpiar'!S822</f>
        <v/>
      </c>
      <c r="T808">
        <f>'2 transformar y limpiar'!T822</f>
        <v/>
      </c>
      <c r="U808" s="5">
        <f>'2 transformar y limpiar'!U822</f>
        <v/>
      </c>
    </row>
    <row r="809">
      <c r="A809">
        <f>'2 transformar y limpiar'!A823</f>
        <v/>
      </c>
      <c r="B809">
        <f>'2 transformar y limpiar'!B823</f>
        <v/>
      </c>
      <c r="C809" s="6">
        <f>('2 transformar y limpiar'!C823-$B$6)/$C$6</f>
        <v/>
      </c>
      <c r="D809" s="6">
        <f>('2 transformar y limpiar'!D823-$B$7)/$C$7</f>
        <v/>
      </c>
      <c r="E809" s="6">
        <f>('2 transformar y limpiar'!E823-$B$8)/$C$8</f>
        <v/>
      </c>
      <c r="F809" s="6">
        <f>('2 transformar y limpiar'!F823-$B$9)/$C$9</f>
        <v/>
      </c>
      <c r="G809">
        <f>'2 transformar y limpiar'!G823</f>
        <v/>
      </c>
      <c r="H809">
        <f>'2 transformar y limpiar'!H823</f>
        <v/>
      </c>
      <c r="I809">
        <f>'2 transformar y limpiar'!I823</f>
        <v/>
      </c>
      <c r="J809">
        <f>'2 transformar y limpiar'!J823</f>
        <v/>
      </c>
      <c r="K809">
        <f>'2 transformar y limpiar'!K823</f>
        <v/>
      </c>
      <c r="L809">
        <f>'2 transformar y limpiar'!L823</f>
        <v/>
      </c>
      <c r="M809">
        <f>'2 transformar y limpiar'!M823</f>
        <v/>
      </c>
      <c r="N809">
        <f>'2 transformar y limpiar'!N823</f>
        <v/>
      </c>
      <c r="O809">
        <f>'2 transformar y limpiar'!O823</f>
        <v/>
      </c>
      <c r="P809">
        <f>'2 transformar y limpiar'!P823</f>
        <v/>
      </c>
      <c r="Q809">
        <f>'2 transformar y limpiar'!Q823</f>
        <v/>
      </c>
      <c r="R809">
        <f>'2 transformar y limpiar'!R823</f>
        <v/>
      </c>
      <c r="S809">
        <f>'2 transformar y limpiar'!S823</f>
        <v/>
      </c>
      <c r="T809">
        <f>'2 transformar y limpiar'!T823</f>
        <v/>
      </c>
      <c r="U809" s="5">
        <f>'2 transformar y limpiar'!U823</f>
        <v/>
      </c>
    </row>
    <row r="810">
      <c r="A810">
        <f>'2 transformar y limpiar'!A824</f>
        <v/>
      </c>
      <c r="B810">
        <f>'2 transformar y limpiar'!B824</f>
        <v/>
      </c>
      <c r="C810" s="6">
        <f>('2 transformar y limpiar'!C824-$B$6)/$C$6</f>
        <v/>
      </c>
      <c r="D810" s="6">
        <f>('2 transformar y limpiar'!D824-$B$7)/$C$7</f>
        <v/>
      </c>
      <c r="E810" s="6">
        <f>('2 transformar y limpiar'!E824-$B$8)/$C$8</f>
        <v/>
      </c>
      <c r="F810" s="6">
        <f>('2 transformar y limpiar'!F824-$B$9)/$C$9</f>
        <v/>
      </c>
      <c r="G810">
        <f>'2 transformar y limpiar'!G824</f>
        <v/>
      </c>
      <c r="H810">
        <f>'2 transformar y limpiar'!H824</f>
        <v/>
      </c>
      <c r="I810">
        <f>'2 transformar y limpiar'!I824</f>
        <v/>
      </c>
      <c r="J810">
        <f>'2 transformar y limpiar'!J824</f>
        <v/>
      </c>
      <c r="K810">
        <f>'2 transformar y limpiar'!K824</f>
        <v/>
      </c>
      <c r="L810">
        <f>'2 transformar y limpiar'!L824</f>
        <v/>
      </c>
      <c r="M810">
        <f>'2 transformar y limpiar'!M824</f>
        <v/>
      </c>
      <c r="N810">
        <f>'2 transformar y limpiar'!N824</f>
        <v/>
      </c>
      <c r="O810">
        <f>'2 transformar y limpiar'!O824</f>
        <v/>
      </c>
      <c r="P810">
        <f>'2 transformar y limpiar'!P824</f>
        <v/>
      </c>
      <c r="Q810">
        <f>'2 transformar y limpiar'!Q824</f>
        <v/>
      </c>
      <c r="R810">
        <f>'2 transformar y limpiar'!R824</f>
        <v/>
      </c>
      <c r="S810">
        <f>'2 transformar y limpiar'!S824</f>
        <v/>
      </c>
      <c r="T810">
        <f>'2 transformar y limpiar'!T824</f>
        <v/>
      </c>
      <c r="U810" s="5">
        <f>'2 transformar y limpiar'!U824</f>
        <v/>
      </c>
    </row>
    <row r="811">
      <c r="A811">
        <f>'2 transformar y limpiar'!A825</f>
        <v/>
      </c>
      <c r="B811">
        <f>'2 transformar y limpiar'!B825</f>
        <v/>
      </c>
      <c r="C811" s="6">
        <f>('2 transformar y limpiar'!C825-$B$6)/$C$6</f>
        <v/>
      </c>
      <c r="D811" s="6">
        <f>('2 transformar y limpiar'!D825-$B$7)/$C$7</f>
        <v/>
      </c>
      <c r="E811" s="6">
        <f>('2 transformar y limpiar'!E825-$B$8)/$C$8</f>
        <v/>
      </c>
      <c r="F811" s="6">
        <f>('2 transformar y limpiar'!F825-$B$9)/$C$9</f>
        <v/>
      </c>
      <c r="G811">
        <f>'2 transformar y limpiar'!G825</f>
        <v/>
      </c>
      <c r="H811">
        <f>'2 transformar y limpiar'!H825</f>
        <v/>
      </c>
      <c r="I811">
        <f>'2 transformar y limpiar'!I825</f>
        <v/>
      </c>
      <c r="J811">
        <f>'2 transformar y limpiar'!J825</f>
        <v/>
      </c>
      <c r="K811">
        <f>'2 transformar y limpiar'!K825</f>
        <v/>
      </c>
      <c r="L811">
        <f>'2 transformar y limpiar'!L825</f>
        <v/>
      </c>
      <c r="M811">
        <f>'2 transformar y limpiar'!M825</f>
        <v/>
      </c>
      <c r="N811">
        <f>'2 transformar y limpiar'!N825</f>
        <v/>
      </c>
      <c r="O811">
        <f>'2 transformar y limpiar'!O825</f>
        <v/>
      </c>
      <c r="P811">
        <f>'2 transformar y limpiar'!P825</f>
        <v/>
      </c>
      <c r="Q811">
        <f>'2 transformar y limpiar'!Q825</f>
        <v/>
      </c>
      <c r="R811">
        <f>'2 transformar y limpiar'!R825</f>
        <v/>
      </c>
      <c r="S811">
        <f>'2 transformar y limpiar'!S825</f>
        <v/>
      </c>
      <c r="T811">
        <f>'2 transformar y limpiar'!T825</f>
        <v/>
      </c>
      <c r="U811" s="5">
        <f>'2 transformar y limpiar'!U825</f>
        <v/>
      </c>
    </row>
    <row r="812">
      <c r="A812">
        <f>'2 transformar y limpiar'!A826</f>
        <v/>
      </c>
      <c r="B812">
        <f>'2 transformar y limpiar'!B826</f>
        <v/>
      </c>
      <c r="C812" s="6">
        <f>('2 transformar y limpiar'!C826-$B$6)/$C$6</f>
        <v/>
      </c>
      <c r="D812" s="6">
        <f>('2 transformar y limpiar'!D826-$B$7)/$C$7</f>
        <v/>
      </c>
      <c r="E812" s="6">
        <f>('2 transformar y limpiar'!E826-$B$8)/$C$8</f>
        <v/>
      </c>
      <c r="F812" s="6">
        <f>('2 transformar y limpiar'!F826-$B$9)/$C$9</f>
        <v/>
      </c>
      <c r="G812">
        <f>'2 transformar y limpiar'!G826</f>
        <v/>
      </c>
      <c r="H812">
        <f>'2 transformar y limpiar'!H826</f>
        <v/>
      </c>
      <c r="I812">
        <f>'2 transformar y limpiar'!I826</f>
        <v/>
      </c>
      <c r="J812">
        <f>'2 transformar y limpiar'!J826</f>
        <v/>
      </c>
      <c r="K812">
        <f>'2 transformar y limpiar'!K826</f>
        <v/>
      </c>
      <c r="L812">
        <f>'2 transformar y limpiar'!L826</f>
        <v/>
      </c>
      <c r="M812">
        <f>'2 transformar y limpiar'!M826</f>
        <v/>
      </c>
      <c r="N812">
        <f>'2 transformar y limpiar'!N826</f>
        <v/>
      </c>
      <c r="O812">
        <f>'2 transformar y limpiar'!O826</f>
        <v/>
      </c>
      <c r="P812">
        <f>'2 transformar y limpiar'!P826</f>
        <v/>
      </c>
      <c r="Q812">
        <f>'2 transformar y limpiar'!Q826</f>
        <v/>
      </c>
      <c r="R812">
        <f>'2 transformar y limpiar'!R826</f>
        <v/>
      </c>
      <c r="S812">
        <f>'2 transformar y limpiar'!S826</f>
        <v/>
      </c>
      <c r="T812">
        <f>'2 transformar y limpiar'!T826</f>
        <v/>
      </c>
      <c r="U812" s="5">
        <f>'2 transformar y limpiar'!U826</f>
        <v/>
      </c>
    </row>
    <row r="813">
      <c r="A813">
        <f>'2 transformar y limpiar'!A827</f>
        <v/>
      </c>
      <c r="B813">
        <f>'2 transformar y limpiar'!B827</f>
        <v/>
      </c>
      <c r="C813" s="6">
        <f>('2 transformar y limpiar'!C827-$B$6)/$C$6</f>
        <v/>
      </c>
      <c r="D813" s="6">
        <f>('2 transformar y limpiar'!D827-$B$7)/$C$7</f>
        <v/>
      </c>
      <c r="E813" s="6">
        <f>('2 transformar y limpiar'!E827-$B$8)/$C$8</f>
        <v/>
      </c>
      <c r="F813" s="6">
        <f>('2 transformar y limpiar'!F827-$B$9)/$C$9</f>
        <v/>
      </c>
      <c r="G813">
        <f>'2 transformar y limpiar'!G827</f>
        <v/>
      </c>
      <c r="H813">
        <f>'2 transformar y limpiar'!H827</f>
        <v/>
      </c>
      <c r="I813">
        <f>'2 transformar y limpiar'!I827</f>
        <v/>
      </c>
      <c r="J813">
        <f>'2 transformar y limpiar'!J827</f>
        <v/>
      </c>
      <c r="K813">
        <f>'2 transformar y limpiar'!K827</f>
        <v/>
      </c>
      <c r="L813">
        <f>'2 transformar y limpiar'!L827</f>
        <v/>
      </c>
      <c r="M813">
        <f>'2 transformar y limpiar'!M827</f>
        <v/>
      </c>
      <c r="N813">
        <f>'2 transformar y limpiar'!N827</f>
        <v/>
      </c>
      <c r="O813">
        <f>'2 transformar y limpiar'!O827</f>
        <v/>
      </c>
      <c r="P813">
        <f>'2 transformar y limpiar'!P827</f>
        <v/>
      </c>
      <c r="Q813">
        <f>'2 transformar y limpiar'!Q827</f>
        <v/>
      </c>
      <c r="R813">
        <f>'2 transformar y limpiar'!R827</f>
        <v/>
      </c>
      <c r="S813">
        <f>'2 transformar y limpiar'!S827</f>
        <v/>
      </c>
      <c r="T813">
        <f>'2 transformar y limpiar'!T827</f>
        <v/>
      </c>
      <c r="U813" s="5">
        <f>'2 transformar y limpiar'!U827</f>
        <v/>
      </c>
    </row>
    <row r="814">
      <c r="A814">
        <f>'2 transformar y limpiar'!A828</f>
        <v/>
      </c>
      <c r="B814">
        <f>'2 transformar y limpiar'!B828</f>
        <v/>
      </c>
      <c r="C814" s="6">
        <f>('2 transformar y limpiar'!C828-$B$6)/$C$6</f>
        <v/>
      </c>
      <c r="D814" s="6">
        <f>('2 transformar y limpiar'!D828-$B$7)/$C$7</f>
        <v/>
      </c>
      <c r="E814" s="6">
        <f>('2 transformar y limpiar'!E828-$B$8)/$C$8</f>
        <v/>
      </c>
      <c r="F814" s="6">
        <f>('2 transformar y limpiar'!F828-$B$9)/$C$9</f>
        <v/>
      </c>
      <c r="G814">
        <f>'2 transformar y limpiar'!G828</f>
        <v/>
      </c>
      <c r="H814">
        <f>'2 transformar y limpiar'!H828</f>
        <v/>
      </c>
      <c r="I814">
        <f>'2 transformar y limpiar'!I828</f>
        <v/>
      </c>
      <c r="J814">
        <f>'2 transformar y limpiar'!J828</f>
        <v/>
      </c>
      <c r="K814">
        <f>'2 transformar y limpiar'!K828</f>
        <v/>
      </c>
      <c r="L814">
        <f>'2 transformar y limpiar'!L828</f>
        <v/>
      </c>
      <c r="M814">
        <f>'2 transformar y limpiar'!M828</f>
        <v/>
      </c>
      <c r="N814">
        <f>'2 transformar y limpiar'!N828</f>
        <v/>
      </c>
      <c r="O814">
        <f>'2 transformar y limpiar'!O828</f>
        <v/>
      </c>
      <c r="P814">
        <f>'2 transformar y limpiar'!P828</f>
        <v/>
      </c>
      <c r="Q814">
        <f>'2 transformar y limpiar'!Q828</f>
        <v/>
      </c>
      <c r="R814">
        <f>'2 transformar y limpiar'!R828</f>
        <v/>
      </c>
      <c r="S814">
        <f>'2 transformar y limpiar'!S828</f>
        <v/>
      </c>
      <c r="T814">
        <f>'2 transformar y limpiar'!T828</f>
        <v/>
      </c>
      <c r="U814" s="5">
        <f>'2 transformar y limpiar'!U828</f>
        <v/>
      </c>
    </row>
    <row r="815">
      <c r="A815">
        <f>'2 transformar y limpiar'!A829</f>
        <v/>
      </c>
      <c r="B815">
        <f>'2 transformar y limpiar'!B829</f>
        <v/>
      </c>
      <c r="C815" s="6">
        <f>('2 transformar y limpiar'!C829-$B$6)/$C$6</f>
        <v/>
      </c>
      <c r="D815" s="6">
        <f>('2 transformar y limpiar'!D829-$B$7)/$C$7</f>
        <v/>
      </c>
      <c r="E815" s="6">
        <f>('2 transformar y limpiar'!E829-$B$8)/$C$8</f>
        <v/>
      </c>
      <c r="F815" s="6">
        <f>('2 transformar y limpiar'!F829-$B$9)/$C$9</f>
        <v/>
      </c>
      <c r="G815">
        <f>'2 transformar y limpiar'!G829</f>
        <v/>
      </c>
      <c r="H815">
        <f>'2 transformar y limpiar'!H829</f>
        <v/>
      </c>
      <c r="I815">
        <f>'2 transformar y limpiar'!I829</f>
        <v/>
      </c>
      <c r="J815">
        <f>'2 transformar y limpiar'!J829</f>
        <v/>
      </c>
      <c r="K815">
        <f>'2 transformar y limpiar'!K829</f>
        <v/>
      </c>
      <c r="L815">
        <f>'2 transformar y limpiar'!L829</f>
        <v/>
      </c>
      <c r="M815">
        <f>'2 transformar y limpiar'!M829</f>
        <v/>
      </c>
      <c r="N815">
        <f>'2 transformar y limpiar'!N829</f>
        <v/>
      </c>
      <c r="O815">
        <f>'2 transformar y limpiar'!O829</f>
        <v/>
      </c>
      <c r="P815">
        <f>'2 transformar y limpiar'!P829</f>
        <v/>
      </c>
      <c r="Q815">
        <f>'2 transformar y limpiar'!Q829</f>
        <v/>
      </c>
      <c r="R815">
        <f>'2 transformar y limpiar'!R829</f>
        <v/>
      </c>
      <c r="S815">
        <f>'2 transformar y limpiar'!S829</f>
        <v/>
      </c>
      <c r="T815">
        <f>'2 transformar y limpiar'!T829</f>
        <v/>
      </c>
      <c r="U815" s="5">
        <f>'2 transformar y limpiar'!U829</f>
        <v/>
      </c>
    </row>
    <row r="816">
      <c r="A816">
        <f>'2 transformar y limpiar'!A830</f>
        <v/>
      </c>
      <c r="B816">
        <f>'2 transformar y limpiar'!B830</f>
        <v/>
      </c>
      <c r="C816" s="6">
        <f>('2 transformar y limpiar'!C830-$B$6)/$C$6</f>
        <v/>
      </c>
      <c r="D816" s="6">
        <f>('2 transformar y limpiar'!D830-$B$7)/$C$7</f>
        <v/>
      </c>
      <c r="E816" s="6">
        <f>('2 transformar y limpiar'!E830-$B$8)/$C$8</f>
        <v/>
      </c>
      <c r="F816" s="6">
        <f>('2 transformar y limpiar'!F830-$B$9)/$C$9</f>
        <v/>
      </c>
      <c r="G816">
        <f>'2 transformar y limpiar'!G830</f>
        <v/>
      </c>
      <c r="H816">
        <f>'2 transformar y limpiar'!H830</f>
        <v/>
      </c>
      <c r="I816">
        <f>'2 transformar y limpiar'!I830</f>
        <v/>
      </c>
      <c r="J816">
        <f>'2 transformar y limpiar'!J830</f>
        <v/>
      </c>
      <c r="K816">
        <f>'2 transformar y limpiar'!K830</f>
        <v/>
      </c>
      <c r="L816">
        <f>'2 transformar y limpiar'!L830</f>
        <v/>
      </c>
      <c r="M816">
        <f>'2 transformar y limpiar'!M830</f>
        <v/>
      </c>
      <c r="N816">
        <f>'2 transformar y limpiar'!N830</f>
        <v/>
      </c>
      <c r="O816">
        <f>'2 transformar y limpiar'!O830</f>
        <v/>
      </c>
      <c r="P816">
        <f>'2 transformar y limpiar'!P830</f>
        <v/>
      </c>
      <c r="Q816">
        <f>'2 transformar y limpiar'!Q830</f>
        <v/>
      </c>
      <c r="R816">
        <f>'2 transformar y limpiar'!R830</f>
        <v/>
      </c>
      <c r="S816">
        <f>'2 transformar y limpiar'!S830</f>
        <v/>
      </c>
      <c r="T816">
        <f>'2 transformar y limpiar'!T830</f>
        <v/>
      </c>
      <c r="U816" s="5">
        <f>'2 transformar y limpiar'!U830</f>
        <v/>
      </c>
    </row>
    <row r="817">
      <c r="A817">
        <f>'2 transformar y limpiar'!A831</f>
        <v/>
      </c>
      <c r="B817">
        <f>'2 transformar y limpiar'!B831</f>
        <v/>
      </c>
      <c r="C817" s="6">
        <f>('2 transformar y limpiar'!C831-$B$6)/$C$6</f>
        <v/>
      </c>
      <c r="D817" s="6">
        <f>('2 transformar y limpiar'!D831-$B$7)/$C$7</f>
        <v/>
      </c>
      <c r="E817" s="6">
        <f>('2 transformar y limpiar'!E831-$B$8)/$C$8</f>
        <v/>
      </c>
      <c r="F817" s="6">
        <f>('2 transformar y limpiar'!F831-$B$9)/$C$9</f>
        <v/>
      </c>
      <c r="G817">
        <f>'2 transformar y limpiar'!G831</f>
        <v/>
      </c>
      <c r="H817">
        <f>'2 transformar y limpiar'!H831</f>
        <v/>
      </c>
      <c r="I817">
        <f>'2 transformar y limpiar'!I831</f>
        <v/>
      </c>
      <c r="J817">
        <f>'2 transformar y limpiar'!J831</f>
        <v/>
      </c>
      <c r="K817">
        <f>'2 transformar y limpiar'!K831</f>
        <v/>
      </c>
      <c r="L817">
        <f>'2 transformar y limpiar'!L831</f>
        <v/>
      </c>
      <c r="M817">
        <f>'2 transformar y limpiar'!M831</f>
        <v/>
      </c>
      <c r="N817">
        <f>'2 transformar y limpiar'!N831</f>
        <v/>
      </c>
      <c r="O817">
        <f>'2 transformar y limpiar'!O831</f>
        <v/>
      </c>
      <c r="P817">
        <f>'2 transformar y limpiar'!P831</f>
        <v/>
      </c>
      <c r="Q817">
        <f>'2 transformar y limpiar'!Q831</f>
        <v/>
      </c>
      <c r="R817">
        <f>'2 transformar y limpiar'!R831</f>
        <v/>
      </c>
      <c r="S817">
        <f>'2 transformar y limpiar'!S831</f>
        <v/>
      </c>
      <c r="T817">
        <f>'2 transformar y limpiar'!T831</f>
        <v/>
      </c>
      <c r="U817" s="5">
        <f>'2 transformar y limpiar'!U831</f>
        <v/>
      </c>
    </row>
    <row r="818">
      <c r="A818">
        <f>'2 transformar y limpiar'!A832</f>
        <v/>
      </c>
      <c r="B818">
        <f>'2 transformar y limpiar'!B832</f>
        <v/>
      </c>
      <c r="C818" s="6">
        <f>('2 transformar y limpiar'!C832-$B$6)/$C$6</f>
        <v/>
      </c>
      <c r="D818" s="6">
        <f>('2 transformar y limpiar'!D832-$B$7)/$C$7</f>
        <v/>
      </c>
      <c r="E818" s="6">
        <f>('2 transformar y limpiar'!E832-$B$8)/$C$8</f>
        <v/>
      </c>
      <c r="F818" s="6">
        <f>('2 transformar y limpiar'!F832-$B$9)/$C$9</f>
        <v/>
      </c>
      <c r="G818">
        <f>'2 transformar y limpiar'!G832</f>
        <v/>
      </c>
      <c r="H818">
        <f>'2 transformar y limpiar'!H832</f>
        <v/>
      </c>
      <c r="I818">
        <f>'2 transformar y limpiar'!I832</f>
        <v/>
      </c>
      <c r="J818">
        <f>'2 transformar y limpiar'!J832</f>
        <v/>
      </c>
      <c r="K818">
        <f>'2 transformar y limpiar'!K832</f>
        <v/>
      </c>
      <c r="L818">
        <f>'2 transformar y limpiar'!L832</f>
        <v/>
      </c>
      <c r="M818">
        <f>'2 transformar y limpiar'!M832</f>
        <v/>
      </c>
      <c r="N818">
        <f>'2 transformar y limpiar'!N832</f>
        <v/>
      </c>
      <c r="O818">
        <f>'2 transformar y limpiar'!O832</f>
        <v/>
      </c>
      <c r="P818">
        <f>'2 transformar y limpiar'!P832</f>
        <v/>
      </c>
      <c r="Q818">
        <f>'2 transformar y limpiar'!Q832</f>
        <v/>
      </c>
      <c r="R818">
        <f>'2 transformar y limpiar'!R832</f>
        <v/>
      </c>
      <c r="S818">
        <f>'2 transformar y limpiar'!S832</f>
        <v/>
      </c>
      <c r="T818">
        <f>'2 transformar y limpiar'!T832</f>
        <v/>
      </c>
      <c r="U818" s="5">
        <f>'2 transformar y limpiar'!U832</f>
        <v/>
      </c>
    </row>
    <row r="819">
      <c r="A819">
        <f>'2 transformar y limpiar'!A833</f>
        <v/>
      </c>
      <c r="B819">
        <f>'2 transformar y limpiar'!B833</f>
        <v/>
      </c>
      <c r="C819" s="6">
        <f>('2 transformar y limpiar'!C833-$B$6)/$C$6</f>
        <v/>
      </c>
      <c r="D819" s="6">
        <f>('2 transformar y limpiar'!D833-$B$7)/$C$7</f>
        <v/>
      </c>
      <c r="E819" s="6">
        <f>('2 transformar y limpiar'!E833-$B$8)/$C$8</f>
        <v/>
      </c>
      <c r="F819" s="6">
        <f>('2 transformar y limpiar'!F833-$B$9)/$C$9</f>
        <v/>
      </c>
      <c r="G819">
        <f>'2 transformar y limpiar'!G833</f>
        <v/>
      </c>
      <c r="H819">
        <f>'2 transformar y limpiar'!H833</f>
        <v/>
      </c>
      <c r="I819">
        <f>'2 transformar y limpiar'!I833</f>
        <v/>
      </c>
      <c r="J819">
        <f>'2 transformar y limpiar'!J833</f>
        <v/>
      </c>
      <c r="K819">
        <f>'2 transformar y limpiar'!K833</f>
        <v/>
      </c>
      <c r="L819">
        <f>'2 transformar y limpiar'!L833</f>
        <v/>
      </c>
      <c r="M819">
        <f>'2 transformar y limpiar'!M833</f>
        <v/>
      </c>
      <c r="N819">
        <f>'2 transformar y limpiar'!N833</f>
        <v/>
      </c>
      <c r="O819">
        <f>'2 transformar y limpiar'!O833</f>
        <v/>
      </c>
      <c r="P819">
        <f>'2 transformar y limpiar'!P833</f>
        <v/>
      </c>
      <c r="Q819">
        <f>'2 transformar y limpiar'!Q833</f>
        <v/>
      </c>
      <c r="R819">
        <f>'2 transformar y limpiar'!R833</f>
        <v/>
      </c>
      <c r="S819">
        <f>'2 transformar y limpiar'!S833</f>
        <v/>
      </c>
      <c r="T819">
        <f>'2 transformar y limpiar'!T833</f>
        <v/>
      </c>
      <c r="U819" s="5">
        <f>'2 transformar y limpiar'!U833</f>
        <v/>
      </c>
    </row>
    <row r="820">
      <c r="A820">
        <f>'2 transformar y limpiar'!A834</f>
        <v/>
      </c>
      <c r="B820">
        <f>'2 transformar y limpiar'!B834</f>
        <v/>
      </c>
      <c r="C820" s="6">
        <f>('2 transformar y limpiar'!C834-$B$6)/$C$6</f>
        <v/>
      </c>
      <c r="D820" s="6">
        <f>('2 transformar y limpiar'!D834-$B$7)/$C$7</f>
        <v/>
      </c>
      <c r="E820" s="6">
        <f>('2 transformar y limpiar'!E834-$B$8)/$C$8</f>
        <v/>
      </c>
      <c r="F820" s="6">
        <f>('2 transformar y limpiar'!F834-$B$9)/$C$9</f>
        <v/>
      </c>
      <c r="G820">
        <f>'2 transformar y limpiar'!G834</f>
        <v/>
      </c>
      <c r="H820">
        <f>'2 transformar y limpiar'!H834</f>
        <v/>
      </c>
      <c r="I820">
        <f>'2 transformar y limpiar'!I834</f>
        <v/>
      </c>
      <c r="J820">
        <f>'2 transformar y limpiar'!J834</f>
        <v/>
      </c>
      <c r="K820">
        <f>'2 transformar y limpiar'!K834</f>
        <v/>
      </c>
      <c r="L820">
        <f>'2 transformar y limpiar'!L834</f>
        <v/>
      </c>
      <c r="M820">
        <f>'2 transformar y limpiar'!M834</f>
        <v/>
      </c>
      <c r="N820">
        <f>'2 transformar y limpiar'!N834</f>
        <v/>
      </c>
      <c r="O820">
        <f>'2 transformar y limpiar'!O834</f>
        <v/>
      </c>
      <c r="P820">
        <f>'2 transformar y limpiar'!P834</f>
        <v/>
      </c>
      <c r="Q820">
        <f>'2 transformar y limpiar'!Q834</f>
        <v/>
      </c>
      <c r="R820">
        <f>'2 transformar y limpiar'!R834</f>
        <v/>
      </c>
      <c r="S820">
        <f>'2 transformar y limpiar'!S834</f>
        <v/>
      </c>
      <c r="T820">
        <f>'2 transformar y limpiar'!T834</f>
        <v/>
      </c>
      <c r="U820" s="5">
        <f>'2 transformar y limpiar'!U834</f>
        <v/>
      </c>
    </row>
    <row r="821">
      <c r="A821">
        <f>'2 transformar y limpiar'!A835</f>
        <v/>
      </c>
      <c r="B821">
        <f>'2 transformar y limpiar'!B835</f>
        <v/>
      </c>
      <c r="C821" s="6">
        <f>('2 transformar y limpiar'!C835-$B$6)/$C$6</f>
        <v/>
      </c>
      <c r="D821" s="6">
        <f>('2 transformar y limpiar'!D835-$B$7)/$C$7</f>
        <v/>
      </c>
      <c r="E821" s="6">
        <f>('2 transformar y limpiar'!E835-$B$8)/$C$8</f>
        <v/>
      </c>
      <c r="F821" s="6">
        <f>('2 transformar y limpiar'!F835-$B$9)/$C$9</f>
        <v/>
      </c>
      <c r="G821">
        <f>'2 transformar y limpiar'!G835</f>
        <v/>
      </c>
      <c r="H821">
        <f>'2 transformar y limpiar'!H835</f>
        <v/>
      </c>
      <c r="I821">
        <f>'2 transformar y limpiar'!I835</f>
        <v/>
      </c>
      <c r="J821">
        <f>'2 transformar y limpiar'!J835</f>
        <v/>
      </c>
      <c r="K821">
        <f>'2 transformar y limpiar'!K835</f>
        <v/>
      </c>
      <c r="L821">
        <f>'2 transformar y limpiar'!L835</f>
        <v/>
      </c>
      <c r="M821">
        <f>'2 transformar y limpiar'!M835</f>
        <v/>
      </c>
      <c r="N821">
        <f>'2 transformar y limpiar'!N835</f>
        <v/>
      </c>
      <c r="O821">
        <f>'2 transformar y limpiar'!O835</f>
        <v/>
      </c>
      <c r="P821">
        <f>'2 transformar y limpiar'!P835</f>
        <v/>
      </c>
      <c r="Q821">
        <f>'2 transformar y limpiar'!Q835</f>
        <v/>
      </c>
      <c r="R821">
        <f>'2 transformar y limpiar'!R835</f>
        <v/>
      </c>
      <c r="S821">
        <f>'2 transformar y limpiar'!S835</f>
        <v/>
      </c>
      <c r="T821">
        <f>'2 transformar y limpiar'!T835</f>
        <v/>
      </c>
      <c r="U821" s="5">
        <f>'2 transformar y limpiar'!U835</f>
        <v/>
      </c>
    </row>
    <row r="822">
      <c r="A822">
        <f>'2 transformar y limpiar'!A836</f>
        <v/>
      </c>
      <c r="B822">
        <f>'2 transformar y limpiar'!B836</f>
        <v/>
      </c>
      <c r="C822" s="6">
        <f>('2 transformar y limpiar'!C836-$B$6)/$C$6</f>
        <v/>
      </c>
      <c r="D822" s="6">
        <f>('2 transformar y limpiar'!D836-$B$7)/$C$7</f>
        <v/>
      </c>
      <c r="E822" s="6">
        <f>('2 transformar y limpiar'!E836-$B$8)/$C$8</f>
        <v/>
      </c>
      <c r="F822" s="6">
        <f>('2 transformar y limpiar'!F836-$B$9)/$C$9</f>
        <v/>
      </c>
      <c r="G822">
        <f>'2 transformar y limpiar'!G836</f>
        <v/>
      </c>
      <c r="H822">
        <f>'2 transformar y limpiar'!H836</f>
        <v/>
      </c>
      <c r="I822">
        <f>'2 transformar y limpiar'!I836</f>
        <v/>
      </c>
      <c r="J822">
        <f>'2 transformar y limpiar'!J836</f>
        <v/>
      </c>
      <c r="K822">
        <f>'2 transformar y limpiar'!K836</f>
        <v/>
      </c>
      <c r="L822">
        <f>'2 transformar y limpiar'!L836</f>
        <v/>
      </c>
      <c r="M822">
        <f>'2 transformar y limpiar'!M836</f>
        <v/>
      </c>
      <c r="N822">
        <f>'2 transformar y limpiar'!N836</f>
        <v/>
      </c>
      <c r="O822">
        <f>'2 transformar y limpiar'!O836</f>
        <v/>
      </c>
      <c r="P822">
        <f>'2 transformar y limpiar'!P836</f>
        <v/>
      </c>
      <c r="Q822">
        <f>'2 transformar y limpiar'!Q836</f>
        <v/>
      </c>
      <c r="R822">
        <f>'2 transformar y limpiar'!R836</f>
        <v/>
      </c>
      <c r="S822">
        <f>'2 transformar y limpiar'!S836</f>
        <v/>
      </c>
      <c r="T822">
        <f>'2 transformar y limpiar'!T836</f>
        <v/>
      </c>
      <c r="U822" s="5">
        <f>'2 transformar y limpiar'!U836</f>
        <v/>
      </c>
    </row>
    <row r="823">
      <c r="A823">
        <f>'2 transformar y limpiar'!A837</f>
        <v/>
      </c>
      <c r="B823">
        <f>'2 transformar y limpiar'!B837</f>
        <v/>
      </c>
      <c r="C823" s="6">
        <f>('2 transformar y limpiar'!C837-$B$6)/$C$6</f>
        <v/>
      </c>
      <c r="D823" s="6">
        <f>('2 transformar y limpiar'!D837-$B$7)/$C$7</f>
        <v/>
      </c>
      <c r="E823" s="6">
        <f>('2 transformar y limpiar'!E837-$B$8)/$C$8</f>
        <v/>
      </c>
      <c r="F823" s="6">
        <f>('2 transformar y limpiar'!F837-$B$9)/$C$9</f>
        <v/>
      </c>
      <c r="G823">
        <f>'2 transformar y limpiar'!G837</f>
        <v/>
      </c>
      <c r="H823">
        <f>'2 transformar y limpiar'!H837</f>
        <v/>
      </c>
      <c r="I823">
        <f>'2 transformar y limpiar'!I837</f>
        <v/>
      </c>
      <c r="J823">
        <f>'2 transformar y limpiar'!J837</f>
        <v/>
      </c>
      <c r="K823">
        <f>'2 transformar y limpiar'!K837</f>
        <v/>
      </c>
      <c r="L823">
        <f>'2 transformar y limpiar'!L837</f>
        <v/>
      </c>
      <c r="M823">
        <f>'2 transformar y limpiar'!M837</f>
        <v/>
      </c>
      <c r="N823">
        <f>'2 transformar y limpiar'!N837</f>
        <v/>
      </c>
      <c r="O823">
        <f>'2 transformar y limpiar'!O837</f>
        <v/>
      </c>
      <c r="P823">
        <f>'2 transformar y limpiar'!P837</f>
        <v/>
      </c>
      <c r="Q823">
        <f>'2 transformar y limpiar'!Q837</f>
        <v/>
      </c>
      <c r="R823">
        <f>'2 transformar y limpiar'!R837</f>
        <v/>
      </c>
      <c r="S823">
        <f>'2 transformar y limpiar'!S837</f>
        <v/>
      </c>
      <c r="T823">
        <f>'2 transformar y limpiar'!T837</f>
        <v/>
      </c>
      <c r="U823" s="5">
        <f>'2 transformar y limpiar'!U837</f>
        <v/>
      </c>
    </row>
    <row r="824">
      <c r="A824">
        <f>'2 transformar y limpiar'!A838</f>
        <v/>
      </c>
      <c r="B824">
        <f>'2 transformar y limpiar'!B838</f>
        <v/>
      </c>
      <c r="C824" s="6">
        <f>('2 transformar y limpiar'!C838-$B$6)/$C$6</f>
        <v/>
      </c>
      <c r="D824" s="6">
        <f>('2 transformar y limpiar'!D838-$B$7)/$C$7</f>
        <v/>
      </c>
      <c r="E824" s="6">
        <f>('2 transformar y limpiar'!E838-$B$8)/$C$8</f>
        <v/>
      </c>
      <c r="F824" s="6">
        <f>('2 transformar y limpiar'!F838-$B$9)/$C$9</f>
        <v/>
      </c>
      <c r="G824">
        <f>'2 transformar y limpiar'!G838</f>
        <v/>
      </c>
      <c r="H824">
        <f>'2 transformar y limpiar'!H838</f>
        <v/>
      </c>
      <c r="I824">
        <f>'2 transformar y limpiar'!I838</f>
        <v/>
      </c>
      <c r="J824">
        <f>'2 transformar y limpiar'!J838</f>
        <v/>
      </c>
      <c r="K824">
        <f>'2 transformar y limpiar'!K838</f>
        <v/>
      </c>
      <c r="L824">
        <f>'2 transformar y limpiar'!L838</f>
        <v/>
      </c>
      <c r="M824">
        <f>'2 transformar y limpiar'!M838</f>
        <v/>
      </c>
      <c r="N824">
        <f>'2 transformar y limpiar'!N838</f>
        <v/>
      </c>
      <c r="O824">
        <f>'2 transformar y limpiar'!O838</f>
        <v/>
      </c>
      <c r="P824">
        <f>'2 transformar y limpiar'!P838</f>
        <v/>
      </c>
      <c r="Q824">
        <f>'2 transformar y limpiar'!Q838</f>
        <v/>
      </c>
      <c r="R824">
        <f>'2 transformar y limpiar'!R838</f>
        <v/>
      </c>
      <c r="S824">
        <f>'2 transformar y limpiar'!S838</f>
        <v/>
      </c>
      <c r="T824">
        <f>'2 transformar y limpiar'!T838</f>
        <v/>
      </c>
      <c r="U824" s="5">
        <f>'2 transformar y limpiar'!U838</f>
        <v/>
      </c>
    </row>
    <row r="825">
      <c r="A825">
        <f>'2 transformar y limpiar'!A839</f>
        <v/>
      </c>
      <c r="B825">
        <f>'2 transformar y limpiar'!B839</f>
        <v/>
      </c>
      <c r="C825" s="6">
        <f>('2 transformar y limpiar'!C839-$B$6)/$C$6</f>
        <v/>
      </c>
      <c r="D825" s="6">
        <f>('2 transformar y limpiar'!D839-$B$7)/$C$7</f>
        <v/>
      </c>
      <c r="E825" s="6">
        <f>('2 transformar y limpiar'!E839-$B$8)/$C$8</f>
        <v/>
      </c>
      <c r="F825" s="6">
        <f>('2 transformar y limpiar'!F839-$B$9)/$C$9</f>
        <v/>
      </c>
      <c r="G825">
        <f>'2 transformar y limpiar'!G839</f>
        <v/>
      </c>
      <c r="H825">
        <f>'2 transformar y limpiar'!H839</f>
        <v/>
      </c>
      <c r="I825">
        <f>'2 transformar y limpiar'!I839</f>
        <v/>
      </c>
      <c r="J825">
        <f>'2 transformar y limpiar'!J839</f>
        <v/>
      </c>
      <c r="K825">
        <f>'2 transformar y limpiar'!K839</f>
        <v/>
      </c>
      <c r="L825">
        <f>'2 transformar y limpiar'!L839</f>
        <v/>
      </c>
      <c r="M825">
        <f>'2 transformar y limpiar'!M839</f>
        <v/>
      </c>
      <c r="N825">
        <f>'2 transformar y limpiar'!N839</f>
        <v/>
      </c>
      <c r="O825">
        <f>'2 transformar y limpiar'!O839</f>
        <v/>
      </c>
      <c r="P825">
        <f>'2 transformar y limpiar'!P839</f>
        <v/>
      </c>
      <c r="Q825">
        <f>'2 transformar y limpiar'!Q839</f>
        <v/>
      </c>
      <c r="R825">
        <f>'2 transformar y limpiar'!R839</f>
        <v/>
      </c>
      <c r="S825">
        <f>'2 transformar y limpiar'!S839</f>
        <v/>
      </c>
      <c r="T825">
        <f>'2 transformar y limpiar'!T839</f>
        <v/>
      </c>
      <c r="U825" s="5">
        <f>'2 transformar y limpiar'!U839</f>
        <v/>
      </c>
    </row>
    <row r="826">
      <c r="A826">
        <f>'2 transformar y limpiar'!A840</f>
        <v/>
      </c>
      <c r="B826">
        <f>'2 transformar y limpiar'!B840</f>
        <v/>
      </c>
      <c r="C826" s="6">
        <f>('2 transformar y limpiar'!C840-$B$6)/$C$6</f>
        <v/>
      </c>
      <c r="D826" s="6">
        <f>('2 transformar y limpiar'!D840-$B$7)/$C$7</f>
        <v/>
      </c>
      <c r="E826" s="6">
        <f>('2 transformar y limpiar'!E840-$B$8)/$C$8</f>
        <v/>
      </c>
      <c r="F826" s="6">
        <f>('2 transformar y limpiar'!F840-$B$9)/$C$9</f>
        <v/>
      </c>
      <c r="G826">
        <f>'2 transformar y limpiar'!G840</f>
        <v/>
      </c>
      <c r="H826">
        <f>'2 transformar y limpiar'!H840</f>
        <v/>
      </c>
      <c r="I826">
        <f>'2 transformar y limpiar'!I840</f>
        <v/>
      </c>
      <c r="J826">
        <f>'2 transformar y limpiar'!J840</f>
        <v/>
      </c>
      <c r="K826">
        <f>'2 transformar y limpiar'!K840</f>
        <v/>
      </c>
      <c r="L826">
        <f>'2 transformar y limpiar'!L840</f>
        <v/>
      </c>
      <c r="M826">
        <f>'2 transformar y limpiar'!M840</f>
        <v/>
      </c>
      <c r="N826">
        <f>'2 transformar y limpiar'!N840</f>
        <v/>
      </c>
      <c r="O826">
        <f>'2 transformar y limpiar'!O840</f>
        <v/>
      </c>
      <c r="P826">
        <f>'2 transformar y limpiar'!P840</f>
        <v/>
      </c>
      <c r="Q826">
        <f>'2 transformar y limpiar'!Q840</f>
        <v/>
      </c>
      <c r="R826">
        <f>'2 transformar y limpiar'!R840</f>
        <v/>
      </c>
      <c r="S826">
        <f>'2 transformar y limpiar'!S840</f>
        <v/>
      </c>
      <c r="T826">
        <f>'2 transformar y limpiar'!T840</f>
        <v/>
      </c>
      <c r="U826" s="5">
        <f>'2 transformar y limpiar'!U840</f>
        <v/>
      </c>
    </row>
    <row r="827">
      <c r="A827">
        <f>'2 transformar y limpiar'!A841</f>
        <v/>
      </c>
      <c r="B827">
        <f>'2 transformar y limpiar'!B841</f>
        <v/>
      </c>
      <c r="C827" s="6">
        <f>('2 transformar y limpiar'!C841-$B$6)/$C$6</f>
        <v/>
      </c>
      <c r="D827" s="6">
        <f>('2 transformar y limpiar'!D841-$B$7)/$C$7</f>
        <v/>
      </c>
      <c r="E827" s="6">
        <f>('2 transformar y limpiar'!E841-$B$8)/$C$8</f>
        <v/>
      </c>
      <c r="F827" s="6">
        <f>('2 transformar y limpiar'!F841-$B$9)/$C$9</f>
        <v/>
      </c>
      <c r="G827">
        <f>'2 transformar y limpiar'!G841</f>
        <v/>
      </c>
      <c r="H827">
        <f>'2 transformar y limpiar'!H841</f>
        <v/>
      </c>
      <c r="I827">
        <f>'2 transformar y limpiar'!I841</f>
        <v/>
      </c>
      <c r="J827">
        <f>'2 transformar y limpiar'!J841</f>
        <v/>
      </c>
      <c r="K827">
        <f>'2 transformar y limpiar'!K841</f>
        <v/>
      </c>
      <c r="L827">
        <f>'2 transformar y limpiar'!L841</f>
        <v/>
      </c>
      <c r="M827">
        <f>'2 transformar y limpiar'!M841</f>
        <v/>
      </c>
      <c r="N827">
        <f>'2 transformar y limpiar'!N841</f>
        <v/>
      </c>
      <c r="O827">
        <f>'2 transformar y limpiar'!O841</f>
        <v/>
      </c>
      <c r="P827">
        <f>'2 transformar y limpiar'!P841</f>
        <v/>
      </c>
      <c r="Q827">
        <f>'2 transformar y limpiar'!Q841</f>
        <v/>
      </c>
      <c r="R827">
        <f>'2 transformar y limpiar'!R841</f>
        <v/>
      </c>
      <c r="S827">
        <f>'2 transformar y limpiar'!S841</f>
        <v/>
      </c>
      <c r="T827">
        <f>'2 transformar y limpiar'!T841</f>
        <v/>
      </c>
      <c r="U827" s="5">
        <f>'2 transformar y limpiar'!U841</f>
        <v/>
      </c>
    </row>
    <row r="828">
      <c r="A828">
        <f>'2 transformar y limpiar'!A842</f>
        <v/>
      </c>
      <c r="B828">
        <f>'2 transformar y limpiar'!B842</f>
        <v/>
      </c>
      <c r="C828" s="6">
        <f>('2 transformar y limpiar'!C842-$B$6)/$C$6</f>
        <v/>
      </c>
      <c r="D828" s="6">
        <f>('2 transformar y limpiar'!D842-$B$7)/$C$7</f>
        <v/>
      </c>
      <c r="E828" s="6">
        <f>('2 transformar y limpiar'!E842-$B$8)/$C$8</f>
        <v/>
      </c>
      <c r="F828" s="6">
        <f>('2 transformar y limpiar'!F842-$B$9)/$C$9</f>
        <v/>
      </c>
      <c r="G828">
        <f>'2 transformar y limpiar'!G842</f>
        <v/>
      </c>
      <c r="H828">
        <f>'2 transformar y limpiar'!H842</f>
        <v/>
      </c>
      <c r="I828">
        <f>'2 transformar y limpiar'!I842</f>
        <v/>
      </c>
      <c r="J828">
        <f>'2 transformar y limpiar'!J842</f>
        <v/>
      </c>
      <c r="K828">
        <f>'2 transformar y limpiar'!K842</f>
        <v/>
      </c>
      <c r="L828">
        <f>'2 transformar y limpiar'!L842</f>
        <v/>
      </c>
      <c r="M828">
        <f>'2 transformar y limpiar'!M842</f>
        <v/>
      </c>
      <c r="N828">
        <f>'2 transformar y limpiar'!N842</f>
        <v/>
      </c>
      <c r="O828">
        <f>'2 transformar y limpiar'!O842</f>
        <v/>
      </c>
      <c r="P828">
        <f>'2 transformar y limpiar'!P842</f>
        <v/>
      </c>
      <c r="Q828">
        <f>'2 transformar y limpiar'!Q842</f>
        <v/>
      </c>
      <c r="R828">
        <f>'2 transformar y limpiar'!R842</f>
        <v/>
      </c>
      <c r="S828">
        <f>'2 transformar y limpiar'!S842</f>
        <v/>
      </c>
      <c r="T828">
        <f>'2 transformar y limpiar'!T842</f>
        <v/>
      </c>
      <c r="U828" s="5">
        <f>'2 transformar y limpiar'!U842</f>
        <v/>
      </c>
    </row>
    <row r="829">
      <c r="A829">
        <f>'2 transformar y limpiar'!A843</f>
        <v/>
      </c>
      <c r="B829">
        <f>'2 transformar y limpiar'!B843</f>
        <v/>
      </c>
      <c r="C829" s="6">
        <f>('2 transformar y limpiar'!C843-$B$6)/$C$6</f>
        <v/>
      </c>
      <c r="D829" s="6">
        <f>('2 transformar y limpiar'!D843-$B$7)/$C$7</f>
        <v/>
      </c>
      <c r="E829" s="6">
        <f>('2 transformar y limpiar'!E843-$B$8)/$C$8</f>
        <v/>
      </c>
      <c r="F829" s="6">
        <f>('2 transformar y limpiar'!F843-$B$9)/$C$9</f>
        <v/>
      </c>
      <c r="G829">
        <f>'2 transformar y limpiar'!G843</f>
        <v/>
      </c>
      <c r="H829">
        <f>'2 transformar y limpiar'!H843</f>
        <v/>
      </c>
      <c r="I829">
        <f>'2 transformar y limpiar'!I843</f>
        <v/>
      </c>
      <c r="J829">
        <f>'2 transformar y limpiar'!J843</f>
        <v/>
      </c>
      <c r="K829">
        <f>'2 transformar y limpiar'!K843</f>
        <v/>
      </c>
      <c r="L829">
        <f>'2 transformar y limpiar'!L843</f>
        <v/>
      </c>
      <c r="M829">
        <f>'2 transformar y limpiar'!M843</f>
        <v/>
      </c>
      <c r="N829">
        <f>'2 transformar y limpiar'!N843</f>
        <v/>
      </c>
      <c r="O829">
        <f>'2 transformar y limpiar'!O843</f>
        <v/>
      </c>
      <c r="P829">
        <f>'2 transformar y limpiar'!P843</f>
        <v/>
      </c>
      <c r="Q829">
        <f>'2 transformar y limpiar'!Q843</f>
        <v/>
      </c>
      <c r="R829">
        <f>'2 transformar y limpiar'!R843</f>
        <v/>
      </c>
      <c r="S829">
        <f>'2 transformar y limpiar'!S843</f>
        <v/>
      </c>
      <c r="T829">
        <f>'2 transformar y limpiar'!T843</f>
        <v/>
      </c>
      <c r="U829" s="5">
        <f>'2 transformar y limpiar'!U843</f>
        <v/>
      </c>
    </row>
    <row r="830">
      <c r="A830">
        <f>'2 transformar y limpiar'!A844</f>
        <v/>
      </c>
      <c r="B830">
        <f>'2 transformar y limpiar'!B844</f>
        <v/>
      </c>
      <c r="C830" s="6">
        <f>('2 transformar y limpiar'!C844-$B$6)/$C$6</f>
        <v/>
      </c>
      <c r="D830" s="6">
        <f>('2 transformar y limpiar'!D844-$B$7)/$C$7</f>
        <v/>
      </c>
      <c r="E830" s="6">
        <f>('2 transformar y limpiar'!E844-$B$8)/$C$8</f>
        <v/>
      </c>
      <c r="F830" s="6">
        <f>('2 transformar y limpiar'!F844-$B$9)/$C$9</f>
        <v/>
      </c>
      <c r="G830">
        <f>'2 transformar y limpiar'!G844</f>
        <v/>
      </c>
      <c r="H830">
        <f>'2 transformar y limpiar'!H844</f>
        <v/>
      </c>
      <c r="I830">
        <f>'2 transformar y limpiar'!I844</f>
        <v/>
      </c>
      <c r="J830">
        <f>'2 transformar y limpiar'!J844</f>
        <v/>
      </c>
      <c r="K830">
        <f>'2 transformar y limpiar'!K844</f>
        <v/>
      </c>
      <c r="L830">
        <f>'2 transformar y limpiar'!L844</f>
        <v/>
      </c>
      <c r="M830">
        <f>'2 transformar y limpiar'!M844</f>
        <v/>
      </c>
      <c r="N830">
        <f>'2 transformar y limpiar'!N844</f>
        <v/>
      </c>
      <c r="O830">
        <f>'2 transformar y limpiar'!O844</f>
        <v/>
      </c>
      <c r="P830">
        <f>'2 transformar y limpiar'!P844</f>
        <v/>
      </c>
      <c r="Q830">
        <f>'2 transformar y limpiar'!Q844</f>
        <v/>
      </c>
      <c r="R830">
        <f>'2 transformar y limpiar'!R844</f>
        <v/>
      </c>
      <c r="S830">
        <f>'2 transformar y limpiar'!S844</f>
        <v/>
      </c>
      <c r="T830">
        <f>'2 transformar y limpiar'!T844</f>
        <v/>
      </c>
      <c r="U830" s="5">
        <f>'2 transformar y limpiar'!U844</f>
        <v/>
      </c>
    </row>
    <row r="831">
      <c r="A831">
        <f>'2 transformar y limpiar'!A845</f>
        <v/>
      </c>
      <c r="B831">
        <f>'2 transformar y limpiar'!B845</f>
        <v/>
      </c>
      <c r="C831" s="6">
        <f>('2 transformar y limpiar'!C845-$B$6)/$C$6</f>
        <v/>
      </c>
      <c r="D831" s="6">
        <f>('2 transformar y limpiar'!D845-$B$7)/$C$7</f>
        <v/>
      </c>
      <c r="E831" s="6">
        <f>('2 transformar y limpiar'!E845-$B$8)/$C$8</f>
        <v/>
      </c>
      <c r="F831" s="6">
        <f>('2 transformar y limpiar'!F845-$B$9)/$C$9</f>
        <v/>
      </c>
      <c r="G831">
        <f>'2 transformar y limpiar'!G845</f>
        <v/>
      </c>
      <c r="H831">
        <f>'2 transformar y limpiar'!H845</f>
        <v/>
      </c>
      <c r="I831">
        <f>'2 transformar y limpiar'!I845</f>
        <v/>
      </c>
      <c r="J831">
        <f>'2 transformar y limpiar'!J845</f>
        <v/>
      </c>
      <c r="K831">
        <f>'2 transformar y limpiar'!K845</f>
        <v/>
      </c>
      <c r="L831">
        <f>'2 transformar y limpiar'!L845</f>
        <v/>
      </c>
      <c r="M831">
        <f>'2 transformar y limpiar'!M845</f>
        <v/>
      </c>
      <c r="N831">
        <f>'2 transformar y limpiar'!N845</f>
        <v/>
      </c>
      <c r="O831">
        <f>'2 transformar y limpiar'!O845</f>
        <v/>
      </c>
      <c r="P831">
        <f>'2 transformar y limpiar'!P845</f>
        <v/>
      </c>
      <c r="Q831">
        <f>'2 transformar y limpiar'!Q845</f>
        <v/>
      </c>
      <c r="R831">
        <f>'2 transformar y limpiar'!R845</f>
        <v/>
      </c>
      <c r="S831">
        <f>'2 transformar y limpiar'!S845</f>
        <v/>
      </c>
      <c r="T831">
        <f>'2 transformar y limpiar'!T845</f>
        <v/>
      </c>
      <c r="U831" s="5">
        <f>'2 transformar y limpiar'!U845</f>
        <v/>
      </c>
    </row>
    <row r="832">
      <c r="A832">
        <f>'2 transformar y limpiar'!A846</f>
        <v/>
      </c>
      <c r="B832">
        <f>'2 transformar y limpiar'!B846</f>
        <v/>
      </c>
      <c r="C832" s="6">
        <f>('2 transformar y limpiar'!C846-$B$6)/$C$6</f>
        <v/>
      </c>
      <c r="D832" s="6">
        <f>('2 transformar y limpiar'!D846-$B$7)/$C$7</f>
        <v/>
      </c>
      <c r="E832" s="6">
        <f>('2 transformar y limpiar'!E846-$B$8)/$C$8</f>
        <v/>
      </c>
      <c r="F832" s="6">
        <f>('2 transformar y limpiar'!F846-$B$9)/$C$9</f>
        <v/>
      </c>
      <c r="G832">
        <f>'2 transformar y limpiar'!G846</f>
        <v/>
      </c>
      <c r="H832">
        <f>'2 transformar y limpiar'!H846</f>
        <v/>
      </c>
      <c r="I832">
        <f>'2 transformar y limpiar'!I846</f>
        <v/>
      </c>
      <c r="J832">
        <f>'2 transformar y limpiar'!J846</f>
        <v/>
      </c>
      <c r="K832">
        <f>'2 transformar y limpiar'!K846</f>
        <v/>
      </c>
      <c r="L832">
        <f>'2 transformar y limpiar'!L846</f>
        <v/>
      </c>
      <c r="M832">
        <f>'2 transformar y limpiar'!M846</f>
        <v/>
      </c>
      <c r="N832">
        <f>'2 transformar y limpiar'!N846</f>
        <v/>
      </c>
      <c r="O832">
        <f>'2 transformar y limpiar'!O846</f>
        <v/>
      </c>
      <c r="P832">
        <f>'2 transformar y limpiar'!P846</f>
        <v/>
      </c>
      <c r="Q832">
        <f>'2 transformar y limpiar'!Q846</f>
        <v/>
      </c>
      <c r="R832">
        <f>'2 transformar y limpiar'!R846</f>
        <v/>
      </c>
      <c r="S832">
        <f>'2 transformar y limpiar'!S846</f>
        <v/>
      </c>
      <c r="T832">
        <f>'2 transformar y limpiar'!T846</f>
        <v/>
      </c>
      <c r="U832" s="5">
        <f>'2 transformar y limpiar'!U846</f>
        <v/>
      </c>
    </row>
    <row r="833">
      <c r="A833">
        <f>'2 transformar y limpiar'!A847</f>
        <v/>
      </c>
      <c r="B833">
        <f>'2 transformar y limpiar'!B847</f>
        <v/>
      </c>
      <c r="C833" s="6">
        <f>('2 transformar y limpiar'!C847-$B$6)/$C$6</f>
        <v/>
      </c>
      <c r="D833" s="6">
        <f>('2 transformar y limpiar'!D847-$B$7)/$C$7</f>
        <v/>
      </c>
      <c r="E833" s="6">
        <f>('2 transformar y limpiar'!E847-$B$8)/$C$8</f>
        <v/>
      </c>
      <c r="F833" s="6">
        <f>('2 transformar y limpiar'!F847-$B$9)/$C$9</f>
        <v/>
      </c>
      <c r="G833">
        <f>'2 transformar y limpiar'!G847</f>
        <v/>
      </c>
      <c r="H833">
        <f>'2 transformar y limpiar'!H847</f>
        <v/>
      </c>
      <c r="I833">
        <f>'2 transformar y limpiar'!I847</f>
        <v/>
      </c>
      <c r="J833">
        <f>'2 transformar y limpiar'!J847</f>
        <v/>
      </c>
      <c r="K833">
        <f>'2 transformar y limpiar'!K847</f>
        <v/>
      </c>
      <c r="L833">
        <f>'2 transformar y limpiar'!L847</f>
        <v/>
      </c>
      <c r="M833">
        <f>'2 transformar y limpiar'!M847</f>
        <v/>
      </c>
      <c r="N833">
        <f>'2 transformar y limpiar'!N847</f>
        <v/>
      </c>
      <c r="O833">
        <f>'2 transformar y limpiar'!O847</f>
        <v/>
      </c>
      <c r="P833">
        <f>'2 transformar y limpiar'!P847</f>
        <v/>
      </c>
      <c r="Q833">
        <f>'2 transformar y limpiar'!Q847</f>
        <v/>
      </c>
      <c r="R833">
        <f>'2 transformar y limpiar'!R847</f>
        <v/>
      </c>
      <c r="S833">
        <f>'2 transformar y limpiar'!S847</f>
        <v/>
      </c>
      <c r="T833">
        <f>'2 transformar y limpiar'!T847</f>
        <v/>
      </c>
      <c r="U833" s="5">
        <f>'2 transformar y limpiar'!U847</f>
        <v/>
      </c>
    </row>
    <row r="834">
      <c r="A834">
        <f>'2 transformar y limpiar'!A848</f>
        <v/>
      </c>
      <c r="B834">
        <f>'2 transformar y limpiar'!B848</f>
        <v/>
      </c>
      <c r="C834" s="6">
        <f>('2 transformar y limpiar'!C848-$B$6)/$C$6</f>
        <v/>
      </c>
      <c r="D834" s="6">
        <f>('2 transformar y limpiar'!D848-$B$7)/$C$7</f>
        <v/>
      </c>
      <c r="E834" s="6">
        <f>('2 transformar y limpiar'!E848-$B$8)/$C$8</f>
        <v/>
      </c>
      <c r="F834" s="6">
        <f>('2 transformar y limpiar'!F848-$B$9)/$C$9</f>
        <v/>
      </c>
      <c r="G834">
        <f>'2 transformar y limpiar'!G848</f>
        <v/>
      </c>
      <c r="H834">
        <f>'2 transformar y limpiar'!H848</f>
        <v/>
      </c>
      <c r="I834">
        <f>'2 transformar y limpiar'!I848</f>
        <v/>
      </c>
      <c r="J834">
        <f>'2 transformar y limpiar'!J848</f>
        <v/>
      </c>
      <c r="K834">
        <f>'2 transformar y limpiar'!K848</f>
        <v/>
      </c>
      <c r="L834">
        <f>'2 transformar y limpiar'!L848</f>
        <v/>
      </c>
      <c r="M834">
        <f>'2 transformar y limpiar'!M848</f>
        <v/>
      </c>
      <c r="N834">
        <f>'2 transformar y limpiar'!N848</f>
        <v/>
      </c>
      <c r="O834">
        <f>'2 transformar y limpiar'!O848</f>
        <v/>
      </c>
      <c r="P834">
        <f>'2 transformar y limpiar'!P848</f>
        <v/>
      </c>
      <c r="Q834">
        <f>'2 transformar y limpiar'!Q848</f>
        <v/>
      </c>
      <c r="R834">
        <f>'2 transformar y limpiar'!R848</f>
        <v/>
      </c>
      <c r="S834">
        <f>'2 transformar y limpiar'!S848</f>
        <v/>
      </c>
      <c r="T834">
        <f>'2 transformar y limpiar'!T848</f>
        <v/>
      </c>
      <c r="U834" s="5">
        <f>'2 transformar y limpiar'!U848</f>
        <v/>
      </c>
    </row>
    <row r="835">
      <c r="A835">
        <f>'2 transformar y limpiar'!A849</f>
        <v/>
      </c>
      <c r="B835">
        <f>'2 transformar y limpiar'!B849</f>
        <v/>
      </c>
      <c r="C835" s="6">
        <f>('2 transformar y limpiar'!C849-$B$6)/$C$6</f>
        <v/>
      </c>
      <c r="D835" s="6">
        <f>('2 transformar y limpiar'!D849-$B$7)/$C$7</f>
        <v/>
      </c>
      <c r="E835" s="6">
        <f>('2 transformar y limpiar'!E849-$B$8)/$C$8</f>
        <v/>
      </c>
      <c r="F835" s="6">
        <f>('2 transformar y limpiar'!F849-$B$9)/$C$9</f>
        <v/>
      </c>
      <c r="G835">
        <f>'2 transformar y limpiar'!G849</f>
        <v/>
      </c>
      <c r="H835">
        <f>'2 transformar y limpiar'!H849</f>
        <v/>
      </c>
      <c r="I835">
        <f>'2 transformar y limpiar'!I849</f>
        <v/>
      </c>
      <c r="J835">
        <f>'2 transformar y limpiar'!J849</f>
        <v/>
      </c>
      <c r="K835">
        <f>'2 transformar y limpiar'!K849</f>
        <v/>
      </c>
      <c r="L835">
        <f>'2 transformar y limpiar'!L849</f>
        <v/>
      </c>
      <c r="M835">
        <f>'2 transformar y limpiar'!M849</f>
        <v/>
      </c>
      <c r="N835">
        <f>'2 transformar y limpiar'!N849</f>
        <v/>
      </c>
      <c r="O835">
        <f>'2 transformar y limpiar'!O849</f>
        <v/>
      </c>
      <c r="P835">
        <f>'2 transformar y limpiar'!P849</f>
        <v/>
      </c>
      <c r="Q835">
        <f>'2 transformar y limpiar'!Q849</f>
        <v/>
      </c>
      <c r="R835">
        <f>'2 transformar y limpiar'!R849</f>
        <v/>
      </c>
      <c r="S835">
        <f>'2 transformar y limpiar'!S849</f>
        <v/>
      </c>
      <c r="T835">
        <f>'2 transformar y limpiar'!T849</f>
        <v/>
      </c>
      <c r="U835" s="5">
        <f>'2 transformar y limpiar'!U849</f>
        <v/>
      </c>
    </row>
    <row r="836">
      <c r="A836">
        <f>'2 transformar y limpiar'!A850</f>
        <v/>
      </c>
      <c r="B836">
        <f>'2 transformar y limpiar'!B850</f>
        <v/>
      </c>
      <c r="C836" s="6">
        <f>('2 transformar y limpiar'!C850-$B$6)/$C$6</f>
        <v/>
      </c>
      <c r="D836" s="6">
        <f>('2 transformar y limpiar'!D850-$B$7)/$C$7</f>
        <v/>
      </c>
      <c r="E836" s="6">
        <f>('2 transformar y limpiar'!E850-$B$8)/$C$8</f>
        <v/>
      </c>
      <c r="F836" s="6">
        <f>('2 transformar y limpiar'!F850-$B$9)/$C$9</f>
        <v/>
      </c>
      <c r="G836">
        <f>'2 transformar y limpiar'!G850</f>
        <v/>
      </c>
      <c r="H836">
        <f>'2 transformar y limpiar'!H850</f>
        <v/>
      </c>
      <c r="I836">
        <f>'2 transformar y limpiar'!I850</f>
        <v/>
      </c>
      <c r="J836">
        <f>'2 transformar y limpiar'!J850</f>
        <v/>
      </c>
      <c r="K836">
        <f>'2 transformar y limpiar'!K850</f>
        <v/>
      </c>
      <c r="L836">
        <f>'2 transformar y limpiar'!L850</f>
        <v/>
      </c>
      <c r="M836">
        <f>'2 transformar y limpiar'!M850</f>
        <v/>
      </c>
      <c r="N836">
        <f>'2 transformar y limpiar'!N850</f>
        <v/>
      </c>
      <c r="O836">
        <f>'2 transformar y limpiar'!O850</f>
        <v/>
      </c>
      <c r="P836">
        <f>'2 transformar y limpiar'!P850</f>
        <v/>
      </c>
      <c r="Q836">
        <f>'2 transformar y limpiar'!Q850</f>
        <v/>
      </c>
      <c r="R836">
        <f>'2 transformar y limpiar'!R850</f>
        <v/>
      </c>
      <c r="S836">
        <f>'2 transformar y limpiar'!S850</f>
        <v/>
      </c>
      <c r="T836">
        <f>'2 transformar y limpiar'!T850</f>
        <v/>
      </c>
      <c r="U836" s="5">
        <f>'2 transformar y limpiar'!U850</f>
        <v/>
      </c>
    </row>
    <row r="837">
      <c r="A837">
        <f>'2 transformar y limpiar'!A851</f>
        <v/>
      </c>
      <c r="B837">
        <f>'2 transformar y limpiar'!B851</f>
        <v/>
      </c>
      <c r="C837" s="6">
        <f>('2 transformar y limpiar'!C851-$B$6)/$C$6</f>
        <v/>
      </c>
      <c r="D837" s="6">
        <f>('2 transformar y limpiar'!D851-$B$7)/$C$7</f>
        <v/>
      </c>
      <c r="E837" s="6">
        <f>('2 transformar y limpiar'!E851-$B$8)/$C$8</f>
        <v/>
      </c>
      <c r="F837" s="6">
        <f>('2 transformar y limpiar'!F851-$B$9)/$C$9</f>
        <v/>
      </c>
      <c r="G837">
        <f>'2 transformar y limpiar'!G851</f>
        <v/>
      </c>
      <c r="H837">
        <f>'2 transformar y limpiar'!H851</f>
        <v/>
      </c>
      <c r="I837">
        <f>'2 transformar y limpiar'!I851</f>
        <v/>
      </c>
      <c r="J837">
        <f>'2 transformar y limpiar'!J851</f>
        <v/>
      </c>
      <c r="K837">
        <f>'2 transformar y limpiar'!K851</f>
        <v/>
      </c>
      <c r="L837">
        <f>'2 transformar y limpiar'!L851</f>
        <v/>
      </c>
      <c r="M837">
        <f>'2 transformar y limpiar'!M851</f>
        <v/>
      </c>
      <c r="N837">
        <f>'2 transformar y limpiar'!N851</f>
        <v/>
      </c>
      <c r="O837">
        <f>'2 transformar y limpiar'!O851</f>
        <v/>
      </c>
      <c r="P837">
        <f>'2 transformar y limpiar'!P851</f>
        <v/>
      </c>
      <c r="Q837">
        <f>'2 transformar y limpiar'!Q851</f>
        <v/>
      </c>
      <c r="R837">
        <f>'2 transformar y limpiar'!R851</f>
        <v/>
      </c>
      <c r="S837">
        <f>'2 transformar y limpiar'!S851</f>
        <v/>
      </c>
      <c r="T837">
        <f>'2 transformar y limpiar'!T851</f>
        <v/>
      </c>
      <c r="U837" s="5">
        <f>'2 transformar y limpiar'!U851</f>
        <v/>
      </c>
    </row>
    <row r="838">
      <c r="A838">
        <f>'2 transformar y limpiar'!A852</f>
        <v/>
      </c>
      <c r="B838">
        <f>'2 transformar y limpiar'!B852</f>
        <v/>
      </c>
      <c r="C838" s="6">
        <f>('2 transformar y limpiar'!C852-$B$6)/$C$6</f>
        <v/>
      </c>
      <c r="D838" s="6">
        <f>('2 transformar y limpiar'!D852-$B$7)/$C$7</f>
        <v/>
      </c>
      <c r="E838" s="6">
        <f>('2 transformar y limpiar'!E852-$B$8)/$C$8</f>
        <v/>
      </c>
      <c r="F838" s="6">
        <f>('2 transformar y limpiar'!F852-$B$9)/$C$9</f>
        <v/>
      </c>
      <c r="G838">
        <f>'2 transformar y limpiar'!G852</f>
        <v/>
      </c>
      <c r="H838">
        <f>'2 transformar y limpiar'!H852</f>
        <v/>
      </c>
      <c r="I838">
        <f>'2 transformar y limpiar'!I852</f>
        <v/>
      </c>
      <c r="J838">
        <f>'2 transformar y limpiar'!J852</f>
        <v/>
      </c>
      <c r="K838">
        <f>'2 transformar y limpiar'!K852</f>
        <v/>
      </c>
      <c r="L838">
        <f>'2 transformar y limpiar'!L852</f>
        <v/>
      </c>
      <c r="M838">
        <f>'2 transformar y limpiar'!M852</f>
        <v/>
      </c>
      <c r="N838">
        <f>'2 transformar y limpiar'!N852</f>
        <v/>
      </c>
      <c r="O838">
        <f>'2 transformar y limpiar'!O852</f>
        <v/>
      </c>
      <c r="P838">
        <f>'2 transformar y limpiar'!P852</f>
        <v/>
      </c>
      <c r="Q838">
        <f>'2 transformar y limpiar'!Q852</f>
        <v/>
      </c>
      <c r="R838">
        <f>'2 transformar y limpiar'!R852</f>
        <v/>
      </c>
      <c r="S838">
        <f>'2 transformar y limpiar'!S852</f>
        <v/>
      </c>
      <c r="T838">
        <f>'2 transformar y limpiar'!T852</f>
        <v/>
      </c>
      <c r="U838" s="5">
        <f>'2 transformar y limpiar'!U852</f>
        <v/>
      </c>
    </row>
    <row r="839">
      <c r="A839">
        <f>'2 transformar y limpiar'!A853</f>
        <v/>
      </c>
      <c r="B839">
        <f>'2 transformar y limpiar'!B853</f>
        <v/>
      </c>
      <c r="C839" s="6">
        <f>('2 transformar y limpiar'!C853-$B$6)/$C$6</f>
        <v/>
      </c>
      <c r="D839" s="6">
        <f>('2 transformar y limpiar'!D853-$B$7)/$C$7</f>
        <v/>
      </c>
      <c r="E839" s="6">
        <f>('2 transformar y limpiar'!E853-$B$8)/$C$8</f>
        <v/>
      </c>
      <c r="F839" s="6">
        <f>('2 transformar y limpiar'!F853-$B$9)/$C$9</f>
        <v/>
      </c>
      <c r="G839">
        <f>'2 transformar y limpiar'!G853</f>
        <v/>
      </c>
      <c r="H839">
        <f>'2 transformar y limpiar'!H853</f>
        <v/>
      </c>
      <c r="I839">
        <f>'2 transformar y limpiar'!I853</f>
        <v/>
      </c>
      <c r="J839">
        <f>'2 transformar y limpiar'!J853</f>
        <v/>
      </c>
      <c r="K839">
        <f>'2 transformar y limpiar'!K853</f>
        <v/>
      </c>
      <c r="L839">
        <f>'2 transformar y limpiar'!L853</f>
        <v/>
      </c>
      <c r="M839">
        <f>'2 transformar y limpiar'!M853</f>
        <v/>
      </c>
      <c r="N839">
        <f>'2 transformar y limpiar'!N853</f>
        <v/>
      </c>
      <c r="O839">
        <f>'2 transformar y limpiar'!O853</f>
        <v/>
      </c>
      <c r="P839">
        <f>'2 transformar y limpiar'!P853</f>
        <v/>
      </c>
      <c r="Q839">
        <f>'2 transformar y limpiar'!Q853</f>
        <v/>
      </c>
      <c r="R839">
        <f>'2 transformar y limpiar'!R853</f>
        <v/>
      </c>
      <c r="S839">
        <f>'2 transformar y limpiar'!S853</f>
        <v/>
      </c>
      <c r="T839">
        <f>'2 transformar y limpiar'!T853</f>
        <v/>
      </c>
      <c r="U839" s="5">
        <f>'2 transformar y limpiar'!U853</f>
        <v/>
      </c>
    </row>
    <row r="840">
      <c r="A840">
        <f>'2 transformar y limpiar'!A854</f>
        <v/>
      </c>
      <c r="B840">
        <f>'2 transformar y limpiar'!B854</f>
        <v/>
      </c>
      <c r="C840" s="6">
        <f>('2 transformar y limpiar'!C854-$B$6)/$C$6</f>
        <v/>
      </c>
      <c r="D840" s="6">
        <f>('2 transformar y limpiar'!D854-$B$7)/$C$7</f>
        <v/>
      </c>
      <c r="E840" s="6">
        <f>('2 transformar y limpiar'!E854-$B$8)/$C$8</f>
        <v/>
      </c>
      <c r="F840" s="6">
        <f>('2 transformar y limpiar'!F854-$B$9)/$C$9</f>
        <v/>
      </c>
      <c r="G840">
        <f>'2 transformar y limpiar'!G854</f>
        <v/>
      </c>
      <c r="H840">
        <f>'2 transformar y limpiar'!H854</f>
        <v/>
      </c>
      <c r="I840">
        <f>'2 transformar y limpiar'!I854</f>
        <v/>
      </c>
      <c r="J840">
        <f>'2 transformar y limpiar'!J854</f>
        <v/>
      </c>
      <c r="K840">
        <f>'2 transformar y limpiar'!K854</f>
        <v/>
      </c>
      <c r="L840">
        <f>'2 transformar y limpiar'!L854</f>
        <v/>
      </c>
      <c r="M840">
        <f>'2 transformar y limpiar'!M854</f>
        <v/>
      </c>
      <c r="N840">
        <f>'2 transformar y limpiar'!N854</f>
        <v/>
      </c>
      <c r="O840">
        <f>'2 transformar y limpiar'!O854</f>
        <v/>
      </c>
      <c r="P840">
        <f>'2 transformar y limpiar'!P854</f>
        <v/>
      </c>
      <c r="Q840">
        <f>'2 transformar y limpiar'!Q854</f>
        <v/>
      </c>
      <c r="R840">
        <f>'2 transformar y limpiar'!R854</f>
        <v/>
      </c>
      <c r="S840">
        <f>'2 transformar y limpiar'!S854</f>
        <v/>
      </c>
      <c r="T840">
        <f>'2 transformar y limpiar'!T854</f>
        <v/>
      </c>
      <c r="U840" s="5">
        <f>'2 transformar y limpiar'!U854</f>
        <v/>
      </c>
    </row>
    <row r="841">
      <c r="A841">
        <f>'2 transformar y limpiar'!A855</f>
        <v/>
      </c>
      <c r="B841">
        <f>'2 transformar y limpiar'!B855</f>
        <v/>
      </c>
      <c r="C841" s="6">
        <f>('2 transformar y limpiar'!C855-$B$6)/$C$6</f>
        <v/>
      </c>
      <c r="D841" s="6">
        <f>('2 transformar y limpiar'!D855-$B$7)/$C$7</f>
        <v/>
      </c>
      <c r="E841" s="6">
        <f>('2 transformar y limpiar'!E855-$B$8)/$C$8</f>
        <v/>
      </c>
      <c r="F841" s="6">
        <f>('2 transformar y limpiar'!F855-$B$9)/$C$9</f>
        <v/>
      </c>
      <c r="G841">
        <f>'2 transformar y limpiar'!G855</f>
        <v/>
      </c>
      <c r="H841">
        <f>'2 transformar y limpiar'!H855</f>
        <v/>
      </c>
      <c r="I841">
        <f>'2 transformar y limpiar'!I855</f>
        <v/>
      </c>
      <c r="J841">
        <f>'2 transformar y limpiar'!J855</f>
        <v/>
      </c>
      <c r="K841">
        <f>'2 transformar y limpiar'!K855</f>
        <v/>
      </c>
      <c r="L841">
        <f>'2 transformar y limpiar'!L855</f>
        <v/>
      </c>
      <c r="M841">
        <f>'2 transformar y limpiar'!M855</f>
        <v/>
      </c>
      <c r="N841">
        <f>'2 transformar y limpiar'!N855</f>
        <v/>
      </c>
      <c r="O841">
        <f>'2 transformar y limpiar'!O855</f>
        <v/>
      </c>
      <c r="P841">
        <f>'2 transformar y limpiar'!P855</f>
        <v/>
      </c>
      <c r="Q841">
        <f>'2 transformar y limpiar'!Q855</f>
        <v/>
      </c>
      <c r="R841">
        <f>'2 transformar y limpiar'!R855</f>
        <v/>
      </c>
      <c r="S841">
        <f>'2 transformar y limpiar'!S855</f>
        <v/>
      </c>
      <c r="T841">
        <f>'2 transformar y limpiar'!T855</f>
        <v/>
      </c>
      <c r="U841" s="5">
        <f>'2 transformar y limpiar'!U855</f>
        <v/>
      </c>
    </row>
    <row r="842">
      <c r="A842">
        <f>'2 transformar y limpiar'!A856</f>
        <v/>
      </c>
      <c r="B842">
        <f>'2 transformar y limpiar'!B856</f>
        <v/>
      </c>
      <c r="C842" s="6">
        <f>('2 transformar y limpiar'!C856-$B$6)/$C$6</f>
        <v/>
      </c>
      <c r="D842" s="6">
        <f>('2 transformar y limpiar'!D856-$B$7)/$C$7</f>
        <v/>
      </c>
      <c r="E842" s="6">
        <f>('2 transformar y limpiar'!E856-$B$8)/$C$8</f>
        <v/>
      </c>
      <c r="F842" s="6">
        <f>('2 transformar y limpiar'!F856-$B$9)/$C$9</f>
        <v/>
      </c>
      <c r="G842">
        <f>'2 transformar y limpiar'!G856</f>
        <v/>
      </c>
      <c r="H842">
        <f>'2 transformar y limpiar'!H856</f>
        <v/>
      </c>
      <c r="I842">
        <f>'2 transformar y limpiar'!I856</f>
        <v/>
      </c>
      <c r="J842">
        <f>'2 transformar y limpiar'!J856</f>
        <v/>
      </c>
      <c r="K842">
        <f>'2 transformar y limpiar'!K856</f>
        <v/>
      </c>
      <c r="L842">
        <f>'2 transformar y limpiar'!L856</f>
        <v/>
      </c>
      <c r="M842">
        <f>'2 transformar y limpiar'!M856</f>
        <v/>
      </c>
      <c r="N842">
        <f>'2 transformar y limpiar'!N856</f>
        <v/>
      </c>
      <c r="O842">
        <f>'2 transformar y limpiar'!O856</f>
        <v/>
      </c>
      <c r="P842">
        <f>'2 transformar y limpiar'!P856</f>
        <v/>
      </c>
      <c r="Q842">
        <f>'2 transformar y limpiar'!Q856</f>
        <v/>
      </c>
      <c r="R842">
        <f>'2 transformar y limpiar'!R856</f>
        <v/>
      </c>
      <c r="S842">
        <f>'2 transformar y limpiar'!S856</f>
        <v/>
      </c>
      <c r="T842">
        <f>'2 transformar y limpiar'!T856</f>
        <v/>
      </c>
      <c r="U842" s="5">
        <f>'2 transformar y limpiar'!U856</f>
        <v/>
      </c>
    </row>
    <row r="843">
      <c r="A843">
        <f>'2 transformar y limpiar'!A857</f>
        <v/>
      </c>
      <c r="B843">
        <f>'2 transformar y limpiar'!B857</f>
        <v/>
      </c>
      <c r="C843" s="6">
        <f>('2 transformar y limpiar'!C857-$B$6)/$C$6</f>
        <v/>
      </c>
      <c r="D843" s="6">
        <f>('2 transformar y limpiar'!D857-$B$7)/$C$7</f>
        <v/>
      </c>
      <c r="E843" s="6">
        <f>('2 transformar y limpiar'!E857-$B$8)/$C$8</f>
        <v/>
      </c>
      <c r="F843" s="6">
        <f>('2 transformar y limpiar'!F857-$B$9)/$C$9</f>
        <v/>
      </c>
      <c r="G843">
        <f>'2 transformar y limpiar'!G857</f>
        <v/>
      </c>
      <c r="H843">
        <f>'2 transformar y limpiar'!H857</f>
        <v/>
      </c>
      <c r="I843">
        <f>'2 transformar y limpiar'!I857</f>
        <v/>
      </c>
      <c r="J843">
        <f>'2 transformar y limpiar'!J857</f>
        <v/>
      </c>
      <c r="K843">
        <f>'2 transformar y limpiar'!K857</f>
        <v/>
      </c>
      <c r="L843">
        <f>'2 transformar y limpiar'!L857</f>
        <v/>
      </c>
      <c r="M843">
        <f>'2 transformar y limpiar'!M857</f>
        <v/>
      </c>
      <c r="N843">
        <f>'2 transformar y limpiar'!N857</f>
        <v/>
      </c>
      <c r="O843">
        <f>'2 transformar y limpiar'!O857</f>
        <v/>
      </c>
      <c r="P843">
        <f>'2 transformar y limpiar'!P857</f>
        <v/>
      </c>
      <c r="Q843">
        <f>'2 transformar y limpiar'!Q857</f>
        <v/>
      </c>
      <c r="R843">
        <f>'2 transformar y limpiar'!R857</f>
        <v/>
      </c>
      <c r="S843">
        <f>'2 transformar y limpiar'!S857</f>
        <v/>
      </c>
      <c r="T843">
        <f>'2 transformar y limpiar'!T857</f>
        <v/>
      </c>
      <c r="U843" s="5">
        <f>'2 transformar y limpiar'!U857</f>
        <v/>
      </c>
    </row>
    <row r="844">
      <c r="A844">
        <f>'2 transformar y limpiar'!A858</f>
        <v/>
      </c>
      <c r="B844">
        <f>'2 transformar y limpiar'!B858</f>
        <v/>
      </c>
      <c r="C844" s="6">
        <f>('2 transformar y limpiar'!C858-$B$6)/$C$6</f>
        <v/>
      </c>
      <c r="D844" s="6">
        <f>('2 transformar y limpiar'!D858-$B$7)/$C$7</f>
        <v/>
      </c>
      <c r="E844" s="6">
        <f>('2 transformar y limpiar'!E858-$B$8)/$C$8</f>
        <v/>
      </c>
      <c r="F844" s="6">
        <f>('2 transformar y limpiar'!F858-$B$9)/$C$9</f>
        <v/>
      </c>
      <c r="G844">
        <f>'2 transformar y limpiar'!G858</f>
        <v/>
      </c>
      <c r="H844">
        <f>'2 transformar y limpiar'!H858</f>
        <v/>
      </c>
      <c r="I844">
        <f>'2 transformar y limpiar'!I858</f>
        <v/>
      </c>
      <c r="J844">
        <f>'2 transformar y limpiar'!J858</f>
        <v/>
      </c>
      <c r="K844">
        <f>'2 transformar y limpiar'!K858</f>
        <v/>
      </c>
      <c r="L844">
        <f>'2 transformar y limpiar'!L858</f>
        <v/>
      </c>
      <c r="M844">
        <f>'2 transformar y limpiar'!M858</f>
        <v/>
      </c>
      <c r="N844">
        <f>'2 transformar y limpiar'!N858</f>
        <v/>
      </c>
      <c r="O844">
        <f>'2 transformar y limpiar'!O858</f>
        <v/>
      </c>
      <c r="P844">
        <f>'2 transformar y limpiar'!P858</f>
        <v/>
      </c>
      <c r="Q844">
        <f>'2 transformar y limpiar'!Q858</f>
        <v/>
      </c>
      <c r="R844">
        <f>'2 transformar y limpiar'!R858</f>
        <v/>
      </c>
      <c r="S844">
        <f>'2 transformar y limpiar'!S858</f>
        <v/>
      </c>
      <c r="T844">
        <f>'2 transformar y limpiar'!T858</f>
        <v/>
      </c>
      <c r="U844" s="5">
        <f>'2 transformar y limpiar'!U858</f>
        <v/>
      </c>
    </row>
    <row r="845">
      <c r="A845">
        <f>'2 transformar y limpiar'!A859</f>
        <v/>
      </c>
      <c r="B845">
        <f>'2 transformar y limpiar'!B859</f>
        <v/>
      </c>
      <c r="C845" s="6">
        <f>('2 transformar y limpiar'!C859-$B$6)/$C$6</f>
        <v/>
      </c>
      <c r="D845" s="6">
        <f>('2 transformar y limpiar'!D859-$B$7)/$C$7</f>
        <v/>
      </c>
      <c r="E845" s="6">
        <f>('2 transformar y limpiar'!E859-$B$8)/$C$8</f>
        <v/>
      </c>
      <c r="F845" s="6">
        <f>('2 transformar y limpiar'!F859-$B$9)/$C$9</f>
        <v/>
      </c>
      <c r="G845">
        <f>'2 transformar y limpiar'!G859</f>
        <v/>
      </c>
      <c r="H845">
        <f>'2 transformar y limpiar'!H859</f>
        <v/>
      </c>
      <c r="I845">
        <f>'2 transformar y limpiar'!I859</f>
        <v/>
      </c>
      <c r="J845">
        <f>'2 transformar y limpiar'!J859</f>
        <v/>
      </c>
      <c r="K845">
        <f>'2 transformar y limpiar'!K859</f>
        <v/>
      </c>
      <c r="L845">
        <f>'2 transformar y limpiar'!L859</f>
        <v/>
      </c>
      <c r="M845">
        <f>'2 transformar y limpiar'!M859</f>
        <v/>
      </c>
      <c r="N845">
        <f>'2 transformar y limpiar'!N859</f>
        <v/>
      </c>
      <c r="O845">
        <f>'2 transformar y limpiar'!O859</f>
        <v/>
      </c>
      <c r="P845">
        <f>'2 transformar y limpiar'!P859</f>
        <v/>
      </c>
      <c r="Q845">
        <f>'2 transformar y limpiar'!Q859</f>
        <v/>
      </c>
      <c r="R845">
        <f>'2 transformar y limpiar'!R859</f>
        <v/>
      </c>
      <c r="S845">
        <f>'2 transformar y limpiar'!S859</f>
        <v/>
      </c>
      <c r="T845">
        <f>'2 transformar y limpiar'!T859</f>
        <v/>
      </c>
      <c r="U845" s="5">
        <f>'2 transformar y limpiar'!U859</f>
        <v/>
      </c>
    </row>
    <row r="846">
      <c r="A846">
        <f>'2 transformar y limpiar'!A860</f>
        <v/>
      </c>
      <c r="B846">
        <f>'2 transformar y limpiar'!B860</f>
        <v/>
      </c>
      <c r="C846" s="6">
        <f>('2 transformar y limpiar'!C860-$B$6)/$C$6</f>
        <v/>
      </c>
      <c r="D846" s="6">
        <f>('2 transformar y limpiar'!D860-$B$7)/$C$7</f>
        <v/>
      </c>
      <c r="E846" s="6">
        <f>('2 transformar y limpiar'!E860-$B$8)/$C$8</f>
        <v/>
      </c>
      <c r="F846" s="6">
        <f>('2 transformar y limpiar'!F860-$B$9)/$C$9</f>
        <v/>
      </c>
      <c r="G846">
        <f>'2 transformar y limpiar'!G860</f>
        <v/>
      </c>
      <c r="H846">
        <f>'2 transformar y limpiar'!H860</f>
        <v/>
      </c>
      <c r="I846">
        <f>'2 transformar y limpiar'!I860</f>
        <v/>
      </c>
      <c r="J846">
        <f>'2 transformar y limpiar'!J860</f>
        <v/>
      </c>
      <c r="K846">
        <f>'2 transformar y limpiar'!K860</f>
        <v/>
      </c>
      <c r="L846">
        <f>'2 transformar y limpiar'!L860</f>
        <v/>
      </c>
      <c r="M846">
        <f>'2 transformar y limpiar'!M860</f>
        <v/>
      </c>
      <c r="N846">
        <f>'2 transformar y limpiar'!N860</f>
        <v/>
      </c>
      <c r="O846">
        <f>'2 transformar y limpiar'!O860</f>
        <v/>
      </c>
      <c r="P846">
        <f>'2 transformar y limpiar'!P860</f>
        <v/>
      </c>
      <c r="Q846">
        <f>'2 transformar y limpiar'!Q860</f>
        <v/>
      </c>
      <c r="R846">
        <f>'2 transformar y limpiar'!R860</f>
        <v/>
      </c>
      <c r="S846">
        <f>'2 transformar y limpiar'!S860</f>
        <v/>
      </c>
      <c r="T846">
        <f>'2 transformar y limpiar'!T860</f>
        <v/>
      </c>
      <c r="U846" s="5">
        <f>'2 transformar y limpiar'!U860</f>
        <v/>
      </c>
    </row>
    <row r="847">
      <c r="A847">
        <f>'2 transformar y limpiar'!A861</f>
        <v/>
      </c>
      <c r="B847">
        <f>'2 transformar y limpiar'!B861</f>
        <v/>
      </c>
      <c r="C847" s="6">
        <f>('2 transformar y limpiar'!C861-$B$6)/$C$6</f>
        <v/>
      </c>
      <c r="D847" s="6">
        <f>('2 transformar y limpiar'!D861-$B$7)/$C$7</f>
        <v/>
      </c>
      <c r="E847" s="6">
        <f>('2 transformar y limpiar'!E861-$B$8)/$C$8</f>
        <v/>
      </c>
      <c r="F847" s="6">
        <f>('2 transformar y limpiar'!F861-$B$9)/$C$9</f>
        <v/>
      </c>
      <c r="G847">
        <f>'2 transformar y limpiar'!G861</f>
        <v/>
      </c>
      <c r="H847">
        <f>'2 transformar y limpiar'!H861</f>
        <v/>
      </c>
      <c r="I847">
        <f>'2 transformar y limpiar'!I861</f>
        <v/>
      </c>
      <c r="J847">
        <f>'2 transformar y limpiar'!J861</f>
        <v/>
      </c>
      <c r="K847">
        <f>'2 transformar y limpiar'!K861</f>
        <v/>
      </c>
      <c r="L847">
        <f>'2 transformar y limpiar'!L861</f>
        <v/>
      </c>
      <c r="M847">
        <f>'2 transformar y limpiar'!M861</f>
        <v/>
      </c>
      <c r="N847">
        <f>'2 transformar y limpiar'!N861</f>
        <v/>
      </c>
      <c r="O847">
        <f>'2 transformar y limpiar'!O861</f>
        <v/>
      </c>
      <c r="P847">
        <f>'2 transformar y limpiar'!P861</f>
        <v/>
      </c>
      <c r="Q847">
        <f>'2 transformar y limpiar'!Q861</f>
        <v/>
      </c>
      <c r="R847">
        <f>'2 transformar y limpiar'!R861</f>
        <v/>
      </c>
      <c r="S847">
        <f>'2 transformar y limpiar'!S861</f>
        <v/>
      </c>
      <c r="T847">
        <f>'2 transformar y limpiar'!T861</f>
        <v/>
      </c>
      <c r="U847" s="5">
        <f>'2 transformar y limpiar'!U861</f>
        <v/>
      </c>
    </row>
    <row r="848">
      <c r="A848">
        <f>'2 transformar y limpiar'!A862</f>
        <v/>
      </c>
      <c r="B848">
        <f>'2 transformar y limpiar'!B862</f>
        <v/>
      </c>
      <c r="C848" s="6">
        <f>('2 transformar y limpiar'!C862-$B$6)/$C$6</f>
        <v/>
      </c>
      <c r="D848" s="6">
        <f>('2 transformar y limpiar'!D862-$B$7)/$C$7</f>
        <v/>
      </c>
      <c r="E848" s="6">
        <f>('2 transformar y limpiar'!E862-$B$8)/$C$8</f>
        <v/>
      </c>
      <c r="F848" s="6">
        <f>('2 transformar y limpiar'!F862-$B$9)/$C$9</f>
        <v/>
      </c>
      <c r="G848">
        <f>'2 transformar y limpiar'!G862</f>
        <v/>
      </c>
      <c r="H848">
        <f>'2 transformar y limpiar'!H862</f>
        <v/>
      </c>
      <c r="I848">
        <f>'2 transformar y limpiar'!I862</f>
        <v/>
      </c>
      <c r="J848">
        <f>'2 transformar y limpiar'!J862</f>
        <v/>
      </c>
      <c r="K848">
        <f>'2 transformar y limpiar'!K862</f>
        <v/>
      </c>
      <c r="L848">
        <f>'2 transformar y limpiar'!L862</f>
        <v/>
      </c>
      <c r="M848">
        <f>'2 transformar y limpiar'!M862</f>
        <v/>
      </c>
      <c r="N848">
        <f>'2 transformar y limpiar'!N862</f>
        <v/>
      </c>
      <c r="O848">
        <f>'2 transformar y limpiar'!O862</f>
        <v/>
      </c>
      <c r="P848">
        <f>'2 transformar y limpiar'!P862</f>
        <v/>
      </c>
      <c r="Q848">
        <f>'2 transformar y limpiar'!Q862</f>
        <v/>
      </c>
      <c r="R848">
        <f>'2 transformar y limpiar'!R862</f>
        <v/>
      </c>
      <c r="S848">
        <f>'2 transformar y limpiar'!S862</f>
        <v/>
      </c>
      <c r="T848">
        <f>'2 transformar y limpiar'!T862</f>
        <v/>
      </c>
      <c r="U848" s="5">
        <f>'2 transformar y limpiar'!U862</f>
        <v/>
      </c>
    </row>
    <row r="849">
      <c r="A849">
        <f>'2 transformar y limpiar'!A863</f>
        <v/>
      </c>
      <c r="B849">
        <f>'2 transformar y limpiar'!B863</f>
        <v/>
      </c>
      <c r="C849" s="6">
        <f>('2 transformar y limpiar'!C863-$B$6)/$C$6</f>
        <v/>
      </c>
      <c r="D849" s="6">
        <f>('2 transformar y limpiar'!D863-$B$7)/$C$7</f>
        <v/>
      </c>
      <c r="E849" s="6">
        <f>('2 transformar y limpiar'!E863-$B$8)/$C$8</f>
        <v/>
      </c>
      <c r="F849" s="6">
        <f>('2 transformar y limpiar'!F863-$B$9)/$C$9</f>
        <v/>
      </c>
      <c r="G849">
        <f>'2 transformar y limpiar'!G863</f>
        <v/>
      </c>
      <c r="H849">
        <f>'2 transformar y limpiar'!H863</f>
        <v/>
      </c>
      <c r="I849">
        <f>'2 transformar y limpiar'!I863</f>
        <v/>
      </c>
      <c r="J849">
        <f>'2 transformar y limpiar'!J863</f>
        <v/>
      </c>
      <c r="K849">
        <f>'2 transformar y limpiar'!K863</f>
        <v/>
      </c>
      <c r="L849">
        <f>'2 transformar y limpiar'!L863</f>
        <v/>
      </c>
      <c r="M849">
        <f>'2 transformar y limpiar'!M863</f>
        <v/>
      </c>
      <c r="N849">
        <f>'2 transformar y limpiar'!N863</f>
        <v/>
      </c>
      <c r="O849">
        <f>'2 transformar y limpiar'!O863</f>
        <v/>
      </c>
      <c r="P849">
        <f>'2 transformar y limpiar'!P863</f>
        <v/>
      </c>
      <c r="Q849">
        <f>'2 transformar y limpiar'!Q863</f>
        <v/>
      </c>
      <c r="R849">
        <f>'2 transformar y limpiar'!R863</f>
        <v/>
      </c>
      <c r="S849">
        <f>'2 transformar y limpiar'!S863</f>
        <v/>
      </c>
      <c r="T849">
        <f>'2 transformar y limpiar'!T863</f>
        <v/>
      </c>
      <c r="U849" s="5">
        <f>'2 transformar y limpiar'!U863</f>
        <v/>
      </c>
    </row>
    <row r="850">
      <c r="A850">
        <f>'2 transformar y limpiar'!A864</f>
        <v/>
      </c>
      <c r="B850">
        <f>'2 transformar y limpiar'!B864</f>
        <v/>
      </c>
      <c r="C850" s="6">
        <f>('2 transformar y limpiar'!C864-$B$6)/$C$6</f>
        <v/>
      </c>
      <c r="D850" s="6">
        <f>('2 transformar y limpiar'!D864-$B$7)/$C$7</f>
        <v/>
      </c>
      <c r="E850" s="6">
        <f>('2 transformar y limpiar'!E864-$B$8)/$C$8</f>
        <v/>
      </c>
      <c r="F850" s="6">
        <f>('2 transformar y limpiar'!F864-$B$9)/$C$9</f>
        <v/>
      </c>
      <c r="G850">
        <f>'2 transformar y limpiar'!G864</f>
        <v/>
      </c>
      <c r="H850">
        <f>'2 transformar y limpiar'!H864</f>
        <v/>
      </c>
      <c r="I850">
        <f>'2 transformar y limpiar'!I864</f>
        <v/>
      </c>
      <c r="J850">
        <f>'2 transformar y limpiar'!J864</f>
        <v/>
      </c>
      <c r="K850">
        <f>'2 transformar y limpiar'!K864</f>
        <v/>
      </c>
      <c r="L850">
        <f>'2 transformar y limpiar'!L864</f>
        <v/>
      </c>
      <c r="M850">
        <f>'2 transformar y limpiar'!M864</f>
        <v/>
      </c>
      <c r="N850">
        <f>'2 transformar y limpiar'!N864</f>
        <v/>
      </c>
      <c r="O850">
        <f>'2 transformar y limpiar'!O864</f>
        <v/>
      </c>
      <c r="P850">
        <f>'2 transformar y limpiar'!P864</f>
        <v/>
      </c>
      <c r="Q850">
        <f>'2 transformar y limpiar'!Q864</f>
        <v/>
      </c>
      <c r="R850">
        <f>'2 transformar y limpiar'!R864</f>
        <v/>
      </c>
      <c r="S850">
        <f>'2 transformar y limpiar'!S864</f>
        <v/>
      </c>
      <c r="T850">
        <f>'2 transformar y limpiar'!T864</f>
        <v/>
      </c>
      <c r="U850" s="5">
        <f>'2 transformar y limpiar'!U864</f>
        <v/>
      </c>
    </row>
    <row r="851">
      <c r="A851">
        <f>'2 transformar y limpiar'!A865</f>
        <v/>
      </c>
      <c r="B851">
        <f>'2 transformar y limpiar'!B865</f>
        <v/>
      </c>
      <c r="C851" s="6">
        <f>('2 transformar y limpiar'!C865-$B$6)/$C$6</f>
        <v/>
      </c>
      <c r="D851" s="6">
        <f>('2 transformar y limpiar'!D865-$B$7)/$C$7</f>
        <v/>
      </c>
      <c r="E851" s="6">
        <f>('2 transformar y limpiar'!E865-$B$8)/$C$8</f>
        <v/>
      </c>
      <c r="F851" s="6">
        <f>('2 transformar y limpiar'!F865-$B$9)/$C$9</f>
        <v/>
      </c>
      <c r="G851">
        <f>'2 transformar y limpiar'!G865</f>
        <v/>
      </c>
      <c r="H851">
        <f>'2 transformar y limpiar'!H865</f>
        <v/>
      </c>
      <c r="I851">
        <f>'2 transformar y limpiar'!I865</f>
        <v/>
      </c>
      <c r="J851">
        <f>'2 transformar y limpiar'!J865</f>
        <v/>
      </c>
      <c r="K851">
        <f>'2 transformar y limpiar'!K865</f>
        <v/>
      </c>
      <c r="L851">
        <f>'2 transformar y limpiar'!L865</f>
        <v/>
      </c>
      <c r="M851">
        <f>'2 transformar y limpiar'!M865</f>
        <v/>
      </c>
      <c r="N851">
        <f>'2 transformar y limpiar'!N865</f>
        <v/>
      </c>
      <c r="O851">
        <f>'2 transformar y limpiar'!O865</f>
        <v/>
      </c>
      <c r="P851">
        <f>'2 transformar y limpiar'!P865</f>
        <v/>
      </c>
      <c r="Q851">
        <f>'2 transformar y limpiar'!Q865</f>
        <v/>
      </c>
      <c r="R851">
        <f>'2 transformar y limpiar'!R865</f>
        <v/>
      </c>
      <c r="S851">
        <f>'2 transformar y limpiar'!S865</f>
        <v/>
      </c>
      <c r="T851">
        <f>'2 transformar y limpiar'!T865</f>
        <v/>
      </c>
      <c r="U851" s="5">
        <f>'2 transformar y limpiar'!U865</f>
        <v/>
      </c>
    </row>
    <row r="852">
      <c r="A852">
        <f>'2 transformar y limpiar'!A866</f>
        <v/>
      </c>
      <c r="B852">
        <f>'2 transformar y limpiar'!B866</f>
        <v/>
      </c>
      <c r="C852" s="6">
        <f>('2 transformar y limpiar'!C866-$B$6)/$C$6</f>
        <v/>
      </c>
      <c r="D852" s="6">
        <f>('2 transformar y limpiar'!D866-$B$7)/$C$7</f>
        <v/>
      </c>
      <c r="E852" s="6">
        <f>('2 transformar y limpiar'!E866-$B$8)/$C$8</f>
        <v/>
      </c>
      <c r="F852" s="6">
        <f>('2 transformar y limpiar'!F866-$B$9)/$C$9</f>
        <v/>
      </c>
      <c r="G852">
        <f>'2 transformar y limpiar'!G866</f>
        <v/>
      </c>
      <c r="H852">
        <f>'2 transformar y limpiar'!H866</f>
        <v/>
      </c>
      <c r="I852">
        <f>'2 transformar y limpiar'!I866</f>
        <v/>
      </c>
      <c r="J852">
        <f>'2 transformar y limpiar'!J866</f>
        <v/>
      </c>
      <c r="K852">
        <f>'2 transformar y limpiar'!K866</f>
        <v/>
      </c>
      <c r="L852">
        <f>'2 transformar y limpiar'!L866</f>
        <v/>
      </c>
      <c r="M852">
        <f>'2 transformar y limpiar'!M866</f>
        <v/>
      </c>
      <c r="N852">
        <f>'2 transformar y limpiar'!N866</f>
        <v/>
      </c>
      <c r="O852">
        <f>'2 transformar y limpiar'!O866</f>
        <v/>
      </c>
      <c r="P852">
        <f>'2 transformar y limpiar'!P866</f>
        <v/>
      </c>
      <c r="Q852">
        <f>'2 transformar y limpiar'!Q866</f>
        <v/>
      </c>
      <c r="R852">
        <f>'2 transformar y limpiar'!R866</f>
        <v/>
      </c>
      <c r="S852">
        <f>'2 transformar y limpiar'!S866</f>
        <v/>
      </c>
      <c r="T852">
        <f>'2 transformar y limpiar'!T866</f>
        <v/>
      </c>
      <c r="U852" s="5">
        <f>'2 transformar y limpiar'!U866</f>
        <v/>
      </c>
    </row>
    <row r="853">
      <c r="A853">
        <f>'2 transformar y limpiar'!A867</f>
        <v/>
      </c>
      <c r="B853">
        <f>'2 transformar y limpiar'!B867</f>
        <v/>
      </c>
      <c r="C853" s="6">
        <f>('2 transformar y limpiar'!C867-$B$6)/$C$6</f>
        <v/>
      </c>
      <c r="D853" s="6">
        <f>('2 transformar y limpiar'!D867-$B$7)/$C$7</f>
        <v/>
      </c>
      <c r="E853" s="6">
        <f>('2 transformar y limpiar'!E867-$B$8)/$C$8</f>
        <v/>
      </c>
      <c r="F853" s="6">
        <f>('2 transformar y limpiar'!F867-$B$9)/$C$9</f>
        <v/>
      </c>
      <c r="G853">
        <f>'2 transformar y limpiar'!G867</f>
        <v/>
      </c>
      <c r="H853">
        <f>'2 transformar y limpiar'!H867</f>
        <v/>
      </c>
      <c r="I853">
        <f>'2 transformar y limpiar'!I867</f>
        <v/>
      </c>
      <c r="J853">
        <f>'2 transformar y limpiar'!J867</f>
        <v/>
      </c>
      <c r="K853">
        <f>'2 transformar y limpiar'!K867</f>
        <v/>
      </c>
      <c r="L853">
        <f>'2 transformar y limpiar'!L867</f>
        <v/>
      </c>
      <c r="M853">
        <f>'2 transformar y limpiar'!M867</f>
        <v/>
      </c>
      <c r="N853">
        <f>'2 transformar y limpiar'!N867</f>
        <v/>
      </c>
      <c r="O853">
        <f>'2 transformar y limpiar'!O867</f>
        <v/>
      </c>
      <c r="P853">
        <f>'2 transformar y limpiar'!P867</f>
        <v/>
      </c>
      <c r="Q853">
        <f>'2 transformar y limpiar'!Q867</f>
        <v/>
      </c>
      <c r="R853">
        <f>'2 transformar y limpiar'!R867</f>
        <v/>
      </c>
      <c r="S853">
        <f>'2 transformar y limpiar'!S867</f>
        <v/>
      </c>
      <c r="T853">
        <f>'2 transformar y limpiar'!T867</f>
        <v/>
      </c>
      <c r="U853" s="5">
        <f>'2 transformar y limpiar'!U867</f>
        <v/>
      </c>
    </row>
    <row r="854">
      <c r="A854">
        <f>'2 transformar y limpiar'!A868</f>
        <v/>
      </c>
      <c r="B854">
        <f>'2 transformar y limpiar'!B868</f>
        <v/>
      </c>
      <c r="C854" s="6">
        <f>('2 transformar y limpiar'!C868-$B$6)/$C$6</f>
        <v/>
      </c>
      <c r="D854" s="6">
        <f>('2 transformar y limpiar'!D868-$B$7)/$C$7</f>
        <v/>
      </c>
      <c r="E854" s="6">
        <f>('2 transformar y limpiar'!E868-$B$8)/$C$8</f>
        <v/>
      </c>
      <c r="F854" s="6">
        <f>('2 transformar y limpiar'!F868-$B$9)/$C$9</f>
        <v/>
      </c>
      <c r="G854">
        <f>'2 transformar y limpiar'!G868</f>
        <v/>
      </c>
      <c r="H854">
        <f>'2 transformar y limpiar'!H868</f>
        <v/>
      </c>
      <c r="I854">
        <f>'2 transformar y limpiar'!I868</f>
        <v/>
      </c>
      <c r="J854">
        <f>'2 transformar y limpiar'!J868</f>
        <v/>
      </c>
      <c r="K854">
        <f>'2 transformar y limpiar'!K868</f>
        <v/>
      </c>
      <c r="L854">
        <f>'2 transformar y limpiar'!L868</f>
        <v/>
      </c>
      <c r="M854">
        <f>'2 transformar y limpiar'!M868</f>
        <v/>
      </c>
      <c r="N854">
        <f>'2 transformar y limpiar'!N868</f>
        <v/>
      </c>
      <c r="O854">
        <f>'2 transformar y limpiar'!O868</f>
        <v/>
      </c>
      <c r="P854">
        <f>'2 transformar y limpiar'!P868</f>
        <v/>
      </c>
      <c r="Q854">
        <f>'2 transformar y limpiar'!Q868</f>
        <v/>
      </c>
      <c r="R854">
        <f>'2 transformar y limpiar'!R868</f>
        <v/>
      </c>
      <c r="S854">
        <f>'2 transformar y limpiar'!S868</f>
        <v/>
      </c>
      <c r="T854">
        <f>'2 transformar y limpiar'!T868</f>
        <v/>
      </c>
      <c r="U854" s="5">
        <f>'2 transformar y limpiar'!U868</f>
        <v/>
      </c>
    </row>
    <row r="855">
      <c r="A855">
        <f>'2 transformar y limpiar'!A869</f>
        <v/>
      </c>
      <c r="B855">
        <f>'2 transformar y limpiar'!B869</f>
        <v/>
      </c>
      <c r="C855" s="6">
        <f>('2 transformar y limpiar'!C869-$B$6)/$C$6</f>
        <v/>
      </c>
      <c r="D855" s="6">
        <f>('2 transformar y limpiar'!D869-$B$7)/$C$7</f>
        <v/>
      </c>
      <c r="E855" s="6">
        <f>('2 transformar y limpiar'!E869-$B$8)/$C$8</f>
        <v/>
      </c>
      <c r="F855" s="6">
        <f>('2 transformar y limpiar'!F869-$B$9)/$C$9</f>
        <v/>
      </c>
      <c r="G855">
        <f>'2 transformar y limpiar'!G869</f>
        <v/>
      </c>
      <c r="H855">
        <f>'2 transformar y limpiar'!H869</f>
        <v/>
      </c>
      <c r="I855">
        <f>'2 transformar y limpiar'!I869</f>
        <v/>
      </c>
      <c r="J855">
        <f>'2 transformar y limpiar'!J869</f>
        <v/>
      </c>
      <c r="K855">
        <f>'2 transformar y limpiar'!K869</f>
        <v/>
      </c>
      <c r="L855">
        <f>'2 transformar y limpiar'!L869</f>
        <v/>
      </c>
      <c r="M855">
        <f>'2 transformar y limpiar'!M869</f>
        <v/>
      </c>
      <c r="N855">
        <f>'2 transformar y limpiar'!N869</f>
        <v/>
      </c>
      <c r="O855">
        <f>'2 transformar y limpiar'!O869</f>
        <v/>
      </c>
      <c r="P855">
        <f>'2 transformar y limpiar'!P869</f>
        <v/>
      </c>
      <c r="Q855">
        <f>'2 transformar y limpiar'!Q869</f>
        <v/>
      </c>
      <c r="R855">
        <f>'2 transformar y limpiar'!R869</f>
        <v/>
      </c>
      <c r="S855">
        <f>'2 transformar y limpiar'!S869</f>
        <v/>
      </c>
      <c r="T855">
        <f>'2 transformar y limpiar'!T869</f>
        <v/>
      </c>
      <c r="U855" s="5">
        <f>'2 transformar y limpiar'!U869</f>
        <v/>
      </c>
    </row>
    <row r="856">
      <c r="A856">
        <f>'2 transformar y limpiar'!A870</f>
        <v/>
      </c>
      <c r="B856">
        <f>'2 transformar y limpiar'!B870</f>
        <v/>
      </c>
      <c r="C856" s="6">
        <f>('2 transformar y limpiar'!C870-$B$6)/$C$6</f>
        <v/>
      </c>
      <c r="D856" s="6">
        <f>('2 transformar y limpiar'!D870-$B$7)/$C$7</f>
        <v/>
      </c>
      <c r="E856" s="6">
        <f>('2 transformar y limpiar'!E870-$B$8)/$C$8</f>
        <v/>
      </c>
      <c r="F856" s="6">
        <f>('2 transformar y limpiar'!F870-$B$9)/$C$9</f>
        <v/>
      </c>
      <c r="G856">
        <f>'2 transformar y limpiar'!G870</f>
        <v/>
      </c>
      <c r="H856">
        <f>'2 transformar y limpiar'!H870</f>
        <v/>
      </c>
      <c r="I856">
        <f>'2 transformar y limpiar'!I870</f>
        <v/>
      </c>
      <c r="J856">
        <f>'2 transformar y limpiar'!J870</f>
        <v/>
      </c>
      <c r="K856">
        <f>'2 transformar y limpiar'!K870</f>
        <v/>
      </c>
      <c r="L856">
        <f>'2 transformar y limpiar'!L870</f>
        <v/>
      </c>
      <c r="M856">
        <f>'2 transformar y limpiar'!M870</f>
        <v/>
      </c>
      <c r="N856">
        <f>'2 transformar y limpiar'!N870</f>
        <v/>
      </c>
      <c r="O856">
        <f>'2 transformar y limpiar'!O870</f>
        <v/>
      </c>
      <c r="P856">
        <f>'2 transformar y limpiar'!P870</f>
        <v/>
      </c>
      <c r="Q856">
        <f>'2 transformar y limpiar'!Q870</f>
        <v/>
      </c>
      <c r="R856">
        <f>'2 transformar y limpiar'!R870</f>
        <v/>
      </c>
      <c r="S856">
        <f>'2 transformar y limpiar'!S870</f>
        <v/>
      </c>
      <c r="T856">
        <f>'2 transformar y limpiar'!T870</f>
        <v/>
      </c>
      <c r="U856" s="5">
        <f>'2 transformar y limpiar'!U870</f>
        <v/>
      </c>
    </row>
    <row r="857">
      <c r="A857">
        <f>'2 transformar y limpiar'!A871</f>
        <v/>
      </c>
      <c r="B857">
        <f>'2 transformar y limpiar'!B871</f>
        <v/>
      </c>
      <c r="C857" s="6">
        <f>('2 transformar y limpiar'!C871-$B$6)/$C$6</f>
        <v/>
      </c>
      <c r="D857" s="6">
        <f>('2 transformar y limpiar'!D871-$B$7)/$C$7</f>
        <v/>
      </c>
      <c r="E857" s="6">
        <f>('2 transformar y limpiar'!E871-$B$8)/$C$8</f>
        <v/>
      </c>
      <c r="F857" s="6">
        <f>('2 transformar y limpiar'!F871-$B$9)/$C$9</f>
        <v/>
      </c>
      <c r="G857">
        <f>'2 transformar y limpiar'!G871</f>
        <v/>
      </c>
      <c r="H857">
        <f>'2 transformar y limpiar'!H871</f>
        <v/>
      </c>
      <c r="I857">
        <f>'2 transformar y limpiar'!I871</f>
        <v/>
      </c>
      <c r="J857">
        <f>'2 transformar y limpiar'!J871</f>
        <v/>
      </c>
      <c r="K857">
        <f>'2 transformar y limpiar'!K871</f>
        <v/>
      </c>
      <c r="L857">
        <f>'2 transformar y limpiar'!L871</f>
        <v/>
      </c>
      <c r="M857">
        <f>'2 transformar y limpiar'!M871</f>
        <v/>
      </c>
      <c r="N857">
        <f>'2 transformar y limpiar'!N871</f>
        <v/>
      </c>
      <c r="O857">
        <f>'2 transformar y limpiar'!O871</f>
        <v/>
      </c>
      <c r="P857">
        <f>'2 transformar y limpiar'!P871</f>
        <v/>
      </c>
      <c r="Q857">
        <f>'2 transformar y limpiar'!Q871</f>
        <v/>
      </c>
      <c r="R857">
        <f>'2 transformar y limpiar'!R871</f>
        <v/>
      </c>
      <c r="S857">
        <f>'2 transformar y limpiar'!S871</f>
        <v/>
      </c>
      <c r="T857">
        <f>'2 transformar y limpiar'!T871</f>
        <v/>
      </c>
      <c r="U857" s="5">
        <f>'2 transformar y limpiar'!U871</f>
        <v/>
      </c>
    </row>
    <row r="858">
      <c r="A858">
        <f>'2 transformar y limpiar'!A872</f>
        <v/>
      </c>
      <c r="B858">
        <f>'2 transformar y limpiar'!B872</f>
        <v/>
      </c>
      <c r="C858" s="6">
        <f>('2 transformar y limpiar'!C872-$B$6)/$C$6</f>
        <v/>
      </c>
      <c r="D858" s="6">
        <f>('2 transformar y limpiar'!D872-$B$7)/$C$7</f>
        <v/>
      </c>
      <c r="E858" s="6">
        <f>('2 transformar y limpiar'!E872-$B$8)/$C$8</f>
        <v/>
      </c>
      <c r="F858" s="6">
        <f>('2 transformar y limpiar'!F872-$B$9)/$C$9</f>
        <v/>
      </c>
      <c r="G858">
        <f>'2 transformar y limpiar'!G872</f>
        <v/>
      </c>
      <c r="H858">
        <f>'2 transformar y limpiar'!H872</f>
        <v/>
      </c>
      <c r="I858">
        <f>'2 transformar y limpiar'!I872</f>
        <v/>
      </c>
      <c r="J858">
        <f>'2 transformar y limpiar'!J872</f>
        <v/>
      </c>
      <c r="K858">
        <f>'2 transformar y limpiar'!K872</f>
        <v/>
      </c>
      <c r="L858">
        <f>'2 transformar y limpiar'!L872</f>
        <v/>
      </c>
      <c r="M858">
        <f>'2 transformar y limpiar'!M872</f>
        <v/>
      </c>
      <c r="N858">
        <f>'2 transformar y limpiar'!N872</f>
        <v/>
      </c>
      <c r="O858">
        <f>'2 transformar y limpiar'!O872</f>
        <v/>
      </c>
      <c r="P858">
        <f>'2 transformar y limpiar'!P872</f>
        <v/>
      </c>
      <c r="Q858">
        <f>'2 transformar y limpiar'!Q872</f>
        <v/>
      </c>
      <c r="R858">
        <f>'2 transformar y limpiar'!R872</f>
        <v/>
      </c>
      <c r="S858">
        <f>'2 transformar y limpiar'!S872</f>
        <v/>
      </c>
      <c r="T858">
        <f>'2 transformar y limpiar'!T872</f>
        <v/>
      </c>
      <c r="U858" s="5">
        <f>'2 transformar y limpiar'!U872</f>
        <v/>
      </c>
    </row>
    <row r="859">
      <c r="A859">
        <f>'2 transformar y limpiar'!A873</f>
        <v/>
      </c>
      <c r="B859">
        <f>'2 transformar y limpiar'!B873</f>
        <v/>
      </c>
      <c r="C859" s="6">
        <f>('2 transformar y limpiar'!C873-$B$6)/$C$6</f>
        <v/>
      </c>
      <c r="D859" s="6">
        <f>('2 transformar y limpiar'!D873-$B$7)/$C$7</f>
        <v/>
      </c>
      <c r="E859" s="6">
        <f>('2 transformar y limpiar'!E873-$B$8)/$C$8</f>
        <v/>
      </c>
      <c r="F859" s="6">
        <f>('2 transformar y limpiar'!F873-$B$9)/$C$9</f>
        <v/>
      </c>
      <c r="G859">
        <f>'2 transformar y limpiar'!G873</f>
        <v/>
      </c>
      <c r="H859">
        <f>'2 transformar y limpiar'!H873</f>
        <v/>
      </c>
      <c r="I859">
        <f>'2 transformar y limpiar'!I873</f>
        <v/>
      </c>
      <c r="J859">
        <f>'2 transformar y limpiar'!J873</f>
        <v/>
      </c>
      <c r="K859">
        <f>'2 transformar y limpiar'!K873</f>
        <v/>
      </c>
      <c r="L859">
        <f>'2 transformar y limpiar'!L873</f>
        <v/>
      </c>
      <c r="M859">
        <f>'2 transformar y limpiar'!M873</f>
        <v/>
      </c>
      <c r="N859">
        <f>'2 transformar y limpiar'!N873</f>
        <v/>
      </c>
      <c r="O859">
        <f>'2 transformar y limpiar'!O873</f>
        <v/>
      </c>
      <c r="P859">
        <f>'2 transformar y limpiar'!P873</f>
        <v/>
      </c>
      <c r="Q859">
        <f>'2 transformar y limpiar'!Q873</f>
        <v/>
      </c>
      <c r="R859">
        <f>'2 transformar y limpiar'!R873</f>
        <v/>
      </c>
      <c r="S859">
        <f>'2 transformar y limpiar'!S873</f>
        <v/>
      </c>
      <c r="T859">
        <f>'2 transformar y limpiar'!T873</f>
        <v/>
      </c>
      <c r="U859" s="5">
        <f>'2 transformar y limpiar'!U873</f>
        <v/>
      </c>
    </row>
    <row r="860">
      <c r="A860">
        <f>'2 transformar y limpiar'!A874</f>
        <v/>
      </c>
      <c r="B860">
        <f>'2 transformar y limpiar'!B874</f>
        <v/>
      </c>
      <c r="C860" s="6">
        <f>('2 transformar y limpiar'!C874-$B$6)/$C$6</f>
        <v/>
      </c>
      <c r="D860" s="6">
        <f>('2 transformar y limpiar'!D874-$B$7)/$C$7</f>
        <v/>
      </c>
      <c r="E860" s="6">
        <f>('2 transformar y limpiar'!E874-$B$8)/$C$8</f>
        <v/>
      </c>
      <c r="F860" s="6">
        <f>('2 transformar y limpiar'!F874-$B$9)/$C$9</f>
        <v/>
      </c>
      <c r="G860">
        <f>'2 transformar y limpiar'!G874</f>
        <v/>
      </c>
      <c r="H860">
        <f>'2 transformar y limpiar'!H874</f>
        <v/>
      </c>
      <c r="I860">
        <f>'2 transformar y limpiar'!I874</f>
        <v/>
      </c>
      <c r="J860">
        <f>'2 transformar y limpiar'!J874</f>
        <v/>
      </c>
      <c r="K860">
        <f>'2 transformar y limpiar'!K874</f>
        <v/>
      </c>
      <c r="L860">
        <f>'2 transformar y limpiar'!L874</f>
        <v/>
      </c>
      <c r="M860">
        <f>'2 transformar y limpiar'!M874</f>
        <v/>
      </c>
      <c r="N860">
        <f>'2 transformar y limpiar'!N874</f>
        <v/>
      </c>
      <c r="O860">
        <f>'2 transformar y limpiar'!O874</f>
        <v/>
      </c>
      <c r="P860">
        <f>'2 transformar y limpiar'!P874</f>
        <v/>
      </c>
      <c r="Q860">
        <f>'2 transformar y limpiar'!Q874</f>
        <v/>
      </c>
      <c r="R860">
        <f>'2 transformar y limpiar'!R874</f>
        <v/>
      </c>
      <c r="S860">
        <f>'2 transformar y limpiar'!S874</f>
        <v/>
      </c>
      <c r="T860">
        <f>'2 transformar y limpiar'!T874</f>
        <v/>
      </c>
      <c r="U860" s="5">
        <f>'2 transformar y limpiar'!U874</f>
        <v/>
      </c>
    </row>
    <row r="861">
      <c r="A861">
        <f>'2 transformar y limpiar'!A875</f>
        <v/>
      </c>
      <c r="B861">
        <f>'2 transformar y limpiar'!B875</f>
        <v/>
      </c>
      <c r="C861" s="6">
        <f>('2 transformar y limpiar'!C875-$B$6)/$C$6</f>
        <v/>
      </c>
      <c r="D861" s="6">
        <f>('2 transformar y limpiar'!D875-$B$7)/$C$7</f>
        <v/>
      </c>
      <c r="E861" s="6">
        <f>('2 transformar y limpiar'!E875-$B$8)/$C$8</f>
        <v/>
      </c>
      <c r="F861" s="6">
        <f>('2 transformar y limpiar'!F875-$B$9)/$C$9</f>
        <v/>
      </c>
      <c r="G861">
        <f>'2 transformar y limpiar'!G875</f>
        <v/>
      </c>
      <c r="H861">
        <f>'2 transformar y limpiar'!H875</f>
        <v/>
      </c>
      <c r="I861">
        <f>'2 transformar y limpiar'!I875</f>
        <v/>
      </c>
      <c r="J861">
        <f>'2 transformar y limpiar'!J875</f>
        <v/>
      </c>
      <c r="K861">
        <f>'2 transformar y limpiar'!K875</f>
        <v/>
      </c>
      <c r="L861">
        <f>'2 transformar y limpiar'!L875</f>
        <v/>
      </c>
      <c r="M861">
        <f>'2 transformar y limpiar'!M875</f>
        <v/>
      </c>
      <c r="N861">
        <f>'2 transformar y limpiar'!N875</f>
        <v/>
      </c>
      <c r="O861">
        <f>'2 transformar y limpiar'!O875</f>
        <v/>
      </c>
      <c r="P861">
        <f>'2 transformar y limpiar'!P875</f>
        <v/>
      </c>
      <c r="Q861">
        <f>'2 transformar y limpiar'!Q875</f>
        <v/>
      </c>
      <c r="R861">
        <f>'2 transformar y limpiar'!R875</f>
        <v/>
      </c>
      <c r="S861">
        <f>'2 transformar y limpiar'!S875</f>
        <v/>
      </c>
      <c r="T861">
        <f>'2 transformar y limpiar'!T875</f>
        <v/>
      </c>
      <c r="U861" s="5">
        <f>'2 transformar y limpiar'!U875</f>
        <v/>
      </c>
    </row>
    <row r="862">
      <c r="A862">
        <f>'2 transformar y limpiar'!A876</f>
        <v/>
      </c>
      <c r="B862">
        <f>'2 transformar y limpiar'!B876</f>
        <v/>
      </c>
      <c r="C862" s="6">
        <f>('2 transformar y limpiar'!C876-$B$6)/$C$6</f>
        <v/>
      </c>
      <c r="D862" s="6">
        <f>('2 transformar y limpiar'!D876-$B$7)/$C$7</f>
        <v/>
      </c>
      <c r="E862" s="6">
        <f>('2 transformar y limpiar'!E876-$B$8)/$C$8</f>
        <v/>
      </c>
      <c r="F862" s="6">
        <f>('2 transformar y limpiar'!F876-$B$9)/$C$9</f>
        <v/>
      </c>
      <c r="G862">
        <f>'2 transformar y limpiar'!G876</f>
        <v/>
      </c>
      <c r="H862">
        <f>'2 transformar y limpiar'!H876</f>
        <v/>
      </c>
      <c r="I862">
        <f>'2 transformar y limpiar'!I876</f>
        <v/>
      </c>
      <c r="J862">
        <f>'2 transformar y limpiar'!J876</f>
        <v/>
      </c>
      <c r="K862">
        <f>'2 transformar y limpiar'!K876</f>
        <v/>
      </c>
      <c r="L862">
        <f>'2 transformar y limpiar'!L876</f>
        <v/>
      </c>
      <c r="M862">
        <f>'2 transformar y limpiar'!M876</f>
        <v/>
      </c>
      <c r="N862">
        <f>'2 transformar y limpiar'!N876</f>
        <v/>
      </c>
      <c r="O862">
        <f>'2 transformar y limpiar'!O876</f>
        <v/>
      </c>
      <c r="P862">
        <f>'2 transformar y limpiar'!P876</f>
        <v/>
      </c>
      <c r="Q862">
        <f>'2 transformar y limpiar'!Q876</f>
        <v/>
      </c>
      <c r="R862">
        <f>'2 transformar y limpiar'!R876</f>
        <v/>
      </c>
      <c r="S862">
        <f>'2 transformar y limpiar'!S876</f>
        <v/>
      </c>
      <c r="T862">
        <f>'2 transformar y limpiar'!T876</f>
        <v/>
      </c>
      <c r="U862" s="5">
        <f>'2 transformar y limpiar'!U876</f>
        <v/>
      </c>
    </row>
    <row r="863">
      <c r="A863">
        <f>'2 transformar y limpiar'!A877</f>
        <v/>
      </c>
      <c r="B863">
        <f>'2 transformar y limpiar'!B877</f>
        <v/>
      </c>
      <c r="C863" s="6">
        <f>('2 transformar y limpiar'!C877-$B$6)/$C$6</f>
        <v/>
      </c>
      <c r="D863" s="6">
        <f>('2 transformar y limpiar'!D877-$B$7)/$C$7</f>
        <v/>
      </c>
      <c r="E863" s="6">
        <f>('2 transformar y limpiar'!E877-$B$8)/$C$8</f>
        <v/>
      </c>
      <c r="F863" s="6">
        <f>('2 transformar y limpiar'!F877-$B$9)/$C$9</f>
        <v/>
      </c>
      <c r="G863">
        <f>'2 transformar y limpiar'!G877</f>
        <v/>
      </c>
      <c r="H863">
        <f>'2 transformar y limpiar'!H877</f>
        <v/>
      </c>
      <c r="I863">
        <f>'2 transformar y limpiar'!I877</f>
        <v/>
      </c>
      <c r="J863">
        <f>'2 transformar y limpiar'!J877</f>
        <v/>
      </c>
      <c r="K863">
        <f>'2 transformar y limpiar'!K877</f>
        <v/>
      </c>
      <c r="L863">
        <f>'2 transformar y limpiar'!L877</f>
        <v/>
      </c>
      <c r="M863">
        <f>'2 transformar y limpiar'!M877</f>
        <v/>
      </c>
      <c r="N863">
        <f>'2 transformar y limpiar'!N877</f>
        <v/>
      </c>
      <c r="O863">
        <f>'2 transformar y limpiar'!O877</f>
        <v/>
      </c>
      <c r="P863">
        <f>'2 transformar y limpiar'!P877</f>
        <v/>
      </c>
      <c r="Q863">
        <f>'2 transformar y limpiar'!Q877</f>
        <v/>
      </c>
      <c r="R863">
        <f>'2 transformar y limpiar'!R877</f>
        <v/>
      </c>
      <c r="S863">
        <f>'2 transformar y limpiar'!S877</f>
        <v/>
      </c>
      <c r="T863">
        <f>'2 transformar y limpiar'!T877</f>
        <v/>
      </c>
      <c r="U863" s="5">
        <f>'2 transformar y limpiar'!U877</f>
        <v/>
      </c>
    </row>
    <row r="864">
      <c r="A864">
        <f>'2 transformar y limpiar'!A878</f>
        <v/>
      </c>
      <c r="B864">
        <f>'2 transformar y limpiar'!B878</f>
        <v/>
      </c>
      <c r="C864" s="6">
        <f>('2 transformar y limpiar'!C878-$B$6)/$C$6</f>
        <v/>
      </c>
      <c r="D864" s="6">
        <f>('2 transformar y limpiar'!D878-$B$7)/$C$7</f>
        <v/>
      </c>
      <c r="E864" s="6">
        <f>('2 transformar y limpiar'!E878-$B$8)/$C$8</f>
        <v/>
      </c>
      <c r="F864" s="6">
        <f>('2 transformar y limpiar'!F878-$B$9)/$C$9</f>
        <v/>
      </c>
      <c r="G864">
        <f>'2 transformar y limpiar'!G878</f>
        <v/>
      </c>
      <c r="H864">
        <f>'2 transformar y limpiar'!H878</f>
        <v/>
      </c>
      <c r="I864">
        <f>'2 transformar y limpiar'!I878</f>
        <v/>
      </c>
      <c r="J864">
        <f>'2 transformar y limpiar'!J878</f>
        <v/>
      </c>
      <c r="K864">
        <f>'2 transformar y limpiar'!K878</f>
        <v/>
      </c>
      <c r="L864">
        <f>'2 transformar y limpiar'!L878</f>
        <v/>
      </c>
      <c r="M864">
        <f>'2 transformar y limpiar'!M878</f>
        <v/>
      </c>
      <c r="N864">
        <f>'2 transformar y limpiar'!N878</f>
        <v/>
      </c>
      <c r="O864">
        <f>'2 transformar y limpiar'!O878</f>
        <v/>
      </c>
      <c r="P864">
        <f>'2 transformar y limpiar'!P878</f>
        <v/>
      </c>
      <c r="Q864">
        <f>'2 transformar y limpiar'!Q878</f>
        <v/>
      </c>
      <c r="R864">
        <f>'2 transformar y limpiar'!R878</f>
        <v/>
      </c>
      <c r="S864">
        <f>'2 transformar y limpiar'!S878</f>
        <v/>
      </c>
      <c r="T864">
        <f>'2 transformar y limpiar'!T878</f>
        <v/>
      </c>
      <c r="U864" s="5">
        <f>'2 transformar y limpiar'!U878</f>
        <v/>
      </c>
    </row>
    <row r="865">
      <c r="A865">
        <f>'2 transformar y limpiar'!A879</f>
        <v/>
      </c>
      <c r="B865">
        <f>'2 transformar y limpiar'!B879</f>
        <v/>
      </c>
      <c r="C865" s="6">
        <f>('2 transformar y limpiar'!C879-$B$6)/$C$6</f>
        <v/>
      </c>
      <c r="D865" s="6">
        <f>('2 transformar y limpiar'!D879-$B$7)/$C$7</f>
        <v/>
      </c>
      <c r="E865" s="6">
        <f>('2 transformar y limpiar'!E879-$B$8)/$C$8</f>
        <v/>
      </c>
      <c r="F865" s="6">
        <f>('2 transformar y limpiar'!F879-$B$9)/$C$9</f>
        <v/>
      </c>
      <c r="G865">
        <f>'2 transformar y limpiar'!G879</f>
        <v/>
      </c>
      <c r="H865">
        <f>'2 transformar y limpiar'!H879</f>
        <v/>
      </c>
      <c r="I865">
        <f>'2 transformar y limpiar'!I879</f>
        <v/>
      </c>
      <c r="J865">
        <f>'2 transformar y limpiar'!J879</f>
        <v/>
      </c>
      <c r="K865">
        <f>'2 transformar y limpiar'!K879</f>
        <v/>
      </c>
      <c r="L865">
        <f>'2 transformar y limpiar'!L879</f>
        <v/>
      </c>
      <c r="M865">
        <f>'2 transformar y limpiar'!M879</f>
        <v/>
      </c>
      <c r="N865">
        <f>'2 transformar y limpiar'!N879</f>
        <v/>
      </c>
      <c r="O865">
        <f>'2 transformar y limpiar'!O879</f>
        <v/>
      </c>
      <c r="P865">
        <f>'2 transformar y limpiar'!P879</f>
        <v/>
      </c>
      <c r="Q865">
        <f>'2 transformar y limpiar'!Q879</f>
        <v/>
      </c>
      <c r="R865">
        <f>'2 transformar y limpiar'!R879</f>
        <v/>
      </c>
      <c r="S865">
        <f>'2 transformar y limpiar'!S879</f>
        <v/>
      </c>
      <c r="T865">
        <f>'2 transformar y limpiar'!T879</f>
        <v/>
      </c>
      <c r="U865" s="5">
        <f>'2 transformar y limpiar'!U879</f>
        <v/>
      </c>
    </row>
    <row r="866">
      <c r="A866">
        <f>'2 transformar y limpiar'!A880</f>
        <v/>
      </c>
      <c r="B866">
        <f>'2 transformar y limpiar'!B880</f>
        <v/>
      </c>
      <c r="C866" s="6">
        <f>('2 transformar y limpiar'!C880-$B$6)/$C$6</f>
        <v/>
      </c>
      <c r="D866" s="6">
        <f>('2 transformar y limpiar'!D880-$B$7)/$C$7</f>
        <v/>
      </c>
      <c r="E866" s="6">
        <f>('2 transformar y limpiar'!E880-$B$8)/$C$8</f>
        <v/>
      </c>
      <c r="F866" s="6">
        <f>('2 transformar y limpiar'!F880-$B$9)/$C$9</f>
        <v/>
      </c>
      <c r="G866">
        <f>'2 transformar y limpiar'!G880</f>
        <v/>
      </c>
      <c r="H866">
        <f>'2 transformar y limpiar'!H880</f>
        <v/>
      </c>
      <c r="I866">
        <f>'2 transformar y limpiar'!I880</f>
        <v/>
      </c>
      <c r="J866">
        <f>'2 transformar y limpiar'!J880</f>
        <v/>
      </c>
      <c r="K866">
        <f>'2 transformar y limpiar'!K880</f>
        <v/>
      </c>
      <c r="L866">
        <f>'2 transformar y limpiar'!L880</f>
        <v/>
      </c>
      <c r="M866">
        <f>'2 transformar y limpiar'!M880</f>
        <v/>
      </c>
      <c r="N866">
        <f>'2 transformar y limpiar'!N880</f>
        <v/>
      </c>
      <c r="O866">
        <f>'2 transformar y limpiar'!O880</f>
        <v/>
      </c>
      <c r="P866">
        <f>'2 transformar y limpiar'!P880</f>
        <v/>
      </c>
      <c r="Q866">
        <f>'2 transformar y limpiar'!Q880</f>
        <v/>
      </c>
      <c r="R866">
        <f>'2 transformar y limpiar'!R880</f>
        <v/>
      </c>
      <c r="S866">
        <f>'2 transformar y limpiar'!S880</f>
        <v/>
      </c>
      <c r="T866">
        <f>'2 transformar y limpiar'!T880</f>
        <v/>
      </c>
      <c r="U866" s="5">
        <f>'2 transformar y limpiar'!U880</f>
        <v/>
      </c>
    </row>
    <row r="867">
      <c r="A867">
        <f>'2 transformar y limpiar'!A881</f>
        <v/>
      </c>
      <c r="B867">
        <f>'2 transformar y limpiar'!B881</f>
        <v/>
      </c>
      <c r="C867" s="6">
        <f>('2 transformar y limpiar'!C881-$B$6)/$C$6</f>
        <v/>
      </c>
      <c r="D867" s="6">
        <f>('2 transformar y limpiar'!D881-$B$7)/$C$7</f>
        <v/>
      </c>
      <c r="E867" s="6">
        <f>('2 transformar y limpiar'!E881-$B$8)/$C$8</f>
        <v/>
      </c>
      <c r="F867" s="6">
        <f>('2 transformar y limpiar'!F881-$B$9)/$C$9</f>
        <v/>
      </c>
      <c r="G867">
        <f>'2 transformar y limpiar'!G881</f>
        <v/>
      </c>
      <c r="H867">
        <f>'2 transformar y limpiar'!H881</f>
        <v/>
      </c>
      <c r="I867">
        <f>'2 transformar y limpiar'!I881</f>
        <v/>
      </c>
      <c r="J867">
        <f>'2 transformar y limpiar'!J881</f>
        <v/>
      </c>
      <c r="K867">
        <f>'2 transformar y limpiar'!K881</f>
        <v/>
      </c>
      <c r="L867">
        <f>'2 transformar y limpiar'!L881</f>
        <v/>
      </c>
      <c r="M867">
        <f>'2 transformar y limpiar'!M881</f>
        <v/>
      </c>
      <c r="N867">
        <f>'2 transformar y limpiar'!N881</f>
        <v/>
      </c>
      <c r="O867">
        <f>'2 transformar y limpiar'!O881</f>
        <v/>
      </c>
      <c r="P867">
        <f>'2 transformar y limpiar'!P881</f>
        <v/>
      </c>
      <c r="Q867">
        <f>'2 transformar y limpiar'!Q881</f>
        <v/>
      </c>
      <c r="R867">
        <f>'2 transformar y limpiar'!R881</f>
        <v/>
      </c>
      <c r="S867">
        <f>'2 transformar y limpiar'!S881</f>
        <v/>
      </c>
      <c r="T867">
        <f>'2 transformar y limpiar'!T881</f>
        <v/>
      </c>
      <c r="U867" s="5">
        <f>'2 transformar y limpiar'!U881</f>
        <v/>
      </c>
    </row>
    <row r="868">
      <c r="A868">
        <f>'2 transformar y limpiar'!A882</f>
        <v/>
      </c>
      <c r="B868">
        <f>'2 transformar y limpiar'!B882</f>
        <v/>
      </c>
      <c r="C868" s="6">
        <f>('2 transformar y limpiar'!C882-$B$6)/$C$6</f>
        <v/>
      </c>
      <c r="D868" s="6">
        <f>('2 transformar y limpiar'!D882-$B$7)/$C$7</f>
        <v/>
      </c>
      <c r="E868" s="6">
        <f>('2 transformar y limpiar'!E882-$B$8)/$C$8</f>
        <v/>
      </c>
      <c r="F868" s="6">
        <f>('2 transformar y limpiar'!F882-$B$9)/$C$9</f>
        <v/>
      </c>
      <c r="G868">
        <f>'2 transformar y limpiar'!G882</f>
        <v/>
      </c>
      <c r="H868">
        <f>'2 transformar y limpiar'!H882</f>
        <v/>
      </c>
      <c r="I868">
        <f>'2 transformar y limpiar'!I882</f>
        <v/>
      </c>
      <c r="J868">
        <f>'2 transformar y limpiar'!J882</f>
        <v/>
      </c>
      <c r="K868">
        <f>'2 transformar y limpiar'!K882</f>
        <v/>
      </c>
      <c r="L868">
        <f>'2 transformar y limpiar'!L882</f>
        <v/>
      </c>
      <c r="M868">
        <f>'2 transformar y limpiar'!M882</f>
        <v/>
      </c>
      <c r="N868">
        <f>'2 transformar y limpiar'!N882</f>
        <v/>
      </c>
      <c r="O868">
        <f>'2 transformar y limpiar'!O882</f>
        <v/>
      </c>
      <c r="P868">
        <f>'2 transformar y limpiar'!P882</f>
        <v/>
      </c>
      <c r="Q868">
        <f>'2 transformar y limpiar'!Q882</f>
        <v/>
      </c>
      <c r="R868">
        <f>'2 transformar y limpiar'!R882</f>
        <v/>
      </c>
      <c r="S868">
        <f>'2 transformar y limpiar'!S882</f>
        <v/>
      </c>
      <c r="T868">
        <f>'2 transformar y limpiar'!T882</f>
        <v/>
      </c>
      <c r="U868" s="5">
        <f>'2 transformar y limpiar'!U882</f>
        <v/>
      </c>
    </row>
    <row r="869">
      <c r="A869">
        <f>'2 transformar y limpiar'!A883</f>
        <v/>
      </c>
      <c r="B869">
        <f>'2 transformar y limpiar'!B883</f>
        <v/>
      </c>
      <c r="C869" s="6">
        <f>('2 transformar y limpiar'!C883-$B$6)/$C$6</f>
        <v/>
      </c>
      <c r="D869" s="6">
        <f>('2 transformar y limpiar'!D883-$B$7)/$C$7</f>
        <v/>
      </c>
      <c r="E869" s="6">
        <f>('2 transformar y limpiar'!E883-$B$8)/$C$8</f>
        <v/>
      </c>
      <c r="F869" s="6">
        <f>('2 transformar y limpiar'!F883-$B$9)/$C$9</f>
        <v/>
      </c>
      <c r="G869">
        <f>'2 transformar y limpiar'!G883</f>
        <v/>
      </c>
      <c r="H869">
        <f>'2 transformar y limpiar'!H883</f>
        <v/>
      </c>
      <c r="I869">
        <f>'2 transformar y limpiar'!I883</f>
        <v/>
      </c>
      <c r="J869">
        <f>'2 transformar y limpiar'!J883</f>
        <v/>
      </c>
      <c r="K869">
        <f>'2 transformar y limpiar'!K883</f>
        <v/>
      </c>
      <c r="L869">
        <f>'2 transformar y limpiar'!L883</f>
        <v/>
      </c>
      <c r="M869">
        <f>'2 transformar y limpiar'!M883</f>
        <v/>
      </c>
      <c r="N869">
        <f>'2 transformar y limpiar'!N883</f>
        <v/>
      </c>
      <c r="O869">
        <f>'2 transformar y limpiar'!O883</f>
        <v/>
      </c>
      <c r="P869">
        <f>'2 transformar y limpiar'!P883</f>
        <v/>
      </c>
      <c r="Q869">
        <f>'2 transformar y limpiar'!Q883</f>
        <v/>
      </c>
      <c r="R869">
        <f>'2 transformar y limpiar'!R883</f>
        <v/>
      </c>
      <c r="S869">
        <f>'2 transformar y limpiar'!S883</f>
        <v/>
      </c>
      <c r="T869">
        <f>'2 transformar y limpiar'!T883</f>
        <v/>
      </c>
      <c r="U869" s="5">
        <f>'2 transformar y limpiar'!U883</f>
        <v/>
      </c>
    </row>
    <row r="870">
      <c r="A870">
        <f>'2 transformar y limpiar'!A884</f>
        <v/>
      </c>
      <c r="B870">
        <f>'2 transformar y limpiar'!B884</f>
        <v/>
      </c>
      <c r="C870" s="6">
        <f>('2 transformar y limpiar'!C884-$B$6)/$C$6</f>
        <v/>
      </c>
      <c r="D870" s="6">
        <f>('2 transformar y limpiar'!D884-$B$7)/$C$7</f>
        <v/>
      </c>
      <c r="E870" s="6">
        <f>('2 transformar y limpiar'!E884-$B$8)/$C$8</f>
        <v/>
      </c>
      <c r="F870" s="6">
        <f>('2 transformar y limpiar'!F884-$B$9)/$C$9</f>
        <v/>
      </c>
      <c r="G870">
        <f>'2 transformar y limpiar'!G884</f>
        <v/>
      </c>
      <c r="H870">
        <f>'2 transformar y limpiar'!H884</f>
        <v/>
      </c>
      <c r="I870">
        <f>'2 transformar y limpiar'!I884</f>
        <v/>
      </c>
      <c r="J870">
        <f>'2 transformar y limpiar'!J884</f>
        <v/>
      </c>
      <c r="K870">
        <f>'2 transformar y limpiar'!K884</f>
        <v/>
      </c>
      <c r="L870">
        <f>'2 transformar y limpiar'!L884</f>
        <v/>
      </c>
      <c r="M870">
        <f>'2 transformar y limpiar'!M884</f>
        <v/>
      </c>
      <c r="N870">
        <f>'2 transformar y limpiar'!N884</f>
        <v/>
      </c>
      <c r="O870">
        <f>'2 transformar y limpiar'!O884</f>
        <v/>
      </c>
      <c r="P870">
        <f>'2 transformar y limpiar'!P884</f>
        <v/>
      </c>
      <c r="Q870">
        <f>'2 transformar y limpiar'!Q884</f>
        <v/>
      </c>
      <c r="R870">
        <f>'2 transformar y limpiar'!R884</f>
        <v/>
      </c>
      <c r="S870">
        <f>'2 transformar y limpiar'!S884</f>
        <v/>
      </c>
      <c r="T870">
        <f>'2 transformar y limpiar'!T884</f>
        <v/>
      </c>
      <c r="U870" s="5">
        <f>'2 transformar y limpiar'!U884</f>
        <v/>
      </c>
    </row>
    <row r="871">
      <c r="A871">
        <f>'2 transformar y limpiar'!A885</f>
        <v/>
      </c>
      <c r="B871">
        <f>'2 transformar y limpiar'!B885</f>
        <v/>
      </c>
      <c r="C871" s="6">
        <f>('2 transformar y limpiar'!C885-$B$6)/$C$6</f>
        <v/>
      </c>
      <c r="D871" s="6">
        <f>('2 transformar y limpiar'!D885-$B$7)/$C$7</f>
        <v/>
      </c>
      <c r="E871" s="6">
        <f>('2 transformar y limpiar'!E885-$B$8)/$C$8</f>
        <v/>
      </c>
      <c r="F871" s="6">
        <f>('2 transformar y limpiar'!F885-$B$9)/$C$9</f>
        <v/>
      </c>
      <c r="G871">
        <f>'2 transformar y limpiar'!G885</f>
        <v/>
      </c>
      <c r="H871">
        <f>'2 transformar y limpiar'!H885</f>
        <v/>
      </c>
      <c r="I871">
        <f>'2 transformar y limpiar'!I885</f>
        <v/>
      </c>
      <c r="J871">
        <f>'2 transformar y limpiar'!J885</f>
        <v/>
      </c>
      <c r="K871">
        <f>'2 transformar y limpiar'!K885</f>
        <v/>
      </c>
      <c r="L871">
        <f>'2 transformar y limpiar'!L885</f>
        <v/>
      </c>
      <c r="M871">
        <f>'2 transformar y limpiar'!M885</f>
        <v/>
      </c>
      <c r="N871">
        <f>'2 transformar y limpiar'!N885</f>
        <v/>
      </c>
      <c r="O871">
        <f>'2 transformar y limpiar'!O885</f>
        <v/>
      </c>
      <c r="P871">
        <f>'2 transformar y limpiar'!P885</f>
        <v/>
      </c>
      <c r="Q871">
        <f>'2 transformar y limpiar'!Q885</f>
        <v/>
      </c>
      <c r="R871">
        <f>'2 transformar y limpiar'!R885</f>
        <v/>
      </c>
      <c r="S871">
        <f>'2 transformar y limpiar'!S885</f>
        <v/>
      </c>
      <c r="T871">
        <f>'2 transformar y limpiar'!T885</f>
        <v/>
      </c>
      <c r="U871" s="5">
        <f>'2 transformar y limpiar'!U885</f>
        <v/>
      </c>
    </row>
    <row r="872">
      <c r="A872">
        <f>'2 transformar y limpiar'!A886</f>
        <v/>
      </c>
      <c r="B872">
        <f>'2 transformar y limpiar'!B886</f>
        <v/>
      </c>
      <c r="C872" s="6">
        <f>('2 transformar y limpiar'!C886-$B$6)/$C$6</f>
        <v/>
      </c>
      <c r="D872" s="6">
        <f>('2 transformar y limpiar'!D886-$B$7)/$C$7</f>
        <v/>
      </c>
      <c r="E872" s="6">
        <f>('2 transformar y limpiar'!E886-$B$8)/$C$8</f>
        <v/>
      </c>
      <c r="F872" s="6">
        <f>('2 transformar y limpiar'!F886-$B$9)/$C$9</f>
        <v/>
      </c>
      <c r="G872">
        <f>'2 transformar y limpiar'!G886</f>
        <v/>
      </c>
      <c r="H872">
        <f>'2 transformar y limpiar'!H886</f>
        <v/>
      </c>
      <c r="I872">
        <f>'2 transformar y limpiar'!I886</f>
        <v/>
      </c>
      <c r="J872">
        <f>'2 transformar y limpiar'!J886</f>
        <v/>
      </c>
      <c r="K872">
        <f>'2 transformar y limpiar'!K886</f>
        <v/>
      </c>
      <c r="L872">
        <f>'2 transformar y limpiar'!L886</f>
        <v/>
      </c>
      <c r="M872">
        <f>'2 transformar y limpiar'!M886</f>
        <v/>
      </c>
      <c r="N872">
        <f>'2 transformar y limpiar'!N886</f>
        <v/>
      </c>
      <c r="O872">
        <f>'2 transformar y limpiar'!O886</f>
        <v/>
      </c>
      <c r="P872">
        <f>'2 transformar y limpiar'!P886</f>
        <v/>
      </c>
      <c r="Q872">
        <f>'2 transformar y limpiar'!Q886</f>
        <v/>
      </c>
      <c r="R872">
        <f>'2 transformar y limpiar'!R886</f>
        <v/>
      </c>
      <c r="S872">
        <f>'2 transformar y limpiar'!S886</f>
        <v/>
      </c>
      <c r="T872">
        <f>'2 transformar y limpiar'!T886</f>
        <v/>
      </c>
      <c r="U872" s="5">
        <f>'2 transformar y limpiar'!U886</f>
        <v/>
      </c>
    </row>
    <row r="873">
      <c r="A873">
        <f>'2 transformar y limpiar'!A887</f>
        <v/>
      </c>
      <c r="B873">
        <f>'2 transformar y limpiar'!B887</f>
        <v/>
      </c>
      <c r="C873" s="6">
        <f>('2 transformar y limpiar'!C887-$B$6)/$C$6</f>
        <v/>
      </c>
      <c r="D873" s="6">
        <f>('2 transformar y limpiar'!D887-$B$7)/$C$7</f>
        <v/>
      </c>
      <c r="E873" s="6">
        <f>('2 transformar y limpiar'!E887-$B$8)/$C$8</f>
        <v/>
      </c>
      <c r="F873" s="6">
        <f>('2 transformar y limpiar'!F887-$B$9)/$C$9</f>
        <v/>
      </c>
      <c r="G873">
        <f>'2 transformar y limpiar'!G887</f>
        <v/>
      </c>
      <c r="H873">
        <f>'2 transformar y limpiar'!H887</f>
        <v/>
      </c>
      <c r="I873">
        <f>'2 transformar y limpiar'!I887</f>
        <v/>
      </c>
      <c r="J873">
        <f>'2 transformar y limpiar'!J887</f>
        <v/>
      </c>
      <c r="K873">
        <f>'2 transformar y limpiar'!K887</f>
        <v/>
      </c>
      <c r="L873">
        <f>'2 transformar y limpiar'!L887</f>
        <v/>
      </c>
      <c r="M873">
        <f>'2 transformar y limpiar'!M887</f>
        <v/>
      </c>
      <c r="N873">
        <f>'2 transformar y limpiar'!N887</f>
        <v/>
      </c>
      <c r="O873">
        <f>'2 transformar y limpiar'!O887</f>
        <v/>
      </c>
      <c r="P873">
        <f>'2 transformar y limpiar'!P887</f>
        <v/>
      </c>
      <c r="Q873">
        <f>'2 transformar y limpiar'!Q887</f>
        <v/>
      </c>
      <c r="R873">
        <f>'2 transformar y limpiar'!R887</f>
        <v/>
      </c>
      <c r="S873">
        <f>'2 transformar y limpiar'!S887</f>
        <v/>
      </c>
      <c r="T873">
        <f>'2 transformar y limpiar'!T887</f>
        <v/>
      </c>
      <c r="U873" s="5">
        <f>'2 transformar y limpiar'!U887</f>
        <v/>
      </c>
    </row>
    <row r="874">
      <c r="A874">
        <f>'2 transformar y limpiar'!A888</f>
        <v/>
      </c>
      <c r="B874">
        <f>'2 transformar y limpiar'!B888</f>
        <v/>
      </c>
      <c r="C874" s="6">
        <f>('2 transformar y limpiar'!C888-$B$6)/$C$6</f>
        <v/>
      </c>
      <c r="D874" s="6">
        <f>('2 transformar y limpiar'!D888-$B$7)/$C$7</f>
        <v/>
      </c>
      <c r="E874" s="6">
        <f>('2 transformar y limpiar'!E888-$B$8)/$C$8</f>
        <v/>
      </c>
      <c r="F874" s="6">
        <f>('2 transformar y limpiar'!F888-$B$9)/$C$9</f>
        <v/>
      </c>
      <c r="G874">
        <f>'2 transformar y limpiar'!G888</f>
        <v/>
      </c>
      <c r="H874">
        <f>'2 transformar y limpiar'!H888</f>
        <v/>
      </c>
      <c r="I874">
        <f>'2 transformar y limpiar'!I888</f>
        <v/>
      </c>
      <c r="J874">
        <f>'2 transformar y limpiar'!J888</f>
        <v/>
      </c>
      <c r="K874">
        <f>'2 transformar y limpiar'!K888</f>
        <v/>
      </c>
      <c r="L874">
        <f>'2 transformar y limpiar'!L888</f>
        <v/>
      </c>
      <c r="M874">
        <f>'2 transformar y limpiar'!M888</f>
        <v/>
      </c>
      <c r="N874">
        <f>'2 transformar y limpiar'!N888</f>
        <v/>
      </c>
      <c r="O874">
        <f>'2 transformar y limpiar'!O888</f>
        <v/>
      </c>
      <c r="P874">
        <f>'2 transformar y limpiar'!P888</f>
        <v/>
      </c>
      <c r="Q874">
        <f>'2 transformar y limpiar'!Q888</f>
        <v/>
      </c>
      <c r="R874">
        <f>'2 transformar y limpiar'!R888</f>
        <v/>
      </c>
      <c r="S874">
        <f>'2 transformar y limpiar'!S888</f>
        <v/>
      </c>
      <c r="T874">
        <f>'2 transformar y limpiar'!T888</f>
        <v/>
      </c>
      <c r="U874" s="5">
        <f>'2 transformar y limpiar'!U888</f>
        <v/>
      </c>
    </row>
    <row r="875">
      <c r="A875">
        <f>'2 transformar y limpiar'!A889</f>
        <v/>
      </c>
      <c r="B875">
        <f>'2 transformar y limpiar'!B889</f>
        <v/>
      </c>
      <c r="C875" s="6">
        <f>('2 transformar y limpiar'!C889-$B$6)/$C$6</f>
        <v/>
      </c>
      <c r="D875" s="6">
        <f>('2 transformar y limpiar'!D889-$B$7)/$C$7</f>
        <v/>
      </c>
      <c r="E875" s="6">
        <f>('2 transformar y limpiar'!E889-$B$8)/$C$8</f>
        <v/>
      </c>
      <c r="F875" s="6">
        <f>('2 transformar y limpiar'!F889-$B$9)/$C$9</f>
        <v/>
      </c>
      <c r="G875">
        <f>'2 transformar y limpiar'!G889</f>
        <v/>
      </c>
      <c r="H875">
        <f>'2 transformar y limpiar'!H889</f>
        <v/>
      </c>
      <c r="I875">
        <f>'2 transformar y limpiar'!I889</f>
        <v/>
      </c>
      <c r="J875">
        <f>'2 transformar y limpiar'!J889</f>
        <v/>
      </c>
      <c r="K875">
        <f>'2 transformar y limpiar'!K889</f>
        <v/>
      </c>
      <c r="L875">
        <f>'2 transformar y limpiar'!L889</f>
        <v/>
      </c>
      <c r="M875">
        <f>'2 transformar y limpiar'!M889</f>
        <v/>
      </c>
      <c r="N875">
        <f>'2 transformar y limpiar'!N889</f>
        <v/>
      </c>
      <c r="O875">
        <f>'2 transformar y limpiar'!O889</f>
        <v/>
      </c>
      <c r="P875">
        <f>'2 transformar y limpiar'!P889</f>
        <v/>
      </c>
      <c r="Q875">
        <f>'2 transformar y limpiar'!Q889</f>
        <v/>
      </c>
      <c r="R875">
        <f>'2 transformar y limpiar'!R889</f>
        <v/>
      </c>
      <c r="S875">
        <f>'2 transformar y limpiar'!S889</f>
        <v/>
      </c>
      <c r="T875">
        <f>'2 transformar y limpiar'!T889</f>
        <v/>
      </c>
      <c r="U875" s="5">
        <f>'2 transformar y limpiar'!U889</f>
        <v/>
      </c>
    </row>
    <row r="876">
      <c r="A876">
        <f>'2 transformar y limpiar'!A890</f>
        <v/>
      </c>
      <c r="B876">
        <f>'2 transformar y limpiar'!B890</f>
        <v/>
      </c>
      <c r="C876" s="6">
        <f>('2 transformar y limpiar'!C890-$B$6)/$C$6</f>
        <v/>
      </c>
      <c r="D876" s="6">
        <f>('2 transformar y limpiar'!D890-$B$7)/$C$7</f>
        <v/>
      </c>
      <c r="E876" s="6">
        <f>('2 transformar y limpiar'!E890-$B$8)/$C$8</f>
        <v/>
      </c>
      <c r="F876" s="6">
        <f>('2 transformar y limpiar'!F890-$B$9)/$C$9</f>
        <v/>
      </c>
      <c r="G876">
        <f>'2 transformar y limpiar'!G890</f>
        <v/>
      </c>
      <c r="H876">
        <f>'2 transformar y limpiar'!H890</f>
        <v/>
      </c>
      <c r="I876">
        <f>'2 transformar y limpiar'!I890</f>
        <v/>
      </c>
      <c r="J876">
        <f>'2 transformar y limpiar'!J890</f>
        <v/>
      </c>
      <c r="K876">
        <f>'2 transformar y limpiar'!K890</f>
        <v/>
      </c>
      <c r="L876">
        <f>'2 transformar y limpiar'!L890</f>
        <v/>
      </c>
      <c r="M876">
        <f>'2 transformar y limpiar'!M890</f>
        <v/>
      </c>
      <c r="N876">
        <f>'2 transformar y limpiar'!N890</f>
        <v/>
      </c>
      <c r="O876">
        <f>'2 transformar y limpiar'!O890</f>
        <v/>
      </c>
      <c r="P876">
        <f>'2 transformar y limpiar'!P890</f>
        <v/>
      </c>
      <c r="Q876">
        <f>'2 transformar y limpiar'!Q890</f>
        <v/>
      </c>
      <c r="R876">
        <f>'2 transformar y limpiar'!R890</f>
        <v/>
      </c>
      <c r="S876">
        <f>'2 transformar y limpiar'!S890</f>
        <v/>
      </c>
      <c r="T876">
        <f>'2 transformar y limpiar'!T890</f>
        <v/>
      </c>
      <c r="U876" s="5">
        <f>'2 transformar y limpiar'!U890</f>
        <v/>
      </c>
    </row>
    <row r="877">
      <c r="A877">
        <f>'2 transformar y limpiar'!A891</f>
        <v/>
      </c>
      <c r="B877">
        <f>'2 transformar y limpiar'!B891</f>
        <v/>
      </c>
      <c r="C877" s="6">
        <f>('2 transformar y limpiar'!C891-$B$6)/$C$6</f>
        <v/>
      </c>
      <c r="D877" s="6">
        <f>('2 transformar y limpiar'!D891-$B$7)/$C$7</f>
        <v/>
      </c>
      <c r="E877" s="6">
        <f>('2 transformar y limpiar'!E891-$B$8)/$C$8</f>
        <v/>
      </c>
      <c r="F877" s="6">
        <f>('2 transformar y limpiar'!F891-$B$9)/$C$9</f>
        <v/>
      </c>
      <c r="G877">
        <f>'2 transformar y limpiar'!G891</f>
        <v/>
      </c>
      <c r="H877">
        <f>'2 transformar y limpiar'!H891</f>
        <v/>
      </c>
      <c r="I877">
        <f>'2 transformar y limpiar'!I891</f>
        <v/>
      </c>
      <c r="J877">
        <f>'2 transformar y limpiar'!J891</f>
        <v/>
      </c>
      <c r="K877">
        <f>'2 transformar y limpiar'!K891</f>
        <v/>
      </c>
      <c r="L877">
        <f>'2 transformar y limpiar'!L891</f>
        <v/>
      </c>
      <c r="M877">
        <f>'2 transformar y limpiar'!M891</f>
        <v/>
      </c>
      <c r="N877">
        <f>'2 transformar y limpiar'!N891</f>
        <v/>
      </c>
      <c r="O877">
        <f>'2 transformar y limpiar'!O891</f>
        <v/>
      </c>
      <c r="P877">
        <f>'2 transformar y limpiar'!P891</f>
        <v/>
      </c>
      <c r="Q877">
        <f>'2 transformar y limpiar'!Q891</f>
        <v/>
      </c>
      <c r="R877">
        <f>'2 transformar y limpiar'!R891</f>
        <v/>
      </c>
      <c r="S877">
        <f>'2 transformar y limpiar'!S891</f>
        <v/>
      </c>
      <c r="T877">
        <f>'2 transformar y limpiar'!T891</f>
        <v/>
      </c>
      <c r="U877" s="5">
        <f>'2 transformar y limpiar'!U891</f>
        <v/>
      </c>
    </row>
    <row r="878">
      <c r="A878">
        <f>'2 transformar y limpiar'!A892</f>
        <v/>
      </c>
      <c r="B878">
        <f>'2 transformar y limpiar'!B892</f>
        <v/>
      </c>
      <c r="C878" s="6">
        <f>('2 transformar y limpiar'!C892-$B$6)/$C$6</f>
        <v/>
      </c>
      <c r="D878" s="6">
        <f>('2 transformar y limpiar'!D892-$B$7)/$C$7</f>
        <v/>
      </c>
      <c r="E878" s="6">
        <f>('2 transformar y limpiar'!E892-$B$8)/$C$8</f>
        <v/>
      </c>
      <c r="F878" s="6">
        <f>('2 transformar y limpiar'!F892-$B$9)/$C$9</f>
        <v/>
      </c>
      <c r="G878">
        <f>'2 transformar y limpiar'!G892</f>
        <v/>
      </c>
      <c r="H878">
        <f>'2 transformar y limpiar'!H892</f>
        <v/>
      </c>
      <c r="I878">
        <f>'2 transformar y limpiar'!I892</f>
        <v/>
      </c>
      <c r="J878">
        <f>'2 transformar y limpiar'!J892</f>
        <v/>
      </c>
      <c r="K878">
        <f>'2 transformar y limpiar'!K892</f>
        <v/>
      </c>
      <c r="L878">
        <f>'2 transformar y limpiar'!L892</f>
        <v/>
      </c>
      <c r="M878">
        <f>'2 transformar y limpiar'!M892</f>
        <v/>
      </c>
      <c r="N878">
        <f>'2 transformar y limpiar'!N892</f>
        <v/>
      </c>
      <c r="O878">
        <f>'2 transformar y limpiar'!O892</f>
        <v/>
      </c>
      <c r="P878">
        <f>'2 transformar y limpiar'!P892</f>
        <v/>
      </c>
      <c r="Q878">
        <f>'2 transformar y limpiar'!Q892</f>
        <v/>
      </c>
      <c r="R878">
        <f>'2 transformar y limpiar'!R892</f>
        <v/>
      </c>
      <c r="S878">
        <f>'2 transformar y limpiar'!S892</f>
        <v/>
      </c>
      <c r="T878">
        <f>'2 transformar y limpiar'!T892</f>
        <v/>
      </c>
      <c r="U878" s="5">
        <f>'2 transformar y limpiar'!U892</f>
        <v/>
      </c>
    </row>
    <row r="879">
      <c r="A879">
        <f>'2 transformar y limpiar'!A893</f>
        <v/>
      </c>
      <c r="B879">
        <f>'2 transformar y limpiar'!B893</f>
        <v/>
      </c>
      <c r="C879" s="6">
        <f>('2 transformar y limpiar'!C893-$B$6)/$C$6</f>
        <v/>
      </c>
      <c r="D879" s="6">
        <f>('2 transformar y limpiar'!D893-$B$7)/$C$7</f>
        <v/>
      </c>
      <c r="E879" s="6">
        <f>('2 transformar y limpiar'!E893-$B$8)/$C$8</f>
        <v/>
      </c>
      <c r="F879" s="6">
        <f>('2 transformar y limpiar'!F893-$B$9)/$C$9</f>
        <v/>
      </c>
      <c r="G879">
        <f>'2 transformar y limpiar'!G893</f>
        <v/>
      </c>
      <c r="H879">
        <f>'2 transformar y limpiar'!H893</f>
        <v/>
      </c>
      <c r="I879">
        <f>'2 transformar y limpiar'!I893</f>
        <v/>
      </c>
      <c r="J879">
        <f>'2 transformar y limpiar'!J893</f>
        <v/>
      </c>
      <c r="K879">
        <f>'2 transformar y limpiar'!K893</f>
        <v/>
      </c>
      <c r="L879">
        <f>'2 transformar y limpiar'!L893</f>
        <v/>
      </c>
      <c r="M879">
        <f>'2 transformar y limpiar'!M893</f>
        <v/>
      </c>
      <c r="N879">
        <f>'2 transformar y limpiar'!N893</f>
        <v/>
      </c>
      <c r="O879">
        <f>'2 transformar y limpiar'!O893</f>
        <v/>
      </c>
      <c r="P879">
        <f>'2 transformar y limpiar'!P893</f>
        <v/>
      </c>
      <c r="Q879">
        <f>'2 transformar y limpiar'!Q893</f>
        <v/>
      </c>
      <c r="R879">
        <f>'2 transformar y limpiar'!R893</f>
        <v/>
      </c>
      <c r="S879">
        <f>'2 transformar y limpiar'!S893</f>
        <v/>
      </c>
      <c r="T879">
        <f>'2 transformar y limpiar'!T893</f>
        <v/>
      </c>
      <c r="U879" s="5">
        <f>'2 transformar y limpiar'!U893</f>
        <v/>
      </c>
    </row>
    <row r="880">
      <c r="A880">
        <f>'2 transformar y limpiar'!A894</f>
        <v/>
      </c>
      <c r="B880">
        <f>'2 transformar y limpiar'!B894</f>
        <v/>
      </c>
      <c r="C880" s="6">
        <f>('2 transformar y limpiar'!C894-$B$6)/$C$6</f>
        <v/>
      </c>
      <c r="D880" s="6">
        <f>('2 transformar y limpiar'!D894-$B$7)/$C$7</f>
        <v/>
      </c>
      <c r="E880" s="6">
        <f>('2 transformar y limpiar'!E894-$B$8)/$C$8</f>
        <v/>
      </c>
      <c r="F880" s="6">
        <f>('2 transformar y limpiar'!F894-$B$9)/$C$9</f>
        <v/>
      </c>
      <c r="G880">
        <f>'2 transformar y limpiar'!G894</f>
        <v/>
      </c>
      <c r="H880">
        <f>'2 transformar y limpiar'!H894</f>
        <v/>
      </c>
      <c r="I880">
        <f>'2 transformar y limpiar'!I894</f>
        <v/>
      </c>
      <c r="J880">
        <f>'2 transformar y limpiar'!J894</f>
        <v/>
      </c>
      <c r="K880">
        <f>'2 transformar y limpiar'!K894</f>
        <v/>
      </c>
      <c r="L880">
        <f>'2 transformar y limpiar'!L894</f>
        <v/>
      </c>
      <c r="M880">
        <f>'2 transformar y limpiar'!M894</f>
        <v/>
      </c>
      <c r="N880">
        <f>'2 transformar y limpiar'!N894</f>
        <v/>
      </c>
      <c r="O880">
        <f>'2 transformar y limpiar'!O894</f>
        <v/>
      </c>
      <c r="P880">
        <f>'2 transformar y limpiar'!P894</f>
        <v/>
      </c>
      <c r="Q880">
        <f>'2 transformar y limpiar'!Q894</f>
        <v/>
      </c>
      <c r="R880">
        <f>'2 transformar y limpiar'!R894</f>
        <v/>
      </c>
      <c r="S880">
        <f>'2 transformar y limpiar'!S894</f>
        <v/>
      </c>
      <c r="T880">
        <f>'2 transformar y limpiar'!T894</f>
        <v/>
      </c>
      <c r="U880" s="5">
        <f>'2 transformar y limpiar'!U894</f>
        <v/>
      </c>
    </row>
    <row r="881">
      <c r="A881">
        <f>'2 transformar y limpiar'!A895</f>
        <v/>
      </c>
      <c r="B881">
        <f>'2 transformar y limpiar'!B895</f>
        <v/>
      </c>
      <c r="C881" s="6">
        <f>('2 transformar y limpiar'!C895-$B$6)/$C$6</f>
        <v/>
      </c>
      <c r="D881" s="6">
        <f>('2 transformar y limpiar'!D895-$B$7)/$C$7</f>
        <v/>
      </c>
      <c r="E881" s="6">
        <f>('2 transformar y limpiar'!E895-$B$8)/$C$8</f>
        <v/>
      </c>
      <c r="F881" s="6">
        <f>('2 transformar y limpiar'!F895-$B$9)/$C$9</f>
        <v/>
      </c>
      <c r="G881">
        <f>'2 transformar y limpiar'!G895</f>
        <v/>
      </c>
      <c r="H881">
        <f>'2 transformar y limpiar'!H895</f>
        <v/>
      </c>
      <c r="I881">
        <f>'2 transformar y limpiar'!I895</f>
        <v/>
      </c>
      <c r="J881">
        <f>'2 transformar y limpiar'!J895</f>
        <v/>
      </c>
      <c r="K881">
        <f>'2 transformar y limpiar'!K895</f>
        <v/>
      </c>
      <c r="L881">
        <f>'2 transformar y limpiar'!L895</f>
        <v/>
      </c>
      <c r="M881">
        <f>'2 transformar y limpiar'!M895</f>
        <v/>
      </c>
      <c r="N881">
        <f>'2 transformar y limpiar'!N895</f>
        <v/>
      </c>
      <c r="O881">
        <f>'2 transformar y limpiar'!O895</f>
        <v/>
      </c>
      <c r="P881">
        <f>'2 transformar y limpiar'!P895</f>
        <v/>
      </c>
      <c r="Q881">
        <f>'2 transformar y limpiar'!Q895</f>
        <v/>
      </c>
      <c r="R881">
        <f>'2 transformar y limpiar'!R895</f>
        <v/>
      </c>
      <c r="S881">
        <f>'2 transformar y limpiar'!S895</f>
        <v/>
      </c>
      <c r="T881">
        <f>'2 transformar y limpiar'!T895</f>
        <v/>
      </c>
      <c r="U881" s="5">
        <f>'2 transformar y limpiar'!U895</f>
        <v/>
      </c>
    </row>
    <row r="882">
      <c r="A882">
        <f>'2 transformar y limpiar'!A896</f>
        <v/>
      </c>
      <c r="B882">
        <f>'2 transformar y limpiar'!B896</f>
        <v/>
      </c>
      <c r="C882" s="6">
        <f>('2 transformar y limpiar'!C896-$B$6)/$C$6</f>
        <v/>
      </c>
      <c r="D882" s="6">
        <f>('2 transformar y limpiar'!D896-$B$7)/$C$7</f>
        <v/>
      </c>
      <c r="E882" s="6">
        <f>('2 transformar y limpiar'!E896-$B$8)/$C$8</f>
        <v/>
      </c>
      <c r="F882" s="6">
        <f>('2 transformar y limpiar'!F896-$B$9)/$C$9</f>
        <v/>
      </c>
      <c r="G882">
        <f>'2 transformar y limpiar'!G896</f>
        <v/>
      </c>
      <c r="H882">
        <f>'2 transformar y limpiar'!H896</f>
        <v/>
      </c>
      <c r="I882">
        <f>'2 transformar y limpiar'!I896</f>
        <v/>
      </c>
      <c r="J882">
        <f>'2 transformar y limpiar'!J896</f>
        <v/>
      </c>
      <c r="K882">
        <f>'2 transformar y limpiar'!K896</f>
        <v/>
      </c>
      <c r="L882">
        <f>'2 transformar y limpiar'!L896</f>
        <v/>
      </c>
      <c r="M882">
        <f>'2 transformar y limpiar'!M896</f>
        <v/>
      </c>
      <c r="N882">
        <f>'2 transformar y limpiar'!N896</f>
        <v/>
      </c>
      <c r="O882">
        <f>'2 transformar y limpiar'!O896</f>
        <v/>
      </c>
      <c r="P882">
        <f>'2 transformar y limpiar'!P896</f>
        <v/>
      </c>
      <c r="Q882">
        <f>'2 transformar y limpiar'!Q896</f>
        <v/>
      </c>
      <c r="R882">
        <f>'2 transformar y limpiar'!R896</f>
        <v/>
      </c>
      <c r="S882">
        <f>'2 transformar y limpiar'!S896</f>
        <v/>
      </c>
      <c r="T882">
        <f>'2 transformar y limpiar'!T896</f>
        <v/>
      </c>
      <c r="U882" s="5">
        <f>'2 transformar y limpiar'!U896</f>
        <v/>
      </c>
    </row>
    <row r="883">
      <c r="A883">
        <f>'2 transformar y limpiar'!A897</f>
        <v/>
      </c>
      <c r="B883">
        <f>'2 transformar y limpiar'!B897</f>
        <v/>
      </c>
      <c r="C883" s="6">
        <f>('2 transformar y limpiar'!C897-$B$6)/$C$6</f>
        <v/>
      </c>
      <c r="D883" s="6">
        <f>('2 transformar y limpiar'!D897-$B$7)/$C$7</f>
        <v/>
      </c>
      <c r="E883" s="6">
        <f>('2 transformar y limpiar'!E897-$B$8)/$C$8</f>
        <v/>
      </c>
      <c r="F883" s="6">
        <f>('2 transformar y limpiar'!F897-$B$9)/$C$9</f>
        <v/>
      </c>
      <c r="G883">
        <f>'2 transformar y limpiar'!G897</f>
        <v/>
      </c>
      <c r="H883">
        <f>'2 transformar y limpiar'!H897</f>
        <v/>
      </c>
      <c r="I883">
        <f>'2 transformar y limpiar'!I897</f>
        <v/>
      </c>
      <c r="J883">
        <f>'2 transformar y limpiar'!J897</f>
        <v/>
      </c>
      <c r="K883">
        <f>'2 transformar y limpiar'!K897</f>
        <v/>
      </c>
      <c r="L883">
        <f>'2 transformar y limpiar'!L897</f>
        <v/>
      </c>
      <c r="M883">
        <f>'2 transformar y limpiar'!M897</f>
        <v/>
      </c>
      <c r="N883">
        <f>'2 transformar y limpiar'!N897</f>
        <v/>
      </c>
      <c r="O883">
        <f>'2 transformar y limpiar'!O897</f>
        <v/>
      </c>
      <c r="P883">
        <f>'2 transformar y limpiar'!P897</f>
        <v/>
      </c>
      <c r="Q883">
        <f>'2 transformar y limpiar'!Q897</f>
        <v/>
      </c>
      <c r="R883">
        <f>'2 transformar y limpiar'!R897</f>
        <v/>
      </c>
      <c r="S883">
        <f>'2 transformar y limpiar'!S897</f>
        <v/>
      </c>
      <c r="T883">
        <f>'2 transformar y limpiar'!T897</f>
        <v/>
      </c>
      <c r="U883" s="5">
        <f>'2 transformar y limpiar'!U897</f>
        <v/>
      </c>
    </row>
    <row r="884">
      <c r="A884">
        <f>'2 transformar y limpiar'!A898</f>
        <v/>
      </c>
      <c r="B884">
        <f>'2 transformar y limpiar'!B898</f>
        <v/>
      </c>
      <c r="C884" s="6">
        <f>('2 transformar y limpiar'!C898-$B$6)/$C$6</f>
        <v/>
      </c>
      <c r="D884" s="6">
        <f>('2 transformar y limpiar'!D898-$B$7)/$C$7</f>
        <v/>
      </c>
      <c r="E884" s="6">
        <f>('2 transformar y limpiar'!E898-$B$8)/$C$8</f>
        <v/>
      </c>
      <c r="F884" s="6">
        <f>('2 transformar y limpiar'!F898-$B$9)/$C$9</f>
        <v/>
      </c>
      <c r="G884">
        <f>'2 transformar y limpiar'!G898</f>
        <v/>
      </c>
      <c r="H884">
        <f>'2 transformar y limpiar'!H898</f>
        <v/>
      </c>
      <c r="I884">
        <f>'2 transformar y limpiar'!I898</f>
        <v/>
      </c>
      <c r="J884">
        <f>'2 transformar y limpiar'!J898</f>
        <v/>
      </c>
      <c r="K884">
        <f>'2 transformar y limpiar'!K898</f>
        <v/>
      </c>
      <c r="L884">
        <f>'2 transformar y limpiar'!L898</f>
        <v/>
      </c>
      <c r="M884">
        <f>'2 transformar y limpiar'!M898</f>
        <v/>
      </c>
      <c r="N884">
        <f>'2 transformar y limpiar'!N898</f>
        <v/>
      </c>
      <c r="O884">
        <f>'2 transformar y limpiar'!O898</f>
        <v/>
      </c>
      <c r="P884">
        <f>'2 transformar y limpiar'!P898</f>
        <v/>
      </c>
      <c r="Q884">
        <f>'2 transformar y limpiar'!Q898</f>
        <v/>
      </c>
      <c r="R884">
        <f>'2 transformar y limpiar'!R898</f>
        <v/>
      </c>
      <c r="S884">
        <f>'2 transformar y limpiar'!S898</f>
        <v/>
      </c>
      <c r="T884">
        <f>'2 transformar y limpiar'!T898</f>
        <v/>
      </c>
      <c r="U884" s="5">
        <f>'2 transformar y limpiar'!U898</f>
        <v/>
      </c>
    </row>
    <row r="885">
      <c r="A885">
        <f>'2 transformar y limpiar'!A899</f>
        <v/>
      </c>
      <c r="B885">
        <f>'2 transformar y limpiar'!B899</f>
        <v/>
      </c>
      <c r="C885" s="6">
        <f>('2 transformar y limpiar'!C899-$B$6)/$C$6</f>
        <v/>
      </c>
      <c r="D885" s="6">
        <f>('2 transformar y limpiar'!D899-$B$7)/$C$7</f>
        <v/>
      </c>
      <c r="E885" s="6">
        <f>('2 transformar y limpiar'!E899-$B$8)/$C$8</f>
        <v/>
      </c>
      <c r="F885" s="6">
        <f>('2 transformar y limpiar'!F899-$B$9)/$C$9</f>
        <v/>
      </c>
      <c r="G885">
        <f>'2 transformar y limpiar'!G899</f>
        <v/>
      </c>
      <c r="H885">
        <f>'2 transformar y limpiar'!H899</f>
        <v/>
      </c>
      <c r="I885">
        <f>'2 transformar y limpiar'!I899</f>
        <v/>
      </c>
      <c r="J885">
        <f>'2 transformar y limpiar'!J899</f>
        <v/>
      </c>
      <c r="K885">
        <f>'2 transformar y limpiar'!K899</f>
        <v/>
      </c>
      <c r="L885">
        <f>'2 transformar y limpiar'!L899</f>
        <v/>
      </c>
      <c r="M885">
        <f>'2 transformar y limpiar'!M899</f>
        <v/>
      </c>
      <c r="N885">
        <f>'2 transformar y limpiar'!N899</f>
        <v/>
      </c>
      <c r="O885">
        <f>'2 transformar y limpiar'!O899</f>
        <v/>
      </c>
      <c r="P885">
        <f>'2 transformar y limpiar'!P899</f>
        <v/>
      </c>
      <c r="Q885">
        <f>'2 transformar y limpiar'!Q899</f>
        <v/>
      </c>
      <c r="R885">
        <f>'2 transformar y limpiar'!R899</f>
        <v/>
      </c>
      <c r="S885">
        <f>'2 transformar y limpiar'!S899</f>
        <v/>
      </c>
      <c r="T885">
        <f>'2 transformar y limpiar'!T899</f>
        <v/>
      </c>
      <c r="U885" s="5">
        <f>'2 transformar y limpiar'!U899</f>
        <v/>
      </c>
    </row>
    <row r="886">
      <c r="A886">
        <f>'2 transformar y limpiar'!A900</f>
        <v/>
      </c>
      <c r="B886">
        <f>'2 transformar y limpiar'!B900</f>
        <v/>
      </c>
      <c r="C886" s="6">
        <f>('2 transformar y limpiar'!C900-$B$6)/$C$6</f>
        <v/>
      </c>
      <c r="D886" s="6">
        <f>('2 transformar y limpiar'!D900-$B$7)/$C$7</f>
        <v/>
      </c>
      <c r="E886" s="6">
        <f>('2 transformar y limpiar'!E900-$B$8)/$C$8</f>
        <v/>
      </c>
      <c r="F886" s="6">
        <f>('2 transformar y limpiar'!F900-$B$9)/$C$9</f>
        <v/>
      </c>
      <c r="G886">
        <f>'2 transformar y limpiar'!G900</f>
        <v/>
      </c>
      <c r="H886">
        <f>'2 transformar y limpiar'!H900</f>
        <v/>
      </c>
      <c r="I886">
        <f>'2 transformar y limpiar'!I900</f>
        <v/>
      </c>
      <c r="J886">
        <f>'2 transformar y limpiar'!J900</f>
        <v/>
      </c>
      <c r="K886">
        <f>'2 transformar y limpiar'!K900</f>
        <v/>
      </c>
      <c r="L886">
        <f>'2 transformar y limpiar'!L900</f>
        <v/>
      </c>
      <c r="M886">
        <f>'2 transformar y limpiar'!M900</f>
        <v/>
      </c>
      <c r="N886">
        <f>'2 transformar y limpiar'!N900</f>
        <v/>
      </c>
      <c r="O886">
        <f>'2 transformar y limpiar'!O900</f>
        <v/>
      </c>
      <c r="P886">
        <f>'2 transformar y limpiar'!P900</f>
        <v/>
      </c>
      <c r="Q886">
        <f>'2 transformar y limpiar'!Q900</f>
        <v/>
      </c>
      <c r="R886">
        <f>'2 transformar y limpiar'!R900</f>
        <v/>
      </c>
      <c r="S886">
        <f>'2 transformar y limpiar'!S900</f>
        <v/>
      </c>
      <c r="T886">
        <f>'2 transformar y limpiar'!T900</f>
        <v/>
      </c>
      <c r="U886" s="5">
        <f>'2 transformar y limpiar'!U900</f>
        <v/>
      </c>
    </row>
    <row r="887">
      <c r="A887">
        <f>'2 transformar y limpiar'!A901</f>
        <v/>
      </c>
      <c r="B887">
        <f>'2 transformar y limpiar'!B901</f>
        <v/>
      </c>
      <c r="C887" s="6">
        <f>('2 transformar y limpiar'!C901-$B$6)/$C$6</f>
        <v/>
      </c>
      <c r="D887" s="6">
        <f>('2 transformar y limpiar'!D901-$B$7)/$C$7</f>
        <v/>
      </c>
      <c r="E887" s="6">
        <f>('2 transformar y limpiar'!E901-$B$8)/$C$8</f>
        <v/>
      </c>
      <c r="F887" s="6">
        <f>('2 transformar y limpiar'!F901-$B$9)/$C$9</f>
        <v/>
      </c>
      <c r="G887">
        <f>'2 transformar y limpiar'!G901</f>
        <v/>
      </c>
      <c r="H887">
        <f>'2 transformar y limpiar'!H901</f>
        <v/>
      </c>
      <c r="I887">
        <f>'2 transformar y limpiar'!I901</f>
        <v/>
      </c>
      <c r="J887">
        <f>'2 transformar y limpiar'!J901</f>
        <v/>
      </c>
      <c r="K887">
        <f>'2 transformar y limpiar'!K901</f>
        <v/>
      </c>
      <c r="L887">
        <f>'2 transformar y limpiar'!L901</f>
        <v/>
      </c>
      <c r="M887">
        <f>'2 transformar y limpiar'!M901</f>
        <v/>
      </c>
      <c r="N887">
        <f>'2 transformar y limpiar'!N901</f>
        <v/>
      </c>
      <c r="O887">
        <f>'2 transformar y limpiar'!O901</f>
        <v/>
      </c>
      <c r="P887">
        <f>'2 transformar y limpiar'!P901</f>
        <v/>
      </c>
      <c r="Q887">
        <f>'2 transformar y limpiar'!Q901</f>
        <v/>
      </c>
      <c r="R887">
        <f>'2 transformar y limpiar'!R901</f>
        <v/>
      </c>
      <c r="S887">
        <f>'2 transformar y limpiar'!S901</f>
        <v/>
      </c>
      <c r="T887">
        <f>'2 transformar y limpiar'!T901</f>
        <v/>
      </c>
      <c r="U887" s="5">
        <f>'2 transformar y limpiar'!U901</f>
        <v/>
      </c>
    </row>
    <row r="888">
      <c r="A888">
        <f>'2 transformar y limpiar'!A902</f>
        <v/>
      </c>
      <c r="B888">
        <f>'2 transformar y limpiar'!B902</f>
        <v/>
      </c>
      <c r="C888" s="6">
        <f>('2 transformar y limpiar'!C902-$B$6)/$C$6</f>
        <v/>
      </c>
      <c r="D888" s="6">
        <f>('2 transformar y limpiar'!D902-$B$7)/$C$7</f>
        <v/>
      </c>
      <c r="E888" s="6">
        <f>('2 transformar y limpiar'!E902-$B$8)/$C$8</f>
        <v/>
      </c>
      <c r="F888" s="6">
        <f>('2 transformar y limpiar'!F902-$B$9)/$C$9</f>
        <v/>
      </c>
      <c r="G888">
        <f>'2 transformar y limpiar'!G902</f>
        <v/>
      </c>
      <c r="H888">
        <f>'2 transformar y limpiar'!H902</f>
        <v/>
      </c>
      <c r="I888">
        <f>'2 transformar y limpiar'!I902</f>
        <v/>
      </c>
      <c r="J888">
        <f>'2 transformar y limpiar'!J902</f>
        <v/>
      </c>
      <c r="K888">
        <f>'2 transformar y limpiar'!K902</f>
        <v/>
      </c>
      <c r="L888">
        <f>'2 transformar y limpiar'!L902</f>
        <v/>
      </c>
      <c r="M888">
        <f>'2 transformar y limpiar'!M902</f>
        <v/>
      </c>
      <c r="N888">
        <f>'2 transformar y limpiar'!N902</f>
        <v/>
      </c>
      <c r="O888">
        <f>'2 transformar y limpiar'!O902</f>
        <v/>
      </c>
      <c r="P888">
        <f>'2 transformar y limpiar'!P902</f>
        <v/>
      </c>
      <c r="Q888">
        <f>'2 transformar y limpiar'!Q902</f>
        <v/>
      </c>
      <c r="R888">
        <f>'2 transformar y limpiar'!R902</f>
        <v/>
      </c>
      <c r="S888">
        <f>'2 transformar y limpiar'!S902</f>
        <v/>
      </c>
      <c r="T888">
        <f>'2 transformar y limpiar'!T902</f>
        <v/>
      </c>
      <c r="U888" s="5">
        <f>'2 transformar y limpiar'!U902</f>
        <v/>
      </c>
    </row>
    <row r="889">
      <c r="A889">
        <f>'2 transformar y limpiar'!A903</f>
        <v/>
      </c>
      <c r="B889">
        <f>'2 transformar y limpiar'!B903</f>
        <v/>
      </c>
      <c r="C889" s="6">
        <f>('2 transformar y limpiar'!C903-$B$6)/$C$6</f>
        <v/>
      </c>
      <c r="D889" s="6">
        <f>('2 transformar y limpiar'!D903-$B$7)/$C$7</f>
        <v/>
      </c>
      <c r="E889" s="6">
        <f>('2 transformar y limpiar'!E903-$B$8)/$C$8</f>
        <v/>
      </c>
      <c r="F889" s="6">
        <f>('2 transformar y limpiar'!F903-$B$9)/$C$9</f>
        <v/>
      </c>
      <c r="G889">
        <f>'2 transformar y limpiar'!G903</f>
        <v/>
      </c>
      <c r="H889">
        <f>'2 transformar y limpiar'!H903</f>
        <v/>
      </c>
      <c r="I889">
        <f>'2 transformar y limpiar'!I903</f>
        <v/>
      </c>
      <c r="J889">
        <f>'2 transformar y limpiar'!J903</f>
        <v/>
      </c>
      <c r="K889">
        <f>'2 transformar y limpiar'!K903</f>
        <v/>
      </c>
      <c r="L889">
        <f>'2 transformar y limpiar'!L903</f>
        <v/>
      </c>
      <c r="M889">
        <f>'2 transformar y limpiar'!M903</f>
        <v/>
      </c>
      <c r="N889">
        <f>'2 transformar y limpiar'!N903</f>
        <v/>
      </c>
      <c r="O889">
        <f>'2 transformar y limpiar'!O903</f>
        <v/>
      </c>
      <c r="P889">
        <f>'2 transformar y limpiar'!P903</f>
        <v/>
      </c>
      <c r="Q889">
        <f>'2 transformar y limpiar'!Q903</f>
        <v/>
      </c>
      <c r="R889">
        <f>'2 transformar y limpiar'!R903</f>
        <v/>
      </c>
      <c r="S889">
        <f>'2 transformar y limpiar'!S903</f>
        <v/>
      </c>
      <c r="T889">
        <f>'2 transformar y limpiar'!T903</f>
        <v/>
      </c>
      <c r="U889" s="5">
        <f>'2 transformar y limpiar'!U903</f>
        <v/>
      </c>
    </row>
    <row r="890">
      <c r="A890">
        <f>'2 transformar y limpiar'!A904</f>
        <v/>
      </c>
      <c r="B890">
        <f>'2 transformar y limpiar'!B904</f>
        <v/>
      </c>
      <c r="C890" s="6">
        <f>('2 transformar y limpiar'!C904-$B$6)/$C$6</f>
        <v/>
      </c>
      <c r="D890" s="6">
        <f>('2 transformar y limpiar'!D904-$B$7)/$C$7</f>
        <v/>
      </c>
      <c r="E890" s="6">
        <f>('2 transformar y limpiar'!E904-$B$8)/$C$8</f>
        <v/>
      </c>
      <c r="F890" s="6">
        <f>('2 transformar y limpiar'!F904-$B$9)/$C$9</f>
        <v/>
      </c>
      <c r="G890">
        <f>'2 transformar y limpiar'!G904</f>
        <v/>
      </c>
      <c r="H890">
        <f>'2 transformar y limpiar'!H904</f>
        <v/>
      </c>
      <c r="I890">
        <f>'2 transformar y limpiar'!I904</f>
        <v/>
      </c>
      <c r="J890">
        <f>'2 transformar y limpiar'!J904</f>
        <v/>
      </c>
      <c r="K890">
        <f>'2 transformar y limpiar'!K904</f>
        <v/>
      </c>
      <c r="L890">
        <f>'2 transformar y limpiar'!L904</f>
        <v/>
      </c>
      <c r="M890">
        <f>'2 transformar y limpiar'!M904</f>
        <v/>
      </c>
      <c r="N890">
        <f>'2 transformar y limpiar'!N904</f>
        <v/>
      </c>
      <c r="O890">
        <f>'2 transformar y limpiar'!O904</f>
        <v/>
      </c>
      <c r="P890">
        <f>'2 transformar y limpiar'!P904</f>
        <v/>
      </c>
      <c r="Q890">
        <f>'2 transformar y limpiar'!Q904</f>
        <v/>
      </c>
      <c r="R890">
        <f>'2 transformar y limpiar'!R904</f>
        <v/>
      </c>
      <c r="S890">
        <f>'2 transformar y limpiar'!S904</f>
        <v/>
      </c>
      <c r="T890">
        <f>'2 transformar y limpiar'!T904</f>
        <v/>
      </c>
      <c r="U890" s="5">
        <f>'2 transformar y limpiar'!U904</f>
        <v/>
      </c>
    </row>
    <row r="891">
      <c r="A891">
        <f>'2 transformar y limpiar'!A905</f>
        <v/>
      </c>
      <c r="B891">
        <f>'2 transformar y limpiar'!B905</f>
        <v/>
      </c>
      <c r="C891" s="6">
        <f>('2 transformar y limpiar'!C905-$B$6)/$C$6</f>
        <v/>
      </c>
      <c r="D891" s="6">
        <f>('2 transformar y limpiar'!D905-$B$7)/$C$7</f>
        <v/>
      </c>
      <c r="E891" s="6">
        <f>('2 transformar y limpiar'!E905-$B$8)/$C$8</f>
        <v/>
      </c>
      <c r="F891" s="6">
        <f>('2 transformar y limpiar'!F905-$B$9)/$C$9</f>
        <v/>
      </c>
      <c r="G891">
        <f>'2 transformar y limpiar'!G905</f>
        <v/>
      </c>
      <c r="H891">
        <f>'2 transformar y limpiar'!H905</f>
        <v/>
      </c>
      <c r="I891">
        <f>'2 transformar y limpiar'!I905</f>
        <v/>
      </c>
      <c r="J891">
        <f>'2 transformar y limpiar'!J905</f>
        <v/>
      </c>
      <c r="K891">
        <f>'2 transformar y limpiar'!K905</f>
        <v/>
      </c>
      <c r="L891">
        <f>'2 transformar y limpiar'!L905</f>
        <v/>
      </c>
      <c r="M891">
        <f>'2 transformar y limpiar'!M905</f>
        <v/>
      </c>
      <c r="N891">
        <f>'2 transformar y limpiar'!N905</f>
        <v/>
      </c>
      <c r="O891">
        <f>'2 transformar y limpiar'!O905</f>
        <v/>
      </c>
      <c r="P891">
        <f>'2 transformar y limpiar'!P905</f>
        <v/>
      </c>
      <c r="Q891">
        <f>'2 transformar y limpiar'!Q905</f>
        <v/>
      </c>
      <c r="R891">
        <f>'2 transformar y limpiar'!R905</f>
        <v/>
      </c>
      <c r="S891">
        <f>'2 transformar y limpiar'!S905</f>
        <v/>
      </c>
      <c r="T891">
        <f>'2 transformar y limpiar'!T905</f>
        <v/>
      </c>
      <c r="U891" s="5">
        <f>'2 transformar y limpiar'!U905</f>
        <v/>
      </c>
    </row>
    <row r="892">
      <c r="A892">
        <f>'2 transformar y limpiar'!A906</f>
        <v/>
      </c>
      <c r="B892">
        <f>'2 transformar y limpiar'!B906</f>
        <v/>
      </c>
      <c r="C892" s="6">
        <f>('2 transformar y limpiar'!C906-$B$6)/$C$6</f>
        <v/>
      </c>
      <c r="D892" s="6">
        <f>('2 transformar y limpiar'!D906-$B$7)/$C$7</f>
        <v/>
      </c>
      <c r="E892" s="6">
        <f>('2 transformar y limpiar'!E906-$B$8)/$C$8</f>
        <v/>
      </c>
      <c r="F892" s="6">
        <f>('2 transformar y limpiar'!F906-$B$9)/$C$9</f>
        <v/>
      </c>
      <c r="G892">
        <f>'2 transformar y limpiar'!G906</f>
        <v/>
      </c>
      <c r="H892">
        <f>'2 transformar y limpiar'!H906</f>
        <v/>
      </c>
      <c r="I892">
        <f>'2 transformar y limpiar'!I906</f>
        <v/>
      </c>
      <c r="J892">
        <f>'2 transformar y limpiar'!J906</f>
        <v/>
      </c>
      <c r="K892">
        <f>'2 transformar y limpiar'!K906</f>
        <v/>
      </c>
      <c r="L892">
        <f>'2 transformar y limpiar'!L906</f>
        <v/>
      </c>
      <c r="M892">
        <f>'2 transformar y limpiar'!M906</f>
        <v/>
      </c>
      <c r="N892">
        <f>'2 transformar y limpiar'!N906</f>
        <v/>
      </c>
      <c r="O892">
        <f>'2 transformar y limpiar'!O906</f>
        <v/>
      </c>
      <c r="P892">
        <f>'2 transformar y limpiar'!P906</f>
        <v/>
      </c>
      <c r="Q892">
        <f>'2 transformar y limpiar'!Q906</f>
        <v/>
      </c>
      <c r="R892">
        <f>'2 transformar y limpiar'!R906</f>
        <v/>
      </c>
      <c r="S892">
        <f>'2 transformar y limpiar'!S906</f>
        <v/>
      </c>
      <c r="T892">
        <f>'2 transformar y limpiar'!T906</f>
        <v/>
      </c>
      <c r="U892" s="5">
        <f>'2 transformar y limpiar'!U906</f>
        <v/>
      </c>
    </row>
    <row r="893">
      <c r="A893">
        <f>'2 transformar y limpiar'!A907</f>
        <v/>
      </c>
      <c r="B893">
        <f>'2 transformar y limpiar'!B907</f>
        <v/>
      </c>
      <c r="C893" s="6">
        <f>('2 transformar y limpiar'!C907-$B$6)/$C$6</f>
        <v/>
      </c>
      <c r="D893" s="6">
        <f>('2 transformar y limpiar'!D907-$B$7)/$C$7</f>
        <v/>
      </c>
      <c r="E893" s="6">
        <f>('2 transformar y limpiar'!E907-$B$8)/$C$8</f>
        <v/>
      </c>
      <c r="F893" s="6">
        <f>('2 transformar y limpiar'!F907-$B$9)/$C$9</f>
        <v/>
      </c>
      <c r="G893">
        <f>'2 transformar y limpiar'!G907</f>
        <v/>
      </c>
      <c r="H893">
        <f>'2 transformar y limpiar'!H907</f>
        <v/>
      </c>
      <c r="I893">
        <f>'2 transformar y limpiar'!I907</f>
        <v/>
      </c>
      <c r="J893">
        <f>'2 transformar y limpiar'!J907</f>
        <v/>
      </c>
      <c r="K893">
        <f>'2 transformar y limpiar'!K907</f>
        <v/>
      </c>
      <c r="L893">
        <f>'2 transformar y limpiar'!L907</f>
        <v/>
      </c>
      <c r="M893">
        <f>'2 transformar y limpiar'!M907</f>
        <v/>
      </c>
      <c r="N893">
        <f>'2 transformar y limpiar'!N907</f>
        <v/>
      </c>
      <c r="O893">
        <f>'2 transformar y limpiar'!O907</f>
        <v/>
      </c>
      <c r="P893">
        <f>'2 transformar y limpiar'!P907</f>
        <v/>
      </c>
      <c r="Q893">
        <f>'2 transformar y limpiar'!Q907</f>
        <v/>
      </c>
      <c r="R893">
        <f>'2 transformar y limpiar'!R907</f>
        <v/>
      </c>
      <c r="S893">
        <f>'2 transformar y limpiar'!S907</f>
        <v/>
      </c>
      <c r="T893">
        <f>'2 transformar y limpiar'!T907</f>
        <v/>
      </c>
      <c r="U893" s="5">
        <f>'2 transformar y limpiar'!U907</f>
        <v/>
      </c>
    </row>
    <row r="894">
      <c r="A894">
        <f>'2 transformar y limpiar'!A908</f>
        <v/>
      </c>
      <c r="B894">
        <f>'2 transformar y limpiar'!B908</f>
        <v/>
      </c>
      <c r="C894" s="6">
        <f>('2 transformar y limpiar'!C908-$B$6)/$C$6</f>
        <v/>
      </c>
      <c r="D894" s="6">
        <f>('2 transformar y limpiar'!D908-$B$7)/$C$7</f>
        <v/>
      </c>
      <c r="E894" s="6">
        <f>('2 transformar y limpiar'!E908-$B$8)/$C$8</f>
        <v/>
      </c>
      <c r="F894" s="6">
        <f>('2 transformar y limpiar'!F908-$B$9)/$C$9</f>
        <v/>
      </c>
      <c r="G894">
        <f>'2 transformar y limpiar'!G908</f>
        <v/>
      </c>
      <c r="H894">
        <f>'2 transformar y limpiar'!H908</f>
        <v/>
      </c>
      <c r="I894">
        <f>'2 transformar y limpiar'!I908</f>
        <v/>
      </c>
      <c r="J894">
        <f>'2 transformar y limpiar'!J908</f>
        <v/>
      </c>
      <c r="K894">
        <f>'2 transformar y limpiar'!K908</f>
        <v/>
      </c>
      <c r="L894">
        <f>'2 transformar y limpiar'!L908</f>
        <v/>
      </c>
      <c r="M894">
        <f>'2 transformar y limpiar'!M908</f>
        <v/>
      </c>
      <c r="N894">
        <f>'2 transformar y limpiar'!N908</f>
        <v/>
      </c>
      <c r="O894">
        <f>'2 transformar y limpiar'!O908</f>
        <v/>
      </c>
      <c r="P894">
        <f>'2 transformar y limpiar'!P908</f>
        <v/>
      </c>
      <c r="Q894">
        <f>'2 transformar y limpiar'!Q908</f>
        <v/>
      </c>
      <c r="R894">
        <f>'2 transformar y limpiar'!R908</f>
        <v/>
      </c>
      <c r="S894">
        <f>'2 transformar y limpiar'!S908</f>
        <v/>
      </c>
      <c r="T894">
        <f>'2 transformar y limpiar'!T908</f>
        <v/>
      </c>
      <c r="U894" s="5">
        <f>'2 transformar y limpiar'!U908</f>
        <v/>
      </c>
    </row>
    <row r="895">
      <c r="A895">
        <f>'2 transformar y limpiar'!A909</f>
        <v/>
      </c>
      <c r="B895">
        <f>'2 transformar y limpiar'!B909</f>
        <v/>
      </c>
      <c r="C895" s="6">
        <f>('2 transformar y limpiar'!C909-$B$6)/$C$6</f>
        <v/>
      </c>
      <c r="D895" s="6">
        <f>('2 transformar y limpiar'!D909-$B$7)/$C$7</f>
        <v/>
      </c>
      <c r="E895" s="6">
        <f>('2 transformar y limpiar'!E909-$B$8)/$C$8</f>
        <v/>
      </c>
      <c r="F895" s="6">
        <f>('2 transformar y limpiar'!F909-$B$9)/$C$9</f>
        <v/>
      </c>
      <c r="G895">
        <f>'2 transformar y limpiar'!G909</f>
        <v/>
      </c>
      <c r="H895">
        <f>'2 transformar y limpiar'!H909</f>
        <v/>
      </c>
      <c r="I895">
        <f>'2 transformar y limpiar'!I909</f>
        <v/>
      </c>
      <c r="J895">
        <f>'2 transformar y limpiar'!J909</f>
        <v/>
      </c>
      <c r="K895">
        <f>'2 transformar y limpiar'!K909</f>
        <v/>
      </c>
      <c r="L895">
        <f>'2 transformar y limpiar'!L909</f>
        <v/>
      </c>
      <c r="M895">
        <f>'2 transformar y limpiar'!M909</f>
        <v/>
      </c>
      <c r="N895">
        <f>'2 transformar y limpiar'!N909</f>
        <v/>
      </c>
      <c r="O895">
        <f>'2 transformar y limpiar'!O909</f>
        <v/>
      </c>
      <c r="P895">
        <f>'2 transformar y limpiar'!P909</f>
        <v/>
      </c>
      <c r="Q895">
        <f>'2 transformar y limpiar'!Q909</f>
        <v/>
      </c>
      <c r="R895">
        <f>'2 transformar y limpiar'!R909</f>
        <v/>
      </c>
      <c r="S895">
        <f>'2 transformar y limpiar'!S909</f>
        <v/>
      </c>
      <c r="T895">
        <f>'2 transformar y limpiar'!T909</f>
        <v/>
      </c>
      <c r="U895" s="5">
        <f>'2 transformar y limpiar'!U909</f>
        <v/>
      </c>
    </row>
    <row r="896">
      <c r="A896">
        <f>'2 transformar y limpiar'!A910</f>
        <v/>
      </c>
      <c r="B896">
        <f>'2 transformar y limpiar'!B910</f>
        <v/>
      </c>
      <c r="C896" s="6">
        <f>('2 transformar y limpiar'!C910-$B$6)/$C$6</f>
        <v/>
      </c>
      <c r="D896" s="6">
        <f>('2 transformar y limpiar'!D910-$B$7)/$C$7</f>
        <v/>
      </c>
      <c r="E896" s="6">
        <f>('2 transformar y limpiar'!E910-$B$8)/$C$8</f>
        <v/>
      </c>
      <c r="F896" s="6">
        <f>('2 transformar y limpiar'!F910-$B$9)/$C$9</f>
        <v/>
      </c>
      <c r="G896">
        <f>'2 transformar y limpiar'!G910</f>
        <v/>
      </c>
      <c r="H896">
        <f>'2 transformar y limpiar'!H910</f>
        <v/>
      </c>
      <c r="I896">
        <f>'2 transformar y limpiar'!I910</f>
        <v/>
      </c>
      <c r="J896">
        <f>'2 transformar y limpiar'!J910</f>
        <v/>
      </c>
      <c r="K896">
        <f>'2 transformar y limpiar'!K910</f>
        <v/>
      </c>
      <c r="L896">
        <f>'2 transformar y limpiar'!L910</f>
        <v/>
      </c>
      <c r="M896">
        <f>'2 transformar y limpiar'!M910</f>
        <v/>
      </c>
      <c r="N896">
        <f>'2 transformar y limpiar'!N910</f>
        <v/>
      </c>
      <c r="O896">
        <f>'2 transformar y limpiar'!O910</f>
        <v/>
      </c>
      <c r="P896">
        <f>'2 transformar y limpiar'!P910</f>
        <v/>
      </c>
      <c r="Q896">
        <f>'2 transformar y limpiar'!Q910</f>
        <v/>
      </c>
      <c r="R896">
        <f>'2 transformar y limpiar'!R910</f>
        <v/>
      </c>
      <c r="S896">
        <f>'2 transformar y limpiar'!S910</f>
        <v/>
      </c>
      <c r="T896">
        <f>'2 transformar y limpiar'!T910</f>
        <v/>
      </c>
      <c r="U896" s="5">
        <f>'2 transformar y limpiar'!U910</f>
        <v/>
      </c>
    </row>
    <row r="897">
      <c r="A897">
        <f>'2 transformar y limpiar'!A911</f>
        <v/>
      </c>
      <c r="B897">
        <f>'2 transformar y limpiar'!B911</f>
        <v/>
      </c>
      <c r="C897" s="6">
        <f>('2 transformar y limpiar'!C911-$B$6)/$C$6</f>
        <v/>
      </c>
      <c r="D897" s="6">
        <f>('2 transformar y limpiar'!D911-$B$7)/$C$7</f>
        <v/>
      </c>
      <c r="E897" s="6">
        <f>('2 transformar y limpiar'!E911-$B$8)/$C$8</f>
        <v/>
      </c>
      <c r="F897" s="6">
        <f>('2 transformar y limpiar'!F911-$B$9)/$C$9</f>
        <v/>
      </c>
      <c r="G897">
        <f>'2 transformar y limpiar'!G911</f>
        <v/>
      </c>
      <c r="H897">
        <f>'2 transformar y limpiar'!H911</f>
        <v/>
      </c>
      <c r="I897">
        <f>'2 transformar y limpiar'!I911</f>
        <v/>
      </c>
      <c r="J897">
        <f>'2 transformar y limpiar'!J911</f>
        <v/>
      </c>
      <c r="K897">
        <f>'2 transformar y limpiar'!K911</f>
        <v/>
      </c>
      <c r="L897">
        <f>'2 transformar y limpiar'!L911</f>
        <v/>
      </c>
      <c r="M897">
        <f>'2 transformar y limpiar'!M911</f>
        <v/>
      </c>
      <c r="N897">
        <f>'2 transformar y limpiar'!N911</f>
        <v/>
      </c>
      <c r="O897">
        <f>'2 transformar y limpiar'!O911</f>
        <v/>
      </c>
      <c r="P897">
        <f>'2 transformar y limpiar'!P911</f>
        <v/>
      </c>
      <c r="Q897">
        <f>'2 transformar y limpiar'!Q911</f>
        <v/>
      </c>
      <c r="R897">
        <f>'2 transformar y limpiar'!R911</f>
        <v/>
      </c>
      <c r="S897">
        <f>'2 transformar y limpiar'!S911</f>
        <v/>
      </c>
      <c r="T897">
        <f>'2 transformar y limpiar'!T911</f>
        <v/>
      </c>
      <c r="U897" s="5">
        <f>'2 transformar y limpiar'!U911</f>
        <v/>
      </c>
    </row>
    <row r="898">
      <c r="A898">
        <f>'2 transformar y limpiar'!A912</f>
        <v/>
      </c>
      <c r="B898">
        <f>'2 transformar y limpiar'!B912</f>
        <v/>
      </c>
      <c r="C898" s="6">
        <f>('2 transformar y limpiar'!C912-$B$6)/$C$6</f>
        <v/>
      </c>
      <c r="D898" s="6">
        <f>('2 transformar y limpiar'!D912-$B$7)/$C$7</f>
        <v/>
      </c>
      <c r="E898" s="6">
        <f>('2 transformar y limpiar'!E912-$B$8)/$C$8</f>
        <v/>
      </c>
      <c r="F898" s="6">
        <f>('2 transformar y limpiar'!F912-$B$9)/$C$9</f>
        <v/>
      </c>
      <c r="G898">
        <f>'2 transformar y limpiar'!G912</f>
        <v/>
      </c>
      <c r="H898">
        <f>'2 transformar y limpiar'!H912</f>
        <v/>
      </c>
      <c r="I898">
        <f>'2 transformar y limpiar'!I912</f>
        <v/>
      </c>
      <c r="J898">
        <f>'2 transformar y limpiar'!J912</f>
        <v/>
      </c>
      <c r="K898">
        <f>'2 transformar y limpiar'!K912</f>
        <v/>
      </c>
      <c r="L898">
        <f>'2 transformar y limpiar'!L912</f>
        <v/>
      </c>
      <c r="M898">
        <f>'2 transformar y limpiar'!M912</f>
        <v/>
      </c>
      <c r="N898">
        <f>'2 transformar y limpiar'!N912</f>
        <v/>
      </c>
      <c r="O898">
        <f>'2 transformar y limpiar'!O912</f>
        <v/>
      </c>
      <c r="P898">
        <f>'2 transformar y limpiar'!P912</f>
        <v/>
      </c>
      <c r="Q898">
        <f>'2 transformar y limpiar'!Q912</f>
        <v/>
      </c>
      <c r="R898">
        <f>'2 transformar y limpiar'!R912</f>
        <v/>
      </c>
      <c r="S898">
        <f>'2 transformar y limpiar'!S912</f>
        <v/>
      </c>
      <c r="T898">
        <f>'2 transformar y limpiar'!T912</f>
        <v/>
      </c>
      <c r="U898" s="5">
        <f>'2 transformar y limpiar'!U912</f>
        <v/>
      </c>
    </row>
    <row r="899">
      <c r="A899">
        <f>'2 transformar y limpiar'!A913</f>
        <v/>
      </c>
      <c r="B899">
        <f>'2 transformar y limpiar'!B913</f>
        <v/>
      </c>
      <c r="C899" s="6">
        <f>('2 transformar y limpiar'!C913-$B$6)/$C$6</f>
        <v/>
      </c>
      <c r="D899" s="6">
        <f>('2 transformar y limpiar'!D913-$B$7)/$C$7</f>
        <v/>
      </c>
      <c r="E899" s="6">
        <f>('2 transformar y limpiar'!E913-$B$8)/$C$8</f>
        <v/>
      </c>
      <c r="F899" s="6">
        <f>('2 transformar y limpiar'!F913-$B$9)/$C$9</f>
        <v/>
      </c>
      <c r="G899">
        <f>'2 transformar y limpiar'!G913</f>
        <v/>
      </c>
      <c r="H899">
        <f>'2 transformar y limpiar'!H913</f>
        <v/>
      </c>
      <c r="I899">
        <f>'2 transformar y limpiar'!I913</f>
        <v/>
      </c>
      <c r="J899">
        <f>'2 transformar y limpiar'!J913</f>
        <v/>
      </c>
      <c r="K899">
        <f>'2 transformar y limpiar'!K913</f>
        <v/>
      </c>
      <c r="L899">
        <f>'2 transformar y limpiar'!L913</f>
        <v/>
      </c>
      <c r="M899">
        <f>'2 transformar y limpiar'!M913</f>
        <v/>
      </c>
      <c r="N899">
        <f>'2 transformar y limpiar'!N913</f>
        <v/>
      </c>
      <c r="O899">
        <f>'2 transformar y limpiar'!O913</f>
        <v/>
      </c>
      <c r="P899">
        <f>'2 transformar y limpiar'!P913</f>
        <v/>
      </c>
      <c r="Q899">
        <f>'2 transformar y limpiar'!Q913</f>
        <v/>
      </c>
      <c r="R899">
        <f>'2 transformar y limpiar'!R913</f>
        <v/>
      </c>
      <c r="S899">
        <f>'2 transformar y limpiar'!S913</f>
        <v/>
      </c>
      <c r="T899">
        <f>'2 transformar y limpiar'!T913</f>
        <v/>
      </c>
      <c r="U899" s="5">
        <f>'2 transformar y limpiar'!U913</f>
        <v/>
      </c>
    </row>
    <row r="900">
      <c r="A900">
        <f>'2 transformar y limpiar'!A914</f>
        <v/>
      </c>
      <c r="B900">
        <f>'2 transformar y limpiar'!B914</f>
        <v/>
      </c>
      <c r="C900" s="6">
        <f>('2 transformar y limpiar'!C914-$B$6)/$C$6</f>
        <v/>
      </c>
      <c r="D900" s="6">
        <f>('2 transformar y limpiar'!D914-$B$7)/$C$7</f>
        <v/>
      </c>
      <c r="E900" s="6">
        <f>('2 transformar y limpiar'!E914-$B$8)/$C$8</f>
        <v/>
      </c>
      <c r="F900" s="6">
        <f>('2 transformar y limpiar'!F914-$B$9)/$C$9</f>
        <v/>
      </c>
      <c r="G900">
        <f>'2 transformar y limpiar'!G914</f>
        <v/>
      </c>
      <c r="H900">
        <f>'2 transformar y limpiar'!H914</f>
        <v/>
      </c>
      <c r="I900">
        <f>'2 transformar y limpiar'!I914</f>
        <v/>
      </c>
      <c r="J900">
        <f>'2 transformar y limpiar'!J914</f>
        <v/>
      </c>
      <c r="K900">
        <f>'2 transformar y limpiar'!K914</f>
        <v/>
      </c>
      <c r="L900">
        <f>'2 transformar y limpiar'!L914</f>
        <v/>
      </c>
      <c r="M900">
        <f>'2 transformar y limpiar'!M914</f>
        <v/>
      </c>
      <c r="N900">
        <f>'2 transformar y limpiar'!N914</f>
        <v/>
      </c>
      <c r="O900">
        <f>'2 transformar y limpiar'!O914</f>
        <v/>
      </c>
      <c r="P900">
        <f>'2 transformar y limpiar'!P914</f>
        <v/>
      </c>
      <c r="Q900">
        <f>'2 transformar y limpiar'!Q914</f>
        <v/>
      </c>
      <c r="R900">
        <f>'2 transformar y limpiar'!R914</f>
        <v/>
      </c>
      <c r="S900">
        <f>'2 transformar y limpiar'!S914</f>
        <v/>
      </c>
      <c r="T900">
        <f>'2 transformar y limpiar'!T914</f>
        <v/>
      </c>
      <c r="U900" s="5">
        <f>'2 transformar y limpiar'!U914</f>
        <v/>
      </c>
    </row>
    <row r="901">
      <c r="A901">
        <f>'2 transformar y limpiar'!A915</f>
        <v/>
      </c>
      <c r="B901">
        <f>'2 transformar y limpiar'!B915</f>
        <v/>
      </c>
      <c r="C901" s="6">
        <f>('2 transformar y limpiar'!C915-$B$6)/$C$6</f>
        <v/>
      </c>
      <c r="D901" s="6">
        <f>('2 transformar y limpiar'!D915-$B$7)/$C$7</f>
        <v/>
      </c>
      <c r="E901" s="6">
        <f>('2 transformar y limpiar'!E915-$B$8)/$C$8</f>
        <v/>
      </c>
      <c r="F901" s="6">
        <f>('2 transformar y limpiar'!F915-$B$9)/$C$9</f>
        <v/>
      </c>
      <c r="G901">
        <f>'2 transformar y limpiar'!G915</f>
        <v/>
      </c>
      <c r="H901">
        <f>'2 transformar y limpiar'!H915</f>
        <v/>
      </c>
      <c r="I901">
        <f>'2 transformar y limpiar'!I915</f>
        <v/>
      </c>
      <c r="J901">
        <f>'2 transformar y limpiar'!J915</f>
        <v/>
      </c>
      <c r="K901">
        <f>'2 transformar y limpiar'!K915</f>
        <v/>
      </c>
      <c r="L901">
        <f>'2 transformar y limpiar'!L915</f>
        <v/>
      </c>
      <c r="M901">
        <f>'2 transformar y limpiar'!M915</f>
        <v/>
      </c>
      <c r="N901">
        <f>'2 transformar y limpiar'!N915</f>
        <v/>
      </c>
      <c r="O901">
        <f>'2 transformar y limpiar'!O915</f>
        <v/>
      </c>
      <c r="P901">
        <f>'2 transformar y limpiar'!P915</f>
        <v/>
      </c>
      <c r="Q901">
        <f>'2 transformar y limpiar'!Q915</f>
        <v/>
      </c>
      <c r="R901">
        <f>'2 transformar y limpiar'!R915</f>
        <v/>
      </c>
      <c r="S901">
        <f>'2 transformar y limpiar'!S915</f>
        <v/>
      </c>
      <c r="T901">
        <f>'2 transformar y limpiar'!T915</f>
        <v/>
      </c>
      <c r="U901" s="5">
        <f>'2 transformar y limpiar'!U915</f>
        <v/>
      </c>
    </row>
    <row r="902">
      <c r="A902">
        <f>'2 transformar y limpiar'!A916</f>
        <v/>
      </c>
      <c r="B902">
        <f>'2 transformar y limpiar'!B916</f>
        <v/>
      </c>
      <c r="C902" s="6">
        <f>('2 transformar y limpiar'!C916-$B$6)/$C$6</f>
        <v/>
      </c>
      <c r="D902" s="6">
        <f>('2 transformar y limpiar'!D916-$B$7)/$C$7</f>
        <v/>
      </c>
      <c r="E902" s="6">
        <f>('2 transformar y limpiar'!E916-$B$8)/$C$8</f>
        <v/>
      </c>
      <c r="F902" s="6">
        <f>('2 transformar y limpiar'!F916-$B$9)/$C$9</f>
        <v/>
      </c>
      <c r="G902">
        <f>'2 transformar y limpiar'!G916</f>
        <v/>
      </c>
      <c r="H902">
        <f>'2 transformar y limpiar'!H916</f>
        <v/>
      </c>
      <c r="I902">
        <f>'2 transformar y limpiar'!I916</f>
        <v/>
      </c>
      <c r="J902">
        <f>'2 transformar y limpiar'!J916</f>
        <v/>
      </c>
      <c r="K902">
        <f>'2 transformar y limpiar'!K916</f>
        <v/>
      </c>
      <c r="L902">
        <f>'2 transformar y limpiar'!L916</f>
        <v/>
      </c>
      <c r="M902">
        <f>'2 transformar y limpiar'!M916</f>
        <v/>
      </c>
      <c r="N902">
        <f>'2 transformar y limpiar'!N916</f>
        <v/>
      </c>
      <c r="O902">
        <f>'2 transformar y limpiar'!O916</f>
        <v/>
      </c>
      <c r="P902">
        <f>'2 transformar y limpiar'!P916</f>
        <v/>
      </c>
      <c r="Q902">
        <f>'2 transformar y limpiar'!Q916</f>
        <v/>
      </c>
      <c r="R902">
        <f>'2 transformar y limpiar'!R916</f>
        <v/>
      </c>
      <c r="S902">
        <f>'2 transformar y limpiar'!S916</f>
        <v/>
      </c>
      <c r="T902">
        <f>'2 transformar y limpiar'!T916</f>
        <v/>
      </c>
      <c r="U902" s="5">
        <f>'2 transformar y limpiar'!U916</f>
        <v/>
      </c>
    </row>
    <row r="903">
      <c r="A903">
        <f>'2 transformar y limpiar'!A917</f>
        <v/>
      </c>
      <c r="B903">
        <f>'2 transformar y limpiar'!B917</f>
        <v/>
      </c>
      <c r="C903" s="6">
        <f>('2 transformar y limpiar'!C917-$B$6)/$C$6</f>
        <v/>
      </c>
      <c r="D903" s="6">
        <f>('2 transformar y limpiar'!D917-$B$7)/$C$7</f>
        <v/>
      </c>
      <c r="E903" s="6">
        <f>('2 transformar y limpiar'!E917-$B$8)/$C$8</f>
        <v/>
      </c>
      <c r="F903" s="6">
        <f>('2 transformar y limpiar'!F917-$B$9)/$C$9</f>
        <v/>
      </c>
      <c r="G903">
        <f>'2 transformar y limpiar'!G917</f>
        <v/>
      </c>
      <c r="H903">
        <f>'2 transformar y limpiar'!H917</f>
        <v/>
      </c>
      <c r="I903">
        <f>'2 transformar y limpiar'!I917</f>
        <v/>
      </c>
      <c r="J903">
        <f>'2 transformar y limpiar'!J917</f>
        <v/>
      </c>
      <c r="K903">
        <f>'2 transformar y limpiar'!K917</f>
        <v/>
      </c>
      <c r="L903">
        <f>'2 transformar y limpiar'!L917</f>
        <v/>
      </c>
      <c r="M903">
        <f>'2 transformar y limpiar'!M917</f>
        <v/>
      </c>
      <c r="N903">
        <f>'2 transformar y limpiar'!N917</f>
        <v/>
      </c>
      <c r="O903">
        <f>'2 transformar y limpiar'!O917</f>
        <v/>
      </c>
      <c r="P903">
        <f>'2 transformar y limpiar'!P917</f>
        <v/>
      </c>
      <c r="Q903">
        <f>'2 transformar y limpiar'!Q917</f>
        <v/>
      </c>
      <c r="R903">
        <f>'2 transformar y limpiar'!R917</f>
        <v/>
      </c>
      <c r="S903">
        <f>'2 transformar y limpiar'!S917</f>
        <v/>
      </c>
      <c r="T903">
        <f>'2 transformar y limpiar'!T917</f>
        <v/>
      </c>
      <c r="U903" s="5">
        <f>'2 transformar y limpiar'!U917</f>
        <v/>
      </c>
    </row>
    <row r="904">
      <c r="A904">
        <f>'2 transformar y limpiar'!A918</f>
        <v/>
      </c>
      <c r="B904">
        <f>'2 transformar y limpiar'!B918</f>
        <v/>
      </c>
      <c r="C904" s="6">
        <f>('2 transformar y limpiar'!C918-$B$6)/$C$6</f>
        <v/>
      </c>
      <c r="D904" s="6">
        <f>('2 transformar y limpiar'!D918-$B$7)/$C$7</f>
        <v/>
      </c>
      <c r="E904" s="6">
        <f>('2 transformar y limpiar'!E918-$B$8)/$C$8</f>
        <v/>
      </c>
      <c r="F904" s="6">
        <f>('2 transformar y limpiar'!F918-$B$9)/$C$9</f>
        <v/>
      </c>
      <c r="G904">
        <f>'2 transformar y limpiar'!G918</f>
        <v/>
      </c>
      <c r="H904">
        <f>'2 transformar y limpiar'!H918</f>
        <v/>
      </c>
      <c r="I904">
        <f>'2 transformar y limpiar'!I918</f>
        <v/>
      </c>
      <c r="J904">
        <f>'2 transformar y limpiar'!J918</f>
        <v/>
      </c>
      <c r="K904">
        <f>'2 transformar y limpiar'!K918</f>
        <v/>
      </c>
      <c r="L904">
        <f>'2 transformar y limpiar'!L918</f>
        <v/>
      </c>
      <c r="M904">
        <f>'2 transformar y limpiar'!M918</f>
        <v/>
      </c>
      <c r="N904">
        <f>'2 transformar y limpiar'!N918</f>
        <v/>
      </c>
      <c r="O904">
        <f>'2 transformar y limpiar'!O918</f>
        <v/>
      </c>
      <c r="P904">
        <f>'2 transformar y limpiar'!P918</f>
        <v/>
      </c>
      <c r="Q904">
        <f>'2 transformar y limpiar'!Q918</f>
        <v/>
      </c>
      <c r="R904">
        <f>'2 transformar y limpiar'!R918</f>
        <v/>
      </c>
      <c r="S904">
        <f>'2 transformar y limpiar'!S918</f>
        <v/>
      </c>
      <c r="T904">
        <f>'2 transformar y limpiar'!T918</f>
        <v/>
      </c>
      <c r="U904" s="5">
        <f>'2 transformar y limpiar'!U918</f>
        <v/>
      </c>
    </row>
    <row r="905">
      <c r="A905">
        <f>'2 transformar y limpiar'!A919</f>
        <v/>
      </c>
      <c r="B905">
        <f>'2 transformar y limpiar'!B919</f>
        <v/>
      </c>
      <c r="C905" s="6">
        <f>('2 transformar y limpiar'!C919-$B$6)/$C$6</f>
        <v/>
      </c>
      <c r="D905" s="6">
        <f>('2 transformar y limpiar'!D919-$B$7)/$C$7</f>
        <v/>
      </c>
      <c r="E905" s="6">
        <f>('2 transformar y limpiar'!E919-$B$8)/$C$8</f>
        <v/>
      </c>
      <c r="F905" s="6">
        <f>('2 transformar y limpiar'!F919-$B$9)/$C$9</f>
        <v/>
      </c>
      <c r="G905">
        <f>'2 transformar y limpiar'!G919</f>
        <v/>
      </c>
      <c r="H905">
        <f>'2 transformar y limpiar'!H919</f>
        <v/>
      </c>
      <c r="I905">
        <f>'2 transformar y limpiar'!I919</f>
        <v/>
      </c>
      <c r="J905">
        <f>'2 transformar y limpiar'!J919</f>
        <v/>
      </c>
      <c r="K905">
        <f>'2 transformar y limpiar'!K919</f>
        <v/>
      </c>
      <c r="L905">
        <f>'2 transformar y limpiar'!L919</f>
        <v/>
      </c>
      <c r="M905">
        <f>'2 transformar y limpiar'!M919</f>
        <v/>
      </c>
      <c r="N905">
        <f>'2 transformar y limpiar'!N919</f>
        <v/>
      </c>
      <c r="O905">
        <f>'2 transformar y limpiar'!O919</f>
        <v/>
      </c>
      <c r="P905">
        <f>'2 transformar y limpiar'!P919</f>
        <v/>
      </c>
      <c r="Q905">
        <f>'2 transformar y limpiar'!Q919</f>
        <v/>
      </c>
      <c r="R905">
        <f>'2 transformar y limpiar'!R919</f>
        <v/>
      </c>
      <c r="S905">
        <f>'2 transformar y limpiar'!S919</f>
        <v/>
      </c>
      <c r="T905">
        <f>'2 transformar y limpiar'!T919</f>
        <v/>
      </c>
      <c r="U905" s="5">
        <f>'2 transformar y limpiar'!U919</f>
        <v/>
      </c>
    </row>
    <row r="906">
      <c r="A906">
        <f>'2 transformar y limpiar'!A920</f>
        <v/>
      </c>
      <c r="B906">
        <f>'2 transformar y limpiar'!B920</f>
        <v/>
      </c>
      <c r="C906" s="6">
        <f>('2 transformar y limpiar'!C920-$B$6)/$C$6</f>
        <v/>
      </c>
      <c r="D906" s="6">
        <f>('2 transformar y limpiar'!D920-$B$7)/$C$7</f>
        <v/>
      </c>
      <c r="E906" s="6">
        <f>('2 transformar y limpiar'!E920-$B$8)/$C$8</f>
        <v/>
      </c>
      <c r="F906" s="6">
        <f>('2 transformar y limpiar'!F920-$B$9)/$C$9</f>
        <v/>
      </c>
      <c r="G906">
        <f>'2 transformar y limpiar'!G920</f>
        <v/>
      </c>
      <c r="H906">
        <f>'2 transformar y limpiar'!H920</f>
        <v/>
      </c>
      <c r="I906">
        <f>'2 transformar y limpiar'!I920</f>
        <v/>
      </c>
      <c r="J906">
        <f>'2 transformar y limpiar'!J920</f>
        <v/>
      </c>
      <c r="K906">
        <f>'2 transformar y limpiar'!K920</f>
        <v/>
      </c>
      <c r="L906">
        <f>'2 transformar y limpiar'!L920</f>
        <v/>
      </c>
      <c r="M906">
        <f>'2 transformar y limpiar'!M920</f>
        <v/>
      </c>
      <c r="N906">
        <f>'2 transformar y limpiar'!N920</f>
        <v/>
      </c>
      <c r="O906">
        <f>'2 transformar y limpiar'!O920</f>
        <v/>
      </c>
      <c r="P906">
        <f>'2 transformar y limpiar'!P920</f>
        <v/>
      </c>
      <c r="Q906">
        <f>'2 transformar y limpiar'!Q920</f>
        <v/>
      </c>
      <c r="R906">
        <f>'2 transformar y limpiar'!R920</f>
        <v/>
      </c>
      <c r="S906">
        <f>'2 transformar y limpiar'!S920</f>
        <v/>
      </c>
      <c r="T906">
        <f>'2 transformar y limpiar'!T920</f>
        <v/>
      </c>
      <c r="U906" s="5">
        <f>'2 transformar y limpiar'!U920</f>
        <v/>
      </c>
    </row>
    <row r="907">
      <c r="A907">
        <f>'2 transformar y limpiar'!A921</f>
        <v/>
      </c>
      <c r="B907">
        <f>'2 transformar y limpiar'!B921</f>
        <v/>
      </c>
      <c r="C907" s="6">
        <f>('2 transformar y limpiar'!C921-$B$6)/$C$6</f>
        <v/>
      </c>
      <c r="D907" s="6">
        <f>('2 transformar y limpiar'!D921-$B$7)/$C$7</f>
        <v/>
      </c>
      <c r="E907" s="6">
        <f>('2 transformar y limpiar'!E921-$B$8)/$C$8</f>
        <v/>
      </c>
      <c r="F907" s="6">
        <f>('2 transformar y limpiar'!F921-$B$9)/$C$9</f>
        <v/>
      </c>
      <c r="G907">
        <f>'2 transformar y limpiar'!G921</f>
        <v/>
      </c>
      <c r="H907">
        <f>'2 transformar y limpiar'!H921</f>
        <v/>
      </c>
      <c r="I907">
        <f>'2 transformar y limpiar'!I921</f>
        <v/>
      </c>
      <c r="J907">
        <f>'2 transformar y limpiar'!J921</f>
        <v/>
      </c>
      <c r="K907">
        <f>'2 transformar y limpiar'!K921</f>
        <v/>
      </c>
      <c r="L907">
        <f>'2 transformar y limpiar'!L921</f>
        <v/>
      </c>
      <c r="M907">
        <f>'2 transformar y limpiar'!M921</f>
        <v/>
      </c>
      <c r="N907">
        <f>'2 transformar y limpiar'!N921</f>
        <v/>
      </c>
      <c r="O907">
        <f>'2 transformar y limpiar'!O921</f>
        <v/>
      </c>
      <c r="P907">
        <f>'2 transformar y limpiar'!P921</f>
        <v/>
      </c>
      <c r="Q907">
        <f>'2 transformar y limpiar'!Q921</f>
        <v/>
      </c>
      <c r="R907">
        <f>'2 transformar y limpiar'!R921</f>
        <v/>
      </c>
      <c r="S907">
        <f>'2 transformar y limpiar'!S921</f>
        <v/>
      </c>
      <c r="T907">
        <f>'2 transformar y limpiar'!T921</f>
        <v/>
      </c>
      <c r="U907" s="5">
        <f>'2 transformar y limpiar'!U921</f>
        <v/>
      </c>
    </row>
    <row r="908">
      <c r="A908">
        <f>'2 transformar y limpiar'!A922</f>
        <v/>
      </c>
      <c r="B908">
        <f>'2 transformar y limpiar'!B922</f>
        <v/>
      </c>
      <c r="C908" s="6">
        <f>('2 transformar y limpiar'!C922-$B$6)/$C$6</f>
        <v/>
      </c>
      <c r="D908" s="6">
        <f>('2 transformar y limpiar'!D922-$B$7)/$C$7</f>
        <v/>
      </c>
      <c r="E908" s="6">
        <f>('2 transformar y limpiar'!E922-$B$8)/$C$8</f>
        <v/>
      </c>
      <c r="F908" s="6">
        <f>('2 transformar y limpiar'!F922-$B$9)/$C$9</f>
        <v/>
      </c>
      <c r="G908">
        <f>'2 transformar y limpiar'!G922</f>
        <v/>
      </c>
      <c r="H908">
        <f>'2 transformar y limpiar'!H922</f>
        <v/>
      </c>
      <c r="I908">
        <f>'2 transformar y limpiar'!I922</f>
        <v/>
      </c>
      <c r="J908">
        <f>'2 transformar y limpiar'!J922</f>
        <v/>
      </c>
      <c r="K908">
        <f>'2 transformar y limpiar'!K922</f>
        <v/>
      </c>
      <c r="L908">
        <f>'2 transformar y limpiar'!L922</f>
        <v/>
      </c>
      <c r="M908">
        <f>'2 transformar y limpiar'!M922</f>
        <v/>
      </c>
      <c r="N908">
        <f>'2 transformar y limpiar'!N922</f>
        <v/>
      </c>
      <c r="O908">
        <f>'2 transformar y limpiar'!O922</f>
        <v/>
      </c>
      <c r="P908">
        <f>'2 transformar y limpiar'!P922</f>
        <v/>
      </c>
      <c r="Q908">
        <f>'2 transformar y limpiar'!Q922</f>
        <v/>
      </c>
      <c r="R908">
        <f>'2 transformar y limpiar'!R922</f>
        <v/>
      </c>
      <c r="S908">
        <f>'2 transformar y limpiar'!S922</f>
        <v/>
      </c>
      <c r="T908">
        <f>'2 transformar y limpiar'!T922</f>
        <v/>
      </c>
      <c r="U908" s="5">
        <f>'2 transformar y limpiar'!U922</f>
        <v/>
      </c>
    </row>
    <row r="909">
      <c r="A909">
        <f>'2 transformar y limpiar'!A923</f>
        <v/>
      </c>
      <c r="B909">
        <f>'2 transformar y limpiar'!B923</f>
        <v/>
      </c>
      <c r="C909" s="6">
        <f>('2 transformar y limpiar'!C923-$B$6)/$C$6</f>
        <v/>
      </c>
      <c r="D909" s="6">
        <f>('2 transformar y limpiar'!D923-$B$7)/$C$7</f>
        <v/>
      </c>
      <c r="E909" s="6">
        <f>('2 transformar y limpiar'!E923-$B$8)/$C$8</f>
        <v/>
      </c>
      <c r="F909" s="6">
        <f>('2 transformar y limpiar'!F923-$B$9)/$C$9</f>
        <v/>
      </c>
      <c r="G909">
        <f>'2 transformar y limpiar'!G923</f>
        <v/>
      </c>
      <c r="H909">
        <f>'2 transformar y limpiar'!H923</f>
        <v/>
      </c>
      <c r="I909">
        <f>'2 transformar y limpiar'!I923</f>
        <v/>
      </c>
      <c r="J909">
        <f>'2 transformar y limpiar'!J923</f>
        <v/>
      </c>
      <c r="K909">
        <f>'2 transformar y limpiar'!K923</f>
        <v/>
      </c>
      <c r="L909">
        <f>'2 transformar y limpiar'!L923</f>
        <v/>
      </c>
      <c r="M909">
        <f>'2 transformar y limpiar'!M923</f>
        <v/>
      </c>
      <c r="N909">
        <f>'2 transformar y limpiar'!N923</f>
        <v/>
      </c>
      <c r="O909">
        <f>'2 transformar y limpiar'!O923</f>
        <v/>
      </c>
      <c r="P909">
        <f>'2 transformar y limpiar'!P923</f>
        <v/>
      </c>
      <c r="Q909">
        <f>'2 transformar y limpiar'!Q923</f>
        <v/>
      </c>
      <c r="R909">
        <f>'2 transformar y limpiar'!R923</f>
        <v/>
      </c>
      <c r="S909">
        <f>'2 transformar y limpiar'!S923</f>
        <v/>
      </c>
      <c r="T909">
        <f>'2 transformar y limpiar'!T923</f>
        <v/>
      </c>
      <c r="U909" s="5">
        <f>'2 transformar y limpiar'!U923</f>
        <v/>
      </c>
    </row>
    <row r="910">
      <c r="A910">
        <f>'2 transformar y limpiar'!A924</f>
        <v/>
      </c>
      <c r="B910">
        <f>'2 transformar y limpiar'!B924</f>
        <v/>
      </c>
      <c r="C910" s="6">
        <f>('2 transformar y limpiar'!C924-$B$6)/$C$6</f>
        <v/>
      </c>
      <c r="D910" s="6">
        <f>('2 transformar y limpiar'!D924-$B$7)/$C$7</f>
        <v/>
      </c>
      <c r="E910" s="6">
        <f>('2 transformar y limpiar'!E924-$B$8)/$C$8</f>
        <v/>
      </c>
      <c r="F910" s="6">
        <f>('2 transformar y limpiar'!F924-$B$9)/$C$9</f>
        <v/>
      </c>
      <c r="G910">
        <f>'2 transformar y limpiar'!G924</f>
        <v/>
      </c>
      <c r="H910">
        <f>'2 transformar y limpiar'!H924</f>
        <v/>
      </c>
      <c r="I910">
        <f>'2 transformar y limpiar'!I924</f>
        <v/>
      </c>
      <c r="J910">
        <f>'2 transformar y limpiar'!J924</f>
        <v/>
      </c>
      <c r="K910">
        <f>'2 transformar y limpiar'!K924</f>
        <v/>
      </c>
      <c r="L910">
        <f>'2 transformar y limpiar'!L924</f>
        <v/>
      </c>
      <c r="M910">
        <f>'2 transformar y limpiar'!M924</f>
        <v/>
      </c>
      <c r="N910">
        <f>'2 transformar y limpiar'!N924</f>
        <v/>
      </c>
      <c r="O910">
        <f>'2 transformar y limpiar'!O924</f>
        <v/>
      </c>
      <c r="P910">
        <f>'2 transformar y limpiar'!P924</f>
        <v/>
      </c>
      <c r="Q910">
        <f>'2 transformar y limpiar'!Q924</f>
        <v/>
      </c>
      <c r="R910">
        <f>'2 transformar y limpiar'!R924</f>
        <v/>
      </c>
      <c r="S910">
        <f>'2 transformar y limpiar'!S924</f>
        <v/>
      </c>
      <c r="T910">
        <f>'2 transformar y limpiar'!T924</f>
        <v/>
      </c>
      <c r="U910" s="5">
        <f>'2 transformar y limpiar'!U924</f>
        <v/>
      </c>
    </row>
    <row r="911">
      <c r="A911">
        <f>'2 transformar y limpiar'!A925</f>
        <v/>
      </c>
      <c r="B911">
        <f>'2 transformar y limpiar'!B925</f>
        <v/>
      </c>
      <c r="C911" s="6">
        <f>('2 transformar y limpiar'!C925-$B$6)/$C$6</f>
        <v/>
      </c>
      <c r="D911" s="6">
        <f>('2 transformar y limpiar'!D925-$B$7)/$C$7</f>
        <v/>
      </c>
      <c r="E911" s="6">
        <f>('2 transformar y limpiar'!E925-$B$8)/$C$8</f>
        <v/>
      </c>
      <c r="F911" s="6">
        <f>('2 transformar y limpiar'!F925-$B$9)/$C$9</f>
        <v/>
      </c>
      <c r="G911">
        <f>'2 transformar y limpiar'!G925</f>
        <v/>
      </c>
      <c r="H911">
        <f>'2 transformar y limpiar'!H925</f>
        <v/>
      </c>
      <c r="I911">
        <f>'2 transformar y limpiar'!I925</f>
        <v/>
      </c>
      <c r="J911">
        <f>'2 transformar y limpiar'!J925</f>
        <v/>
      </c>
      <c r="K911">
        <f>'2 transformar y limpiar'!K925</f>
        <v/>
      </c>
      <c r="L911">
        <f>'2 transformar y limpiar'!L925</f>
        <v/>
      </c>
      <c r="M911">
        <f>'2 transformar y limpiar'!M925</f>
        <v/>
      </c>
      <c r="N911">
        <f>'2 transformar y limpiar'!N925</f>
        <v/>
      </c>
      <c r="O911">
        <f>'2 transformar y limpiar'!O925</f>
        <v/>
      </c>
      <c r="P911">
        <f>'2 transformar y limpiar'!P925</f>
        <v/>
      </c>
      <c r="Q911">
        <f>'2 transformar y limpiar'!Q925</f>
        <v/>
      </c>
      <c r="R911">
        <f>'2 transformar y limpiar'!R925</f>
        <v/>
      </c>
      <c r="S911">
        <f>'2 transformar y limpiar'!S925</f>
        <v/>
      </c>
      <c r="T911">
        <f>'2 transformar y limpiar'!T925</f>
        <v/>
      </c>
      <c r="U911" s="5">
        <f>'2 transformar y limpiar'!U925</f>
        <v/>
      </c>
    </row>
    <row r="912">
      <c r="A912">
        <f>'2 transformar y limpiar'!A926</f>
        <v/>
      </c>
      <c r="B912">
        <f>'2 transformar y limpiar'!B926</f>
        <v/>
      </c>
      <c r="C912" s="6">
        <f>('2 transformar y limpiar'!C926-$B$6)/$C$6</f>
        <v/>
      </c>
      <c r="D912" s="6">
        <f>('2 transformar y limpiar'!D926-$B$7)/$C$7</f>
        <v/>
      </c>
      <c r="E912" s="6">
        <f>('2 transformar y limpiar'!E926-$B$8)/$C$8</f>
        <v/>
      </c>
      <c r="F912" s="6">
        <f>('2 transformar y limpiar'!F926-$B$9)/$C$9</f>
        <v/>
      </c>
      <c r="G912">
        <f>'2 transformar y limpiar'!G926</f>
        <v/>
      </c>
      <c r="H912">
        <f>'2 transformar y limpiar'!H926</f>
        <v/>
      </c>
      <c r="I912">
        <f>'2 transformar y limpiar'!I926</f>
        <v/>
      </c>
      <c r="J912">
        <f>'2 transformar y limpiar'!J926</f>
        <v/>
      </c>
      <c r="K912">
        <f>'2 transformar y limpiar'!K926</f>
        <v/>
      </c>
      <c r="L912">
        <f>'2 transformar y limpiar'!L926</f>
        <v/>
      </c>
      <c r="M912">
        <f>'2 transformar y limpiar'!M926</f>
        <v/>
      </c>
      <c r="N912">
        <f>'2 transformar y limpiar'!N926</f>
        <v/>
      </c>
      <c r="O912">
        <f>'2 transformar y limpiar'!O926</f>
        <v/>
      </c>
      <c r="P912">
        <f>'2 transformar y limpiar'!P926</f>
        <v/>
      </c>
      <c r="Q912">
        <f>'2 transformar y limpiar'!Q926</f>
        <v/>
      </c>
      <c r="R912">
        <f>'2 transformar y limpiar'!R926</f>
        <v/>
      </c>
      <c r="S912">
        <f>'2 transformar y limpiar'!S926</f>
        <v/>
      </c>
      <c r="T912">
        <f>'2 transformar y limpiar'!T926</f>
        <v/>
      </c>
      <c r="U912" s="5">
        <f>'2 transformar y limpiar'!U926</f>
        <v/>
      </c>
    </row>
    <row r="913">
      <c r="A913">
        <f>'2 transformar y limpiar'!A927</f>
        <v/>
      </c>
      <c r="B913">
        <f>'2 transformar y limpiar'!B927</f>
        <v/>
      </c>
      <c r="C913" s="6">
        <f>('2 transformar y limpiar'!C927-$B$6)/$C$6</f>
        <v/>
      </c>
      <c r="D913" s="6">
        <f>('2 transformar y limpiar'!D927-$B$7)/$C$7</f>
        <v/>
      </c>
      <c r="E913" s="6">
        <f>('2 transformar y limpiar'!E927-$B$8)/$C$8</f>
        <v/>
      </c>
      <c r="F913" s="6">
        <f>('2 transformar y limpiar'!F927-$B$9)/$C$9</f>
        <v/>
      </c>
      <c r="G913">
        <f>'2 transformar y limpiar'!G927</f>
        <v/>
      </c>
      <c r="H913">
        <f>'2 transformar y limpiar'!H927</f>
        <v/>
      </c>
      <c r="I913">
        <f>'2 transformar y limpiar'!I927</f>
        <v/>
      </c>
      <c r="J913">
        <f>'2 transformar y limpiar'!J927</f>
        <v/>
      </c>
      <c r="K913">
        <f>'2 transformar y limpiar'!K927</f>
        <v/>
      </c>
      <c r="L913">
        <f>'2 transformar y limpiar'!L927</f>
        <v/>
      </c>
      <c r="M913">
        <f>'2 transformar y limpiar'!M927</f>
        <v/>
      </c>
      <c r="N913">
        <f>'2 transformar y limpiar'!N927</f>
        <v/>
      </c>
      <c r="O913">
        <f>'2 transformar y limpiar'!O927</f>
        <v/>
      </c>
      <c r="P913">
        <f>'2 transformar y limpiar'!P927</f>
        <v/>
      </c>
      <c r="Q913">
        <f>'2 transformar y limpiar'!Q927</f>
        <v/>
      </c>
      <c r="R913">
        <f>'2 transformar y limpiar'!R927</f>
        <v/>
      </c>
      <c r="S913">
        <f>'2 transformar y limpiar'!S927</f>
        <v/>
      </c>
      <c r="T913">
        <f>'2 transformar y limpiar'!T927</f>
        <v/>
      </c>
      <c r="U913" s="5">
        <f>'2 transformar y limpiar'!U927</f>
        <v/>
      </c>
    </row>
    <row r="914">
      <c r="A914">
        <f>'2 transformar y limpiar'!A928</f>
        <v/>
      </c>
      <c r="B914">
        <f>'2 transformar y limpiar'!B928</f>
        <v/>
      </c>
      <c r="C914" s="6">
        <f>('2 transformar y limpiar'!C928-$B$6)/$C$6</f>
        <v/>
      </c>
      <c r="D914" s="6">
        <f>('2 transformar y limpiar'!D928-$B$7)/$C$7</f>
        <v/>
      </c>
      <c r="E914" s="6">
        <f>('2 transformar y limpiar'!E928-$B$8)/$C$8</f>
        <v/>
      </c>
      <c r="F914" s="6">
        <f>('2 transformar y limpiar'!F928-$B$9)/$C$9</f>
        <v/>
      </c>
      <c r="G914">
        <f>'2 transformar y limpiar'!G928</f>
        <v/>
      </c>
      <c r="H914">
        <f>'2 transformar y limpiar'!H928</f>
        <v/>
      </c>
      <c r="I914">
        <f>'2 transformar y limpiar'!I928</f>
        <v/>
      </c>
      <c r="J914">
        <f>'2 transformar y limpiar'!J928</f>
        <v/>
      </c>
      <c r="K914">
        <f>'2 transformar y limpiar'!K928</f>
        <v/>
      </c>
      <c r="L914">
        <f>'2 transformar y limpiar'!L928</f>
        <v/>
      </c>
      <c r="M914">
        <f>'2 transformar y limpiar'!M928</f>
        <v/>
      </c>
      <c r="N914">
        <f>'2 transformar y limpiar'!N928</f>
        <v/>
      </c>
      <c r="O914">
        <f>'2 transformar y limpiar'!O928</f>
        <v/>
      </c>
      <c r="P914">
        <f>'2 transformar y limpiar'!P928</f>
        <v/>
      </c>
      <c r="Q914">
        <f>'2 transformar y limpiar'!Q928</f>
        <v/>
      </c>
      <c r="R914">
        <f>'2 transformar y limpiar'!R928</f>
        <v/>
      </c>
      <c r="S914">
        <f>'2 transformar y limpiar'!S928</f>
        <v/>
      </c>
      <c r="T914">
        <f>'2 transformar y limpiar'!T928</f>
        <v/>
      </c>
      <c r="U914" s="5">
        <f>'2 transformar y limpiar'!U928</f>
        <v/>
      </c>
    </row>
    <row r="915">
      <c r="A915">
        <f>'2 transformar y limpiar'!A929</f>
        <v/>
      </c>
      <c r="B915">
        <f>'2 transformar y limpiar'!B929</f>
        <v/>
      </c>
      <c r="C915" s="6">
        <f>('2 transformar y limpiar'!C929-$B$6)/$C$6</f>
        <v/>
      </c>
      <c r="D915" s="6">
        <f>('2 transformar y limpiar'!D929-$B$7)/$C$7</f>
        <v/>
      </c>
      <c r="E915" s="6">
        <f>('2 transformar y limpiar'!E929-$B$8)/$C$8</f>
        <v/>
      </c>
      <c r="F915" s="6">
        <f>('2 transformar y limpiar'!F929-$B$9)/$C$9</f>
        <v/>
      </c>
      <c r="G915">
        <f>'2 transformar y limpiar'!G929</f>
        <v/>
      </c>
      <c r="H915">
        <f>'2 transformar y limpiar'!H929</f>
        <v/>
      </c>
      <c r="I915">
        <f>'2 transformar y limpiar'!I929</f>
        <v/>
      </c>
      <c r="J915">
        <f>'2 transformar y limpiar'!J929</f>
        <v/>
      </c>
      <c r="K915">
        <f>'2 transformar y limpiar'!K929</f>
        <v/>
      </c>
      <c r="L915">
        <f>'2 transformar y limpiar'!L929</f>
        <v/>
      </c>
      <c r="M915">
        <f>'2 transformar y limpiar'!M929</f>
        <v/>
      </c>
      <c r="N915">
        <f>'2 transformar y limpiar'!N929</f>
        <v/>
      </c>
      <c r="O915">
        <f>'2 transformar y limpiar'!O929</f>
        <v/>
      </c>
      <c r="P915">
        <f>'2 transformar y limpiar'!P929</f>
        <v/>
      </c>
      <c r="Q915">
        <f>'2 transformar y limpiar'!Q929</f>
        <v/>
      </c>
      <c r="R915">
        <f>'2 transformar y limpiar'!R929</f>
        <v/>
      </c>
      <c r="S915">
        <f>'2 transformar y limpiar'!S929</f>
        <v/>
      </c>
      <c r="T915">
        <f>'2 transformar y limpiar'!T929</f>
        <v/>
      </c>
      <c r="U915" s="5">
        <f>'2 transformar y limpiar'!U929</f>
        <v/>
      </c>
    </row>
    <row r="916">
      <c r="A916">
        <f>'2 transformar y limpiar'!A930</f>
        <v/>
      </c>
      <c r="B916">
        <f>'2 transformar y limpiar'!B930</f>
        <v/>
      </c>
      <c r="C916" s="6">
        <f>('2 transformar y limpiar'!C930-$B$6)/$C$6</f>
        <v/>
      </c>
      <c r="D916" s="6">
        <f>('2 transformar y limpiar'!D930-$B$7)/$C$7</f>
        <v/>
      </c>
      <c r="E916" s="6">
        <f>('2 transformar y limpiar'!E930-$B$8)/$C$8</f>
        <v/>
      </c>
      <c r="F916" s="6">
        <f>('2 transformar y limpiar'!F930-$B$9)/$C$9</f>
        <v/>
      </c>
      <c r="G916">
        <f>'2 transformar y limpiar'!G930</f>
        <v/>
      </c>
      <c r="H916">
        <f>'2 transformar y limpiar'!H930</f>
        <v/>
      </c>
      <c r="I916">
        <f>'2 transformar y limpiar'!I930</f>
        <v/>
      </c>
      <c r="J916">
        <f>'2 transformar y limpiar'!J930</f>
        <v/>
      </c>
      <c r="K916">
        <f>'2 transformar y limpiar'!K930</f>
        <v/>
      </c>
      <c r="L916">
        <f>'2 transformar y limpiar'!L930</f>
        <v/>
      </c>
      <c r="M916">
        <f>'2 transformar y limpiar'!M930</f>
        <v/>
      </c>
      <c r="N916">
        <f>'2 transformar y limpiar'!N930</f>
        <v/>
      </c>
      <c r="O916">
        <f>'2 transformar y limpiar'!O930</f>
        <v/>
      </c>
      <c r="P916">
        <f>'2 transformar y limpiar'!P930</f>
        <v/>
      </c>
      <c r="Q916">
        <f>'2 transformar y limpiar'!Q930</f>
        <v/>
      </c>
      <c r="R916">
        <f>'2 transformar y limpiar'!R930</f>
        <v/>
      </c>
      <c r="S916">
        <f>'2 transformar y limpiar'!S930</f>
        <v/>
      </c>
      <c r="T916">
        <f>'2 transformar y limpiar'!T930</f>
        <v/>
      </c>
      <c r="U916" s="5">
        <f>'2 transformar y limpiar'!U930</f>
        <v/>
      </c>
    </row>
    <row r="917">
      <c r="A917">
        <f>'2 transformar y limpiar'!A931</f>
        <v/>
      </c>
      <c r="B917">
        <f>'2 transformar y limpiar'!B931</f>
        <v/>
      </c>
      <c r="C917" s="6">
        <f>('2 transformar y limpiar'!C931-$B$6)/$C$6</f>
        <v/>
      </c>
      <c r="D917" s="6">
        <f>('2 transformar y limpiar'!D931-$B$7)/$C$7</f>
        <v/>
      </c>
      <c r="E917" s="6">
        <f>('2 transformar y limpiar'!E931-$B$8)/$C$8</f>
        <v/>
      </c>
      <c r="F917" s="6">
        <f>('2 transformar y limpiar'!F931-$B$9)/$C$9</f>
        <v/>
      </c>
      <c r="G917">
        <f>'2 transformar y limpiar'!G931</f>
        <v/>
      </c>
      <c r="H917">
        <f>'2 transformar y limpiar'!H931</f>
        <v/>
      </c>
      <c r="I917">
        <f>'2 transformar y limpiar'!I931</f>
        <v/>
      </c>
      <c r="J917">
        <f>'2 transformar y limpiar'!J931</f>
        <v/>
      </c>
      <c r="K917">
        <f>'2 transformar y limpiar'!K931</f>
        <v/>
      </c>
      <c r="L917">
        <f>'2 transformar y limpiar'!L931</f>
        <v/>
      </c>
      <c r="M917">
        <f>'2 transformar y limpiar'!M931</f>
        <v/>
      </c>
      <c r="N917">
        <f>'2 transformar y limpiar'!N931</f>
        <v/>
      </c>
      <c r="O917">
        <f>'2 transformar y limpiar'!O931</f>
        <v/>
      </c>
      <c r="P917">
        <f>'2 transformar y limpiar'!P931</f>
        <v/>
      </c>
      <c r="Q917">
        <f>'2 transformar y limpiar'!Q931</f>
        <v/>
      </c>
      <c r="R917">
        <f>'2 transformar y limpiar'!R931</f>
        <v/>
      </c>
      <c r="S917">
        <f>'2 transformar y limpiar'!S931</f>
        <v/>
      </c>
      <c r="T917">
        <f>'2 transformar y limpiar'!T931</f>
        <v/>
      </c>
      <c r="U917" s="5">
        <f>'2 transformar y limpiar'!U931</f>
        <v/>
      </c>
    </row>
    <row r="918">
      <c r="A918">
        <f>'2 transformar y limpiar'!A932</f>
        <v/>
      </c>
      <c r="B918">
        <f>'2 transformar y limpiar'!B932</f>
        <v/>
      </c>
      <c r="C918" s="6">
        <f>('2 transformar y limpiar'!C932-$B$6)/$C$6</f>
        <v/>
      </c>
      <c r="D918" s="6">
        <f>('2 transformar y limpiar'!D932-$B$7)/$C$7</f>
        <v/>
      </c>
      <c r="E918" s="6">
        <f>('2 transformar y limpiar'!E932-$B$8)/$C$8</f>
        <v/>
      </c>
      <c r="F918" s="6">
        <f>('2 transformar y limpiar'!F932-$B$9)/$C$9</f>
        <v/>
      </c>
      <c r="G918">
        <f>'2 transformar y limpiar'!G932</f>
        <v/>
      </c>
      <c r="H918">
        <f>'2 transformar y limpiar'!H932</f>
        <v/>
      </c>
      <c r="I918">
        <f>'2 transformar y limpiar'!I932</f>
        <v/>
      </c>
      <c r="J918">
        <f>'2 transformar y limpiar'!J932</f>
        <v/>
      </c>
      <c r="K918">
        <f>'2 transformar y limpiar'!K932</f>
        <v/>
      </c>
      <c r="L918">
        <f>'2 transformar y limpiar'!L932</f>
        <v/>
      </c>
      <c r="M918">
        <f>'2 transformar y limpiar'!M932</f>
        <v/>
      </c>
      <c r="N918">
        <f>'2 transformar y limpiar'!N932</f>
        <v/>
      </c>
      <c r="O918">
        <f>'2 transformar y limpiar'!O932</f>
        <v/>
      </c>
      <c r="P918">
        <f>'2 transformar y limpiar'!P932</f>
        <v/>
      </c>
      <c r="Q918">
        <f>'2 transformar y limpiar'!Q932</f>
        <v/>
      </c>
      <c r="R918">
        <f>'2 transformar y limpiar'!R932</f>
        <v/>
      </c>
      <c r="S918">
        <f>'2 transformar y limpiar'!S932</f>
        <v/>
      </c>
      <c r="T918">
        <f>'2 transformar y limpiar'!T932</f>
        <v/>
      </c>
      <c r="U918" s="5">
        <f>'2 transformar y limpiar'!U932</f>
        <v/>
      </c>
    </row>
    <row r="919">
      <c r="A919">
        <f>'2 transformar y limpiar'!A933</f>
        <v/>
      </c>
      <c r="B919">
        <f>'2 transformar y limpiar'!B933</f>
        <v/>
      </c>
      <c r="C919" s="6">
        <f>('2 transformar y limpiar'!C933-$B$6)/$C$6</f>
        <v/>
      </c>
      <c r="D919" s="6">
        <f>('2 transformar y limpiar'!D933-$B$7)/$C$7</f>
        <v/>
      </c>
      <c r="E919" s="6">
        <f>('2 transformar y limpiar'!E933-$B$8)/$C$8</f>
        <v/>
      </c>
      <c r="F919" s="6">
        <f>('2 transformar y limpiar'!F933-$B$9)/$C$9</f>
        <v/>
      </c>
      <c r="G919">
        <f>'2 transformar y limpiar'!G933</f>
        <v/>
      </c>
      <c r="H919">
        <f>'2 transformar y limpiar'!H933</f>
        <v/>
      </c>
      <c r="I919">
        <f>'2 transformar y limpiar'!I933</f>
        <v/>
      </c>
      <c r="J919">
        <f>'2 transformar y limpiar'!J933</f>
        <v/>
      </c>
      <c r="K919">
        <f>'2 transformar y limpiar'!K933</f>
        <v/>
      </c>
      <c r="L919">
        <f>'2 transformar y limpiar'!L933</f>
        <v/>
      </c>
      <c r="M919">
        <f>'2 transformar y limpiar'!M933</f>
        <v/>
      </c>
      <c r="N919">
        <f>'2 transformar y limpiar'!N933</f>
        <v/>
      </c>
      <c r="O919">
        <f>'2 transformar y limpiar'!O933</f>
        <v/>
      </c>
      <c r="P919">
        <f>'2 transformar y limpiar'!P933</f>
        <v/>
      </c>
      <c r="Q919">
        <f>'2 transformar y limpiar'!Q933</f>
        <v/>
      </c>
      <c r="R919">
        <f>'2 transformar y limpiar'!R933</f>
        <v/>
      </c>
      <c r="S919">
        <f>'2 transformar y limpiar'!S933</f>
        <v/>
      </c>
      <c r="T919">
        <f>'2 transformar y limpiar'!T933</f>
        <v/>
      </c>
      <c r="U919" s="5">
        <f>'2 transformar y limpiar'!U933</f>
        <v/>
      </c>
    </row>
    <row r="920">
      <c r="A920">
        <f>'2 transformar y limpiar'!A934</f>
        <v/>
      </c>
      <c r="B920">
        <f>'2 transformar y limpiar'!B934</f>
        <v/>
      </c>
      <c r="C920" s="6">
        <f>('2 transformar y limpiar'!C934-$B$6)/$C$6</f>
        <v/>
      </c>
      <c r="D920" s="6">
        <f>('2 transformar y limpiar'!D934-$B$7)/$C$7</f>
        <v/>
      </c>
      <c r="E920" s="6">
        <f>('2 transformar y limpiar'!E934-$B$8)/$C$8</f>
        <v/>
      </c>
      <c r="F920" s="6">
        <f>('2 transformar y limpiar'!F934-$B$9)/$C$9</f>
        <v/>
      </c>
      <c r="G920">
        <f>'2 transformar y limpiar'!G934</f>
        <v/>
      </c>
      <c r="H920">
        <f>'2 transformar y limpiar'!H934</f>
        <v/>
      </c>
      <c r="I920">
        <f>'2 transformar y limpiar'!I934</f>
        <v/>
      </c>
      <c r="J920">
        <f>'2 transformar y limpiar'!J934</f>
        <v/>
      </c>
      <c r="K920">
        <f>'2 transformar y limpiar'!K934</f>
        <v/>
      </c>
      <c r="L920">
        <f>'2 transformar y limpiar'!L934</f>
        <v/>
      </c>
      <c r="M920">
        <f>'2 transformar y limpiar'!M934</f>
        <v/>
      </c>
      <c r="N920">
        <f>'2 transformar y limpiar'!N934</f>
        <v/>
      </c>
      <c r="O920">
        <f>'2 transformar y limpiar'!O934</f>
        <v/>
      </c>
      <c r="P920">
        <f>'2 transformar y limpiar'!P934</f>
        <v/>
      </c>
      <c r="Q920">
        <f>'2 transformar y limpiar'!Q934</f>
        <v/>
      </c>
      <c r="R920">
        <f>'2 transformar y limpiar'!R934</f>
        <v/>
      </c>
      <c r="S920">
        <f>'2 transformar y limpiar'!S934</f>
        <v/>
      </c>
      <c r="T920">
        <f>'2 transformar y limpiar'!T934</f>
        <v/>
      </c>
      <c r="U920" s="5">
        <f>'2 transformar y limpiar'!U934</f>
        <v/>
      </c>
    </row>
    <row r="921">
      <c r="A921">
        <f>'2 transformar y limpiar'!A935</f>
        <v/>
      </c>
      <c r="B921">
        <f>'2 transformar y limpiar'!B935</f>
        <v/>
      </c>
      <c r="C921" s="6">
        <f>('2 transformar y limpiar'!C935-$B$6)/$C$6</f>
        <v/>
      </c>
      <c r="D921" s="6">
        <f>('2 transformar y limpiar'!D935-$B$7)/$C$7</f>
        <v/>
      </c>
      <c r="E921" s="6">
        <f>('2 transformar y limpiar'!E935-$B$8)/$C$8</f>
        <v/>
      </c>
      <c r="F921" s="6">
        <f>('2 transformar y limpiar'!F935-$B$9)/$C$9</f>
        <v/>
      </c>
      <c r="G921">
        <f>'2 transformar y limpiar'!G935</f>
        <v/>
      </c>
      <c r="H921">
        <f>'2 transformar y limpiar'!H935</f>
        <v/>
      </c>
      <c r="I921">
        <f>'2 transformar y limpiar'!I935</f>
        <v/>
      </c>
      <c r="J921">
        <f>'2 transformar y limpiar'!J935</f>
        <v/>
      </c>
      <c r="K921">
        <f>'2 transformar y limpiar'!K935</f>
        <v/>
      </c>
      <c r="L921">
        <f>'2 transformar y limpiar'!L935</f>
        <v/>
      </c>
      <c r="M921">
        <f>'2 transformar y limpiar'!M935</f>
        <v/>
      </c>
      <c r="N921">
        <f>'2 transformar y limpiar'!N935</f>
        <v/>
      </c>
      <c r="O921">
        <f>'2 transformar y limpiar'!O935</f>
        <v/>
      </c>
      <c r="P921">
        <f>'2 transformar y limpiar'!P935</f>
        <v/>
      </c>
      <c r="Q921">
        <f>'2 transformar y limpiar'!Q935</f>
        <v/>
      </c>
      <c r="R921">
        <f>'2 transformar y limpiar'!R935</f>
        <v/>
      </c>
      <c r="S921">
        <f>'2 transformar y limpiar'!S935</f>
        <v/>
      </c>
      <c r="T921">
        <f>'2 transformar y limpiar'!T935</f>
        <v/>
      </c>
      <c r="U921" s="5">
        <f>'2 transformar y limpiar'!U935</f>
        <v/>
      </c>
    </row>
    <row r="922">
      <c r="A922">
        <f>'2 transformar y limpiar'!A936</f>
        <v/>
      </c>
      <c r="B922">
        <f>'2 transformar y limpiar'!B936</f>
        <v/>
      </c>
      <c r="C922" s="6">
        <f>('2 transformar y limpiar'!C936-$B$6)/$C$6</f>
        <v/>
      </c>
      <c r="D922" s="6">
        <f>('2 transformar y limpiar'!D936-$B$7)/$C$7</f>
        <v/>
      </c>
      <c r="E922" s="6">
        <f>('2 transformar y limpiar'!E936-$B$8)/$C$8</f>
        <v/>
      </c>
      <c r="F922" s="6">
        <f>('2 transformar y limpiar'!F936-$B$9)/$C$9</f>
        <v/>
      </c>
      <c r="G922">
        <f>'2 transformar y limpiar'!G936</f>
        <v/>
      </c>
      <c r="H922">
        <f>'2 transformar y limpiar'!H936</f>
        <v/>
      </c>
      <c r="I922">
        <f>'2 transformar y limpiar'!I936</f>
        <v/>
      </c>
      <c r="J922">
        <f>'2 transformar y limpiar'!J936</f>
        <v/>
      </c>
      <c r="K922">
        <f>'2 transformar y limpiar'!K936</f>
        <v/>
      </c>
      <c r="L922">
        <f>'2 transformar y limpiar'!L936</f>
        <v/>
      </c>
      <c r="M922">
        <f>'2 transformar y limpiar'!M936</f>
        <v/>
      </c>
      <c r="N922">
        <f>'2 transformar y limpiar'!N936</f>
        <v/>
      </c>
      <c r="O922">
        <f>'2 transformar y limpiar'!O936</f>
        <v/>
      </c>
      <c r="P922">
        <f>'2 transformar y limpiar'!P936</f>
        <v/>
      </c>
      <c r="Q922">
        <f>'2 transformar y limpiar'!Q936</f>
        <v/>
      </c>
      <c r="R922">
        <f>'2 transformar y limpiar'!R936</f>
        <v/>
      </c>
      <c r="S922">
        <f>'2 transformar y limpiar'!S936</f>
        <v/>
      </c>
      <c r="T922">
        <f>'2 transformar y limpiar'!T936</f>
        <v/>
      </c>
      <c r="U922" s="5">
        <f>'2 transformar y limpiar'!U936</f>
        <v/>
      </c>
    </row>
    <row r="923">
      <c r="A923">
        <f>'2 transformar y limpiar'!A937</f>
        <v/>
      </c>
      <c r="B923">
        <f>'2 transformar y limpiar'!B937</f>
        <v/>
      </c>
      <c r="C923" s="6">
        <f>('2 transformar y limpiar'!C937-$B$6)/$C$6</f>
        <v/>
      </c>
      <c r="D923" s="6">
        <f>('2 transformar y limpiar'!D937-$B$7)/$C$7</f>
        <v/>
      </c>
      <c r="E923" s="6">
        <f>('2 transformar y limpiar'!E937-$B$8)/$C$8</f>
        <v/>
      </c>
      <c r="F923" s="6">
        <f>('2 transformar y limpiar'!F937-$B$9)/$C$9</f>
        <v/>
      </c>
      <c r="G923">
        <f>'2 transformar y limpiar'!G937</f>
        <v/>
      </c>
      <c r="H923">
        <f>'2 transformar y limpiar'!H937</f>
        <v/>
      </c>
      <c r="I923">
        <f>'2 transformar y limpiar'!I937</f>
        <v/>
      </c>
      <c r="J923">
        <f>'2 transformar y limpiar'!J937</f>
        <v/>
      </c>
      <c r="K923">
        <f>'2 transformar y limpiar'!K937</f>
        <v/>
      </c>
      <c r="L923">
        <f>'2 transformar y limpiar'!L937</f>
        <v/>
      </c>
      <c r="M923">
        <f>'2 transformar y limpiar'!M937</f>
        <v/>
      </c>
      <c r="N923">
        <f>'2 transformar y limpiar'!N937</f>
        <v/>
      </c>
      <c r="O923">
        <f>'2 transformar y limpiar'!O937</f>
        <v/>
      </c>
      <c r="P923">
        <f>'2 transformar y limpiar'!P937</f>
        <v/>
      </c>
      <c r="Q923">
        <f>'2 transformar y limpiar'!Q937</f>
        <v/>
      </c>
      <c r="R923">
        <f>'2 transformar y limpiar'!R937</f>
        <v/>
      </c>
      <c r="S923">
        <f>'2 transformar y limpiar'!S937</f>
        <v/>
      </c>
      <c r="T923">
        <f>'2 transformar y limpiar'!T937</f>
        <v/>
      </c>
      <c r="U923" s="5">
        <f>'2 transformar y limpiar'!U937</f>
        <v/>
      </c>
    </row>
    <row r="924">
      <c r="A924">
        <f>'2 transformar y limpiar'!A938</f>
        <v/>
      </c>
      <c r="B924">
        <f>'2 transformar y limpiar'!B938</f>
        <v/>
      </c>
      <c r="C924" s="6">
        <f>('2 transformar y limpiar'!C938-$B$6)/$C$6</f>
        <v/>
      </c>
      <c r="D924" s="6">
        <f>('2 transformar y limpiar'!D938-$B$7)/$C$7</f>
        <v/>
      </c>
      <c r="E924" s="6">
        <f>('2 transformar y limpiar'!E938-$B$8)/$C$8</f>
        <v/>
      </c>
      <c r="F924" s="6">
        <f>('2 transformar y limpiar'!F938-$B$9)/$C$9</f>
        <v/>
      </c>
      <c r="G924">
        <f>'2 transformar y limpiar'!G938</f>
        <v/>
      </c>
      <c r="H924">
        <f>'2 transformar y limpiar'!H938</f>
        <v/>
      </c>
      <c r="I924">
        <f>'2 transformar y limpiar'!I938</f>
        <v/>
      </c>
      <c r="J924">
        <f>'2 transformar y limpiar'!J938</f>
        <v/>
      </c>
      <c r="K924">
        <f>'2 transformar y limpiar'!K938</f>
        <v/>
      </c>
      <c r="L924">
        <f>'2 transformar y limpiar'!L938</f>
        <v/>
      </c>
      <c r="M924">
        <f>'2 transformar y limpiar'!M938</f>
        <v/>
      </c>
      <c r="N924">
        <f>'2 transformar y limpiar'!N938</f>
        <v/>
      </c>
      <c r="O924">
        <f>'2 transformar y limpiar'!O938</f>
        <v/>
      </c>
      <c r="P924">
        <f>'2 transformar y limpiar'!P938</f>
        <v/>
      </c>
      <c r="Q924">
        <f>'2 transformar y limpiar'!Q938</f>
        <v/>
      </c>
      <c r="R924">
        <f>'2 transformar y limpiar'!R938</f>
        <v/>
      </c>
      <c r="S924">
        <f>'2 transformar y limpiar'!S938</f>
        <v/>
      </c>
      <c r="T924">
        <f>'2 transformar y limpiar'!T938</f>
        <v/>
      </c>
      <c r="U924" s="5">
        <f>'2 transformar y limpiar'!U938</f>
        <v/>
      </c>
    </row>
    <row r="925">
      <c r="A925">
        <f>'2 transformar y limpiar'!A939</f>
        <v/>
      </c>
      <c r="B925">
        <f>'2 transformar y limpiar'!B939</f>
        <v/>
      </c>
      <c r="C925" s="6">
        <f>('2 transformar y limpiar'!C939-$B$6)/$C$6</f>
        <v/>
      </c>
      <c r="D925" s="6">
        <f>('2 transformar y limpiar'!D939-$B$7)/$C$7</f>
        <v/>
      </c>
      <c r="E925" s="6">
        <f>('2 transformar y limpiar'!E939-$B$8)/$C$8</f>
        <v/>
      </c>
      <c r="F925" s="6">
        <f>('2 transformar y limpiar'!F939-$B$9)/$C$9</f>
        <v/>
      </c>
      <c r="G925">
        <f>'2 transformar y limpiar'!G939</f>
        <v/>
      </c>
      <c r="H925">
        <f>'2 transformar y limpiar'!H939</f>
        <v/>
      </c>
      <c r="I925">
        <f>'2 transformar y limpiar'!I939</f>
        <v/>
      </c>
      <c r="J925">
        <f>'2 transformar y limpiar'!J939</f>
        <v/>
      </c>
      <c r="K925">
        <f>'2 transformar y limpiar'!K939</f>
        <v/>
      </c>
      <c r="L925">
        <f>'2 transformar y limpiar'!L939</f>
        <v/>
      </c>
      <c r="M925">
        <f>'2 transformar y limpiar'!M939</f>
        <v/>
      </c>
      <c r="N925">
        <f>'2 transformar y limpiar'!N939</f>
        <v/>
      </c>
      <c r="O925">
        <f>'2 transformar y limpiar'!O939</f>
        <v/>
      </c>
      <c r="P925">
        <f>'2 transformar y limpiar'!P939</f>
        <v/>
      </c>
      <c r="Q925">
        <f>'2 transformar y limpiar'!Q939</f>
        <v/>
      </c>
      <c r="R925">
        <f>'2 transformar y limpiar'!R939</f>
        <v/>
      </c>
      <c r="S925">
        <f>'2 transformar y limpiar'!S939</f>
        <v/>
      </c>
      <c r="T925">
        <f>'2 transformar y limpiar'!T939</f>
        <v/>
      </c>
      <c r="U925" s="5">
        <f>'2 transformar y limpiar'!U939</f>
        <v/>
      </c>
    </row>
    <row r="926">
      <c r="A926">
        <f>'2 transformar y limpiar'!A940</f>
        <v/>
      </c>
      <c r="B926">
        <f>'2 transformar y limpiar'!B940</f>
        <v/>
      </c>
      <c r="C926" s="6">
        <f>('2 transformar y limpiar'!C940-$B$6)/$C$6</f>
        <v/>
      </c>
      <c r="D926" s="6">
        <f>('2 transformar y limpiar'!D940-$B$7)/$C$7</f>
        <v/>
      </c>
      <c r="E926" s="6">
        <f>('2 transformar y limpiar'!E940-$B$8)/$C$8</f>
        <v/>
      </c>
      <c r="F926" s="6">
        <f>('2 transformar y limpiar'!F940-$B$9)/$C$9</f>
        <v/>
      </c>
      <c r="G926">
        <f>'2 transformar y limpiar'!G940</f>
        <v/>
      </c>
      <c r="H926">
        <f>'2 transformar y limpiar'!H940</f>
        <v/>
      </c>
      <c r="I926">
        <f>'2 transformar y limpiar'!I940</f>
        <v/>
      </c>
      <c r="J926">
        <f>'2 transformar y limpiar'!J940</f>
        <v/>
      </c>
      <c r="K926">
        <f>'2 transformar y limpiar'!K940</f>
        <v/>
      </c>
      <c r="L926">
        <f>'2 transformar y limpiar'!L940</f>
        <v/>
      </c>
      <c r="M926">
        <f>'2 transformar y limpiar'!M940</f>
        <v/>
      </c>
      <c r="N926">
        <f>'2 transformar y limpiar'!N940</f>
        <v/>
      </c>
      <c r="O926">
        <f>'2 transformar y limpiar'!O940</f>
        <v/>
      </c>
      <c r="P926">
        <f>'2 transformar y limpiar'!P940</f>
        <v/>
      </c>
      <c r="Q926">
        <f>'2 transformar y limpiar'!Q940</f>
        <v/>
      </c>
      <c r="R926">
        <f>'2 transformar y limpiar'!R940</f>
        <v/>
      </c>
      <c r="S926">
        <f>'2 transformar y limpiar'!S940</f>
        <v/>
      </c>
      <c r="T926">
        <f>'2 transformar y limpiar'!T940</f>
        <v/>
      </c>
      <c r="U926" s="5">
        <f>'2 transformar y limpiar'!U940</f>
        <v/>
      </c>
    </row>
    <row r="927">
      <c r="A927">
        <f>'2 transformar y limpiar'!A941</f>
        <v/>
      </c>
      <c r="B927">
        <f>'2 transformar y limpiar'!B941</f>
        <v/>
      </c>
      <c r="C927" s="6">
        <f>('2 transformar y limpiar'!C941-$B$6)/$C$6</f>
        <v/>
      </c>
      <c r="D927" s="6">
        <f>('2 transformar y limpiar'!D941-$B$7)/$C$7</f>
        <v/>
      </c>
      <c r="E927" s="6">
        <f>('2 transformar y limpiar'!E941-$B$8)/$C$8</f>
        <v/>
      </c>
      <c r="F927" s="6">
        <f>('2 transformar y limpiar'!F941-$B$9)/$C$9</f>
        <v/>
      </c>
      <c r="G927">
        <f>'2 transformar y limpiar'!G941</f>
        <v/>
      </c>
      <c r="H927">
        <f>'2 transformar y limpiar'!H941</f>
        <v/>
      </c>
      <c r="I927">
        <f>'2 transformar y limpiar'!I941</f>
        <v/>
      </c>
      <c r="J927">
        <f>'2 transformar y limpiar'!J941</f>
        <v/>
      </c>
      <c r="K927">
        <f>'2 transformar y limpiar'!K941</f>
        <v/>
      </c>
      <c r="L927">
        <f>'2 transformar y limpiar'!L941</f>
        <v/>
      </c>
      <c r="M927">
        <f>'2 transformar y limpiar'!M941</f>
        <v/>
      </c>
      <c r="N927">
        <f>'2 transformar y limpiar'!N941</f>
        <v/>
      </c>
      <c r="O927">
        <f>'2 transformar y limpiar'!O941</f>
        <v/>
      </c>
      <c r="P927">
        <f>'2 transformar y limpiar'!P941</f>
        <v/>
      </c>
      <c r="Q927">
        <f>'2 transformar y limpiar'!Q941</f>
        <v/>
      </c>
      <c r="R927">
        <f>'2 transformar y limpiar'!R941</f>
        <v/>
      </c>
      <c r="S927">
        <f>'2 transformar y limpiar'!S941</f>
        <v/>
      </c>
      <c r="T927">
        <f>'2 transformar y limpiar'!T941</f>
        <v/>
      </c>
      <c r="U927" s="5">
        <f>'2 transformar y limpiar'!U941</f>
        <v/>
      </c>
    </row>
    <row r="928">
      <c r="A928">
        <f>'2 transformar y limpiar'!A942</f>
        <v/>
      </c>
      <c r="B928">
        <f>'2 transformar y limpiar'!B942</f>
        <v/>
      </c>
      <c r="C928" s="6">
        <f>('2 transformar y limpiar'!C942-$B$6)/$C$6</f>
        <v/>
      </c>
      <c r="D928" s="6">
        <f>('2 transformar y limpiar'!D942-$B$7)/$C$7</f>
        <v/>
      </c>
      <c r="E928" s="6">
        <f>('2 transformar y limpiar'!E942-$B$8)/$C$8</f>
        <v/>
      </c>
      <c r="F928" s="6">
        <f>('2 transformar y limpiar'!F942-$B$9)/$C$9</f>
        <v/>
      </c>
      <c r="G928">
        <f>'2 transformar y limpiar'!G942</f>
        <v/>
      </c>
      <c r="H928">
        <f>'2 transformar y limpiar'!H942</f>
        <v/>
      </c>
      <c r="I928">
        <f>'2 transformar y limpiar'!I942</f>
        <v/>
      </c>
      <c r="J928">
        <f>'2 transformar y limpiar'!J942</f>
        <v/>
      </c>
      <c r="K928">
        <f>'2 transformar y limpiar'!K942</f>
        <v/>
      </c>
      <c r="L928">
        <f>'2 transformar y limpiar'!L942</f>
        <v/>
      </c>
      <c r="M928">
        <f>'2 transformar y limpiar'!M942</f>
        <v/>
      </c>
      <c r="N928">
        <f>'2 transformar y limpiar'!N942</f>
        <v/>
      </c>
      <c r="O928">
        <f>'2 transformar y limpiar'!O942</f>
        <v/>
      </c>
      <c r="P928">
        <f>'2 transformar y limpiar'!P942</f>
        <v/>
      </c>
      <c r="Q928">
        <f>'2 transformar y limpiar'!Q942</f>
        <v/>
      </c>
      <c r="R928">
        <f>'2 transformar y limpiar'!R942</f>
        <v/>
      </c>
      <c r="S928">
        <f>'2 transformar y limpiar'!S942</f>
        <v/>
      </c>
      <c r="T928">
        <f>'2 transformar y limpiar'!T942</f>
        <v/>
      </c>
      <c r="U928" s="5">
        <f>'2 transformar y limpiar'!U942</f>
        <v/>
      </c>
    </row>
    <row r="929">
      <c r="A929">
        <f>'2 transformar y limpiar'!A943</f>
        <v/>
      </c>
      <c r="B929">
        <f>'2 transformar y limpiar'!B943</f>
        <v/>
      </c>
      <c r="C929" s="6">
        <f>('2 transformar y limpiar'!C943-$B$6)/$C$6</f>
        <v/>
      </c>
      <c r="D929" s="6">
        <f>('2 transformar y limpiar'!D943-$B$7)/$C$7</f>
        <v/>
      </c>
      <c r="E929" s="6">
        <f>('2 transformar y limpiar'!E943-$B$8)/$C$8</f>
        <v/>
      </c>
      <c r="F929" s="6">
        <f>('2 transformar y limpiar'!F943-$B$9)/$C$9</f>
        <v/>
      </c>
      <c r="G929">
        <f>'2 transformar y limpiar'!G943</f>
        <v/>
      </c>
      <c r="H929">
        <f>'2 transformar y limpiar'!H943</f>
        <v/>
      </c>
      <c r="I929">
        <f>'2 transformar y limpiar'!I943</f>
        <v/>
      </c>
      <c r="J929">
        <f>'2 transformar y limpiar'!J943</f>
        <v/>
      </c>
      <c r="K929">
        <f>'2 transformar y limpiar'!K943</f>
        <v/>
      </c>
      <c r="L929">
        <f>'2 transformar y limpiar'!L943</f>
        <v/>
      </c>
      <c r="M929">
        <f>'2 transformar y limpiar'!M943</f>
        <v/>
      </c>
      <c r="N929">
        <f>'2 transformar y limpiar'!N943</f>
        <v/>
      </c>
      <c r="O929">
        <f>'2 transformar y limpiar'!O943</f>
        <v/>
      </c>
      <c r="P929">
        <f>'2 transformar y limpiar'!P943</f>
        <v/>
      </c>
      <c r="Q929">
        <f>'2 transformar y limpiar'!Q943</f>
        <v/>
      </c>
      <c r="R929">
        <f>'2 transformar y limpiar'!R943</f>
        <v/>
      </c>
      <c r="S929">
        <f>'2 transformar y limpiar'!S943</f>
        <v/>
      </c>
      <c r="T929">
        <f>'2 transformar y limpiar'!T943</f>
        <v/>
      </c>
      <c r="U929" s="5">
        <f>'2 transformar y limpiar'!U943</f>
        <v/>
      </c>
    </row>
    <row r="930">
      <c r="A930">
        <f>'2 transformar y limpiar'!A944</f>
        <v/>
      </c>
      <c r="B930">
        <f>'2 transformar y limpiar'!B944</f>
        <v/>
      </c>
      <c r="C930" s="6">
        <f>('2 transformar y limpiar'!C944-$B$6)/$C$6</f>
        <v/>
      </c>
      <c r="D930" s="6">
        <f>('2 transformar y limpiar'!D944-$B$7)/$C$7</f>
        <v/>
      </c>
      <c r="E930" s="6">
        <f>('2 transformar y limpiar'!E944-$B$8)/$C$8</f>
        <v/>
      </c>
      <c r="F930" s="6">
        <f>('2 transformar y limpiar'!F944-$B$9)/$C$9</f>
        <v/>
      </c>
      <c r="G930">
        <f>'2 transformar y limpiar'!G944</f>
        <v/>
      </c>
      <c r="H930">
        <f>'2 transformar y limpiar'!H944</f>
        <v/>
      </c>
      <c r="I930">
        <f>'2 transformar y limpiar'!I944</f>
        <v/>
      </c>
      <c r="J930">
        <f>'2 transformar y limpiar'!J944</f>
        <v/>
      </c>
      <c r="K930">
        <f>'2 transformar y limpiar'!K944</f>
        <v/>
      </c>
      <c r="L930">
        <f>'2 transformar y limpiar'!L944</f>
        <v/>
      </c>
      <c r="M930">
        <f>'2 transformar y limpiar'!M944</f>
        <v/>
      </c>
      <c r="N930">
        <f>'2 transformar y limpiar'!N944</f>
        <v/>
      </c>
      <c r="O930">
        <f>'2 transformar y limpiar'!O944</f>
        <v/>
      </c>
      <c r="P930">
        <f>'2 transformar y limpiar'!P944</f>
        <v/>
      </c>
      <c r="Q930">
        <f>'2 transformar y limpiar'!Q944</f>
        <v/>
      </c>
      <c r="R930">
        <f>'2 transformar y limpiar'!R944</f>
        <v/>
      </c>
      <c r="S930">
        <f>'2 transformar y limpiar'!S944</f>
        <v/>
      </c>
      <c r="T930">
        <f>'2 transformar y limpiar'!T944</f>
        <v/>
      </c>
      <c r="U930" s="5">
        <f>'2 transformar y limpiar'!U944</f>
        <v/>
      </c>
    </row>
    <row r="931">
      <c r="A931">
        <f>'2 transformar y limpiar'!A945</f>
        <v/>
      </c>
      <c r="B931">
        <f>'2 transformar y limpiar'!B945</f>
        <v/>
      </c>
      <c r="C931" s="6">
        <f>('2 transformar y limpiar'!C945-$B$6)/$C$6</f>
        <v/>
      </c>
      <c r="D931" s="6">
        <f>('2 transformar y limpiar'!D945-$B$7)/$C$7</f>
        <v/>
      </c>
      <c r="E931" s="6">
        <f>('2 transformar y limpiar'!E945-$B$8)/$C$8</f>
        <v/>
      </c>
      <c r="F931" s="6">
        <f>('2 transformar y limpiar'!F945-$B$9)/$C$9</f>
        <v/>
      </c>
      <c r="G931">
        <f>'2 transformar y limpiar'!G945</f>
        <v/>
      </c>
      <c r="H931">
        <f>'2 transformar y limpiar'!H945</f>
        <v/>
      </c>
      <c r="I931">
        <f>'2 transformar y limpiar'!I945</f>
        <v/>
      </c>
      <c r="J931">
        <f>'2 transformar y limpiar'!J945</f>
        <v/>
      </c>
      <c r="K931">
        <f>'2 transformar y limpiar'!K945</f>
        <v/>
      </c>
      <c r="L931">
        <f>'2 transformar y limpiar'!L945</f>
        <v/>
      </c>
      <c r="M931">
        <f>'2 transformar y limpiar'!M945</f>
        <v/>
      </c>
      <c r="N931">
        <f>'2 transformar y limpiar'!N945</f>
        <v/>
      </c>
      <c r="O931">
        <f>'2 transformar y limpiar'!O945</f>
        <v/>
      </c>
      <c r="P931">
        <f>'2 transformar y limpiar'!P945</f>
        <v/>
      </c>
      <c r="Q931">
        <f>'2 transformar y limpiar'!Q945</f>
        <v/>
      </c>
      <c r="R931">
        <f>'2 transformar y limpiar'!R945</f>
        <v/>
      </c>
      <c r="S931">
        <f>'2 transformar y limpiar'!S945</f>
        <v/>
      </c>
      <c r="T931">
        <f>'2 transformar y limpiar'!T945</f>
        <v/>
      </c>
      <c r="U931" s="5">
        <f>'2 transformar y limpiar'!U945</f>
        <v/>
      </c>
    </row>
    <row r="932">
      <c r="A932">
        <f>'2 transformar y limpiar'!A946</f>
        <v/>
      </c>
      <c r="B932">
        <f>'2 transformar y limpiar'!B946</f>
        <v/>
      </c>
      <c r="C932" s="6">
        <f>('2 transformar y limpiar'!C946-$B$6)/$C$6</f>
        <v/>
      </c>
      <c r="D932" s="6">
        <f>('2 transformar y limpiar'!D946-$B$7)/$C$7</f>
        <v/>
      </c>
      <c r="E932" s="6">
        <f>('2 transformar y limpiar'!E946-$B$8)/$C$8</f>
        <v/>
      </c>
      <c r="F932" s="6">
        <f>('2 transformar y limpiar'!F946-$B$9)/$C$9</f>
        <v/>
      </c>
      <c r="G932">
        <f>'2 transformar y limpiar'!G946</f>
        <v/>
      </c>
      <c r="H932">
        <f>'2 transformar y limpiar'!H946</f>
        <v/>
      </c>
      <c r="I932">
        <f>'2 transformar y limpiar'!I946</f>
        <v/>
      </c>
      <c r="J932">
        <f>'2 transformar y limpiar'!J946</f>
        <v/>
      </c>
      <c r="K932">
        <f>'2 transformar y limpiar'!K946</f>
        <v/>
      </c>
      <c r="L932">
        <f>'2 transformar y limpiar'!L946</f>
        <v/>
      </c>
      <c r="M932">
        <f>'2 transformar y limpiar'!M946</f>
        <v/>
      </c>
      <c r="N932">
        <f>'2 transformar y limpiar'!N946</f>
        <v/>
      </c>
      <c r="O932">
        <f>'2 transformar y limpiar'!O946</f>
        <v/>
      </c>
      <c r="P932">
        <f>'2 transformar y limpiar'!P946</f>
        <v/>
      </c>
      <c r="Q932">
        <f>'2 transformar y limpiar'!Q946</f>
        <v/>
      </c>
      <c r="R932">
        <f>'2 transformar y limpiar'!R946</f>
        <v/>
      </c>
      <c r="S932">
        <f>'2 transformar y limpiar'!S946</f>
        <v/>
      </c>
      <c r="T932">
        <f>'2 transformar y limpiar'!T946</f>
        <v/>
      </c>
      <c r="U932" s="5">
        <f>'2 transformar y limpiar'!U946</f>
        <v/>
      </c>
    </row>
    <row r="933">
      <c r="A933">
        <f>'2 transformar y limpiar'!A947</f>
        <v/>
      </c>
      <c r="B933">
        <f>'2 transformar y limpiar'!B947</f>
        <v/>
      </c>
      <c r="C933" s="6">
        <f>('2 transformar y limpiar'!C947-$B$6)/$C$6</f>
        <v/>
      </c>
      <c r="D933" s="6">
        <f>('2 transformar y limpiar'!D947-$B$7)/$C$7</f>
        <v/>
      </c>
      <c r="E933" s="6">
        <f>('2 transformar y limpiar'!E947-$B$8)/$C$8</f>
        <v/>
      </c>
      <c r="F933" s="6">
        <f>('2 transformar y limpiar'!F947-$B$9)/$C$9</f>
        <v/>
      </c>
      <c r="G933">
        <f>'2 transformar y limpiar'!G947</f>
        <v/>
      </c>
      <c r="H933">
        <f>'2 transformar y limpiar'!H947</f>
        <v/>
      </c>
      <c r="I933">
        <f>'2 transformar y limpiar'!I947</f>
        <v/>
      </c>
      <c r="J933">
        <f>'2 transformar y limpiar'!J947</f>
        <v/>
      </c>
      <c r="K933">
        <f>'2 transformar y limpiar'!K947</f>
        <v/>
      </c>
      <c r="L933">
        <f>'2 transformar y limpiar'!L947</f>
        <v/>
      </c>
      <c r="M933">
        <f>'2 transformar y limpiar'!M947</f>
        <v/>
      </c>
      <c r="N933">
        <f>'2 transformar y limpiar'!N947</f>
        <v/>
      </c>
      <c r="O933">
        <f>'2 transformar y limpiar'!O947</f>
        <v/>
      </c>
      <c r="P933">
        <f>'2 transformar y limpiar'!P947</f>
        <v/>
      </c>
      <c r="Q933">
        <f>'2 transformar y limpiar'!Q947</f>
        <v/>
      </c>
      <c r="R933">
        <f>'2 transformar y limpiar'!R947</f>
        <v/>
      </c>
      <c r="S933">
        <f>'2 transformar y limpiar'!S947</f>
        <v/>
      </c>
      <c r="T933">
        <f>'2 transformar y limpiar'!T947</f>
        <v/>
      </c>
      <c r="U933" s="5">
        <f>'2 transformar y limpiar'!U947</f>
        <v/>
      </c>
    </row>
    <row r="934">
      <c r="A934">
        <f>'2 transformar y limpiar'!A948</f>
        <v/>
      </c>
      <c r="B934">
        <f>'2 transformar y limpiar'!B948</f>
        <v/>
      </c>
      <c r="C934" s="6">
        <f>('2 transformar y limpiar'!C948-$B$6)/$C$6</f>
        <v/>
      </c>
      <c r="D934" s="6">
        <f>('2 transformar y limpiar'!D948-$B$7)/$C$7</f>
        <v/>
      </c>
      <c r="E934" s="6">
        <f>('2 transformar y limpiar'!E948-$B$8)/$C$8</f>
        <v/>
      </c>
      <c r="F934" s="6">
        <f>('2 transformar y limpiar'!F948-$B$9)/$C$9</f>
        <v/>
      </c>
      <c r="G934">
        <f>'2 transformar y limpiar'!G948</f>
        <v/>
      </c>
      <c r="H934">
        <f>'2 transformar y limpiar'!H948</f>
        <v/>
      </c>
      <c r="I934">
        <f>'2 transformar y limpiar'!I948</f>
        <v/>
      </c>
      <c r="J934">
        <f>'2 transformar y limpiar'!J948</f>
        <v/>
      </c>
      <c r="K934">
        <f>'2 transformar y limpiar'!K948</f>
        <v/>
      </c>
      <c r="L934">
        <f>'2 transformar y limpiar'!L948</f>
        <v/>
      </c>
      <c r="M934">
        <f>'2 transformar y limpiar'!M948</f>
        <v/>
      </c>
      <c r="N934">
        <f>'2 transformar y limpiar'!N948</f>
        <v/>
      </c>
      <c r="O934">
        <f>'2 transformar y limpiar'!O948</f>
        <v/>
      </c>
      <c r="P934">
        <f>'2 transformar y limpiar'!P948</f>
        <v/>
      </c>
      <c r="Q934">
        <f>'2 transformar y limpiar'!Q948</f>
        <v/>
      </c>
      <c r="R934">
        <f>'2 transformar y limpiar'!R948</f>
        <v/>
      </c>
      <c r="S934">
        <f>'2 transformar y limpiar'!S948</f>
        <v/>
      </c>
      <c r="T934">
        <f>'2 transformar y limpiar'!T948</f>
        <v/>
      </c>
      <c r="U934" s="5">
        <f>'2 transformar y limpiar'!U948</f>
        <v/>
      </c>
    </row>
    <row r="935">
      <c r="A935">
        <f>'2 transformar y limpiar'!A949</f>
        <v/>
      </c>
      <c r="B935">
        <f>'2 transformar y limpiar'!B949</f>
        <v/>
      </c>
      <c r="C935" s="6">
        <f>('2 transformar y limpiar'!C949-$B$6)/$C$6</f>
        <v/>
      </c>
      <c r="D935" s="6">
        <f>('2 transformar y limpiar'!D949-$B$7)/$C$7</f>
        <v/>
      </c>
      <c r="E935" s="6">
        <f>('2 transformar y limpiar'!E949-$B$8)/$C$8</f>
        <v/>
      </c>
      <c r="F935" s="6">
        <f>('2 transformar y limpiar'!F949-$B$9)/$C$9</f>
        <v/>
      </c>
      <c r="G935">
        <f>'2 transformar y limpiar'!G949</f>
        <v/>
      </c>
      <c r="H935">
        <f>'2 transformar y limpiar'!H949</f>
        <v/>
      </c>
      <c r="I935">
        <f>'2 transformar y limpiar'!I949</f>
        <v/>
      </c>
      <c r="J935">
        <f>'2 transformar y limpiar'!J949</f>
        <v/>
      </c>
      <c r="K935">
        <f>'2 transformar y limpiar'!K949</f>
        <v/>
      </c>
      <c r="L935">
        <f>'2 transformar y limpiar'!L949</f>
        <v/>
      </c>
      <c r="M935">
        <f>'2 transformar y limpiar'!M949</f>
        <v/>
      </c>
      <c r="N935">
        <f>'2 transformar y limpiar'!N949</f>
        <v/>
      </c>
      <c r="O935">
        <f>'2 transformar y limpiar'!O949</f>
        <v/>
      </c>
      <c r="P935">
        <f>'2 transformar y limpiar'!P949</f>
        <v/>
      </c>
      <c r="Q935">
        <f>'2 transformar y limpiar'!Q949</f>
        <v/>
      </c>
      <c r="R935">
        <f>'2 transformar y limpiar'!R949</f>
        <v/>
      </c>
      <c r="S935">
        <f>'2 transformar y limpiar'!S949</f>
        <v/>
      </c>
      <c r="T935">
        <f>'2 transformar y limpiar'!T949</f>
        <v/>
      </c>
      <c r="U935" s="5">
        <f>'2 transformar y limpiar'!U949</f>
        <v/>
      </c>
    </row>
    <row r="936">
      <c r="A936">
        <f>'2 transformar y limpiar'!A950</f>
        <v/>
      </c>
      <c r="B936">
        <f>'2 transformar y limpiar'!B950</f>
        <v/>
      </c>
      <c r="C936" s="6">
        <f>('2 transformar y limpiar'!C950-$B$6)/$C$6</f>
        <v/>
      </c>
      <c r="D936" s="6">
        <f>('2 transformar y limpiar'!D950-$B$7)/$C$7</f>
        <v/>
      </c>
      <c r="E936" s="6">
        <f>('2 transformar y limpiar'!E950-$B$8)/$C$8</f>
        <v/>
      </c>
      <c r="F936" s="6">
        <f>('2 transformar y limpiar'!F950-$B$9)/$C$9</f>
        <v/>
      </c>
      <c r="G936">
        <f>'2 transformar y limpiar'!G950</f>
        <v/>
      </c>
      <c r="H936">
        <f>'2 transformar y limpiar'!H950</f>
        <v/>
      </c>
      <c r="I936">
        <f>'2 transformar y limpiar'!I950</f>
        <v/>
      </c>
      <c r="J936">
        <f>'2 transformar y limpiar'!J950</f>
        <v/>
      </c>
      <c r="K936">
        <f>'2 transformar y limpiar'!K950</f>
        <v/>
      </c>
      <c r="L936">
        <f>'2 transformar y limpiar'!L950</f>
        <v/>
      </c>
      <c r="M936">
        <f>'2 transformar y limpiar'!M950</f>
        <v/>
      </c>
      <c r="N936">
        <f>'2 transformar y limpiar'!N950</f>
        <v/>
      </c>
      <c r="O936">
        <f>'2 transformar y limpiar'!O950</f>
        <v/>
      </c>
      <c r="P936">
        <f>'2 transformar y limpiar'!P950</f>
        <v/>
      </c>
      <c r="Q936">
        <f>'2 transformar y limpiar'!Q950</f>
        <v/>
      </c>
      <c r="R936">
        <f>'2 transformar y limpiar'!R950</f>
        <v/>
      </c>
      <c r="S936">
        <f>'2 transformar y limpiar'!S950</f>
        <v/>
      </c>
      <c r="T936">
        <f>'2 transformar y limpiar'!T950</f>
        <v/>
      </c>
      <c r="U936" s="5">
        <f>'2 transformar y limpiar'!U950</f>
        <v/>
      </c>
    </row>
    <row r="937">
      <c r="A937">
        <f>'2 transformar y limpiar'!A951</f>
        <v/>
      </c>
      <c r="B937">
        <f>'2 transformar y limpiar'!B951</f>
        <v/>
      </c>
      <c r="C937" s="6">
        <f>('2 transformar y limpiar'!C951-$B$6)/$C$6</f>
        <v/>
      </c>
      <c r="D937" s="6">
        <f>('2 transformar y limpiar'!D951-$B$7)/$C$7</f>
        <v/>
      </c>
      <c r="E937" s="6">
        <f>('2 transformar y limpiar'!E951-$B$8)/$C$8</f>
        <v/>
      </c>
      <c r="F937" s="6">
        <f>('2 transformar y limpiar'!F951-$B$9)/$C$9</f>
        <v/>
      </c>
      <c r="G937">
        <f>'2 transformar y limpiar'!G951</f>
        <v/>
      </c>
      <c r="H937">
        <f>'2 transformar y limpiar'!H951</f>
        <v/>
      </c>
      <c r="I937">
        <f>'2 transformar y limpiar'!I951</f>
        <v/>
      </c>
      <c r="J937">
        <f>'2 transformar y limpiar'!J951</f>
        <v/>
      </c>
      <c r="K937">
        <f>'2 transformar y limpiar'!K951</f>
        <v/>
      </c>
      <c r="L937">
        <f>'2 transformar y limpiar'!L951</f>
        <v/>
      </c>
      <c r="M937">
        <f>'2 transformar y limpiar'!M951</f>
        <v/>
      </c>
      <c r="N937">
        <f>'2 transformar y limpiar'!N951</f>
        <v/>
      </c>
      <c r="O937">
        <f>'2 transformar y limpiar'!O951</f>
        <v/>
      </c>
      <c r="P937">
        <f>'2 transformar y limpiar'!P951</f>
        <v/>
      </c>
      <c r="Q937">
        <f>'2 transformar y limpiar'!Q951</f>
        <v/>
      </c>
      <c r="R937">
        <f>'2 transformar y limpiar'!R951</f>
        <v/>
      </c>
      <c r="S937">
        <f>'2 transformar y limpiar'!S951</f>
        <v/>
      </c>
      <c r="T937">
        <f>'2 transformar y limpiar'!T951</f>
        <v/>
      </c>
      <c r="U937" s="5">
        <f>'2 transformar y limpiar'!U951</f>
        <v/>
      </c>
    </row>
    <row r="938">
      <c r="A938">
        <f>'2 transformar y limpiar'!A952</f>
        <v/>
      </c>
      <c r="B938">
        <f>'2 transformar y limpiar'!B952</f>
        <v/>
      </c>
      <c r="C938" s="6">
        <f>('2 transformar y limpiar'!C952-$B$6)/$C$6</f>
        <v/>
      </c>
      <c r="D938" s="6">
        <f>('2 transformar y limpiar'!D952-$B$7)/$C$7</f>
        <v/>
      </c>
      <c r="E938" s="6">
        <f>('2 transformar y limpiar'!E952-$B$8)/$C$8</f>
        <v/>
      </c>
      <c r="F938" s="6">
        <f>('2 transformar y limpiar'!F952-$B$9)/$C$9</f>
        <v/>
      </c>
      <c r="G938">
        <f>'2 transformar y limpiar'!G952</f>
        <v/>
      </c>
      <c r="H938">
        <f>'2 transformar y limpiar'!H952</f>
        <v/>
      </c>
      <c r="I938">
        <f>'2 transformar y limpiar'!I952</f>
        <v/>
      </c>
      <c r="J938">
        <f>'2 transformar y limpiar'!J952</f>
        <v/>
      </c>
      <c r="K938">
        <f>'2 transformar y limpiar'!K952</f>
        <v/>
      </c>
      <c r="L938">
        <f>'2 transformar y limpiar'!L952</f>
        <v/>
      </c>
      <c r="M938">
        <f>'2 transformar y limpiar'!M952</f>
        <v/>
      </c>
      <c r="N938">
        <f>'2 transformar y limpiar'!N952</f>
        <v/>
      </c>
      <c r="O938">
        <f>'2 transformar y limpiar'!O952</f>
        <v/>
      </c>
      <c r="P938">
        <f>'2 transformar y limpiar'!P952</f>
        <v/>
      </c>
      <c r="Q938">
        <f>'2 transformar y limpiar'!Q952</f>
        <v/>
      </c>
      <c r="R938">
        <f>'2 transformar y limpiar'!R952</f>
        <v/>
      </c>
      <c r="S938">
        <f>'2 transformar y limpiar'!S952</f>
        <v/>
      </c>
      <c r="T938">
        <f>'2 transformar y limpiar'!T952</f>
        <v/>
      </c>
      <c r="U938" s="5">
        <f>'2 transformar y limpiar'!U952</f>
        <v/>
      </c>
    </row>
    <row r="939">
      <c r="A939">
        <f>'2 transformar y limpiar'!A953</f>
        <v/>
      </c>
      <c r="B939">
        <f>'2 transformar y limpiar'!B953</f>
        <v/>
      </c>
      <c r="C939" s="6">
        <f>('2 transformar y limpiar'!C953-$B$6)/$C$6</f>
        <v/>
      </c>
      <c r="D939" s="6">
        <f>('2 transformar y limpiar'!D953-$B$7)/$C$7</f>
        <v/>
      </c>
      <c r="E939" s="6">
        <f>('2 transformar y limpiar'!E953-$B$8)/$C$8</f>
        <v/>
      </c>
      <c r="F939" s="6">
        <f>('2 transformar y limpiar'!F953-$B$9)/$C$9</f>
        <v/>
      </c>
      <c r="G939">
        <f>'2 transformar y limpiar'!G953</f>
        <v/>
      </c>
      <c r="H939">
        <f>'2 transformar y limpiar'!H953</f>
        <v/>
      </c>
      <c r="I939">
        <f>'2 transformar y limpiar'!I953</f>
        <v/>
      </c>
      <c r="J939">
        <f>'2 transformar y limpiar'!J953</f>
        <v/>
      </c>
      <c r="K939">
        <f>'2 transformar y limpiar'!K953</f>
        <v/>
      </c>
      <c r="L939">
        <f>'2 transformar y limpiar'!L953</f>
        <v/>
      </c>
      <c r="M939">
        <f>'2 transformar y limpiar'!M953</f>
        <v/>
      </c>
      <c r="N939">
        <f>'2 transformar y limpiar'!N953</f>
        <v/>
      </c>
      <c r="O939">
        <f>'2 transformar y limpiar'!O953</f>
        <v/>
      </c>
      <c r="P939">
        <f>'2 transformar y limpiar'!P953</f>
        <v/>
      </c>
      <c r="Q939">
        <f>'2 transformar y limpiar'!Q953</f>
        <v/>
      </c>
      <c r="R939">
        <f>'2 transformar y limpiar'!R953</f>
        <v/>
      </c>
      <c r="S939">
        <f>'2 transformar y limpiar'!S953</f>
        <v/>
      </c>
      <c r="T939">
        <f>'2 transformar y limpiar'!T953</f>
        <v/>
      </c>
      <c r="U939" s="5">
        <f>'2 transformar y limpiar'!U953</f>
        <v/>
      </c>
    </row>
    <row r="940">
      <c r="A940">
        <f>'2 transformar y limpiar'!A954</f>
        <v/>
      </c>
      <c r="B940">
        <f>'2 transformar y limpiar'!B954</f>
        <v/>
      </c>
      <c r="C940" s="6">
        <f>('2 transformar y limpiar'!C954-$B$6)/$C$6</f>
        <v/>
      </c>
      <c r="D940" s="6">
        <f>('2 transformar y limpiar'!D954-$B$7)/$C$7</f>
        <v/>
      </c>
      <c r="E940" s="6">
        <f>('2 transformar y limpiar'!E954-$B$8)/$C$8</f>
        <v/>
      </c>
      <c r="F940" s="6">
        <f>('2 transformar y limpiar'!F954-$B$9)/$C$9</f>
        <v/>
      </c>
      <c r="G940">
        <f>'2 transformar y limpiar'!G954</f>
        <v/>
      </c>
      <c r="H940">
        <f>'2 transformar y limpiar'!H954</f>
        <v/>
      </c>
      <c r="I940">
        <f>'2 transformar y limpiar'!I954</f>
        <v/>
      </c>
      <c r="J940">
        <f>'2 transformar y limpiar'!J954</f>
        <v/>
      </c>
      <c r="K940">
        <f>'2 transformar y limpiar'!K954</f>
        <v/>
      </c>
      <c r="L940">
        <f>'2 transformar y limpiar'!L954</f>
        <v/>
      </c>
      <c r="M940">
        <f>'2 transformar y limpiar'!M954</f>
        <v/>
      </c>
      <c r="N940">
        <f>'2 transformar y limpiar'!N954</f>
        <v/>
      </c>
      <c r="O940">
        <f>'2 transformar y limpiar'!O954</f>
        <v/>
      </c>
      <c r="P940">
        <f>'2 transformar y limpiar'!P954</f>
        <v/>
      </c>
      <c r="Q940">
        <f>'2 transformar y limpiar'!Q954</f>
        <v/>
      </c>
      <c r="R940">
        <f>'2 transformar y limpiar'!R954</f>
        <v/>
      </c>
      <c r="S940">
        <f>'2 transformar y limpiar'!S954</f>
        <v/>
      </c>
      <c r="T940">
        <f>'2 transformar y limpiar'!T954</f>
        <v/>
      </c>
      <c r="U940" s="5">
        <f>'2 transformar y limpiar'!U954</f>
        <v/>
      </c>
    </row>
    <row r="941">
      <c r="A941">
        <f>'2 transformar y limpiar'!A955</f>
        <v/>
      </c>
      <c r="B941">
        <f>'2 transformar y limpiar'!B955</f>
        <v/>
      </c>
      <c r="C941" s="6">
        <f>('2 transformar y limpiar'!C955-$B$6)/$C$6</f>
        <v/>
      </c>
      <c r="D941" s="6">
        <f>('2 transformar y limpiar'!D955-$B$7)/$C$7</f>
        <v/>
      </c>
      <c r="E941" s="6">
        <f>('2 transformar y limpiar'!E955-$B$8)/$C$8</f>
        <v/>
      </c>
      <c r="F941" s="6">
        <f>('2 transformar y limpiar'!F955-$B$9)/$C$9</f>
        <v/>
      </c>
      <c r="G941">
        <f>'2 transformar y limpiar'!G955</f>
        <v/>
      </c>
      <c r="H941">
        <f>'2 transformar y limpiar'!H955</f>
        <v/>
      </c>
      <c r="I941">
        <f>'2 transformar y limpiar'!I955</f>
        <v/>
      </c>
      <c r="J941">
        <f>'2 transformar y limpiar'!J955</f>
        <v/>
      </c>
      <c r="K941">
        <f>'2 transformar y limpiar'!K955</f>
        <v/>
      </c>
      <c r="L941">
        <f>'2 transformar y limpiar'!L955</f>
        <v/>
      </c>
      <c r="M941">
        <f>'2 transformar y limpiar'!M955</f>
        <v/>
      </c>
      <c r="N941">
        <f>'2 transformar y limpiar'!N955</f>
        <v/>
      </c>
      <c r="O941">
        <f>'2 transformar y limpiar'!O955</f>
        <v/>
      </c>
      <c r="P941">
        <f>'2 transformar y limpiar'!P955</f>
        <v/>
      </c>
      <c r="Q941">
        <f>'2 transformar y limpiar'!Q955</f>
        <v/>
      </c>
      <c r="R941">
        <f>'2 transformar y limpiar'!R955</f>
        <v/>
      </c>
      <c r="S941">
        <f>'2 transformar y limpiar'!S955</f>
        <v/>
      </c>
      <c r="T941">
        <f>'2 transformar y limpiar'!T955</f>
        <v/>
      </c>
      <c r="U941" s="5">
        <f>'2 transformar y limpiar'!U955</f>
        <v/>
      </c>
    </row>
    <row r="942">
      <c r="A942">
        <f>'2 transformar y limpiar'!A956</f>
        <v/>
      </c>
      <c r="B942">
        <f>'2 transformar y limpiar'!B956</f>
        <v/>
      </c>
      <c r="C942" s="6">
        <f>('2 transformar y limpiar'!C956-$B$6)/$C$6</f>
        <v/>
      </c>
      <c r="D942" s="6">
        <f>('2 transformar y limpiar'!D956-$B$7)/$C$7</f>
        <v/>
      </c>
      <c r="E942" s="6">
        <f>('2 transformar y limpiar'!E956-$B$8)/$C$8</f>
        <v/>
      </c>
      <c r="F942" s="6">
        <f>('2 transformar y limpiar'!F956-$B$9)/$C$9</f>
        <v/>
      </c>
      <c r="G942">
        <f>'2 transformar y limpiar'!G956</f>
        <v/>
      </c>
      <c r="H942">
        <f>'2 transformar y limpiar'!H956</f>
        <v/>
      </c>
      <c r="I942">
        <f>'2 transformar y limpiar'!I956</f>
        <v/>
      </c>
      <c r="J942">
        <f>'2 transformar y limpiar'!J956</f>
        <v/>
      </c>
      <c r="K942">
        <f>'2 transformar y limpiar'!K956</f>
        <v/>
      </c>
      <c r="L942">
        <f>'2 transformar y limpiar'!L956</f>
        <v/>
      </c>
      <c r="M942">
        <f>'2 transformar y limpiar'!M956</f>
        <v/>
      </c>
      <c r="N942">
        <f>'2 transformar y limpiar'!N956</f>
        <v/>
      </c>
      <c r="O942">
        <f>'2 transformar y limpiar'!O956</f>
        <v/>
      </c>
      <c r="P942">
        <f>'2 transformar y limpiar'!P956</f>
        <v/>
      </c>
      <c r="Q942">
        <f>'2 transformar y limpiar'!Q956</f>
        <v/>
      </c>
      <c r="R942">
        <f>'2 transformar y limpiar'!R956</f>
        <v/>
      </c>
      <c r="S942">
        <f>'2 transformar y limpiar'!S956</f>
        <v/>
      </c>
      <c r="T942">
        <f>'2 transformar y limpiar'!T956</f>
        <v/>
      </c>
      <c r="U942" s="5">
        <f>'2 transformar y limpiar'!U956</f>
        <v/>
      </c>
    </row>
    <row r="943">
      <c r="A943">
        <f>'2 transformar y limpiar'!A957</f>
        <v/>
      </c>
      <c r="B943">
        <f>'2 transformar y limpiar'!B957</f>
        <v/>
      </c>
      <c r="C943" s="6">
        <f>('2 transformar y limpiar'!C957-$B$6)/$C$6</f>
        <v/>
      </c>
      <c r="D943" s="6">
        <f>('2 transformar y limpiar'!D957-$B$7)/$C$7</f>
        <v/>
      </c>
      <c r="E943" s="6">
        <f>('2 transformar y limpiar'!E957-$B$8)/$C$8</f>
        <v/>
      </c>
      <c r="F943" s="6">
        <f>('2 transformar y limpiar'!F957-$B$9)/$C$9</f>
        <v/>
      </c>
      <c r="G943">
        <f>'2 transformar y limpiar'!G957</f>
        <v/>
      </c>
      <c r="H943">
        <f>'2 transformar y limpiar'!H957</f>
        <v/>
      </c>
      <c r="I943">
        <f>'2 transformar y limpiar'!I957</f>
        <v/>
      </c>
      <c r="J943">
        <f>'2 transformar y limpiar'!J957</f>
        <v/>
      </c>
      <c r="K943">
        <f>'2 transformar y limpiar'!K957</f>
        <v/>
      </c>
      <c r="L943">
        <f>'2 transformar y limpiar'!L957</f>
        <v/>
      </c>
      <c r="M943">
        <f>'2 transformar y limpiar'!M957</f>
        <v/>
      </c>
      <c r="N943">
        <f>'2 transformar y limpiar'!N957</f>
        <v/>
      </c>
      <c r="O943">
        <f>'2 transformar y limpiar'!O957</f>
        <v/>
      </c>
      <c r="P943">
        <f>'2 transformar y limpiar'!P957</f>
        <v/>
      </c>
      <c r="Q943">
        <f>'2 transformar y limpiar'!Q957</f>
        <v/>
      </c>
      <c r="R943">
        <f>'2 transformar y limpiar'!R957</f>
        <v/>
      </c>
      <c r="S943">
        <f>'2 transformar y limpiar'!S957</f>
        <v/>
      </c>
      <c r="T943">
        <f>'2 transformar y limpiar'!T957</f>
        <v/>
      </c>
      <c r="U943" s="5">
        <f>'2 transformar y limpiar'!U957</f>
        <v/>
      </c>
    </row>
    <row r="944">
      <c r="A944">
        <f>'2 transformar y limpiar'!A958</f>
        <v/>
      </c>
      <c r="B944">
        <f>'2 transformar y limpiar'!B958</f>
        <v/>
      </c>
      <c r="C944" s="6">
        <f>('2 transformar y limpiar'!C958-$B$6)/$C$6</f>
        <v/>
      </c>
      <c r="D944" s="6">
        <f>('2 transformar y limpiar'!D958-$B$7)/$C$7</f>
        <v/>
      </c>
      <c r="E944" s="6">
        <f>('2 transformar y limpiar'!E958-$B$8)/$C$8</f>
        <v/>
      </c>
      <c r="F944" s="6">
        <f>('2 transformar y limpiar'!F958-$B$9)/$C$9</f>
        <v/>
      </c>
      <c r="G944">
        <f>'2 transformar y limpiar'!G958</f>
        <v/>
      </c>
      <c r="H944">
        <f>'2 transformar y limpiar'!H958</f>
        <v/>
      </c>
      <c r="I944">
        <f>'2 transformar y limpiar'!I958</f>
        <v/>
      </c>
      <c r="J944">
        <f>'2 transformar y limpiar'!J958</f>
        <v/>
      </c>
      <c r="K944">
        <f>'2 transformar y limpiar'!K958</f>
        <v/>
      </c>
      <c r="L944">
        <f>'2 transformar y limpiar'!L958</f>
        <v/>
      </c>
      <c r="M944">
        <f>'2 transformar y limpiar'!M958</f>
        <v/>
      </c>
      <c r="N944">
        <f>'2 transformar y limpiar'!N958</f>
        <v/>
      </c>
      <c r="O944">
        <f>'2 transformar y limpiar'!O958</f>
        <v/>
      </c>
      <c r="P944">
        <f>'2 transformar y limpiar'!P958</f>
        <v/>
      </c>
      <c r="Q944">
        <f>'2 transformar y limpiar'!Q958</f>
        <v/>
      </c>
      <c r="R944">
        <f>'2 transformar y limpiar'!R958</f>
        <v/>
      </c>
      <c r="S944">
        <f>'2 transformar y limpiar'!S958</f>
        <v/>
      </c>
      <c r="T944">
        <f>'2 transformar y limpiar'!T958</f>
        <v/>
      </c>
      <c r="U944" s="5">
        <f>'2 transformar y limpiar'!U958</f>
        <v/>
      </c>
    </row>
    <row r="945">
      <c r="A945">
        <f>'2 transformar y limpiar'!A959</f>
        <v/>
      </c>
      <c r="B945">
        <f>'2 transformar y limpiar'!B959</f>
        <v/>
      </c>
      <c r="C945" s="6">
        <f>('2 transformar y limpiar'!C959-$B$6)/$C$6</f>
        <v/>
      </c>
      <c r="D945" s="6">
        <f>('2 transformar y limpiar'!D959-$B$7)/$C$7</f>
        <v/>
      </c>
      <c r="E945" s="6">
        <f>('2 transformar y limpiar'!E959-$B$8)/$C$8</f>
        <v/>
      </c>
      <c r="F945" s="6">
        <f>('2 transformar y limpiar'!F959-$B$9)/$C$9</f>
        <v/>
      </c>
      <c r="G945">
        <f>'2 transformar y limpiar'!G959</f>
        <v/>
      </c>
      <c r="H945">
        <f>'2 transformar y limpiar'!H959</f>
        <v/>
      </c>
      <c r="I945">
        <f>'2 transformar y limpiar'!I959</f>
        <v/>
      </c>
      <c r="J945">
        <f>'2 transformar y limpiar'!J959</f>
        <v/>
      </c>
      <c r="K945">
        <f>'2 transformar y limpiar'!K959</f>
        <v/>
      </c>
      <c r="L945">
        <f>'2 transformar y limpiar'!L959</f>
        <v/>
      </c>
      <c r="M945">
        <f>'2 transformar y limpiar'!M959</f>
        <v/>
      </c>
      <c r="N945">
        <f>'2 transformar y limpiar'!N959</f>
        <v/>
      </c>
      <c r="O945">
        <f>'2 transformar y limpiar'!O959</f>
        <v/>
      </c>
      <c r="P945">
        <f>'2 transformar y limpiar'!P959</f>
        <v/>
      </c>
      <c r="Q945">
        <f>'2 transformar y limpiar'!Q959</f>
        <v/>
      </c>
      <c r="R945">
        <f>'2 transformar y limpiar'!R959</f>
        <v/>
      </c>
      <c r="S945">
        <f>'2 transformar y limpiar'!S959</f>
        <v/>
      </c>
      <c r="T945">
        <f>'2 transformar y limpiar'!T959</f>
        <v/>
      </c>
      <c r="U945" s="5">
        <f>'2 transformar y limpiar'!U959</f>
        <v/>
      </c>
    </row>
    <row r="946">
      <c r="A946">
        <f>'2 transformar y limpiar'!A960</f>
        <v/>
      </c>
      <c r="B946">
        <f>'2 transformar y limpiar'!B960</f>
        <v/>
      </c>
      <c r="C946" s="6">
        <f>('2 transformar y limpiar'!C960-$B$6)/$C$6</f>
        <v/>
      </c>
      <c r="D946" s="6">
        <f>('2 transformar y limpiar'!D960-$B$7)/$C$7</f>
        <v/>
      </c>
      <c r="E946" s="6">
        <f>('2 transformar y limpiar'!E960-$B$8)/$C$8</f>
        <v/>
      </c>
      <c r="F946" s="6">
        <f>('2 transformar y limpiar'!F960-$B$9)/$C$9</f>
        <v/>
      </c>
      <c r="G946">
        <f>'2 transformar y limpiar'!G960</f>
        <v/>
      </c>
      <c r="H946">
        <f>'2 transformar y limpiar'!H960</f>
        <v/>
      </c>
      <c r="I946">
        <f>'2 transformar y limpiar'!I960</f>
        <v/>
      </c>
      <c r="J946">
        <f>'2 transformar y limpiar'!J960</f>
        <v/>
      </c>
      <c r="K946">
        <f>'2 transformar y limpiar'!K960</f>
        <v/>
      </c>
      <c r="L946">
        <f>'2 transformar y limpiar'!L960</f>
        <v/>
      </c>
      <c r="M946">
        <f>'2 transformar y limpiar'!M960</f>
        <v/>
      </c>
      <c r="N946">
        <f>'2 transformar y limpiar'!N960</f>
        <v/>
      </c>
      <c r="O946">
        <f>'2 transformar y limpiar'!O960</f>
        <v/>
      </c>
      <c r="P946">
        <f>'2 transformar y limpiar'!P960</f>
        <v/>
      </c>
      <c r="Q946">
        <f>'2 transformar y limpiar'!Q960</f>
        <v/>
      </c>
      <c r="R946">
        <f>'2 transformar y limpiar'!R960</f>
        <v/>
      </c>
      <c r="S946">
        <f>'2 transformar y limpiar'!S960</f>
        <v/>
      </c>
      <c r="T946">
        <f>'2 transformar y limpiar'!T960</f>
        <v/>
      </c>
      <c r="U946" s="5">
        <f>'2 transformar y limpiar'!U960</f>
        <v/>
      </c>
    </row>
    <row r="947">
      <c r="A947">
        <f>'2 transformar y limpiar'!A961</f>
        <v/>
      </c>
      <c r="B947">
        <f>'2 transformar y limpiar'!B961</f>
        <v/>
      </c>
      <c r="C947" s="6">
        <f>('2 transformar y limpiar'!C961-$B$6)/$C$6</f>
        <v/>
      </c>
      <c r="D947" s="6">
        <f>('2 transformar y limpiar'!D961-$B$7)/$C$7</f>
        <v/>
      </c>
      <c r="E947" s="6">
        <f>('2 transformar y limpiar'!E961-$B$8)/$C$8</f>
        <v/>
      </c>
      <c r="F947" s="6">
        <f>('2 transformar y limpiar'!F961-$B$9)/$C$9</f>
        <v/>
      </c>
      <c r="G947">
        <f>'2 transformar y limpiar'!G961</f>
        <v/>
      </c>
      <c r="H947">
        <f>'2 transformar y limpiar'!H961</f>
        <v/>
      </c>
      <c r="I947">
        <f>'2 transformar y limpiar'!I961</f>
        <v/>
      </c>
      <c r="J947">
        <f>'2 transformar y limpiar'!J961</f>
        <v/>
      </c>
      <c r="K947">
        <f>'2 transformar y limpiar'!K961</f>
        <v/>
      </c>
      <c r="L947">
        <f>'2 transformar y limpiar'!L961</f>
        <v/>
      </c>
      <c r="M947">
        <f>'2 transformar y limpiar'!M961</f>
        <v/>
      </c>
      <c r="N947">
        <f>'2 transformar y limpiar'!N961</f>
        <v/>
      </c>
      <c r="O947">
        <f>'2 transformar y limpiar'!O961</f>
        <v/>
      </c>
      <c r="P947">
        <f>'2 transformar y limpiar'!P961</f>
        <v/>
      </c>
      <c r="Q947">
        <f>'2 transformar y limpiar'!Q961</f>
        <v/>
      </c>
      <c r="R947">
        <f>'2 transformar y limpiar'!R961</f>
        <v/>
      </c>
      <c r="S947">
        <f>'2 transformar y limpiar'!S961</f>
        <v/>
      </c>
      <c r="T947">
        <f>'2 transformar y limpiar'!T961</f>
        <v/>
      </c>
      <c r="U947" s="5">
        <f>'2 transformar y limpiar'!U961</f>
        <v/>
      </c>
    </row>
    <row r="948">
      <c r="A948">
        <f>'2 transformar y limpiar'!A962</f>
        <v/>
      </c>
      <c r="B948">
        <f>'2 transformar y limpiar'!B962</f>
        <v/>
      </c>
      <c r="C948" s="6">
        <f>('2 transformar y limpiar'!C962-$B$6)/$C$6</f>
        <v/>
      </c>
      <c r="D948" s="6">
        <f>('2 transformar y limpiar'!D962-$B$7)/$C$7</f>
        <v/>
      </c>
      <c r="E948" s="6">
        <f>('2 transformar y limpiar'!E962-$B$8)/$C$8</f>
        <v/>
      </c>
      <c r="F948" s="6">
        <f>('2 transformar y limpiar'!F962-$B$9)/$C$9</f>
        <v/>
      </c>
      <c r="G948">
        <f>'2 transformar y limpiar'!G962</f>
        <v/>
      </c>
      <c r="H948">
        <f>'2 transformar y limpiar'!H962</f>
        <v/>
      </c>
      <c r="I948">
        <f>'2 transformar y limpiar'!I962</f>
        <v/>
      </c>
      <c r="J948">
        <f>'2 transformar y limpiar'!J962</f>
        <v/>
      </c>
      <c r="K948">
        <f>'2 transformar y limpiar'!K962</f>
        <v/>
      </c>
      <c r="L948">
        <f>'2 transformar y limpiar'!L962</f>
        <v/>
      </c>
      <c r="M948">
        <f>'2 transformar y limpiar'!M962</f>
        <v/>
      </c>
      <c r="N948">
        <f>'2 transformar y limpiar'!N962</f>
        <v/>
      </c>
      <c r="O948">
        <f>'2 transformar y limpiar'!O962</f>
        <v/>
      </c>
      <c r="P948">
        <f>'2 transformar y limpiar'!P962</f>
        <v/>
      </c>
      <c r="Q948">
        <f>'2 transformar y limpiar'!Q962</f>
        <v/>
      </c>
      <c r="R948">
        <f>'2 transformar y limpiar'!R962</f>
        <v/>
      </c>
      <c r="S948">
        <f>'2 transformar y limpiar'!S962</f>
        <v/>
      </c>
      <c r="T948">
        <f>'2 transformar y limpiar'!T962</f>
        <v/>
      </c>
      <c r="U948" s="5">
        <f>'2 transformar y limpiar'!U962</f>
        <v/>
      </c>
    </row>
    <row r="949">
      <c r="A949">
        <f>'2 transformar y limpiar'!A963</f>
        <v/>
      </c>
      <c r="B949">
        <f>'2 transformar y limpiar'!B963</f>
        <v/>
      </c>
      <c r="C949" s="6">
        <f>('2 transformar y limpiar'!C963-$B$6)/$C$6</f>
        <v/>
      </c>
      <c r="D949" s="6">
        <f>('2 transformar y limpiar'!D963-$B$7)/$C$7</f>
        <v/>
      </c>
      <c r="E949" s="6">
        <f>('2 transformar y limpiar'!E963-$B$8)/$C$8</f>
        <v/>
      </c>
      <c r="F949" s="6">
        <f>('2 transformar y limpiar'!F963-$B$9)/$C$9</f>
        <v/>
      </c>
      <c r="G949">
        <f>'2 transformar y limpiar'!G963</f>
        <v/>
      </c>
      <c r="H949">
        <f>'2 transformar y limpiar'!H963</f>
        <v/>
      </c>
      <c r="I949">
        <f>'2 transformar y limpiar'!I963</f>
        <v/>
      </c>
      <c r="J949">
        <f>'2 transformar y limpiar'!J963</f>
        <v/>
      </c>
      <c r="K949">
        <f>'2 transformar y limpiar'!K963</f>
        <v/>
      </c>
      <c r="L949">
        <f>'2 transformar y limpiar'!L963</f>
        <v/>
      </c>
      <c r="M949">
        <f>'2 transformar y limpiar'!M963</f>
        <v/>
      </c>
      <c r="N949">
        <f>'2 transformar y limpiar'!N963</f>
        <v/>
      </c>
      <c r="O949">
        <f>'2 transformar y limpiar'!O963</f>
        <v/>
      </c>
      <c r="P949">
        <f>'2 transformar y limpiar'!P963</f>
        <v/>
      </c>
      <c r="Q949">
        <f>'2 transformar y limpiar'!Q963</f>
        <v/>
      </c>
      <c r="R949">
        <f>'2 transformar y limpiar'!R963</f>
        <v/>
      </c>
      <c r="S949">
        <f>'2 transformar y limpiar'!S963</f>
        <v/>
      </c>
      <c r="T949">
        <f>'2 transformar y limpiar'!T963</f>
        <v/>
      </c>
      <c r="U949" s="5">
        <f>'2 transformar y limpiar'!U963</f>
        <v/>
      </c>
    </row>
    <row r="950">
      <c r="A950">
        <f>'2 transformar y limpiar'!A964</f>
        <v/>
      </c>
      <c r="B950">
        <f>'2 transformar y limpiar'!B964</f>
        <v/>
      </c>
      <c r="C950" s="6">
        <f>('2 transformar y limpiar'!C964-$B$6)/$C$6</f>
        <v/>
      </c>
      <c r="D950" s="6">
        <f>('2 transformar y limpiar'!D964-$B$7)/$C$7</f>
        <v/>
      </c>
      <c r="E950" s="6">
        <f>('2 transformar y limpiar'!E964-$B$8)/$C$8</f>
        <v/>
      </c>
      <c r="F950" s="6">
        <f>('2 transformar y limpiar'!F964-$B$9)/$C$9</f>
        <v/>
      </c>
      <c r="G950">
        <f>'2 transformar y limpiar'!G964</f>
        <v/>
      </c>
      <c r="H950">
        <f>'2 transformar y limpiar'!H964</f>
        <v/>
      </c>
      <c r="I950">
        <f>'2 transformar y limpiar'!I964</f>
        <v/>
      </c>
      <c r="J950">
        <f>'2 transformar y limpiar'!J964</f>
        <v/>
      </c>
      <c r="K950">
        <f>'2 transformar y limpiar'!K964</f>
        <v/>
      </c>
      <c r="L950">
        <f>'2 transformar y limpiar'!L964</f>
        <v/>
      </c>
      <c r="M950">
        <f>'2 transformar y limpiar'!M964</f>
        <v/>
      </c>
      <c r="N950">
        <f>'2 transformar y limpiar'!N964</f>
        <v/>
      </c>
      <c r="O950">
        <f>'2 transformar y limpiar'!O964</f>
        <v/>
      </c>
      <c r="P950">
        <f>'2 transformar y limpiar'!P964</f>
        <v/>
      </c>
      <c r="Q950">
        <f>'2 transformar y limpiar'!Q964</f>
        <v/>
      </c>
      <c r="R950">
        <f>'2 transformar y limpiar'!R964</f>
        <v/>
      </c>
      <c r="S950">
        <f>'2 transformar y limpiar'!S964</f>
        <v/>
      </c>
      <c r="T950">
        <f>'2 transformar y limpiar'!T964</f>
        <v/>
      </c>
      <c r="U950" s="5">
        <f>'2 transformar y limpiar'!U964</f>
        <v/>
      </c>
    </row>
    <row r="951">
      <c r="A951">
        <f>'2 transformar y limpiar'!A965</f>
        <v/>
      </c>
      <c r="B951">
        <f>'2 transformar y limpiar'!B965</f>
        <v/>
      </c>
      <c r="C951" s="6">
        <f>('2 transformar y limpiar'!C965-$B$6)/$C$6</f>
        <v/>
      </c>
      <c r="D951" s="6">
        <f>('2 transformar y limpiar'!D965-$B$7)/$C$7</f>
        <v/>
      </c>
      <c r="E951" s="6">
        <f>('2 transformar y limpiar'!E965-$B$8)/$C$8</f>
        <v/>
      </c>
      <c r="F951" s="6">
        <f>('2 transformar y limpiar'!F965-$B$9)/$C$9</f>
        <v/>
      </c>
      <c r="G951">
        <f>'2 transformar y limpiar'!G965</f>
        <v/>
      </c>
      <c r="H951">
        <f>'2 transformar y limpiar'!H965</f>
        <v/>
      </c>
      <c r="I951">
        <f>'2 transformar y limpiar'!I965</f>
        <v/>
      </c>
      <c r="J951">
        <f>'2 transformar y limpiar'!J965</f>
        <v/>
      </c>
      <c r="K951">
        <f>'2 transformar y limpiar'!K965</f>
        <v/>
      </c>
      <c r="L951">
        <f>'2 transformar y limpiar'!L965</f>
        <v/>
      </c>
      <c r="M951">
        <f>'2 transformar y limpiar'!M965</f>
        <v/>
      </c>
      <c r="N951">
        <f>'2 transformar y limpiar'!N965</f>
        <v/>
      </c>
      <c r="O951">
        <f>'2 transformar y limpiar'!O965</f>
        <v/>
      </c>
      <c r="P951">
        <f>'2 transformar y limpiar'!P965</f>
        <v/>
      </c>
      <c r="Q951">
        <f>'2 transformar y limpiar'!Q965</f>
        <v/>
      </c>
      <c r="R951">
        <f>'2 transformar y limpiar'!R965</f>
        <v/>
      </c>
      <c r="S951">
        <f>'2 transformar y limpiar'!S965</f>
        <v/>
      </c>
      <c r="T951">
        <f>'2 transformar y limpiar'!T965</f>
        <v/>
      </c>
      <c r="U951" s="5">
        <f>'2 transformar y limpiar'!U965</f>
        <v/>
      </c>
    </row>
    <row r="952">
      <c r="A952">
        <f>'2 transformar y limpiar'!A966</f>
        <v/>
      </c>
      <c r="B952">
        <f>'2 transformar y limpiar'!B966</f>
        <v/>
      </c>
      <c r="C952" s="6">
        <f>('2 transformar y limpiar'!C966-$B$6)/$C$6</f>
        <v/>
      </c>
      <c r="D952" s="6">
        <f>('2 transformar y limpiar'!D966-$B$7)/$C$7</f>
        <v/>
      </c>
      <c r="E952" s="6">
        <f>('2 transformar y limpiar'!E966-$B$8)/$C$8</f>
        <v/>
      </c>
      <c r="F952" s="6">
        <f>('2 transformar y limpiar'!F966-$B$9)/$C$9</f>
        <v/>
      </c>
      <c r="G952">
        <f>'2 transformar y limpiar'!G966</f>
        <v/>
      </c>
      <c r="H952">
        <f>'2 transformar y limpiar'!H966</f>
        <v/>
      </c>
      <c r="I952">
        <f>'2 transformar y limpiar'!I966</f>
        <v/>
      </c>
      <c r="J952">
        <f>'2 transformar y limpiar'!J966</f>
        <v/>
      </c>
      <c r="K952">
        <f>'2 transformar y limpiar'!K966</f>
        <v/>
      </c>
      <c r="L952">
        <f>'2 transformar y limpiar'!L966</f>
        <v/>
      </c>
      <c r="M952">
        <f>'2 transformar y limpiar'!M966</f>
        <v/>
      </c>
      <c r="N952">
        <f>'2 transformar y limpiar'!N966</f>
        <v/>
      </c>
      <c r="O952">
        <f>'2 transformar y limpiar'!O966</f>
        <v/>
      </c>
      <c r="P952">
        <f>'2 transformar y limpiar'!P966</f>
        <v/>
      </c>
      <c r="Q952">
        <f>'2 transformar y limpiar'!Q966</f>
        <v/>
      </c>
      <c r="R952">
        <f>'2 transformar y limpiar'!R966</f>
        <v/>
      </c>
      <c r="S952">
        <f>'2 transformar y limpiar'!S966</f>
        <v/>
      </c>
      <c r="T952">
        <f>'2 transformar y limpiar'!T966</f>
        <v/>
      </c>
      <c r="U952" s="5">
        <f>'2 transformar y limpiar'!U966</f>
        <v/>
      </c>
    </row>
    <row r="953">
      <c r="A953">
        <f>'2 transformar y limpiar'!A967</f>
        <v/>
      </c>
      <c r="B953">
        <f>'2 transformar y limpiar'!B967</f>
        <v/>
      </c>
      <c r="C953" s="6">
        <f>('2 transformar y limpiar'!C967-$B$6)/$C$6</f>
        <v/>
      </c>
      <c r="D953" s="6">
        <f>('2 transformar y limpiar'!D967-$B$7)/$C$7</f>
        <v/>
      </c>
      <c r="E953" s="6">
        <f>('2 transformar y limpiar'!E967-$B$8)/$C$8</f>
        <v/>
      </c>
      <c r="F953" s="6">
        <f>('2 transformar y limpiar'!F967-$B$9)/$C$9</f>
        <v/>
      </c>
      <c r="G953">
        <f>'2 transformar y limpiar'!G967</f>
        <v/>
      </c>
      <c r="H953">
        <f>'2 transformar y limpiar'!H967</f>
        <v/>
      </c>
      <c r="I953">
        <f>'2 transformar y limpiar'!I967</f>
        <v/>
      </c>
      <c r="J953">
        <f>'2 transformar y limpiar'!J967</f>
        <v/>
      </c>
      <c r="K953">
        <f>'2 transformar y limpiar'!K967</f>
        <v/>
      </c>
      <c r="L953">
        <f>'2 transformar y limpiar'!L967</f>
        <v/>
      </c>
      <c r="M953">
        <f>'2 transformar y limpiar'!M967</f>
        <v/>
      </c>
      <c r="N953">
        <f>'2 transformar y limpiar'!N967</f>
        <v/>
      </c>
      <c r="O953">
        <f>'2 transformar y limpiar'!O967</f>
        <v/>
      </c>
      <c r="P953">
        <f>'2 transformar y limpiar'!P967</f>
        <v/>
      </c>
      <c r="Q953">
        <f>'2 transformar y limpiar'!Q967</f>
        <v/>
      </c>
      <c r="R953">
        <f>'2 transformar y limpiar'!R967</f>
        <v/>
      </c>
      <c r="S953">
        <f>'2 transformar y limpiar'!S967</f>
        <v/>
      </c>
      <c r="T953">
        <f>'2 transformar y limpiar'!T967</f>
        <v/>
      </c>
      <c r="U953" s="5">
        <f>'2 transformar y limpiar'!U967</f>
        <v/>
      </c>
    </row>
    <row r="954">
      <c r="A954">
        <f>'2 transformar y limpiar'!A968</f>
        <v/>
      </c>
      <c r="B954">
        <f>'2 transformar y limpiar'!B968</f>
        <v/>
      </c>
      <c r="C954" s="6">
        <f>('2 transformar y limpiar'!C968-$B$6)/$C$6</f>
        <v/>
      </c>
      <c r="D954" s="6">
        <f>('2 transformar y limpiar'!D968-$B$7)/$C$7</f>
        <v/>
      </c>
      <c r="E954" s="6">
        <f>('2 transformar y limpiar'!E968-$B$8)/$C$8</f>
        <v/>
      </c>
      <c r="F954" s="6">
        <f>('2 transformar y limpiar'!F968-$B$9)/$C$9</f>
        <v/>
      </c>
      <c r="G954">
        <f>'2 transformar y limpiar'!G968</f>
        <v/>
      </c>
      <c r="H954">
        <f>'2 transformar y limpiar'!H968</f>
        <v/>
      </c>
      <c r="I954">
        <f>'2 transformar y limpiar'!I968</f>
        <v/>
      </c>
      <c r="J954">
        <f>'2 transformar y limpiar'!J968</f>
        <v/>
      </c>
      <c r="K954">
        <f>'2 transformar y limpiar'!K968</f>
        <v/>
      </c>
      <c r="L954">
        <f>'2 transformar y limpiar'!L968</f>
        <v/>
      </c>
      <c r="M954">
        <f>'2 transformar y limpiar'!M968</f>
        <v/>
      </c>
      <c r="N954">
        <f>'2 transformar y limpiar'!N968</f>
        <v/>
      </c>
      <c r="O954">
        <f>'2 transformar y limpiar'!O968</f>
        <v/>
      </c>
      <c r="P954">
        <f>'2 transformar y limpiar'!P968</f>
        <v/>
      </c>
      <c r="Q954">
        <f>'2 transformar y limpiar'!Q968</f>
        <v/>
      </c>
      <c r="R954">
        <f>'2 transformar y limpiar'!R968</f>
        <v/>
      </c>
      <c r="S954">
        <f>'2 transformar y limpiar'!S968</f>
        <v/>
      </c>
      <c r="T954">
        <f>'2 transformar y limpiar'!T968</f>
        <v/>
      </c>
      <c r="U954" s="5">
        <f>'2 transformar y limpiar'!U968</f>
        <v/>
      </c>
    </row>
    <row r="955">
      <c r="A955">
        <f>'2 transformar y limpiar'!A969</f>
        <v/>
      </c>
      <c r="B955">
        <f>'2 transformar y limpiar'!B969</f>
        <v/>
      </c>
      <c r="C955" s="6">
        <f>('2 transformar y limpiar'!C969-$B$6)/$C$6</f>
        <v/>
      </c>
      <c r="D955" s="6">
        <f>('2 transformar y limpiar'!D969-$B$7)/$C$7</f>
        <v/>
      </c>
      <c r="E955" s="6">
        <f>('2 transformar y limpiar'!E969-$B$8)/$C$8</f>
        <v/>
      </c>
      <c r="F955" s="6">
        <f>('2 transformar y limpiar'!F969-$B$9)/$C$9</f>
        <v/>
      </c>
      <c r="G955">
        <f>'2 transformar y limpiar'!G969</f>
        <v/>
      </c>
      <c r="H955">
        <f>'2 transformar y limpiar'!H969</f>
        <v/>
      </c>
      <c r="I955">
        <f>'2 transformar y limpiar'!I969</f>
        <v/>
      </c>
      <c r="J955">
        <f>'2 transformar y limpiar'!J969</f>
        <v/>
      </c>
      <c r="K955">
        <f>'2 transformar y limpiar'!K969</f>
        <v/>
      </c>
      <c r="L955">
        <f>'2 transformar y limpiar'!L969</f>
        <v/>
      </c>
      <c r="M955">
        <f>'2 transformar y limpiar'!M969</f>
        <v/>
      </c>
      <c r="N955">
        <f>'2 transformar y limpiar'!N969</f>
        <v/>
      </c>
      <c r="O955">
        <f>'2 transformar y limpiar'!O969</f>
        <v/>
      </c>
      <c r="P955">
        <f>'2 transformar y limpiar'!P969</f>
        <v/>
      </c>
      <c r="Q955">
        <f>'2 transformar y limpiar'!Q969</f>
        <v/>
      </c>
      <c r="R955">
        <f>'2 transformar y limpiar'!R969</f>
        <v/>
      </c>
      <c r="S955">
        <f>'2 transformar y limpiar'!S969</f>
        <v/>
      </c>
      <c r="T955">
        <f>'2 transformar y limpiar'!T969</f>
        <v/>
      </c>
      <c r="U955" s="5">
        <f>'2 transformar y limpiar'!U969</f>
        <v/>
      </c>
    </row>
    <row r="956">
      <c r="A956">
        <f>'2 transformar y limpiar'!A970</f>
        <v/>
      </c>
      <c r="B956">
        <f>'2 transformar y limpiar'!B970</f>
        <v/>
      </c>
      <c r="C956" s="6">
        <f>('2 transformar y limpiar'!C970-$B$6)/$C$6</f>
        <v/>
      </c>
      <c r="D956" s="6">
        <f>('2 transformar y limpiar'!D970-$B$7)/$C$7</f>
        <v/>
      </c>
      <c r="E956" s="6">
        <f>('2 transformar y limpiar'!E970-$B$8)/$C$8</f>
        <v/>
      </c>
      <c r="F956" s="6">
        <f>('2 transformar y limpiar'!F970-$B$9)/$C$9</f>
        <v/>
      </c>
      <c r="G956">
        <f>'2 transformar y limpiar'!G970</f>
        <v/>
      </c>
      <c r="H956">
        <f>'2 transformar y limpiar'!H970</f>
        <v/>
      </c>
      <c r="I956">
        <f>'2 transformar y limpiar'!I970</f>
        <v/>
      </c>
      <c r="J956">
        <f>'2 transformar y limpiar'!J970</f>
        <v/>
      </c>
      <c r="K956">
        <f>'2 transformar y limpiar'!K970</f>
        <v/>
      </c>
      <c r="L956">
        <f>'2 transformar y limpiar'!L970</f>
        <v/>
      </c>
      <c r="M956">
        <f>'2 transformar y limpiar'!M970</f>
        <v/>
      </c>
      <c r="N956">
        <f>'2 transformar y limpiar'!N970</f>
        <v/>
      </c>
      <c r="O956">
        <f>'2 transformar y limpiar'!O970</f>
        <v/>
      </c>
      <c r="P956">
        <f>'2 transformar y limpiar'!P970</f>
        <v/>
      </c>
      <c r="Q956">
        <f>'2 transformar y limpiar'!Q970</f>
        <v/>
      </c>
      <c r="R956">
        <f>'2 transformar y limpiar'!R970</f>
        <v/>
      </c>
      <c r="S956">
        <f>'2 transformar y limpiar'!S970</f>
        <v/>
      </c>
      <c r="T956">
        <f>'2 transformar y limpiar'!T970</f>
        <v/>
      </c>
      <c r="U956" s="5">
        <f>'2 transformar y limpiar'!U970</f>
        <v/>
      </c>
    </row>
    <row r="957">
      <c r="A957">
        <f>'2 transformar y limpiar'!A971</f>
        <v/>
      </c>
      <c r="B957">
        <f>'2 transformar y limpiar'!B971</f>
        <v/>
      </c>
      <c r="C957" s="6">
        <f>('2 transformar y limpiar'!C971-$B$6)/$C$6</f>
        <v/>
      </c>
      <c r="D957" s="6">
        <f>('2 transformar y limpiar'!D971-$B$7)/$C$7</f>
        <v/>
      </c>
      <c r="E957" s="6">
        <f>('2 transformar y limpiar'!E971-$B$8)/$C$8</f>
        <v/>
      </c>
      <c r="F957" s="6">
        <f>('2 transformar y limpiar'!F971-$B$9)/$C$9</f>
        <v/>
      </c>
      <c r="G957">
        <f>'2 transformar y limpiar'!G971</f>
        <v/>
      </c>
      <c r="H957">
        <f>'2 transformar y limpiar'!H971</f>
        <v/>
      </c>
      <c r="I957">
        <f>'2 transformar y limpiar'!I971</f>
        <v/>
      </c>
      <c r="J957">
        <f>'2 transformar y limpiar'!J971</f>
        <v/>
      </c>
      <c r="K957">
        <f>'2 transformar y limpiar'!K971</f>
        <v/>
      </c>
      <c r="L957">
        <f>'2 transformar y limpiar'!L971</f>
        <v/>
      </c>
      <c r="M957">
        <f>'2 transformar y limpiar'!M971</f>
        <v/>
      </c>
      <c r="N957">
        <f>'2 transformar y limpiar'!N971</f>
        <v/>
      </c>
      <c r="O957">
        <f>'2 transformar y limpiar'!O971</f>
        <v/>
      </c>
      <c r="P957">
        <f>'2 transformar y limpiar'!P971</f>
        <v/>
      </c>
      <c r="Q957">
        <f>'2 transformar y limpiar'!Q971</f>
        <v/>
      </c>
      <c r="R957">
        <f>'2 transformar y limpiar'!R971</f>
        <v/>
      </c>
      <c r="S957">
        <f>'2 transformar y limpiar'!S971</f>
        <v/>
      </c>
      <c r="T957">
        <f>'2 transformar y limpiar'!T971</f>
        <v/>
      </c>
      <c r="U957" s="5">
        <f>'2 transformar y limpiar'!U971</f>
        <v/>
      </c>
    </row>
    <row r="958">
      <c r="A958">
        <f>'2 transformar y limpiar'!A972</f>
        <v/>
      </c>
      <c r="B958">
        <f>'2 transformar y limpiar'!B972</f>
        <v/>
      </c>
      <c r="C958" s="6">
        <f>('2 transformar y limpiar'!C972-$B$6)/$C$6</f>
        <v/>
      </c>
      <c r="D958" s="6">
        <f>('2 transformar y limpiar'!D972-$B$7)/$C$7</f>
        <v/>
      </c>
      <c r="E958" s="6">
        <f>('2 transformar y limpiar'!E972-$B$8)/$C$8</f>
        <v/>
      </c>
      <c r="F958" s="6">
        <f>('2 transformar y limpiar'!F972-$B$9)/$C$9</f>
        <v/>
      </c>
      <c r="G958">
        <f>'2 transformar y limpiar'!G972</f>
        <v/>
      </c>
      <c r="H958">
        <f>'2 transformar y limpiar'!H972</f>
        <v/>
      </c>
      <c r="I958">
        <f>'2 transformar y limpiar'!I972</f>
        <v/>
      </c>
      <c r="J958">
        <f>'2 transformar y limpiar'!J972</f>
        <v/>
      </c>
      <c r="K958">
        <f>'2 transformar y limpiar'!K972</f>
        <v/>
      </c>
      <c r="L958">
        <f>'2 transformar y limpiar'!L972</f>
        <v/>
      </c>
      <c r="M958">
        <f>'2 transformar y limpiar'!M972</f>
        <v/>
      </c>
      <c r="N958">
        <f>'2 transformar y limpiar'!N972</f>
        <v/>
      </c>
      <c r="O958">
        <f>'2 transformar y limpiar'!O972</f>
        <v/>
      </c>
      <c r="P958">
        <f>'2 transformar y limpiar'!P972</f>
        <v/>
      </c>
      <c r="Q958">
        <f>'2 transformar y limpiar'!Q972</f>
        <v/>
      </c>
      <c r="R958">
        <f>'2 transformar y limpiar'!R972</f>
        <v/>
      </c>
      <c r="S958">
        <f>'2 transformar y limpiar'!S972</f>
        <v/>
      </c>
      <c r="T958">
        <f>'2 transformar y limpiar'!T972</f>
        <v/>
      </c>
      <c r="U958" s="5">
        <f>'2 transformar y limpiar'!U972</f>
        <v/>
      </c>
    </row>
    <row r="959">
      <c r="A959">
        <f>'2 transformar y limpiar'!A973</f>
        <v/>
      </c>
      <c r="B959">
        <f>'2 transformar y limpiar'!B973</f>
        <v/>
      </c>
      <c r="C959" s="6">
        <f>('2 transformar y limpiar'!C973-$B$6)/$C$6</f>
        <v/>
      </c>
      <c r="D959" s="6">
        <f>('2 transformar y limpiar'!D973-$B$7)/$C$7</f>
        <v/>
      </c>
      <c r="E959" s="6">
        <f>('2 transformar y limpiar'!E973-$B$8)/$C$8</f>
        <v/>
      </c>
      <c r="F959" s="6">
        <f>('2 transformar y limpiar'!F973-$B$9)/$C$9</f>
        <v/>
      </c>
      <c r="G959">
        <f>'2 transformar y limpiar'!G973</f>
        <v/>
      </c>
      <c r="H959">
        <f>'2 transformar y limpiar'!H973</f>
        <v/>
      </c>
      <c r="I959">
        <f>'2 transformar y limpiar'!I973</f>
        <v/>
      </c>
      <c r="J959">
        <f>'2 transformar y limpiar'!J973</f>
        <v/>
      </c>
      <c r="K959">
        <f>'2 transformar y limpiar'!K973</f>
        <v/>
      </c>
      <c r="L959">
        <f>'2 transformar y limpiar'!L973</f>
        <v/>
      </c>
      <c r="M959">
        <f>'2 transformar y limpiar'!M973</f>
        <v/>
      </c>
      <c r="N959">
        <f>'2 transformar y limpiar'!N973</f>
        <v/>
      </c>
      <c r="O959">
        <f>'2 transformar y limpiar'!O973</f>
        <v/>
      </c>
      <c r="P959">
        <f>'2 transformar y limpiar'!P973</f>
        <v/>
      </c>
      <c r="Q959">
        <f>'2 transformar y limpiar'!Q973</f>
        <v/>
      </c>
      <c r="R959">
        <f>'2 transformar y limpiar'!R973</f>
        <v/>
      </c>
      <c r="S959">
        <f>'2 transformar y limpiar'!S973</f>
        <v/>
      </c>
      <c r="T959">
        <f>'2 transformar y limpiar'!T973</f>
        <v/>
      </c>
      <c r="U959" s="5">
        <f>'2 transformar y limpiar'!U973</f>
        <v/>
      </c>
    </row>
    <row r="960">
      <c r="A960">
        <f>'2 transformar y limpiar'!A974</f>
        <v/>
      </c>
      <c r="B960">
        <f>'2 transformar y limpiar'!B974</f>
        <v/>
      </c>
      <c r="C960" s="6">
        <f>('2 transformar y limpiar'!C974-$B$6)/$C$6</f>
        <v/>
      </c>
      <c r="D960" s="6">
        <f>('2 transformar y limpiar'!D974-$B$7)/$C$7</f>
        <v/>
      </c>
      <c r="E960" s="6">
        <f>('2 transformar y limpiar'!E974-$B$8)/$C$8</f>
        <v/>
      </c>
      <c r="F960" s="6">
        <f>('2 transformar y limpiar'!F974-$B$9)/$C$9</f>
        <v/>
      </c>
      <c r="G960">
        <f>'2 transformar y limpiar'!G974</f>
        <v/>
      </c>
      <c r="H960">
        <f>'2 transformar y limpiar'!H974</f>
        <v/>
      </c>
      <c r="I960">
        <f>'2 transformar y limpiar'!I974</f>
        <v/>
      </c>
      <c r="J960">
        <f>'2 transformar y limpiar'!J974</f>
        <v/>
      </c>
      <c r="K960">
        <f>'2 transformar y limpiar'!K974</f>
        <v/>
      </c>
      <c r="L960">
        <f>'2 transformar y limpiar'!L974</f>
        <v/>
      </c>
      <c r="M960">
        <f>'2 transformar y limpiar'!M974</f>
        <v/>
      </c>
      <c r="N960">
        <f>'2 transformar y limpiar'!N974</f>
        <v/>
      </c>
      <c r="O960">
        <f>'2 transformar y limpiar'!O974</f>
        <v/>
      </c>
      <c r="P960">
        <f>'2 transformar y limpiar'!P974</f>
        <v/>
      </c>
      <c r="Q960">
        <f>'2 transformar y limpiar'!Q974</f>
        <v/>
      </c>
      <c r="R960">
        <f>'2 transformar y limpiar'!R974</f>
        <v/>
      </c>
      <c r="S960">
        <f>'2 transformar y limpiar'!S974</f>
        <v/>
      </c>
      <c r="T960">
        <f>'2 transformar y limpiar'!T974</f>
        <v/>
      </c>
      <c r="U960" s="5">
        <f>'2 transformar y limpiar'!U974</f>
        <v/>
      </c>
    </row>
    <row r="961">
      <c r="A961">
        <f>'2 transformar y limpiar'!A975</f>
        <v/>
      </c>
      <c r="B961">
        <f>'2 transformar y limpiar'!B975</f>
        <v/>
      </c>
      <c r="C961" s="6">
        <f>('2 transformar y limpiar'!C975-$B$6)/$C$6</f>
        <v/>
      </c>
      <c r="D961" s="6">
        <f>('2 transformar y limpiar'!D975-$B$7)/$C$7</f>
        <v/>
      </c>
      <c r="E961" s="6">
        <f>('2 transformar y limpiar'!E975-$B$8)/$C$8</f>
        <v/>
      </c>
      <c r="F961" s="6">
        <f>('2 transformar y limpiar'!F975-$B$9)/$C$9</f>
        <v/>
      </c>
      <c r="G961">
        <f>'2 transformar y limpiar'!G975</f>
        <v/>
      </c>
      <c r="H961">
        <f>'2 transformar y limpiar'!H975</f>
        <v/>
      </c>
      <c r="I961">
        <f>'2 transformar y limpiar'!I975</f>
        <v/>
      </c>
      <c r="J961">
        <f>'2 transformar y limpiar'!J975</f>
        <v/>
      </c>
      <c r="K961">
        <f>'2 transformar y limpiar'!K975</f>
        <v/>
      </c>
      <c r="L961">
        <f>'2 transformar y limpiar'!L975</f>
        <v/>
      </c>
      <c r="M961">
        <f>'2 transformar y limpiar'!M975</f>
        <v/>
      </c>
      <c r="N961">
        <f>'2 transformar y limpiar'!N975</f>
        <v/>
      </c>
      <c r="O961">
        <f>'2 transformar y limpiar'!O975</f>
        <v/>
      </c>
      <c r="P961">
        <f>'2 transformar y limpiar'!P975</f>
        <v/>
      </c>
      <c r="Q961">
        <f>'2 transformar y limpiar'!Q975</f>
        <v/>
      </c>
      <c r="R961">
        <f>'2 transformar y limpiar'!R975</f>
        <v/>
      </c>
      <c r="S961">
        <f>'2 transformar y limpiar'!S975</f>
        <v/>
      </c>
      <c r="T961">
        <f>'2 transformar y limpiar'!T975</f>
        <v/>
      </c>
      <c r="U961" s="5">
        <f>'2 transformar y limpiar'!U975</f>
        <v/>
      </c>
    </row>
    <row r="962">
      <c r="A962">
        <f>'2 transformar y limpiar'!A976</f>
        <v/>
      </c>
      <c r="B962">
        <f>'2 transformar y limpiar'!B976</f>
        <v/>
      </c>
      <c r="C962" s="6">
        <f>('2 transformar y limpiar'!C976-$B$6)/$C$6</f>
        <v/>
      </c>
      <c r="D962" s="6">
        <f>('2 transformar y limpiar'!D976-$B$7)/$C$7</f>
        <v/>
      </c>
      <c r="E962" s="6">
        <f>('2 transformar y limpiar'!E976-$B$8)/$C$8</f>
        <v/>
      </c>
      <c r="F962" s="6">
        <f>('2 transformar y limpiar'!F976-$B$9)/$C$9</f>
        <v/>
      </c>
      <c r="G962">
        <f>'2 transformar y limpiar'!G976</f>
        <v/>
      </c>
      <c r="H962">
        <f>'2 transformar y limpiar'!H976</f>
        <v/>
      </c>
      <c r="I962">
        <f>'2 transformar y limpiar'!I976</f>
        <v/>
      </c>
      <c r="J962">
        <f>'2 transformar y limpiar'!J976</f>
        <v/>
      </c>
      <c r="K962">
        <f>'2 transformar y limpiar'!K976</f>
        <v/>
      </c>
      <c r="L962">
        <f>'2 transformar y limpiar'!L976</f>
        <v/>
      </c>
      <c r="M962">
        <f>'2 transformar y limpiar'!M976</f>
        <v/>
      </c>
      <c r="N962">
        <f>'2 transformar y limpiar'!N976</f>
        <v/>
      </c>
      <c r="O962">
        <f>'2 transformar y limpiar'!O976</f>
        <v/>
      </c>
      <c r="P962">
        <f>'2 transformar y limpiar'!P976</f>
        <v/>
      </c>
      <c r="Q962">
        <f>'2 transformar y limpiar'!Q976</f>
        <v/>
      </c>
      <c r="R962">
        <f>'2 transformar y limpiar'!R976</f>
        <v/>
      </c>
      <c r="S962">
        <f>'2 transformar y limpiar'!S976</f>
        <v/>
      </c>
      <c r="T962">
        <f>'2 transformar y limpiar'!T976</f>
        <v/>
      </c>
      <c r="U962" s="5">
        <f>'2 transformar y limpiar'!U976</f>
        <v/>
      </c>
    </row>
    <row r="963">
      <c r="A963">
        <f>'2 transformar y limpiar'!A977</f>
        <v/>
      </c>
      <c r="B963">
        <f>'2 transformar y limpiar'!B977</f>
        <v/>
      </c>
      <c r="C963" s="6">
        <f>('2 transformar y limpiar'!C977-$B$6)/$C$6</f>
        <v/>
      </c>
      <c r="D963" s="6">
        <f>('2 transformar y limpiar'!D977-$B$7)/$C$7</f>
        <v/>
      </c>
      <c r="E963" s="6">
        <f>('2 transformar y limpiar'!E977-$B$8)/$C$8</f>
        <v/>
      </c>
      <c r="F963" s="6">
        <f>('2 transformar y limpiar'!F977-$B$9)/$C$9</f>
        <v/>
      </c>
      <c r="G963">
        <f>'2 transformar y limpiar'!G977</f>
        <v/>
      </c>
      <c r="H963">
        <f>'2 transformar y limpiar'!H977</f>
        <v/>
      </c>
      <c r="I963">
        <f>'2 transformar y limpiar'!I977</f>
        <v/>
      </c>
      <c r="J963">
        <f>'2 transformar y limpiar'!J977</f>
        <v/>
      </c>
      <c r="K963">
        <f>'2 transformar y limpiar'!K977</f>
        <v/>
      </c>
      <c r="L963">
        <f>'2 transformar y limpiar'!L977</f>
        <v/>
      </c>
      <c r="M963">
        <f>'2 transformar y limpiar'!M977</f>
        <v/>
      </c>
      <c r="N963">
        <f>'2 transformar y limpiar'!N977</f>
        <v/>
      </c>
      <c r="O963">
        <f>'2 transformar y limpiar'!O977</f>
        <v/>
      </c>
      <c r="P963">
        <f>'2 transformar y limpiar'!P977</f>
        <v/>
      </c>
      <c r="Q963">
        <f>'2 transformar y limpiar'!Q977</f>
        <v/>
      </c>
      <c r="R963">
        <f>'2 transformar y limpiar'!R977</f>
        <v/>
      </c>
      <c r="S963">
        <f>'2 transformar y limpiar'!S977</f>
        <v/>
      </c>
      <c r="T963">
        <f>'2 transformar y limpiar'!T977</f>
        <v/>
      </c>
      <c r="U963" s="5">
        <f>'2 transformar y limpiar'!U977</f>
        <v/>
      </c>
    </row>
    <row r="964">
      <c r="A964">
        <f>'2 transformar y limpiar'!A978</f>
        <v/>
      </c>
      <c r="B964">
        <f>'2 transformar y limpiar'!B978</f>
        <v/>
      </c>
      <c r="C964" s="6">
        <f>('2 transformar y limpiar'!C978-$B$6)/$C$6</f>
        <v/>
      </c>
      <c r="D964" s="6">
        <f>('2 transformar y limpiar'!D978-$B$7)/$C$7</f>
        <v/>
      </c>
      <c r="E964" s="6">
        <f>('2 transformar y limpiar'!E978-$B$8)/$C$8</f>
        <v/>
      </c>
      <c r="F964" s="6">
        <f>('2 transformar y limpiar'!F978-$B$9)/$C$9</f>
        <v/>
      </c>
      <c r="G964">
        <f>'2 transformar y limpiar'!G978</f>
        <v/>
      </c>
      <c r="H964">
        <f>'2 transformar y limpiar'!H978</f>
        <v/>
      </c>
      <c r="I964">
        <f>'2 transformar y limpiar'!I978</f>
        <v/>
      </c>
      <c r="J964">
        <f>'2 transformar y limpiar'!J978</f>
        <v/>
      </c>
      <c r="K964">
        <f>'2 transformar y limpiar'!K978</f>
        <v/>
      </c>
      <c r="L964">
        <f>'2 transformar y limpiar'!L978</f>
        <v/>
      </c>
      <c r="M964">
        <f>'2 transformar y limpiar'!M978</f>
        <v/>
      </c>
      <c r="N964">
        <f>'2 transformar y limpiar'!N978</f>
        <v/>
      </c>
      <c r="O964">
        <f>'2 transformar y limpiar'!O978</f>
        <v/>
      </c>
      <c r="P964">
        <f>'2 transformar y limpiar'!P978</f>
        <v/>
      </c>
      <c r="Q964">
        <f>'2 transformar y limpiar'!Q978</f>
        <v/>
      </c>
      <c r="R964">
        <f>'2 transformar y limpiar'!R978</f>
        <v/>
      </c>
      <c r="S964">
        <f>'2 transformar y limpiar'!S978</f>
        <v/>
      </c>
      <c r="T964">
        <f>'2 transformar y limpiar'!T978</f>
        <v/>
      </c>
      <c r="U964" s="5">
        <f>'2 transformar y limpiar'!U978</f>
        <v/>
      </c>
    </row>
    <row r="965">
      <c r="A965">
        <f>'2 transformar y limpiar'!A979</f>
        <v/>
      </c>
      <c r="B965">
        <f>'2 transformar y limpiar'!B979</f>
        <v/>
      </c>
      <c r="C965" s="6">
        <f>('2 transformar y limpiar'!C979-$B$6)/$C$6</f>
        <v/>
      </c>
      <c r="D965" s="6">
        <f>('2 transformar y limpiar'!D979-$B$7)/$C$7</f>
        <v/>
      </c>
      <c r="E965" s="6">
        <f>('2 transformar y limpiar'!E979-$B$8)/$C$8</f>
        <v/>
      </c>
      <c r="F965" s="6">
        <f>('2 transformar y limpiar'!F979-$B$9)/$C$9</f>
        <v/>
      </c>
      <c r="G965">
        <f>'2 transformar y limpiar'!G979</f>
        <v/>
      </c>
      <c r="H965">
        <f>'2 transformar y limpiar'!H979</f>
        <v/>
      </c>
      <c r="I965">
        <f>'2 transformar y limpiar'!I979</f>
        <v/>
      </c>
      <c r="J965">
        <f>'2 transformar y limpiar'!J979</f>
        <v/>
      </c>
      <c r="K965">
        <f>'2 transformar y limpiar'!K979</f>
        <v/>
      </c>
      <c r="L965">
        <f>'2 transformar y limpiar'!L979</f>
        <v/>
      </c>
      <c r="M965">
        <f>'2 transformar y limpiar'!M979</f>
        <v/>
      </c>
      <c r="N965">
        <f>'2 transformar y limpiar'!N979</f>
        <v/>
      </c>
      <c r="O965">
        <f>'2 transformar y limpiar'!O979</f>
        <v/>
      </c>
      <c r="P965">
        <f>'2 transformar y limpiar'!P979</f>
        <v/>
      </c>
      <c r="Q965">
        <f>'2 transformar y limpiar'!Q979</f>
        <v/>
      </c>
      <c r="R965">
        <f>'2 transformar y limpiar'!R979</f>
        <v/>
      </c>
      <c r="S965">
        <f>'2 transformar y limpiar'!S979</f>
        <v/>
      </c>
      <c r="T965">
        <f>'2 transformar y limpiar'!T979</f>
        <v/>
      </c>
      <c r="U965" s="5">
        <f>'2 transformar y limpiar'!U979</f>
        <v/>
      </c>
    </row>
    <row r="966">
      <c r="A966">
        <f>'2 transformar y limpiar'!A980</f>
        <v/>
      </c>
      <c r="B966">
        <f>'2 transformar y limpiar'!B980</f>
        <v/>
      </c>
      <c r="C966" s="6">
        <f>('2 transformar y limpiar'!C980-$B$6)/$C$6</f>
        <v/>
      </c>
      <c r="D966" s="6">
        <f>('2 transformar y limpiar'!D980-$B$7)/$C$7</f>
        <v/>
      </c>
      <c r="E966" s="6">
        <f>('2 transformar y limpiar'!E980-$B$8)/$C$8</f>
        <v/>
      </c>
      <c r="F966" s="6">
        <f>('2 transformar y limpiar'!F980-$B$9)/$C$9</f>
        <v/>
      </c>
      <c r="G966">
        <f>'2 transformar y limpiar'!G980</f>
        <v/>
      </c>
      <c r="H966">
        <f>'2 transformar y limpiar'!H980</f>
        <v/>
      </c>
      <c r="I966">
        <f>'2 transformar y limpiar'!I980</f>
        <v/>
      </c>
      <c r="J966">
        <f>'2 transformar y limpiar'!J980</f>
        <v/>
      </c>
      <c r="K966">
        <f>'2 transformar y limpiar'!K980</f>
        <v/>
      </c>
      <c r="L966">
        <f>'2 transformar y limpiar'!L980</f>
        <v/>
      </c>
      <c r="M966">
        <f>'2 transformar y limpiar'!M980</f>
        <v/>
      </c>
      <c r="N966">
        <f>'2 transformar y limpiar'!N980</f>
        <v/>
      </c>
      <c r="O966">
        <f>'2 transformar y limpiar'!O980</f>
        <v/>
      </c>
      <c r="P966">
        <f>'2 transformar y limpiar'!P980</f>
        <v/>
      </c>
      <c r="Q966">
        <f>'2 transformar y limpiar'!Q980</f>
        <v/>
      </c>
      <c r="R966">
        <f>'2 transformar y limpiar'!R980</f>
        <v/>
      </c>
      <c r="S966">
        <f>'2 transformar y limpiar'!S980</f>
        <v/>
      </c>
      <c r="T966">
        <f>'2 transformar y limpiar'!T980</f>
        <v/>
      </c>
      <c r="U966" s="5">
        <f>'2 transformar y limpiar'!U980</f>
        <v/>
      </c>
    </row>
    <row r="967">
      <c r="A967">
        <f>'2 transformar y limpiar'!A981</f>
        <v/>
      </c>
      <c r="B967">
        <f>'2 transformar y limpiar'!B981</f>
        <v/>
      </c>
      <c r="C967" s="6">
        <f>('2 transformar y limpiar'!C981-$B$6)/$C$6</f>
        <v/>
      </c>
      <c r="D967" s="6">
        <f>('2 transformar y limpiar'!D981-$B$7)/$C$7</f>
        <v/>
      </c>
      <c r="E967" s="6">
        <f>('2 transformar y limpiar'!E981-$B$8)/$C$8</f>
        <v/>
      </c>
      <c r="F967" s="6">
        <f>('2 transformar y limpiar'!F981-$B$9)/$C$9</f>
        <v/>
      </c>
      <c r="G967">
        <f>'2 transformar y limpiar'!G981</f>
        <v/>
      </c>
      <c r="H967">
        <f>'2 transformar y limpiar'!H981</f>
        <v/>
      </c>
      <c r="I967">
        <f>'2 transformar y limpiar'!I981</f>
        <v/>
      </c>
      <c r="J967">
        <f>'2 transformar y limpiar'!J981</f>
        <v/>
      </c>
      <c r="K967">
        <f>'2 transformar y limpiar'!K981</f>
        <v/>
      </c>
      <c r="L967">
        <f>'2 transformar y limpiar'!L981</f>
        <v/>
      </c>
      <c r="M967">
        <f>'2 transformar y limpiar'!M981</f>
        <v/>
      </c>
      <c r="N967">
        <f>'2 transformar y limpiar'!N981</f>
        <v/>
      </c>
      <c r="O967">
        <f>'2 transformar y limpiar'!O981</f>
        <v/>
      </c>
      <c r="P967">
        <f>'2 transformar y limpiar'!P981</f>
        <v/>
      </c>
      <c r="Q967">
        <f>'2 transformar y limpiar'!Q981</f>
        <v/>
      </c>
      <c r="R967">
        <f>'2 transformar y limpiar'!R981</f>
        <v/>
      </c>
      <c r="S967">
        <f>'2 transformar y limpiar'!S981</f>
        <v/>
      </c>
      <c r="T967">
        <f>'2 transformar y limpiar'!T981</f>
        <v/>
      </c>
      <c r="U967" s="5">
        <f>'2 transformar y limpiar'!U981</f>
        <v/>
      </c>
    </row>
    <row r="968">
      <c r="A968">
        <f>'2 transformar y limpiar'!A982</f>
        <v/>
      </c>
      <c r="B968">
        <f>'2 transformar y limpiar'!B982</f>
        <v/>
      </c>
      <c r="C968" s="6">
        <f>('2 transformar y limpiar'!C982-$B$6)/$C$6</f>
        <v/>
      </c>
      <c r="D968" s="6">
        <f>('2 transformar y limpiar'!D982-$B$7)/$C$7</f>
        <v/>
      </c>
      <c r="E968" s="6">
        <f>('2 transformar y limpiar'!E982-$B$8)/$C$8</f>
        <v/>
      </c>
      <c r="F968" s="6">
        <f>('2 transformar y limpiar'!F982-$B$9)/$C$9</f>
        <v/>
      </c>
      <c r="G968">
        <f>'2 transformar y limpiar'!G982</f>
        <v/>
      </c>
      <c r="H968">
        <f>'2 transformar y limpiar'!H982</f>
        <v/>
      </c>
      <c r="I968">
        <f>'2 transformar y limpiar'!I982</f>
        <v/>
      </c>
      <c r="J968">
        <f>'2 transformar y limpiar'!J982</f>
        <v/>
      </c>
      <c r="K968">
        <f>'2 transformar y limpiar'!K982</f>
        <v/>
      </c>
      <c r="L968">
        <f>'2 transformar y limpiar'!L982</f>
        <v/>
      </c>
      <c r="M968">
        <f>'2 transformar y limpiar'!M982</f>
        <v/>
      </c>
      <c r="N968">
        <f>'2 transformar y limpiar'!N982</f>
        <v/>
      </c>
      <c r="O968">
        <f>'2 transformar y limpiar'!O982</f>
        <v/>
      </c>
      <c r="P968">
        <f>'2 transformar y limpiar'!P982</f>
        <v/>
      </c>
      <c r="Q968">
        <f>'2 transformar y limpiar'!Q982</f>
        <v/>
      </c>
      <c r="R968">
        <f>'2 transformar y limpiar'!R982</f>
        <v/>
      </c>
      <c r="S968">
        <f>'2 transformar y limpiar'!S982</f>
        <v/>
      </c>
      <c r="T968">
        <f>'2 transformar y limpiar'!T982</f>
        <v/>
      </c>
      <c r="U968" s="5">
        <f>'2 transformar y limpiar'!U982</f>
        <v/>
      </c>
    </row>
    <row r="969">
      <c r="A969">
        <f>'2 transformar y limpiar'!A983</f>
        <v/>
      </c>
      <c r="B969">
        <f>'2 transformar y limpiar'!B983</f>
        <v/>
      </c>
      <c r="C969" s="6">
        <f>('2 transformar y limpiar'!C983-$B$6)/$C$6</f>
        <v/>
      </c>
      <c r="D969" s="6">
        <f>('2 transformar y limpiar'!D983-$B$7)/$C$7</f>
        <v/>
      </c>
      <c r="E969" s="6">
        <f>('2 transformar y limpiar'!E983-$B$8)/$C$8</f>
        <v/>
      </c>
      <c r="F969" s="6">
        <f>('2 transformar y limpiar'!F983-$B$9)/$C$9</f>
        <v/>
      </c>
      <c r="G969">
        <f>'2 transformar y limpiar'!G983</f>
        <v/>
      </c>
      <c r="H969">
        <f>'2 transformar y limpiar'!H983</f>
        <v/>
      </c>
      <c r="I969">
        <f>'2 transformar y limpiar'!I983</f>
        <v/>
      </c>
      <c r="J969">
        <f>'2 transformar y limpiar'!J983</f>
        <v/>
      </c>
      <c r="K969">
        <f>'2 transformar y limpiar'!K983</f>
        <v/>
      </c>
      <c r="L969">
        <f>'2 transformar y limpiar'!L983</f>
        <v/>
      </c>
      <c r="M969">
        <f>'2 transformar y limpiar'!M983</f>
        <v/>
      </c>
      <c r="N969">
        <f>'2 transformar y limpiar'!N983</f>
        <v/>
      </c>
      <c r="O969">
        <f>'2 transformar y limpiar'!O983</f>
        <v/>
      </c>
      <c r="P969">
        <f>'2 transformar y limpiar'!P983</f>
        <v/>
      </c>
      <c r="Q969">
        <f>'2 transformar y limpiar'!Q983</f>
        <v/>
      </c>
      <c r="R969">
        <f>'2 transformar y limpiar'!R983</f>
        <v/>
      </c>
      <c r="S969">
        <f>'2 transformar y limpiar'!S983</f>
        <v/>
      </c>
      <c r="T969">
        <f>'2 transformar y limpiar'!T983</f>
        <v/>
      </c>
      <c r="U969" s="5">
        <f>'2 transformar y limpiar'!U983</f>
        <v/>
      </c>
    </row>
    <row r="970">
      <c r="A970">
        <f>'2 transformar y limpiar'!A984</f>
        <v/>
      </c>
      <c r="B970">
        <f>'2 transformar y limpiar'!B984</f>
        <v/>
      </c>
      <c r="C970" s="6">
        <f>('2 transformar y limpiar'!C984-$B$6)/$C$6</f>
        <v/>
      </c>
      <c r="D970" s="6">
        <f>('2 transformar y limpiar'!D984-$B$7)/$C$7</f>
        <v/>
      </c>
      <c r="E970" s="6">
        <f>('2 transformar y limpiar'!E984-$B$8)/$C$8</f>
        <v/>
      </c>
      <c r="F970" s="6">
        <f>('2 transformar y limpiar'!F984-$B$9)/$C$9</f>
        <v/>
      </c>
      <c r="G970">
        <f>'2 transformar y limpiar'!G984</f>
        <v/>
      </c>
      <c r="H970">
        <f>'2 transformar y limpiar'!H984</f>
        <v/>
      </c>
      <c r="I970">
        <f>'2 transformar y limpiar'!I984</f>
        <v/>
      </c>
      <c r="J970">
        <f>'2 transformar y limpiar'!J984</f>
        <v/>
      </c>
      <c r="K970">
        <f>'2 transformar y limpiar'!K984</f>
        <v/>
      </c>
      <c r="L970">
        <f>'2 transformar y limpiar'!L984</f>
        <v/>
      </c>
      <c r="M970">
        <f>'2 transformar y limpiar'!M984</f>
        <v/>
      </c>
      <c r="N970">
        <f>'2 transformar y limpiar'!N984</f>
        <v/>
      </c>
      <c r="O970">
        <f>'2 transformar y limpiar'!O984</f>
        <v/>
      </c>
      <c r="P970">
        <f>'2 transformar y limpiar'!P984</f>
        <v/>
      </c>
      <c r="Q970">
        <f>'2 transformar y limpiar'!Q984</f>
        <v/>
      </c>
      <c r="R970">
        <f>'2 transformar y limpiar'!R984</f>
        <v/>
      </c>
      <c r="S970">
        <f>'2 transformar y limpiar'!S984</f>
        <v/>
      </c>
      <c r="T970">
        <f>'2 transformar y limpiar'!T984</f>
        <v/>
      </c>
      <c r="U970" s="5">
        <f>'2 transformar y limpiar'!U984</f>
        <v/>
      </c>
    </row>
    <row r="971">
      <c r="A971">
        <f>'2 transformar y limpiar'!A985</f>
        <v/>
      </c>
      <c r="B971">
        <f>'2 transformar y limpiar'!B985</f>
        <v/>
      </c>
      <c r="C971" s="6">
        <f>('2 transformar y limpiar'!C985-$B$6)/$C$6</f>
        <v/>
      </c>
      <c r="D971" s="6">
        <f>('2 transformar y limpiar'!D985-$B$7)/$C$7</f>
        <v/>
      </c>
      <c r="E971" s="6">
        <f>('2 transformar y limpiar'!E985-$B$8)/$C$8</f>
        <v/>
      </c>
      <c r="F971" s="6">
        <f>('2 transformar y limpiar'!F985-$B$9)/$C$9</f>
        <v/>
      </c>
      <c r="G971">
        <f>'2 transformar y limpiar'!G985</f>
        <v/>
      </c>
      <c r="H971">
        <f>'2 transformar y limpiar'!H985</f>
        <v/>
      </c>
      <c r="I971">
        <f>'2 transformar y limpiar'!I985</f>
        <v/>
      </c>
      <c r="J971">
        <f>'2 transformar y limpiar'!J985</f>
        <v/>
      </c>
      <c r="K971">
        <f>'2 transformar y limpiar'!K985</f>
        <v/>
      </c>
      <c r="L971">
        <f>'2 transformar y limpiar'!L985</f>
        <v/>
      </c>
      <c r="M971">
        <f>'2 transformar y limpiar'!M985</f>
        <v/>
      </c>
      <c r="N971">
        <f>'2 transformar y limpiar'!N985</f>
        <v/>
      </c>
      <c r="O971">
        <f>'2 transformar y limpiar'!O985</f>
        <v/>
      </c>
      <c r="P971">
        <f>'2 transformar y limpiar'!P985</f>
        <v/>
      </c>
      <c r="Q971">
        <f>'2 transformar y limpiar'!Q985</f>
        <v/>
      </c>
      <c r="R971">
        <f>'2 transformar y limpiar'!R985</f>
        <v/>
      </c>
      <c r="S971">
        <f>'2 transformar y limpiar'!S985</f>
        <v/>
      </c>
      <c r="T971">
        <f>'2 transformar y limpiar'!T985</f>
        <v/>
      </c>
      <c r="U971" s="5">
        <f>'2 transformar y limpiar'!U985</f>
        <v/>
      </c>
    </row>
    <row r="972">
      <c r="A972">
        <f>'2 transformar y limpiar'!A986</f>
        <v/>
      </c>
      <c r="B972">
        <f>'2 transformar y limpiar'!B986</f>
        <v/>
      </c>
      <c r="C972" s="6">
        <f>('2 transformar y limpiar'!C986-$B$6)/$C$6</f>
        <v/>
      </c>
      <c r="D972" s="6">
        <f>('2 transformar y limpiar'!D986-$B$7)/$C$7</f>
        <v/>
      </c>
      <c r="E972" s="6">
        <f>('2 transformar y limpiar'!E986-$B$8)/$C$8</f>
        <v/>
      </c>
      <c r="F972" s="6">
        <f>('2 transformar y limpiar'!F986-$B$9)/$C$9</f>
        <v/>
      </c>
      <c r="G972">
        <f>'2 transformar y limpiar'!G986</f>
        <v/>
      </c>
      <c r="H972">
        <f>'2 transformar y limpiar'!H986</f>
        <v/>
      </c>
      <c r="I972">
        <f>'2 transformar y limpiar'!I986</f>
        <v/>
      </c>
      <c r="J972">
        <f>'2 transformar y limpiar'!J986</f>
        <v/>
      </c>
      <c r="K972">
        <f>'2 transformar y limpiar'!K986</f>
        <v/>
      </c>
      <c r="L972">
        <f>'2 transformar y limpiar'!L986</f>
        <v/>
      </c>
      <c r="M972">
        <f>'2 transformar y limpiar'!M986</f>
        <v/>
      </c>
      <c r="N972">
        <f>'2 transformar y limpiar'!N986</f>
        <v/>
      </c>
      <c r="O972">
        <f>'2 transformar y limpiar'!O986</f>
        <v/>
      </c>
      <c r="P972">
        <f>'2 transformar y limpiar'!P986</f>
        <v/>
      </c>
      <c r="Q972">
        <f>'2 transformar y limpiar'!Q986</f>
        <v/>
      </c>
      <c r="R972">
        <f>'2 transformar y limpiar'!R986</f>
        <v/>
      </c>
      <c r="S972">
        <f>'2 transformar y limpiar'!S986</f>
        <v/>
      </c>
      <c r="T972">
        <f>'2 transformar y limpiar'!T986</f>
        <v/>
      </c>
      <c r="U972" s="5">
        <f>'2 transformar y limpiar'!U986</f>
        <v/>
      </c>
    </row>
    <row r="973">
      <c r="A973">
        <f>'2 transformar y limpiar'!A987</f>
        <v/>
      </c>
      <c r="B973">
        <f>'2 transformar y limpiar'!B987</f>
        <v/>
      </c>
      <c r="C973" s="6">
        <f>('2 transformar y limpiar'!C987-$B$6)/$C$6</f>
        <v/>
      </c>
      <c r="D973" s="6">
        <f>('2 transformar y limpiar'!D987-$B$7)/$C$7</f>
        <v/>
      </c>
      <c r="E973" s="6">
        <f>('2 transformar y limpiar'!E987-$B$8)/$C$8</f>
        <v/>
      </c>
      <c r="F973" s="6">
        <f>('2 transformar y limpiar'!F987-$B$9)/$C$9</f>
        <v/>
      </c>
      <c r="G973">
        <f>'2 transformar y limpiar'!G987</f>
        <v/>
      </c>
      <c r="H973">
        <f>'2 transformar y limpiar'!H987</f>
        <v/>
      </c>
      <c r="I973">
        <f>'2 transformar y limpiar'!I987</f>
        <v/>
      </c>
      <c r="J973">
        <f>'2 transformar y limpiar'!J987</f>
        <v/>
      </c>
      <c r="K973">
        <f>'2 transformar y limpiar'!K987</f>
        <v/>
      </c>
      <c r="L973">
        <f>'2 transformar y limpiar'!L987</f>
        <v/>
      </c>
      <c r="M973">
        <f>'2 transformar y limpiar'!M987</f>
        <v/>
      </c>
      <c r="N973">
        <f>'2 transformar y limpiar'!N987</f>
        <v/>
      </c>
      <c r="O973">
        <f>'2 transformar y limpiar'!O987</f>
        <v/>
      </c>
      <c r="P973">
        <f>'2 transformar y limpiar'!P987</f>
        <v/>
      </c>
      <c r="Q973">
        <f>'2 transformar y limpiar'!Q987</f>
        <v/>
      </c>
      <c r="R973">
        <f>'2 transformar y limpiar'!R987</f>
        <v/>
      </c>
      <c r="S973">
        <f>'2 transformar y limpiar'!S987</f>
        <v/>
      </c>
      <c r="T973">
        <f>'2 transformar y limpiar'!T987</f>
        <v/>
      </c>
      <c r="U973" s="5">
        <f>'2 transformar y limpiar'!U987</f>
        <v/>
      </c>
    </row>
    <row r="974">
      <c r="A974">
        <f>'2 transformar y limpiar'!A988</f>
        <v/>
      </c>
      <c r="B974">
        <f>'2 transformar y limpiar'!B988</f>
        <v/>
      </c>
      <c r="C974" s="6">
        <f>('2 transformar y limpiar'!C988-$B$6)/$C$6</f>
        <v/>
      </c>
      <c r="D974" s="6">
        <f>('2 transformar y limpiar'!D988-$B$7)/$C$7</f>
        <v/>
      </c>
      <c r="E974" s="6">
        <f>('2 transformar y limpiar'!E988-$B$8)/$C$8</f>
        <v/>
      </c>
      <c r="F974" s="6">
        <f>('2 transformar y limpiar'!F988-$B$9)/$C$9</f>
        <v/>
      </c>
      <c r="G974">
        <f>'2 transformar y limpiar'!G988</f>
        <v/>
      </c>
      <c r="H974">
        <f>'2 transformar y limpiar'!H988</f>
        <v/>
      </c>
      <c r="I974">
        <f>'2 transformar y limpiar'!I988</f>
        <v/>
      </c>
      <c r="J974">
        <f>'2 transformar y limpiar'!J988</f>
        <v/>
      </c>
      <c r="K974">
        <f>'2 transformar y limpiar'!K988</f>
        <v/>
      </c>
      <c r="L974">
        <f>'2 transformar y limpiar'!L988</f>
        <v/>
      </c>
      <c r="M974">
        <f>'2 transformar y limpiar'!M988</f>
        <v/>
      </c>
      <c r="N974">
        <f>'2 transformar y limpiar'!N988</f>
        <v/>
      </c>
      <c r="O974">
        <f>'2 transformar y limpiar'!O988</f>
        <v/>
      </c>
      <c r="P974">
        <f>'2 transformar y limpiar'!P988</f>
        <v/>
      </c>
      <c r="Q974">
        <f>'2 transformar y limpiar'!Q988</f>
        <v/>
      </c>
      <c r="R974">
        <f>'2 transformar y limpiar'!R988</f>
        <v/>
      </c>
      <c r="S974">
        <f>'2 transformar y limpiar'!S988</f>
        <v/>
      </c>
      <c r="T974">
        <f>'2 transformar y limpiar'!T988</f>
        <v/>
      </c>
      <c r="U974" s="5">
        <f>'2 transformar y limpiar'!U988</f>
        <v/>
      </c>
    </row>
    <row r="975">
      <c r="A975">
        <f>'2 transformar y limpiar'!A989</f>
        <v/>
      </c>
      <c r="B975">
        <f>'2 transformar y limpiar'!B989</f>
        <v/>
      </c>
      <c r="C975" s="6">
        <f>('2 transformar y limpiar'!C989-$B$6)/$C$6</f>
        <v/>
      </c>
      <c r="D975" s="6">
        <f>('2 transformar y limpiar'!D989-$B$7)/$C$7</f>
        <v/>
      </c>
      <c r="E975" s="6">
        <f>('2 transformar y limpiar'!E989-$B$8)/$C$8</f>
        <v/>
      </c>
      <c r="F975" s="6">
        <f>('2 transformar y limpiar'!F989-$B$9)/$C$9</f>
        <v/>
      </c>
      <c r="G975">
        <f>'2 transformar y limpiar'!G989</f>
        <v/>
      </c>
      <c r="H975">
        <f>'2 transformar y limpiar'!H989</f>
        <v/>
      </c>
      <c r="I975">
        <f>'2 transformar y limpiar'!I989</f>
        <v/>
      </c>
      <c r="J975">
        <f>'2 transformar y limpiar'!J989</f>
        <v/>
      </c>
      <c r="K975">
        <f>'2 transformar y limpiar'!K989</f>
        <v/>
      </c>
      <c r="L975">
        <f>'2 transformar y limpiar'!L989</f>
        <v/>
      </c>
      <c r="M975">
        <f>'2 transformar y limpiar'!M989</f>
        <v/>
      </c>
      <c r="N975">
        <f>'2 transformar y limpiar'!N989</f>
        <v/>
      </c>
      <c r="O975">
        <f>'2 transformar y limpiar'!O989</f>
        <v/>
      </c>
      <c r="P975">
        <f>'2 transformar y limpiar'!P989</f>
        <v/>
      </c>
      <c r="Q975">
        <f>'2 transformar y limpiar'!Q989</f>
        <v/>
      </c>
      <c r="R975">
        <f>'2 transformar y limpiar'!R989</f>
        <v/>
      </c>
      <c r="S975">
        <f>'2 transformar y limpiar'!S989</f>
        <v/>
      </c>
      <c r="T975">
        <f>'2 transformar y limpiar'!T989</f>
        <v/>
      </c>
      <c r="U975" s="5">
        <f>'2 transformar y limpiar'!U989</f>
        <v/>
      </c>
    </row>
    <row r="976">
      <c r="A976">
        <f>'2 transformar y limpiar'!A990</f>
        <v/>
      </c>
      <c r="B976">
        <f>'2 transformar y limpiar'!B990</f>
        <v/>
      </c>
      <c r="C976" s="6">
        <f>('2 transformar y limpiar'!C990-$B$6)/$C$6</f>
        <v/>
      </c>
      <c r="D976" s="6">
        <f>('2 transformar y limpiar'!D990-$B$7)/$C$7</f>
        <v/>
      </c>
      <c r="E976" s="6">
        <f>('2 transformar y limpiar'!E990-$B$8)/$C$8</f>
        <v/>
      </c>
      <c r="F976" s="6">
        <f>('2 transformar y limpiar'!F990-$B$9)/$C$9</f>
        <v/>
      </c>
      <c r="G976">
        <f>'2 transformar y limpiar'!G990</f>
        <v/>
      </c>
      <c r="H976">
        <f>'2 transformar y limpiar'!H990</f>
        <v/>
      </c>
      <c r="I976">
        <f>'2 transformar y limpiar'!I990</f>
        <v/>
      </c>
      <c r="J976">
        <f>'2 transformar y limpiar'!J990</f>
        <v/>
      </c>
      <c r="K976">
        <f>'2 transformar y limpiar'!K990</f>
        <v/>
      </c>
      <c r="L976">
        <f>'2 transformar y limpiar'!L990</f>
        <v/>
      </c>
      <c r="M976">
        <f>'2 transformar y limpiar'!M990</f>
        <v/>
      </c>
      <c r="N976">
        <f>'2 transformar y limpiar'!N990</f>
        <v/>
      </c>
      <c r="O976">
        <f>'2 transformar y limpiar'!O990</f>
        <v/>
      </c>
      <c r="P976">
        <f>'2 transformar y limpiar'!P990</f>
        <v/>
      </c>
      <c r="Q976">
        <f>'2 transformar y limpiar'!Q990</f>
        <v/>
      </c>
      <c r="R976">
        <f>'2 transformar y limpiar'!R990</f>
        <v/>
      </c>
      <c r="S976">
        <f>'2 transformar y limpiar'!S990</f>
        <v/>
      </c>
      <c r="T976">
        <f>'2 transformar y limpiar'!T990</f>
        <v/>
      </c>
      <c r="U976" s="5">
        <f>'2 transformar y limpiar'!U990</f>
        <v/>
      </c>
    </row>
    <row r="977">
      <c r="A977">
        <f>'2 transformar y limpiar'!A991</f>
        <v/>
      </c>
      <c r="B977">
        <f>'2 transformar y limpiar'!B991</f>
        <v/>
      </c>
      <c r="C977" s="6">
        <f>('2 transformar y limpiar'!C991-$B$6)/$C$6</f>
        <v/>
      </c>
      <c r="D977" s="6">
        <f>('2 transformar y limpiar'!D991-$B$7)/$C$7</f>
        <v/>
      </c>
      <c r="E977" s="6">
        <f>('2 transformar y limpiar'!E991-$B$8)/$C$8</f>
        <v/>
      </c>
      <c r="F977" s="6">
        <f>('2 transformar y limpiar'!F991-$B$9)/$C$9</f>
        <v/>
      </c>
      <c r="G977">
        <f>'2 transformar y limpiar'!G991</f>
        <v/>
      </c>
      <c r="H977">
        <f>'2 transformar y limpiar'!H991</f>
        <v/>
      </c>
      <c r="I977">
        <f>'2 transformar y limpiar'!I991</f>
        <v/>
      </c>
      <c r="J977">
        <f>'2 transformar y limpiar'!J991</f>
        <v/>
      </c>
      <c r="K977">
        <f>'2 transformar y limpiar'!K991</f>
        <v/>
      </c>
      <c r="L977">
        <f>'2 transformar y limpiar'!L991</f>
        <v/>
      </c>
      <c r="M977">
        <f>'2 transformar y limpiar'!M991</f>
        <v/>
      </c>
      <c r="N977">
        <f>'2 transformar y limpiar'!N991</f>
        <v/>
      </c>
      <c r="O977">
        <f>'2 transformar y limpiar'!O991</f>
        <v/>
      </c>
      <c r="P977">
        <f>'2 transformar y limpiar'!P991</f>
        <v/>
      </c>
      <c r="Q977">
        <f>'2 transformar y limpiar'!Q991</f>
        <v/>
      </c>
      <c r="R977">
        <f>'2 transformar y limpiar'!R991</f>
        <v/>
      </c>
      <c r="S977">
        <f>'2 transformar y limpiar'!S991</f>
        <v/>
      </c>
      <c r="T977">
        <f>'2 transformar y limpiar'!T991</f>
        <v/>
      </c>
      <c r="U977" s="5">
        <f>'2 transformar y limpiar'!U991</f>
        <v/>
      </c>
    </row>
    <row r="978">
      <c r="A978">
        <f>'2 transformar y limpiar'!A992</f>
        <v/>
      </c>
      <c r="B978">
        <f>'2 transformar y limpiar'!B992</f>
        <v/>
      </c>
      <c r="C978" s="6">
        <f>('2 transformar y limpiar'!C992-$B$6)/$C$6</f>
        <v/>
      </c>
      <c r="D978" s="6">
        <f>('2 transformar y limpiar'!D992-$B$7)/$C$7</f>
        <v/>
      </c>
      <c r="E978" s="6">
        <f>('2 transformar y limpiar'!E992-$B$8)/$C$8</f>
        <v/>
      </c>
      <c r="F978" s="6">
        <f>('2 transformar y limpiar'!F992-$B$9)/$C$9</f>
        <v/>
      </c>
      <c r="G978">
        <f>'2 transformar y limpiar'!G992</f>
        <v/>
      </c>
      <c r="H978">
        <f>'2 transformar y limpiar'!H992</f>
        <v/>
      </c>
      <c r="I978">
        <f>'2 transformar y limpiar'!I992</f>
        <v/>
      </c>
      <c r="J978">
        <f>'2 transformar y limpiar'!J992</f>
        <v/>
      </c>
      <c r="K978">
        <f>'2 transformar y limpiar'!K992</f>
        <v/>
      </c>
      <c r="L978">
        <f>'2 transformar y limpiar'!L992</f>
        <v/>
      </c>
      <c r="M978">
        <f>'2 transformar y limpiar'!M992</f>
        <v/>
      </c>
      <c r="N978">
        <f>'2 transformar y limpiar'!N992</f>
        <v/>
      </c>
      <c r="O978">
        <f>'2 transformar y limpiar'!O992</f>
        <v/>
      </c>
      <c r="P978">
        <f>'2 transformar y limpiar'!P992</f>
        <v/>
      </c>
      <c r="Q978">
        <f>'2 transformar y limpiar'!Q992</f>
        <v/>
      </c>
      <c r="R978">
        <f>'2 transformar y limpiar'!R992</f>
        <v/>
      </c>
      <c r="S978">
        <f>'2 transformar y limpiar'!S992</f>
        <v/>
      </c>
      <c r="T978">
        <f>'2 transformar y limpiar'!T992</f>
        <v/>
      </c>
      <c r="U978" s="5">
        <f>'2 transformar y limpiar'!U992</f>
        <v/>
      </c>
    </row>
    <row r="979">
      <c r="A979">
        <f>'2 transformar y limpiar'!A993</f>
        <v/>
      </c>
      <c r="B979">
        <f>'2 transformar y limpiar'!B993</f>
        <v/>
      </c>
      <c r="C979" s="6">
        <f>('2 transformar y limpiar'!C993-$B$6)/$C$6</f>
        <v/>
      </c>
      <c r="D979" s="6">
        <f>('2 transformar y limpiar'!D993-$B$7)/$C$7</f>
        <v/>
      </c>
      <c r="E979" s="6">
        <f>('2 transformar y limpiar'!E993-$B$8)/$C$8</f>
        <v/>
      </c>
      <c r="F979" s="6">
        <f>('2 transformar y limpiar'!F993-$B$9)/$C$9</f>
        <v/>
      </c>
      <c r="G979">
        <f>'2 transformar y limpiar'!G993</f>
        <v/>
      </c>
      <c r="H979">
        <f>'2 transformar y limpiar'!H993</f>
        <v/>
      </c>
      <c r="I979">
        <f>'2 transformar y limpiar'!I993</f>
        <v/>
      </c>
      <c r="J979">
        <f>'2 transformar y limpiar'!J993</f>
        <v/>
      </c>
      <c r="K979">
        <f>'2 transformar y limpiar'!K993</f>
        <v/>
      </c>
      <c r="L979">
        <f>'2 transformar y limpiar'!L993</f>
        <v/>
      </c>
      <c r="M979">
        <f>'2 transformar y limpiar'!M993</f>
        <v/>
      </c>
      <c r="N979">
        <f>'2 transformar y limpiar'!N993</f>
        <v/>
      </c>
      <c r="O979">
        <f>'2 transformar y limpiar'!O993</f>
        <v/>
      </c>
      <c r="P979">
        <f>'2 transformar y limpiar'!P993</f>
        <v/>
      </c>
      <c r="Q979">
        <f>'2 transformar y limpiar'!Q993</f>
        <v/>
      </c>
      <c r="R979">
        <f>'2 transformar y limpiar'!R993</f>
        <v/>
      </c>
      <c r="S979">
        <f>'2 transformar y limpiar'!S993</f>
        <v/>
      </c>
      <c r="T979">
        <f>'2 transformar y limpiar'!T993</f>
        <v/>
      </c>
      <c r="U979" s="5">
        <f>'2 transformar y limpiar'!U993</f>
        <v/>
      </c>
    </row>
    <row r="980">
      <c r="A980">
        <f>'2 transformar y limpiar'!A994</f>
        <v/>
      </c>
      <c r="B980">
        <f>'2 transformar y limpiar'!B994</f>
        <v/>
      </c>
      <c r="C980" s="6">
        <f>('2 transformar y limpiar'!C994-$B$6)/$C$6</f>
        <v/>
      </c>
      <c r="D980" s="6">
        <f>('2 transformar y limpiar'!D994-$B$7)/$C$7</f>
        <v/>
      </c>
      <c r="E980" s="6">
        <f>('2 transformar y limpiar'!E994-$B$8)/$C$8</f>
        <v/>
      </c>
      <c r="F980" s="6">
        <f>('2 transformar y limpiar'!F994-$B$9)/$C$9</f>
        <v/>
      </c>
      <c r="G980">
        <f>'2 transformar y limpiar'!G994</f>
        <v/>
      </c>
      <c r="H980">
        <f>'2 transformar y limpiar'!H994</f>
        <v/>
      </c>
      <c r="I980">
        <f>'2 transformar y limpiar'!I994</f>
        <v/>
      </c>
      <c r="J980">
        <f>'2 transformar y limpiar'!J994</f>
        <v/>
      </c>
      <c r="K980">
        <f>'2 transformar y limpiar'!K994</f>
        <v/>
      </c>
      <c r="L980">
        <f>'2 transformar y limpiar'!L994</f>
        <v/>
      </c>
      <c r="M980">
        <f>'2 transformar y limpiar'!M994</f>
        <v/>
      </c>
      <c r="N980">
        <f>'2 transformar y limpiar'!N994</f>
        <v/>
      </c>
      <c r="O980">
        <f>'2 transformar y limpiar'!O994</f>
        <v/>
      </c>
      <c r="P980">
        <f>'2 transformar y limpiar'!P994</f>
        <v/>
      </c>
      <c r="Q980">
        <f>'2 transformar y limpiar'!Q994</f>
        <v/>
      </c>
      <c r="R980">
        <f>'2 transformar y limpiar'!R994</f>
        <v/>
      </c>
      <c r="S980">
        <f>'2 transformar y limpiar'!S994</f>
        <v/>
      </c>
      <c r="T980">
        <f>'2 transformar y limpiar'!T994</f>
        <v/>
      </c>
      <c r="U980" s="5">
        <f>'2 transformar y limpiar'!U994</f>
        <v/>
      </c>
    </row>
    <row r="981">
      <c r="A981">
        <f>'2 transformar y limpiar'!A995</f>
        <v/>
      </c>
      <c r="B981">
        <f>'2 transformar y limpiar'!B995</f>
        <v/>
      </c>
      <c r="C981" s="6">
        <f>('2 transformar y limpiar'!C995-$B$6)/$C$6</f>
        <v/>
      </c>
      <c r="D981" s="6">
        <f>('2 transformar y limpiar'!D995-$B$7)/$C$7</f>
        <v/>
      </c>
      <c r="E981" s="6">
        <f>('2 transformar y limpiar'!E995-$B$8)/$C$8</f>
        <v/>
      </c>
      <c r="F981" s="6">
        <f>('2 transformar y limpiar'!F995-$B$9)/$C$9</f>
        <v/>
      </c>
      <c r="G981">
        <f>'2 transformar y limpiar'!G995</f>
        <v/>
      </c>
      <c r="H981">
        <f>'2 transformar y limpiar'!H995</f>
        <v/>
      </c>
      <c r="I981">
        <f>'2 transformar y limpiar'!I995</f>
        <v/>
      </c>
      <c r="J981">
        <f>'2 transformar y limpiar'!J995</f>
        <v/>
      </c>
      <c r="K981">
        <f>'2 transformar y limpiar'!K995</f>
        <v/>
      </c>
      <c r="L981">
        <f>'2 transformar y limpiar'!L995</f>
        <v/>
      </c>
      <c r="M981">
        <f>'2 transformar y limpiar'!M995</f>
        <v/>
      </c>
      <c r="N981">
        <f>'2 transformar y limpiar'!N995</f>
        <v/>
      </c>
      <c r="O981">
        <f>'2 transformar y limpiar'!O995</f>
        <v/>
      </c>
      <c r="P981">
        <f>'2 transformar y limpiar'!P995</f>
        <v/>
      </c>
      <c r="Q981">
        <f>'2 transformar y limpiar'!Q995</f>
        <v/>
      </c>
      <c r="R981">
        <f>'2 transformar y limpiar'!R995</f>
        <v/>
      </c>
      <c r="S981">
        <f>'2 transformar y limpiar'!S995</f>
        <v/>
      </c>
      <c r="T981">
        <f>'2 transformar y limpiar'!T995</f>
        <v/>
      </c>
      <c r="U981" s="5">
        <f>'2 transformar y limpiar'!U995</f>
        <v/>
      </c>
    </row>
    <row r="982">
      <c r="A982">
        <f>'2 transformar y limpiar'!A996</f>
        <v/>
      </c>
      <c r="B982">
        <f>'2 transformar y limpiar'!B996</f>
        <v/>
      </c>
      <c r="C982" s="6">
        <f>('2 transformar y limpiar'!C996-$B$6)/$C$6</f>
        <v/>
      </c>
      <c r="D982" s="6">
        <f>('2 transformar y limpiar'!D996-$B$7)/$C$7</f>
        <v/>
      </c>
      <c r="E982" s="6">
        <f>('2 transformar y limpiar'!E996-$B$8)/$C$8</f>
        <v/>
      </c>
      <c r="F982" s="6">
        <f>('2 transformar y limpiar'!F996-$B$9)/$C$9</f>
        <v/>
      </c>
      <c r="G982">
        <f>'2 transformar y limpiar'!G996</f>
        <v/>
      </c>
      <c r="H982">
        <f>'2 transformar y limpiar'!H996</f>
        <v/>
      </c>
      <c r="I982">
        <f>'2 transformar y limpiar'!I996</f>
        <v/>
      </c>
      <c r="J982">
        <f>'2 transformar y limpiar'!J996</f>
        <v/>
      </c>
      <c r="K982">
        <f>'2 transformar y limpiar'!K996</f>
        <v/>
      </c>
      <c r="L982">
        <f>'2 transformar y limpiar'!L996</f>
        <v/>
      </c>
      <c r="M982">
        <f>'2 transformar y limpiar'!M996</f>
        <v/>
      </c>
      <c r="N982">
        <f>'2 transformar y limpiar'!N996</f>
        <v/>
      </c>
      <c r="O982">
        <f>'2 transformar y limpiar'!O996</f>
        <v/>
      </c>
      <c r="P982">
        <f>'2 transformar y limpiar'!P996</f>
        <v/>
      </c>
      <c r="Q982">
        <f>'2 transformar y limpiar'!Q996</f>
        <v/>
      </c>
      <c r="R982">
        <f>'2 transformar y limpiar'!R996</f>
        <v/>
      </c>
      <c r="S982">
        <f>'2 transformar y limpiar'!S996</f>
        <v/>
      </c>
      <c r="T982">
        <f>'2 transformar y limpiar'!T996</f>
        <v/>
      </c>
      <c r="U982" s="5">
        <f>'2 transformar y limpiar'!U996</f>
        <v/>
      </c>
    </row>
    <row r="983">
      <c r="A983">
        <f>'2 transformar y limpiar'!A997</f>
        <v/>
      </c>
      <c r="B983">
        <f>'2 transformar y limpiar'!B997</f>
        <v/>
      </c>
      <c r="C983" s="6">
        <f>('2 transformar y limpiar'!C997-$B$6)/$C$6</f>
        <v/>
      </c>
      <c r="D983" s="6">
        <f>('2 transformar y limpiar'!D997-$B$7)/$C$7</f>
        <v/>
      </c>
      <c r="E983" s="6">
        <f>('2 transformar y limpiar'!E997-$B$8)/$C$8</f>
        <v/>
      </c>
      <c r="F983" s="6">
        <f>('2 transformar y limpiar'!F997-$B$9)/$C$9</f>
        <v/>
      </c>
      <c r="G983">
        <f>'2 transformar y limpiar'!G997</f>
        <v/>
      </c>
      <c r="H983">
        <f>'2 transformar y limpiar'!H997</f>
        <v/>
      </c>
      <c r="I983">
        <f>'2 transformar y limpiar'!I997</f>
        <v/>
      </c>
      <c r="J983">
        <f>'2 transformar y limpiar'!J997</f>
        <v/>
      </c>
      <c r="K983">
        <f>'2 transformar y limpiar'!K997</f>
        <v/>
      </c>
      <c r="L983">
        <f>'2 transformar y limpiar'!L997</f>
        <v/>
      </c>
      <c r="M983">
        <f>'2 transformar y limpiar'!M997</f>
        <v/>
      </c>
      <c r="N983">
        <f>'2 transformar y limpiar'!N997</f>
        <v/>
      </c>
      <c r="O983">
        <f>'2 transformar y limpiar'!O997</f>
        <v/>
      </c>
      <c r="P983">
        <f>'2 transformar y limpiar'!P997</f>
        <v/>
      </c>
      <c r="Q983">
        <f>'2 transformar y limpiar'!Q997</f>
        <v/>
      </c>
      <c r="R983">
        <f>'2 transformar y limpiar'!R997</f>
        <v/>
      </c>
      <c r="S983">
        <f>'2 transformar y limpiar'!S997</f>
        <v/>
      </c>
      <c r="T983">
        <f>'2 transformar y limpiar'!T997</f>
        <v/>
      </c>
      <c r="U983" s="5">
        <f>'2 transformar y limpiar'!U997</f>
        <v/>
      </c>
    </row>
    <row r="984">
      <c r="A984">
        <f>'2 transformar y limpiar'!A998</f>
        <v/>
      </c>
      <c r="B984">
        <f>'2 transformar y limpiar'!B998</f>
        <v/>
      </c>
      <c r="C984" s="6">
        <f>('2 transformar y limpiar'!C998-$B$6)/$C$6</f>
        <v/>
      </c>
      <c r="D984" s="6">
        <f>('2 transformar y limpiar'!D998-$B$7)/$C$7</f>
        <v/>
      </c>
      <c r="E984" s="6">
        <f>('2 transformar y limpiar'!E998-$B$8)/$C$8</f>
        <v/>
      </c>
      <c r="F984" s="6">
        <f>('2 transformar y limpiar'!F998-$B$9)/$C$9</f>
        <v/>
      </c>
      <c r="G984">
        <f>'2 transformar y limpiar'!G998</f>
        <v/>
      </c>
      <c r="H984">
        <f>'2 transformar y limpiar'!H998</f>
        <v/>
      </c>
      <c r="I984">
        <f>'2 transformar y limpiar'!I998</f>
        <v/>
      </c>
      <c r="J984">
        <f>'2 transformar y limpiar'!J998</f>
        <v/>
      </c>
      <c r="K984">
        <f>'2 transformar y limpiar'!K998</f>
        <v/>
      </c>
      <c r="L984">
        <f>'2 transformar y limpiar'!L998</f>
        <v/>
      </c>
      <c r="M984">
        <f>'2 transformar y limpiar'!M998</f>
        <v/>
      </c>
      <c r="N984">
        <f>'2 transformar y limpiar'!N998</f>
        <v/>
      </c>
      <c r="O984">
        <f>'2 transformar y limpiar'!O998</f>
        <v/>
      </c>
      <c r="P984">
        <f>'2 transformar y limpiar'!P998</f>
        <v/>
      </c>
      <c r="Q984">
        <f>'2 transformar y limpiar'!Q998</f>
        <v/>
      </c>
      <c r="R984">
        <f>'2 transformar y limpiar'!R998</f>
        <v/>
      </c>
      <c r="S984">
        <f>'2 transformar y limpiar'!S998</f>
        <v/>
      </c>
      <c r="T984">
        <f>'2 transformar y limpiar'!T998</f>
        <v/>
      </c>
      <c r="U984" s="5">
        <f>'2 transformar y limpiar'!U998</f>
        <v/>
      </c>
    </row>
    <row r="985">
      <c r="A985">
        <f>'2 transformar y limpiar'!A999</f>
        <v/>
      </c>
      <c r="B985">
        <f>'2 transformar y limpiar'!B999</f>
        <v/>
      </c>
      <c r="C985" s="6">
        <f>('2 transformar y limpiar'!C999-$B$6)/$C$6</f>
        <v/>
      </c>
      <c r="D985" s="6">
        <f>('2 transformar y limpiar'!D999-$B$7)/$C$7</f>
        <v/>
      </c>
      <c r="E985" s="6">
        <f>('2 transformar y limpiar'!E999-$B$8)/$C$8</f>
        <v/>
      </c>
      <c r="F985" s="6">
        <f>('2 transformar y limpiar'!F999-$B$9)/$C$9</f>
        <v/>
      </c>
      <c r="G985">
        <f>'2 transformar y limpiar'!G999</f>
        <v/>
      </c>
      <c r="H985">
        <f>'2 transformar y limpiar'!H999</f>
        <v/>
      </c>
      <c r="I985">
        <f>'2 transformar y limpiar'!I999</f>
        <v/>
      </c>
      <c r="J985">
        <f>'2 transformar y limpiar'!J999</f>
        <v/>
      </c>
      <c r="K985">
        <f>'2 transformar y limpiar'!K999</f>
        <v/>
      </c>
      <c r="L985">
        <f>'2 transformar y limpiar'!L999</f>
        <v/>
      </c>
      <c r="M985">
        <f>'2 transformar y limpiar'!M999</f>
        <v/>
      </c>
      <c r="N985">
        <f>'2 transformar y limpiar'!N999</f>
        <v/>
      </c>
      <c r="O985">
        <f>'2 transformar y limpiar'!O999</f>
        <v/>
      </c>
      <c r="P985">
        <f>'2 transformar y limpiar'!P999</f>
        <v/>
      </c>
      <c r="Q985">
        <f>'2 transformar y limpiar'!Q999</f>
        <v/>
      </c>
      <c r="R985">
        <f>'2 transformar y limpiar'!R999</f>
        <v/>
      </c>
      <c r="S985">
        <f>'2 transformar y limpiar'!S999</f>
        <v/>
      </c>
      <c r="T985">
        <f>'2 transformar y limpiar'!T999</f>
        <v/>
      </c>
      <c r="U985" s="5">
        <f>'2 transformar y limpiar'!U999</f>
        <v/>
      </c>
    </row>
    <row r="986">
      <c r="A986">
        <f>'2 transformar y limpiar'!A1000</f>
        <v/>
      </c>
      <c r="B986">
        <f>'2 transformar y limpiar'!B1000</f>
        <v/>
      </c>
      <c r="C986" s="6">
        <f>('2 transformar y limpiar'!C1000-$B$6)/$C$6</f>
        <v/>
      </c>
      <c r="D986" s="6">
        <f>('2 transformar y limpiar'!D1000-$B$7)/$C$7</f>
        <v/>
      </c>
      <c r="E986" s="6">
        <f>('2 transformar y limpiar'!E1000-$B$8)/$C$8</f>
        <v/>
      </c>
      <c r="F986" s="6">
        <f>('2 transformar y limpiar'!F1000-$B$9)/$C$9</f>
        <v/>
      </c>
      <c r="G986">
        <f>'2 transformar y limpiar'!G1000</f>
        <v/>
      </c>
      <c r="H986">
        <f>'2 transformar y limpiar'!H1000</f>
        <v/>
      </c>
      <c r="I986">
        <f>'2 transformar y limpiar'!I1000</f>
        <v/>
      </c>
      <c r="J986">
        <f>'2 transformar y limpiar'!J1000</f>
        <v/>
      </c>
      <c r="K986">
        <f>'2 transformar y limpiar'!K1000</f>
        <v/>
      </c>
      <c r="L986">
        <f>'2 transformar y limpiar'!L1000</f>
        <v/>
      </c>
      <c r="M986">
        <f>'2 transformar y limpiar'!M1000</f>
        <v/>
      </c>
      <c r="N986">
        <f>'2 transformar y limpiar'!N1000</f>
        <v/>
      </c>
      <c r="O986">
        <f>'2 transformar y limpiar'!O1000</f>
        <v/>
      </c>
      <c r="P986">
        <f>'2 transformar y limpiar'!P1000</f>
        <v/>
      </c>
      <c r="Q986">
        <f>'2 transformar y limpiar'!Q1000</f>
        <v/>
      </c>
      <c r="R986">
        <f>'2 transformar y limpiar'!R1000</f>
        <v/>
      </c>
      <c r="S986">
        <f>'2 transformar y limpiar'!S1000</f>
        <v/>
      </c>
      <c r="T986">
        <f>'2 transformar y limpiar'!T1000</f>
        <v/>
      </c>
      <c r="U986" s="5">
        <f>'2 transformar y limpiar'!U1000</f>
        <v/>
      </c>
    </row>
    <row r="987">
      <c r="A987">
        <f>'2 transformar y limpiar'!A1001</f>
        <v/>
      </c>
      <c r="B987">
        <f>'2 transformar y limpiar'!B1001</f>
        <v/>
      </c>
      <c r="C987" s="6">
        <f>('2 transformar y limpiar'!C1001-$B$6)/$C$6</f>
        <v/>
      </c>
      <c r="D987" s="6">
        <f>('2 transformar y limpiar'!D1001-$B$7)/$C$7</f>
        <v/>
      </c>
      <c r="E987" s="6">
        <f>('2 transformar y limpiar'!E1001-$B$8)/$C$8</f>
        <v/>
      </c>
      <c r="F987" s="6">
        <f>('2 transformar y limpiar'!F1001-$B$9)/$C$9</f>
        <v/>
      </c>
      <c r="G987">
        <f>'2 transformar y limpiar'!G1001</f>
        <v/>
      </c>
      <c r="H987">
        <f>'2 transformar y limpiar'!H1001</f>
        <v/>
      </c>
      <c r="I987">
        <f>'2 transformar y limpiar'!I1001</f>
        <v/>
      </c>
      <c r="J987">
        <f>'2 transformar y limpiar'!J1001</f>
        <v/>
      </c>
      <c r="K987">
        <f>'2 transformar y limpiar'!K1001</f>
        <v/>
      </c>
      <c r="L987">
        <f>'2 transformar y limpiar'!L1001</f>
        <v/>
      </c>
      <c r="M987">
        <f>'2 transformar y limpiar'!M1001</f>
        <v/>
      </c>
      <c r="N987">
        <f>'2 transformar y limpiar'!N1001</f>
        <v/>
      </c>
      <c r="O987">
        <f>'2 transformar y limpiar'!O1001</f>
        <v/>
      </c>
      <c r="P987">
        <f>'2 transformar y limpiar'!P1001</f>
        <v/>
      </c>
      <c r="Q987">
        <f>'2 transformar y limpiar'!Q1001</f>
        <v/>
      </c>
      <c r="R987">
        <f>'2 transformar y limpiar'!R1001</f>
        <v/>
      </c>
      <c r="S987">
        <f>'2 transformar y limpiar'!S1001</f>
        <v/>
      </c>
      <c r="T987">
        <f>'2 transformar y limpiar'!T1001</f>
        <v/>
      </c>
      <c r="U987" s="5">
        <f>'2 transformar y limpiar'!U1001</f>
        <v/>
      </c>
    </row>
    <row r="988">
      <c r="A988">
        <f>'2 transformar y limpiar'!A1002</f>
        <v/>
      </c>
      <c r="B988">
        <f>'2 transformar y limpiar'!B1002</f>
        <v/>
      </c>
      <c r="C988" s="6">
        <f>('2 transformar y limpiar'!C1002-$B$6)/$C$6</f>
        <v/>
      </c>
      <c r="D988" s="6">
        <f>('2 transformar y limpiar'!D1002-$B$7)/$C$7</f>
        <v/>
      </c>
      <c r="E988" s="6">
        <f>('2 transformar y limpiar'!E1002-$B$8)/$C$8</f>
        <v/>
      </c>
      <c r="F988" s="6">
        <f>('2 transformar y limpiar'!F1002-$B$9)/$C$9</f>
        <v/>
      </c>
      <c r="G988">
        <f>'2 transformar y limpiar'!G1002</f>
        <v/>
      </c>
      <c r="H988">
        <f>'2 transformar y limpiar'!H1002</f>
        <v/>
      </c>
      <c r="I988">
        <f>'2 transformar y limpiar'!I1002</f>
        <v/>
      </c>
      <c r="J988">
        <f>'2 transformar y limpiar'!J1002</f>
        <v/>
      </c>
      <c r="K988">
        <f>'2 transformar y limpiar'!K1002</f>
        <v/>
      </c>
      <c r="L988">
        <f>'2 transformar y limpiar'!L1002</f>
        <v/>
      </c>
      <c r="M988">
        <f>'2 transformar y limpiar'!M1002</f>
        <v/>
      </c>
      <c r="N988">
        <f>'2 transformar y limpiar'!N1002</f>
        <v/>
      </c>
      <c r="O988">
        <f>'2 transformar y limpiar'!O1002</f>
        <v/>
      </c>
      <c r="P988">
        <f>'2 transformar y limpiar'!P1002</f>
        <v/>
      </c>
      <c r="Q988">
        <f>'2 transformar y limpiar'!Q1002</f>
        <v/>
      </c>
      <c r="R988">
        <f>'2 transformar y limpiar'!R1002</f>
        <v/>
      </c>
      <c r="S988">
        <f>'2 transformar y limpiar'!S1002</f>
        <v/>
      </c>
      <c r="T988">
        <f>'2 transformar y limpiar'!T1002</f>
        <v/>
      </c>
      <c r="U988" s="5">
        <f>'2 transformar y limpiar'!U1002</f>
        <v/>
      </c>
    </row>
    <row r="989">
      <c r="A989">
        <f>'2 transformar y limpiar'!A1003</f>
        <v/>
      </c>
      <c r="B989">
        <f>'2 transformar y limpiar'!B1003</f>
        <v/>
      </c>
      <c r="C989" s="6">
        <f>('2 transformar y limpiar'!C1003-$B$6)/$C$6</f>
        <v/>
      </c>
      <c r="D989" s="6">
        <f>('2 transformar y limpiar'!D1003-$B$7)/$C$7</f>
        <v/>
      </c>
      <c r="E989" s="6">
        <f>('2 transformar y limpiar'!E1003-$B$8)/$C$8</f>
        <v/>
      </c>
      <c r="F989" s="6">
        <f>('2 transformar y limpiar'!F1003-$B$9)/$C$9</f>
        <v/>
      </c>
      <c r="G989">
        <f>'2 transformar y limpiar'!G1003</f>
        <v/>
      </c>
      <c r="H989">
        <f>'2 transformar y limpiar'!H1003</f>
        <v/>
      </c>
      <c r="I989">
        <f>'2 transformar y limpiar'!I1003</f>
        <v/>
      </c>
      <c r="J989">
        <f>'2 transformar y limpiar'!J1003</f>
        <v/>
      </c>
      <c r="K989">
        <f>'2 transformar y limpiar'!K1003</f>
        <v/>
      </c>
      <c r="L989">
        <f>'2 transformar y limpiar'!L1003</f>
        <v/>
      </c>
      <c r="M989">
        <f>'2 transformar y limpiar'!M1003</f>
        <v/>
      </c>
      <c r="N989">
        <f>'2 transformar y limpiar'!N1003</f>
        <v/>
      </c>
      <c r="O989">
        <f>'2 transformar y limpiar'!O1003</f>
        <v/>
      </c>
      <c r="P989">
        <f>'2 transformar y limpiar'!P1003</f>
        <v/>
      </c>
      <c r="Q989">
        <f>'2 transformar y limpiar'!Q1003</f>
        <v/>
      </c>
      <c r="R989">
        <f>'2 transformar y limpiar'!R1003</f>
        <v/>
      </c>
      <c r="S989">
        <f>'2 transformar y limpiar'!S1003</f>
        <v/>
      </c>
      <c r="T989">
        <f>'2 transformar y limpiar'!T1003</f>
        <v/>
      </c>
      <c r="U989" s="5">
        <f>'2 transformar y limpiar'!U1003</f>
        <v/>
      </c>
    </row>
    <row r="990">
      <c r="A990">
        <f>'2 transformar y limpiar'!A1004</f>
        <v/>
      </c>
      <c r="B990">
        <f>'2 transformar y limpiar'!B1004</f>
        <v/>
      </c>
      <c r="C990" s="6">
        <f>('2 transformar y limpiar'!C1004-$B$6)/$C$6</f>
        <v/>
      </c>
      <c r="D990" s="6">
        <f>('2 transformar y limpiar'!D1004-$B$7)/$C$7</f>
        <v/>
      </c>
      <c r="E990" s="6">
        <f>('2 transformar y limpiar'!E1004-$B$8)/$C$8</f>
        <v/>
      </c>
      <c r="F990" s="6">
        <f>('2 transformar y limpiar'!F1004-$B$9)/$C$9</f>
        <v/>
      </c>
      <c r="G990">
        <f>'2 transformar y limpiar'!G1004</f>
        <v/>
      </c>
      <c r="H990">
        <f>'2 transformar y limpiar'!H1004</f>
        <v/>
      </c>
      <c r="I990">
        <f>'2 transformar y limpiar'!I1004</f>
        <v/>
      </c>
      <c r="J990">
        <f>'2 transformar y limpiar'!J1004</f>
        <v/>
      </c>
      <c r="K990">
        <f>'2 transformar y limpiar'!K1004</f>
        <v/>
      </c>
      <c r="L990">
        <f>'2 transformar y limpiar'!L1004</f>
        <v/>
      </c>
      <c r="M990">
        <f>'2 transformar y limpiar'!M1004</f>
        <v/>
      </c>
      <c r="N990">
        <f>'2 transformar y limpiar'!N1004</f>
        <v/>
      </c>
      <c r="O990">
        <f>'2 transformar y limpiar'!O1004</f>
        <v/>
      </c>
      <c r="P990">
        <f>'2 transformar y limpiar'!P1004</f>
        <v/>
      </c>
      <c r="Q990">
        <f>'2 transformar y limpiar'!Q1004</f>
        <v/>
      </c>
      <c r="R990">
        <f>'2 transformar y limpiar'!R1004</f>
        <v/>
      </c>
      <c r="S990">
        <f>'2 transformar y limpiar'!S1004</f>
        <v/>
      </c>
      <c r="T990">
        <f>'2 transformar y limpiar'!T1004</f>
        <v/>
      </c>
      <c r="U990" s="5">
        <f>'2 transformar y limpiar'!U1004</f>
        <v/>
      </c>
    </row>
    <row r="991">
      <c r="A991">
        <f>'2 transformar y limpiar'!A1005</f>
        <v/>
      </c>
      <c r="B991">
        <f>'2 transformar y limpiar'!B1005</f>
        <v/>
      </c>
      <c r="C991" s="6">
        <f>('2 transformar y limpiar'!C1005-$B$6)/$C$6</f>
        <v/>
      </c>
      <c r="D991" s="6">
        <f>('2 transformar y limpiar'!D1005-$B$7)/$C$7</f>
        <v/>
      </c>
      <c r="E991" s="6">
        <f>('2 transformar y limpiar'!E1005-$B$8)/$C$8</f>
        <v/>
      </c>
      <c r="F991" s="6">
        <f>('2 transformar y limpiar'!F1005-$B$9)/$C$9</f>
        <v/>
      </c>
      <c r="G991">
        <f>'2 transformar y limpiar'!G1005</f>
        <v/>
      </c>
      <c r="H991">
        <f>'2 transformar y limpiar'!H1005</f>
        <v/>
      </c>
      <c r="I991">
        <f>'2 transformar y limpiar'!I1005</f>
        <v/>
      </c>
      <c r="J991">
        <f>'2 transformar y limpiar'!J1005</f>
        <v/>
      </c>
      <c r="K991">
        <f>'2 transformar y limpiar'!K1005</f>
        <v/>
      </c>
      <c r="L991">
        <f>'2 transformar y limpiar'!L1005</f>
        <v/>
      </c>
      <c r="M991">
        <f>'2 transformar y limpiar'!M1005</f>
        <v/>
      </c>
      <c r="N991">
        <f>'2 transformar y limpiar'!N1005</f>
        <v/>
      </c>
      <c r="O991">
        <f>'2 transformar y limpiar'!O1005</f>
        <v/>
      </c>
      <c r="P991">
        <f>'2 transformar y limpiar'!P1005</f>
        <v/>
      </c>
      <c r="Q991">
        <f>'2 transformar y limpiar'!Q1005</f>
        <v/>
      </c>
      <c r="R991">
        <f>'2 transformar y limpiar'!R1005</f>
        <v/>
      </c>
      <c r="S991">
        <f>'2 transformar y limpiar'!S1005</f>
        <v/>
      </c>
      <c r="T991">
        <f>'2 transformar y limpiar'!T1005</f>
        <v/>
      </c>
      <c r="U991" s="5">
        <f>'2 transformar y limpiar'!U1005</f>
        <v/>
      </c>
    </row>
    <row r="992">
      <c r="A992">
        <f>'2 transformar y limpiar'!A1006</f>
        <v/>
      </c>
      <c r="B992">
        <f>'2 transformar y limpiar'!B1006</f>
        <v/>
      </c>
      <c r="C992" s="6">
        <f>('2 transformar y limpiar'!C1006-$B$6)/$C$6</f>
        <v/>
      </c>
      <c r="D992" s="6">
        <f>('2 transformar y limpiar'!D1006-$B$7)/$C$7</f>
        <v/>
      </c>
      <c r="E992" s="6">
        <f>('2 transformar y limpiar'!E1006-$B$8)/$C$8</f>
        <v/>
      </c>
      <c r="F992" s="6">
        <f>('2 transformar y limpiar'!F1006-$B$9)/$C$9</f>
        <v/>
      </c>
      <c r="G992">
        <f>'2 transformar y limpiar'!G1006</f>
        <v/>
      </c>
      <c r="H992">
        <f>'2 transformar y limpiar'!H1006</f>
        <v/>
      </c>
      <c r="I992">
        <f>'2 transformar y limpiar'!I1006</f>
        <v/>
      </c>
      <c r="J992">
        <f>'2 transformar y limpiar'!J1006</f>
        <v/>
      </c>
      <c r="K992">
        <f>'2 transformar y limpiar'!K1006</f>
        <v/>
      </c>
      <c r="L992">
        <f>'2 transformar y limpiar'!L1006</f>
        <v/>
      </c>
      <c r="M992">
        <f>'2 transformar y limpiar'!M1006</f>
        <v/>
      </c>
      <c r="N992">
        <f>'2 transformar y limpiar'!N1006</f>
        <v/>
      </c>
      <c r="O992">
        <f>'2 transformar y limpiar'!O1006</f>
        <v/>
      </c>
      <c r="P992">
        <f>'2 transformar y limpiar'!P1006</f>
        <v/>
      </c>
      <c r="Q992">
        <f>'2 transformar y limpiar'!Q1006</f>
        <v/>
      </c>
      <c r="R992">
        <f>'2 transformar y limpiar'!R1006</f>
        <v/>
      </c>
      <c r="S992">
        <f>'2 transformar y limpiar'!S1006</f>
        <v/>
      </c>
      <c r="T992">
        <f>'2 transformar y limpiar'!T1006</f>
        <v/>
      </c>
      <c r="U992" s="5">
        <f>'2 transformar y limpiar'!U1006</f>
        <v/>
      </c>
    </row>
    <row r="993">
      <c r="A993">
        <f>'2 transformar y limpiar'!A1007</f>
        <v/>
      </c>
      <c r="B993">
        <f>'2 transformar y limpiar'!B1007</f>
        <v/>
      </c>
      <c r="C993" s="6">
        <f>('2 transformar y limpiar'!C1007-$B$6)/$C$6</f>
        <v/>
      </c>
      <c r="D993" s="6">
        <f>('2 transformar y limpiar'!D1007-$B$7)/$C$7</f>
        <v/>
      </c>
      <c r="E993" s="6">
        <f>('2 transformar y limpiar'!E1007-$B$8)/$C$8</f>
        <v/>
      </c>
      <c r="F993" s="6">
        <f>('2 transformar y limpiar'!F1007-$B$9)/$C$9</f>
        <v/>
      </c>
      <c r="G993">
        <f>'2 transformar y limpiar'!G1007</f>
        <v/>
      </c>
      <c r="H993">
        <f>'2 transformar y limpiar'!H1007</f>
        <v/>
      </c>
      <c r="I993">
        <f>'2 transformar y limpiar'!I1007</f>
        <v/>
      </c>
      <c r="J993">
        <f>'2 transformar y limpiar'!J1007</f>
        <v/>
      </c>
      <c r="K993">
        <f>'2 transformar y limpiar'!K1007</f>
        <v/>
      </c>
      <c r="L993">
        <f>'2 transformar y limpiar'!L1007</f>
        <v/>
      </c>
      <c r="M993">
        <f>'2 transformar y limpiar'!M1007</f>
        <v/>
      </c>
      <c r="N993">
        <f>'2 transformar y limpiar'!N1007</f>
        <v/>
      </c>
      <c r="O993">
        <f>'2 transformar y limpiar'!O1007</f>
        <v/>
      </c>
      <c r="P993">
        <f>'2 transformar y limpiar'!P1007</f>
        <v/>
      </c>
      <c r="Q993">
        <f>'2 transformar y limpiar'!Q1007</f>
        <v/>
      </c>
      <c r="R993">
        <f>'2 transformar y limpiar'!R1007</f>
        <v/>
      </c>
      <c r="S993">
        <f>'2 transformar y limpiar'!S1007</f>
        <v/>
      </c>
      <c r="T993">
        <f>'2 transformar y limpiar'!T1007</f>
        <v/>
      </c>
      <c r="U993" s="5">
        <f>'2 transformar y limpiar'!U1007</f>
        <v/>
      </c>
    </row>
    <row r="994">
      <c r="A994">
        <f>'2 transformar y limpiar'!A1008</f>
        <v/>
      </c>
      <c r="B994">
        <f>'2 transformar y limpiar'!B1008</f>
        <v/>
      </c>
      <c r="C994" s="6">
        <f>('2 transformar y limpiar'!C1008-$B$6)/$C$6</f>
        <v/>
      </c>
      <c r="D994" s="6">
        <f>('2 transformar y limpiar'!D1008-$B$7)/$C$7</f>
        <v/>
      </c>
      <c r="E994" s="6">
        <f>('2 transformar y limpiar'!E1008-$B$8)/$C$8</f>
        <v/>
      </c>
      <c r="F994" s="6">
        <f>('2 transformar y limpiar'!F1008-$B$9)/$C$9</f>
        <v/>
      </c>
      <c r="G994">
        <f>'2 transformar y limpiar'!G1008</f>
        <v/>
      </c>
      <c r="H994">
        <f>'2 transformar y limpiar'!H1008</f>
        <v/>
      </c>
      <c r="I994">
        <f>'2 transformar y limpiar'!I1008</f>
        <v/>
      </c>
      <c r="J994">
        <f>'2 transformar y limpiar'!J1008</f>
        <v/>
      </c>
      <c r="K994">
        <f>'2 transformar y limpiar'!K1008</f>
        <v/>
      </c>
      <c r="L994">
        <f>'2 transformar y limpiar'!L1008</f>
        <v/>
      </c>
      <c r="M994">
        <f>'2 transformar y limpiar'!M1008</f>
        <v/>
      </c>
      <c r="N994">
        <f>'2 transformar y limpiar'!N1008</f>
        <v/>
      </c>
      <c r="O994">
        <f>'2 transformar y limpiar'!O1008</f>
        <v/>
      </c>
      <c r="P994">
        <f>'2 transformar y limpiar'!P1008</f>
        <v/>
      </c>
      <c r="Q994">
        <f>'2 transformar y limpiar'!Q1008</f>
        <v/>
      </c>
      <c r="R994">
        <f>'2 transformar y limpiar'!R1008</f>
        <v/>
      </c>
      <c r="S994">
        <f>'2 transformar y limpiar'!S1008</f>
        <v/>
      </c>
      <c r="T994">
        <f>'2 transformar y limpiar'!T1008</f>
        <v/>
      </c>
      <c r="U994" s="5">
        <f>'2 transformar y limpiar'!U1008</f>
        <v/>
      </c>
    </row>
    <row r="995">
      <c r="A995">
        <f>'2 transformar y limpiar'!A1009</f>
        <v/>
      </c>
      <c r="B995">
        <f>'2 transformar y limpiar'!B1009</f>
        <v/>
      </c>
      <c r="C995" s="6">
        <f>('2 transformar y limpiar'!C1009-$B$6)/$C$6</f>
        <v/>
      </c>
      <c r="D995" s="6">
        <f>('2 transformar y limpiar'!D1009-$B$7)/$C$7</f>
        <v/>
      </c>
      <c r="E995" s="6">
        <f>('2 transformar y limpiar'!E1009-$B$8)/$C$8</f>
        <v/>
      </c>
      <c r="F995" s="6">
        <f>('2 transformar y limpiar'!F1009-$B$9)/$C$9</f>
        <v/>
      </c>
      <c r="G995">
        <f>'2 transformar y limpiar'!G1009</f>
        <v/>
      </c>
      <c r="H995">
        <f>'2 transformar y limpiar'!H1009</f>
        <v/>
      </c>
      <c r="I995">
        <f>'2 transformar y limpiar'!I1009</f>
        <v/>
      </c>
      <c r="J995">
        <f>'2 transformar y limpiar'!J1009</f>
        <v/>
      </c>
      <c r="K995">
        <f>'2 transformar y limpiar'!K1009</f>
        <v/>
      </c>
      <c r="L995">
        <f>'2 transformar y limpiar'!L1009</f>
        <v/>
      </c>
      <c r="M995">
        <f>'2 transformar y limpiar'!M1009</f>
        <v/>
      </c>
      <c r="N995">
        <f>'2 transformar y limpiar'!N1009</f>
        <v/>
      </c>
      <c r="O995">
        <f>'2 transformar y limpiar'!O1009</f>
        <v/>
      </c>
      <c r="P995">
        <f>'2 transformar y limpiar'!P1009</f>
        <v/>
      </c>
      <c r="Q995">
        <f>'2 transformar y limpiar'!Q1009</f>
        <v/>
      </c>
      <c r="R995">
        <f>'2 transformar y limpiar'!R1009</f>
        <v/>
      </c>
      <c r="S995">
        <f>'2 transformar y limpiar'!S1009</f>
        <v/>
      </c>
      <c r="T995">
        <f>'2 transformar y limpiar'!T1009</f>
        <v/>
      </c>
      <c r="U995" s="5">
        <f>'2 transformar y limpiar'!U1009</f>
        <v/>
      </c>
    </row>
    <row r="996">
      <c r="A996">
        <f>'2 transformar y limpiar'!A1010</f>
        <v/>
      </c>
      <c r="B996">
        <f>'2 transformar y limpiar'!B1010</f>
        <v/>
      </c>
      <c r="C996" s="6">
        <f>('2 transformar y limpiar'!C1010-$B$6)/$C$6</f>
        <v/>
      </c>
      <c r="D996" s="6">
        <f>('2 transformar y limpiar'!D1010-$B$7)/$C$7</f>
        <v/>
      </c>
      <c r="E996" s="6">
        <f>('2 transformar y limpiar'!E1010-$B$8)/$C$8</f>
        <v/>
      </c>
      <c r="F996" s="6">
        <f>('2 transformar y limpiar'!F1010-$B$9)/$C$9</f>
        <v/>
      </c>
      <c r="G996">
        <f>'2 transformar y limpiar'!G1010</f>
        <v/>
      </c>
      <c r="H996">
        <f>'2 transformar y limpiar'!H1010</f>
        <v/>
      </c>
      <c r="I996">
        <f>'2 transformar y limpiar'!I1010</f>
        <v/>
      </c>
      <c r="J996">
        <f>'2 transformar y limpiar'!J1010</f>
        <v/>
      </c>
      <c r="K996">
        <f>'2 transformar y limpiar'!K1010</f>
        <v/>
      </c>
      <c r="L996">
        <f>'2 transformar y limpiar'!L1010</f>
        <v/>
      </c>
      <c r="M996">
        <f>'2 transformar y limpiar'!M1010</f>
        <v/>
      </c>
      <c r="N996">
        <f>'2 transformar y limpiar'!N1010</f>
        <v/>
      </c>
      <c r="O996">
        <f>'2 transformar y limpiar'!O1010</f>
        <v/>
      </c>
      <c r="P996">
        <f>'2 transformar y limpiar'!P1010</f>
        <v/>
      </c>
      <c r="Q996">
        <f>'2 transformar y limpiar'!Q1010</f>
        <v/>
      </c>
      <c r="R996">
        <f>'2 transformar y limpiar'!R1010</f>
        <v/>
      </c>
      <c r="S996">
        <f>'2 transformar y limpiar'!S1010</f>
        <v/>
      </c>
      <c r="T996">
        <f>'2 transformar y limpiar'!T1010</f>
        <v/>
      </c>
      <c r="U996" s="5">
        <f>'2 transformar y limpiar'!U1010</f>
        <v/>
      </c>
    </row>
    <row r="997">
      <c r="A997">
        <f>'2 transformar y limpiar'!A1011</f>
        <v/>
      </c>
      <c r="B997">
        <f>'2 transformar y limpiar'!B1011</f>
        <v/>
      </c>
      <c r="C997" s="6">
        <f>('2 transformar y limpiar'!C1011-$B$6)/$C$6</f>
        <v/>
      </c>
      <c r="D997" s="6">
        <f>('2 transformar y limpiar'!D1011-$B$7)/$C$7</f>
        <v/>
      </c>
      <c r="E997" s="6">
        <f>('2 transformar y limpiar'!E1011-$B$8)/$C$8</f>
        <v/>
      </c>
      <c r="F997" s="6">
        <f>('2 transformar y limpiar'!F1011-$B$9)/$C$9</f>
        <v/>
      </c>
      <c r="G997">
        <f>'2 transformar y limpiar'!G1011</f>
        <v/>
      </c>
      <c r="H997">
        <f>'2 transformar y limpiar'!H1011</f>
        <v/>
      </c>
      <c r="I997">
        <f>'2 transformar y limpiar'!I1011</f>
        <v/>
      </c>
      <c r="J997">
        <f>'2 transformar y limpiar'!J1011</f>
        <v/>
      </c>
      <c r="K997">
        <f>'2 transformar y limpiar'!K1011</f>
        <v/>
      </c>
      <c r="L997">
        <f>'2 transformar y limpiar'!L1011</f>
        <v/>
      </c>
      <c r="M997">
        <f>'2 transformar y limpiar'!M1011</f>
        <v/>
      </c>
      <c r="N997">
        <f>'2 transformar y limpiar'!N1011</f>
        <v/>
      </c>
      <c r="O997">
        <f>'2 transformar y limpiar'!O1011</f>
        <v/>
      </c>
      <c r="P997">
        <f>'2 transformar y limpiar'!P1011</f>
        <v/>
      </c>
      <c r="Q997">
        <f>'2 transformar y limpiar'!Q1011</f>
        <v/>
      </c>
      <c r="R997">
        <f>'2 transformar y limpiar'!R1011</f>
        <v/>
      </c>
      <c r="S997">
        <f>'2 transformar y limpiar'!S1011</f>
        <v/>
      </c>
      <c r="T997">
        <f>'2 transformar y limpiar'!T1011</f>
        <v/>
      </c>
      <c r="U997" s="5">
        <f>'2 transformar y limpiar'!U1011</f>
        <v/>
      </c>
    </row>
    <row r="998">
      <c r="A998">
        <f>'2 transformar y limpiar'!A1012</f>
        <v/>
      </c>
      <c r="B998">
        <f>'2 transformar y limpiar'!B1012</f>
        <v/>
      </c>
      <c r="C998" s="6">
        <f>('2 transformar y limpiar'!C1012-$B$6)/$C$6</f>
        <v/>
      </c>
      <c r="D998" s="6">
        <f>('2 transformar y limpiar'!D1012-$B$7)/$C$7</f>
        <v/>
      </c>
      <c r="E998" s="6">
        <f>('2 transformar y limpiar'!E1012-$B$8)/$C$8</f>
        <v/>
      </c>
      <c r="F998" s="6">
        <f>('2 transformar y limpiar'!F1012-$B$9)/$C$9</f>
        <v/>
      </c>
      <c r="G998">
        <f>'2 transformar y limpiar'!G1012</f>
        <v/>
      </c>
      <c r="H998">
        <f>'2 transformar y limpiar'!H1012</f>
        <v/>
      </c>
      <c r="I998">
        <f>'2 transformar y limpiar'!I1012</f>
        <v/>
      </c>
      <c r="J998">
        <f>'2 transformar y limpiar'!J1012</f>
        <v/>
      </c>
      <c r="K998">
        <f>'2 transformar y limpiar'!K1012</f>
        <v/>
      </c>
      <c r="L998">
        <f>'2 transformar y limpiar'!L1012</f>
        <v/>
      </c>
      <c r="M998">
        <f>'2 transformar y limpiar'!M1012</f>
        <v/>
      </c>
      <c r="N998">
        <f>'2 transformar y limpiar'!N1012</f>
        <v/>
      </c>
      <c r="O998">
        <f>'2 transformar y limpiar'!O1012</f>
        <v/>
      </c>
      <c r="P998">
        <f>'2 transformar y limpiar'!P1012</f>
        <v/>
      </c>
      <c r="Q998">
        <f>'2 transformar y limpiar'!Q1012</f>
        <v/>
      </c>
      <c r="R998">
        <f>'2 transformar y limpiar'!R1012</f>
        <v/>
      </c>
      <c r="S998">
        <f>'2 transformar y limpiar'!S1012</f>
        <v/>
      </c>
      <c r="T998">
        <f>'2 transformar y limpiar'!T1012</f>
        <v/>
      </c>
      <c r="U998" s="5">
        <f>'2 transformar y limpiar'!U1012</f>
        <v/>
      </c>
    </row>
    <row r="999">
      <c r="A999">
        <f>'2 transformar y limpiar'!A1013</f>
        <v/>
      </c>
      <c r="B999">
        <f>'2 transformar y limpiar'!B1013</f>
        <v/>
      </c>
      <c r="C999" s="6">
        <f>('2 transformar y limpiar'!C1013-$B$6)/$C$6</f>
        <v/>
      </c>
      <c r="D999" s="6">
        <f>('2 transformar y limpiar'!D1013-$B$7)/$C$7</f>
        <v/>
      </c>
      <c r="E999" s="6">
        <f>('2 transformar y limpiar'!E1013-$B$8)/$C$8</f>
        <v/>
      </c>
      <c r="F999" s="6">
        <f>('2 transformar y limpiar'!F1013-$B$9)/$C$9</f>
        <v/>
      </c>
      <c r="G999">
        <f>'2 transformar y limpiar'!G1013</f>
        <v/>
      </c>
      <c r="H999">
        <f>'2 transformar y limpiar'!H1013</f>
        <v/>
      </c>
      <c r="I999">
        <f>'2 transformar y limpiar'!I1013</f>
        <v/>
      </c>
      <c r="J999">
        <f>'2 transformar y limpiar'!J1013</f>
        <v/>
      </c>
      <c r="K999">
        <f>'2 transformar y limpiar'!K1013</f>
        <v/>
      </c>
      <c r="L999">
        <f>'2 transformar y limpiar'!L1013</f>
        <v/>
      </c>
      <c r="M999">
        <f>'2 transformar y limpiar'!M1013</f>
        <v/>
      </c>
      <c r="N999">
        <f>'2 transformar y limpiar'!N1013</f>
        <v/>
      </c>
      <c r="O999">
        <f>'2 transformar y limpiar'!O1013</f>
        <v/>
      </c>
      <c r="P999">
        <f>'2 transformar y limpiar'!P1013</f>
        <v/>
      </c>
      <c r="Q999">
        <f>'2 transformar y limpiar'!Q1013</f>
        <v/>
      </c>
      <c r="R999">
        <f>'2 transformar y limpiar'!R1013</f>
        <v/>
      </c>
      <c r="S999">
        <f>'2 transformar y limpiar'!S1013</f>
        <v/>
      </c>
      <c r="T999">
        <f>'2 transformar y limpiar'!T1013</f>
        <v/>
      </c>
      <c r="U999" s="5">
        <f>'2 transformar y limpiar'!U1013</f>
        <v/>
      </c>
    </row>
    <row r="1000">
      <c r="A1000">
        <f>'2 transformar y limpiar'!A1014</f>
        <v/>
      </c>
      <c r="B1000">
        <f>'2 transformar y limpiar'!B1014</f>
        <v/>
      </c>
      <c r="C1000" s="6">
        <f>('2 transformar y limpiar'!C1014-$B$6)/$C$6</f>
        <v/>
      </c>
      <c r="D1000" s="6">
        <f>('2 transformar y limpiar'!D1014-$B$7)/$C$7</f>
        <v/>
      </c>
      <c r="E1000" s="6">
        <f>('2 transformar y limpiar'!E1014-$B$8)/$C$8</f>
        <v/>
      </c>
      <c r="F1000" s="6">
        <f>('2 transformar y limpiar'!F1014-$B$9)/$C$9</f>
        <v/>
      </c>
      <c r="G1000">
        <f>'2 transformar y limpiar'!G1014</f>
        <v/>
      </c>
      <c r="H1000">
        <f>'2 transformar y limpiar'!H1014</f>
        <v/>
      </c>
      <c r="I1000">
        <f>'2 transformar y limpiar'!I1014</f>
        <v/>
      </c>
      <c r="J1000">
        <f>'2 transformar y limpiar'!J1014</f>
        <v/>
      </c>
      <c r="K1000">
        <f>'2 transformar y limpiar'!K1014</f>
        <v/>
      </c>
      <c r="L1000">
        <f>'2 transformar y limpiar'!L1014</f>
        <v/>
      </c>
      <c r="M1000">
        <f>'2 transformar y limpiar'!M1014</f>
        <v/>
      </c>
      <c r="N1000">
        <f>'2 transformar y limpiar'!N1014</f>
        <v/>
      </c>
      <c r="O1000">
        <f>'2 transformar y limpiar'!O1014</f>
        <v/>
      </c>
      <c r="P1000">
        <f>'2 transformar y limpiar'!P1014</f>
        <v/>
      </c>
      <c r="Q1000">
        <f>'2 transformar y limpiar'!Q1014</f>
        <v/>
      </c>
      <c r="R1000">
        <f>'2 transformar y limpiar'!R1014</f>
        <v/>
      </c>
      <c r="S1000">
        <f>'2 transformar y limpiar'!S1014</f>
        <v/>
      </c>
      <c r="T1000">
        <f>'2 transformar y limpiar'!T1014</f>
        <v/>
      </c>
      <c r="U1000" s="5">
        <f>'2 transformar y limpiar'!U1014</f>
        <v/>
      </c>
    </row>
    <row r="1001">
      <c r="A1001">
        <f>'2 transformar y limpiar'!A1015</f>
        <v/>
      </c>
      <c r="B1001">
        <f>'2 transformar y limpiar'!B1015</f>
        <v/>
      </c>
      <c r="C1001" s="6">
        <f>('2 transformar y limpiar'!C1015-$B$6)/$C$6</f>
        <v/>
      </c>
      <c r="D1001" s="6">
        <f>('2 transformar y limpiar'!D1015-$B$7)/$C$7</f>
        <v/>
      </c>
      <c r="E1001" s="6">
        <f>('2 transformar y limpiar'!E1015-$B$8)/$C$8</f>
        <v/>
      </c>
      <c r="F1001" s="6">
        <f>('2 transformar y limpiar'!F1015-$B$9)/$C$9</f>
        <v/>
      </c>
      <c r="G1001">
        <f>'2 transformar y limpiar'!G1015</f>
        <v/>
      </c>
      <c r="H1001">
        <f>'2 transformar y limpiar'!H1015</f>
        <v/>
      </c>
      <c r="I1001">
        <f>'2 transformar y limpiar'!I1015</f>
        <v/>
      </c>
      <c r="J1001">
        <f>'2 transformar y limpiar'!J1015</f>
        <v/>
      </c>
      <c r="K1001">
        <f>'2 transformar y limpiar'!K1015</f>
        <v/>
      </c>
      <c r="L1001">
        <f>'2 transformar y limpiar'!L1015</f>
        <v/>
      </c>
      <c r="M1001">
        <f>'2 transformar y limpiar'!M1015</f>
        <v/>
      </c>
      <c r="N1001">
        <f>'2 transformar y limpiar'!N1015</f>
        <v/>
      </c>
      <c r="O1001">
        <f>'2 transformar y limpiar'!O1015</f>
        <v/>
      </c>
      <c r="P1001">
        <f>'2 transformar y limpiar'!P1015</f>
        <v/>
      </c>
      <c r="Q1001">
        <f>'2 transformar y limpiar'!Q1015</f>
        <v/>
      </c>
      <c r="R1001">
        <f>'2 transformar y limpiar'!R1015</f>
        <v/>
      </c>
      <c r="S1001">
        <f>'2 transformar y limpiar'!S1015</f>
        <v/>
      </c>
      <c r="T1001">
        <f>'2 transformar y limpiar'!T1015</f>
        <v/>
      </c>
      <c r="U1001" s="5">
        <f>'2 transformar y limpiar'!U1015</f>
        <v/>
      </c>
    </row>
    <row r="1002">
      <c r="A1002">
        <f>'2 transformar y limpiar'!A1016</f>
        <v/>
      </c>
      <c r="B1002">
        <f>'2 transformar y limpiar'!B1016</f>
        <v/>
      </c>
      <c r="C1002" s="6">
        <f>('2 transformar y limpiar'!C1016-$B$6)/$C$6</f>
        <v/>
      </c>
      <c r="D1002" s="6">
        <f>('2 transformar y limpiar'!D1016-$B$7)/$C$7</f>
        <v/>
      </c>
      <c r="E1002" s="6">
        <f>('2 transformar y limpiar'!E1016-$B$8)/$C$8</f>
        <v/>
      </c>
      <c r="F1002" s="6">
        <f>('2 transformar y limpiar'!F1016-$B$9)/$C$9</f>
        <v/>
      </c>
      <c r="G1002">
        <f>'2 transformar y limpiar'!G1016</f>
        <v/>
      </c>
      <c r="H1002">
        <f>'2 transformar y limpiar'!H1016</f>
        <v/>
      </c>
      <c r="I1002">
        <f>'2 transformar y limpiar'!I1016</f>
        <v/>
      </c>
      <c r="J1002">
        <f>'2 transformar y limpiar'!J1016</f>
        <v/>
      </c>
      <c r="K1002">
        <f>'2 transformar y limpiar'!K1016</f>
        <v/>
      </c>
      <c r="L1002">
        <f>'2 transformar y limpiar'!L1016</f>
        <v/>
      </c>
      <c r="M1002">
        <f>'2 transformar y limpiar'!M1016</f>
        <v/>
      </c>
      <c r="N1002">
        <f>'2 transformar y limpiar'!N1016</f>
        <v/>
      </c>
      <c r="O1002">
        <f>'2 transformar y limpiar'!O1016</f>
        <v/>
      </c>
      <c r="P1002">
        <f>'2 transformar y limpiar'!P1016</f>
        <v/>
      </c>
      <c r="Q1002">
        <f>'2 transformar y limpiar'!Q1016</f>
        <v/>
      </c>
      <c r="R1002">
        <f>'2 transformar y limpiar'!R1016</f>
        <v/>
      </c>
      <c r="S1002">
        <f>'2 transformar y limpiar'!S1016</f>
        <v/>
      </c>
      <c r="T1002">
        <f>'2 transformar y limpiar'!T1016</f>
        <v/>
      </c>
      <c r="U1002" s="5">
        <f>'2 transformar y limpiar'!U1016</f>
        <v/>
      </c>
    </row>
    <row r="1003">
      <c r="A1003">
        <f>'2 transformar y limpiar'!A1017</f>
        <v/>
      </c>
      <c r="B1003">
        <f>'2 transformar y limpiar'!B1017</f>
        <v/>
      </c>
      <c r="C1003" s="6">
        <f>('2 transformar y limpiar'!C1017-$B$6)/$C$6</f>
        <v/>
      </c>
      <c r="D1003" s="6">
        <f>('2 transformar y limpiar'!D1017-$B$7)/$C$7</f>
        <v/>
      </c>
      <c r="E1003" s="6">
        <f>('2 transformar y limpiar'!E1017-$B$8)/$C$8</f>
        <v/>
      </c>
      <c r="F1003" s="6">
        <f>('2 transformar y limpiar'!F1017-$B$9)/$C$9</f>
        <v/>
      </c>
      <c r="G1003">
        <f>'2 transformar y limpiar'!G1017</f>
        <v/>
      </c>
      <c r="H1003">
        <f>'2 transformar y limpiar'!H1017</f>
        <v/>
      </c>
      <c r="I1003">
        <f>'2 transformar y limpiar'!I1017</f>
        <v/>
      </c>
      <c r="J1003">
        <f>'2 transformar y limpiar'!J1017</f>
        <v/>
      </c>
      <c r="K1003">
        <f>'2 transformar y limpiar'!K1017</f>
        <v/>
      </c>
      <c r="L1003">
        <f>'2 transformar y limpiar'!L1017</f>
        <v/>
      </c>
      <c r="M1003">
        <f>'2 transformar y limpiar'!M1017</f>
        <v/>
      </c>
      <c r="N1003">
        <f>'2 transformar y limpiar'!N1017</f>
        <v/>
      </c>
      <c r="O1003">
        <f>'2 transformar y limpiar'!O1017</f>
        <v/>
      </c>
      <c r="P1003">
        <f>'2 transformar y limpiar'!P1017</f>
        <v/>
      </c>
      <c r="Q1003">
        <f>'2 transformar y limpiar'!Q1017</f>
        <v/>
      </c>
      <c r="R1003">
        <f>'2 transformar y limpiar'!R1017</f>
        <v/>
      </c>
      <c r="S1003">
        <f>'2 transformar y limpiar'!S1017</f>
        <v/>
      </c>
      <c r="T1003">
        <f>'2 transformar y limpiar'!T1017</f>
        <v/>
      </c>
      <c r="U1003" s="5">
        <f>'2 transformar y limpiar'!U1017</f>
        <v/>
      </c>
    </row>
    <row r="1004">
      <c r="A1004">
        <f>'2 transformar y limpiar'!A1018</f>
        <v/>
      </c>
      <c r="B1004">
        <f>'2 transformar y limpiar'!B1018</f>
        <v/>
      </c>
      <c r="C1004" s="6">
        <f>('2 transformar y limpiar'!C1018-$B$6)/$C$6</f>
        <v/>
      </c>
      <c r="D1004" s="6">
        <f>('2 transformar y limpiar'!D1018-$B$7)/$C$7</f>
        <v/>
      </c>
      <c r="E1004" s="6">
        <f>('2 transformar y limpiar'!E1018-$B$8)/$C$8</f>
        <v/>
      </c>
      <c r="F1004" s="6">
        <f>('2 transformar y limpiar'!F1018-$B$9)/$C$9</f>
        <v/>
      </c>
      <c r="G1004">
        <f>'2 transformar y limpiar'!G1018</f>
        <v/>
      </c>
      <c r="H1004">
        <f>'2 transformar y limpiar'!H1018</f>
        <v/>
      </c>
      <c r="I1004">
        <f>'2 transformar y limpiar'!I1018</f>
        <v/>
      </c>
      <c r="J1004">
        <f>'2 transformar y limpiar'!J1018</f>
        <v/>
      </c>
      <c r="K1004">
        <f>'2 transformar y limpiar'!K1018</f>
        <v/>
      </c>
      <c r="L1004">
        <f>'2 transformar y limpiar'!L1018</f>
        <v/>
      </c>
      <c r="M1004">
        <f>'2 transformar y limpiar'!M1018</f>
        <v/>
      </c>
      <c r="N1004">
        <f>'2 transformar y limpiar'!N1018</f>
        <v/>
      </c>
      <c r="O1004">
        <f>'2 transformar y limpiar'!O1018</f>
        <v/>
      </c>
      <c r="P1004">
        <f>'2 transformar y limpiar'!P1018</f>
        <v/>
      </c>
      <c r="Q1004">
        <f>'2 transformar y limpiar'!Q1018</f>
        <v/>
      </c>
      <c r="R1004">
        <f>'2 transformar y limpiar'!R1018</f>
        <v/>
      </c>
      <c r="S1004">
        <f>'2 transformar y limpiar'!S1018</f>
        <v/>
      </c>
      <c r="T1004">
        <f>'2 transformar y limpiar'!T1018</f>
        <v/>
      </c>
      <c r="U1004" s="5">
        <f>'2 transformar y limpiar'!U1018</f>
        <v/>
      </c>
    </row>
    <row r="1005">
      <c r="A1005">
        <f>'2 transformar y limpiar'!A1019</f>
        <v/>
      </c>
      <c r="B1005">
        <f>'2 transformar y limpiar'!B1019</f>
        <v/>
      </c>
      <c r="C1005" s="6">
        <f>('2 transformar y limpiar'!C1019-$B$6)/$C$6</f>
        <v/>
      </c>
      <c r="D1005" s="6">
        <f>('2 transformar y limpiar'!D1019-$B$7)/$C$7</f>
        <v/>
      </c>
      <c r="E1005" s="6">
        <f>('2 transformar y limpiar'!E1019-$B$8)/$C$8</f>
        <v/>
      </c>
      <c r="F1005" s="6">
        <f>('2 transformar y limpiar'!F1019-$B$9)/$C$9</f>
        <v/>
      </c>
      <c r="G1005">
        <f>'2 transformar y limpiar'!G1019</f>
        <v/>
      </c>
      <c r="H1005">
        <f>'2 transformar y limpiar'!H1019</f>
        <v/>
      </c>
      <c r="I1005">
        <f>'2 transformar y limpiar'!I1019</f>
        <v/>
      </c>
      <c r="J1005">
        <f>'2 transformar y limpiar'!J1019</f>
        <v/>
      </c>
      <c r="K1005">
        <f>'2 transformar y limpiar'!K1019</f>
        <v/>
      </c>
      <c r="L1005">
        <f>'2 transformar y limpiar'!L1019</f>
        <v/>
      </c>
      <c r="M1005">
        <f>'2 transformar y limpiar'!M1019</f>
        <v/>
      </c>
      <c r="N1005">
        <f>'2 transformar y limpiar'!N1019</f>
        <v/>
      </c>
      <c r="O1005">
        <f>'2 transformar y limpiar'!O1019</f>
        <v/>
      </c>
      <c r="P1005">
        <f>'2 transformar y limpiar'!P1019</f>
        <v/>
      </c>
      <c r="Q1005">
        <f>'2 transformar y limpiar'!Q1019</f>
        <v/>
      </c>
      <c r="R1005">
        <f>'2 transformar y limpiar'!R1019</f>
        <v/>
      </c>
      <c r="S1005">
        <f>'2 transformar y limpiar'!S1019</f>
        <v/>
      </c>
      <c r="T1005">
        <f>'2 transformar y limpiar'!T1019</f>
        <v/>
      </c>
      <c r="U1005" s="5">
        <f>'2 transformar y limpiar'!U1019</f>
        <v/>
      </c>
    </row>
    <row r="1006">
      <c r="A1006">
        <f>'2 transformar y limpiar'!A1020</f>
        <v/>
      </c>
      <c r="B1006">
        <f>'2 transformar y limpiar'!B1020</f>
        <v/>
      </c>
      <c r="C1006" s="6">
        <f>('2 transformar y limpiar'!C1020-$B$6)/$C$6</f>
        <v/>
      </c>
      <c r="D1006" s="6">
        <f>('2 transformar y limpiar'!D1020-$B$7)/$C$7</f>
        <v/>
      </c>
      <c r="E1006" s="6">
        <f>('2 transformar y limpiar'!E1020-$B$8)/$C$8</f>
        <v/>
      </c>
      <c r="F1006" s="6">
        <f>('2 transformar y limpiar'!F1020-$B$9)/$C$9</f>
        <v/>
      </c>
      <c r="G1006">
        <f>'2 transformar y limpiar'!G1020</f>
        <v/>
      </c>
      <c r="H1006">
        <f>'2 transformar y limpiar'!H1020</f>
        <v/>
      </c>
      <c r="I1006">
        <f>'2 transformar y limpiar'!I1020</f>
        <v/>
      </c>
      <c r="J1006">
        <f>'2 transformar y limpiar'!J1020</f>
        <v/>
      </c>
      <c r="K1006">
        <f>'2 transformar y limpiar'!K1020</f>
        <v/>
      </c>
      <c r="L1006">
        <f>'2 transformar y limpiar'!L1020</f>
        <v/>
      </c>
      <c r="M1006">
        <f>'2 transformar y limpiar'!M1020</f>
        <v/>
      </c>
      <c r="N1006">
        <f>'2 transformar y limpiar'!N1020</f>
        <v/>
      </c>
      <c r="O1006">
        <f>'2 transformar y limpiar'!O1020</f>
        <v/>
      </c>
      <c r="P1006">
        <f>'2 transformar y limpiar'!P1020</f>
        <v/>
      </c>
      <c r="Q1006">
        <f>'2 transformar y limpiar'!Q1020</f>
        <v/>
      </c>
      <c r="R1006">
        <f>'2 transformar y limpiar'!R1020</f>
        <v/>
      </c>
      <c r="S1006">
        <f>'2 transformar y limpiar'!S1020</f>
        <v/>
      </c>
      <c r="T1006">
        <f>'2 transformar y limpiar'!T1020</f>
        <v/>
      </c>
      <c r="U1006" s="5">
        <f>'2 transformar y limpiar'!U1020</f>
        <v/>
      </c>
    </row>
    <row r="1007">
      <c r="A1007">
        <f>'2 transformar y limpiar'!A1021</f>
        <v/>
      </c>
      <c r="B1007">
        <f>'2 transformar y limpiar'!B1021</f>
        <v/>
      </c>
      <c r="C1007" s="6">
        <f>('2 transformar y limpiar'!C1021-$B$6)/$C$6</f>
        <v/>
      </c>
      <c r="D1007" s="6">
        <f>('2 transformar y limpiar'!D1021-$B$7)/$C$7</f>
        <v/>
      </c>
      <c r="E1007" s="6">
        <f>('2 transformar y limpiar'!E1021-$B$8)/$C$8</f>
        <v/>
      </c>
      <c r="F1007" s="6">
        <f>('2 transformar y limpiar'!F1021-$B$9)/$C$9</f>
        <v/>
      </c>
      <c r="G1007">
        <f>'2 transformar y limpiar'!G1021</f>
        <v/>
      </c>
      <c r="H1007">
        <f>'2 transformar y limpiar'!H1021</f>
        <v/>
      </c>
      <c r="I1007">
        <f>'2 transformar y limpiar'!I1021</f>
        <v/>
      </c>
      <c r="J1007">
        <f>'2 transformar y limpiar'!J1021</f>
        <v/>
      </c>
      <c r="K1007">
        <f>'2 transformar y limpiar'!K1021</f>
        <v/>
      </c>
      <c r="L1007">
        <f>'2 transformar y limpiar'!L1021</f>
        <v/>
      </c>
      <c r="M1007">
        <f>'2 transformar y limpiar'!M1021</f>
        <v/>
      </c>
      <c r="N1007">
        <f>'2 transformar y limpiar'!N1021</f>
        <v/>
      </c>
      <c r="O1007">
        <f>'2 transformar y limpiar'!O1021</f>
        <v/>
      </c>
      <c r="P1007">
        <f>'2 transformar y limpiar'!P1021</f>
        <v/>
      </c>
      <c r="Q1007">
        <f>'2 transformar y limpiar'!Q1021</f>
        <v/>
      </c>
      <c r="R1007">
        <f>'2 transformar y limpiar'!R1021</f>
        <v/>
      </c>
      <c r="S1007">
        <f>'2 transformar y limpiar'!S1021</f>
        <v/>
      </c>
      <c r="T1007">
        <f>'2 transformar y limpiar'!T1021</f>
        <v/>
      </c>
      <c r="U1007" s="5">
        <f>'2 transformar y limpiar'!U1021</f>
        <v/>
      </c>
    </row>
    <row r="1008">
      <c r="A1008">
        <f>'2 transformar y limpiar'!A1022</f>
        <v/>
      </c>
      <c r="B1008">
        <f>'2 transformar y limpiar'!B1022</f>
        <v/>
      </c>
      <c r="C1008" s="6">
        <f>('2 transformar y limpiar'!C1022-$B$6)/$C$6</f>
        <v/>
      </c>
      <c r="D1008" s="6">
        <f>('2 transformar y limpiar'!D1022-$B$7)/$C$7</f>
        <v/>
      </c>
      <c r="E1008" s="6">
        <f>('2 transformar y limpiar'!E1022-$B$8)/$C$8</f>
        <v/>
      </c>
      <c r="F1008" s="6">
        <f>('2 transformar y limpiar'!F1022-$B$9)/$C$9</f>
        <v/>
      </c>
      <c r="G1008">
        <f>'2 transformar y limpiar'!G1022</f>
        <v/>
      </c>
      <c r="H1008">
        <f>'2 transformar y limpiar'!H1022</f>
        <v/>
      </c>
      <c r="I1008">
        <f>'2 transformar y limpiar'!I1022</f>
        <v/>
      </c>
      <c r="J1008">
        <f>'2 transformar y limpiar'!J1022</f>
        <v/>
      </c>
      <c r="K1008">
        <f>'2 transformar y limpiar'!K1022</f>
        <v/>
      </c>
      <c r="L1008">
        <f>'2 transformar y limpiar'!L1022</f>
        <v/>
      </c>
      <c r="M1008">
        <f>'2 transformar y limpiar'!M1022</f>
        <v/>
      </c>
      <c r="N1008">
        <f>'2 transformar y limpiar'!N1022</f>
        <v/>
      </c>
      <c r="O1008">
        <f>'2 transformar y limpiar'!O1022</f>
        <v/>
      </c>
      <c r="P1008">
        <f>'2 transformar y limpiar'!P1022</f>
        <v/>
      </c>
      <c r="Q1008">
        <f>'2 transformar y limpiar'!Q1022</f>
        <v/>
      </c>
      <c r="R1008">
        <f>'2 transformar y limpiar'!R1022</f>
        <v/>
      </c>
      <c r="S1008">
        <f>'2 transformar y limpiar'!S1022</f>
        <v/>
      </c>
      <c r="T1008">
        <f>'2 transformar y limpiar'!T1022</f>
        <v/>
      </c>
      <c r="U1008" s="5">
        <f>'2 transformar y limpiar'!U1022</f>
        <v/>
      </c>
    </row>
    <row r="1009">
      <c r="A1009">
        <f>'2 transformar y limpiar'!A1023</f>
        <v/>
      </c>
      <c r="B1009">
        <f>'2 transformar y limpiar'!B1023</f>
        <v/>
      </c>
      <c r="C1009" s="6">
        <f>('2 transformar y limpiar'!C1023-$B$6)/$C$6</f>
        <v/>
      </c>
      <c r="D1009" s="6">
        <f>('2 transformar y limpiar'!D1023-$B$7)/$C$7</f>
        <v/>
      </c>
      <c r="E1009" s="6">
        <f>('2 transformar y limpiar'!E1023-$B$8)/$C$8</f>
        <v/>
      </c>
      <c r="F1009" s="6">
        <f>('2 transformar y limpiar'!F1023-$B$9)/$C$9</f>
        <v/>
      </c>
      <c r="G1009">
        <f>'2 transformar y limpiar'!G1023</f>
        <v/>
      </c>
      <c r="H1009">
        <f>'2 transformar y limpiar'!H1023</f>
        <v/>
      </c>
      <c r="I1009">
        <f>'2 transformar y limpiar'!I1023</f>
        <v/>
      </c>
      <c r="J1009">
        <f>'2 transformar y limpiar'!J1023</f>
        <v/>
      </c>
      <c r="K1009">
        <f>'2 transformar y limpiar'!K1023</f>
        <v/>
      </c>
      <c r="L1009">
        <f>'2 transformar y limpiar'!L1023</f>
        <v/>
      </c>
      <c r="M1009">
        <f>'2 transformar y limpiar'!M1023</f>
        <v/>
      </c>
      <c r="N1009">
        <f>'2 transformar y limpiar'!N1023</f>
        <v/>
      </c>
      <c r="O1009">
        <f>'2 transformar y limpiar'!O1023</f>
        <v/>
      </c>
      <c r="P1009">
        <f>'2 transformar y limpiar'!P1023</f>
        <v/>
      </c>
      <c r="Q1009">
        <f>'2 transformar y limpiar'!Q1023</f>
        <v/>
      </c>
      <c r="R1009">
        <f>'2 transformar y limpiar'!R1023</f>
        <v/>
      </c>
      <c r="S1009">
        <f>'2 transformar y limpiar'!S1023</f>
        <v/>
      </c>
      <c r="T1009">
        <f>'2 transformar y limpiar'!T1023</f>
        <v/>
      </c>
      <c r="U1009" s="5">
        <f>'2 transformar y limpiar'!U1023</f>
        <v/>
      </c>
    </row>
    <row r="1010">
      <c r="A1010">
        <f>'2 transformar y limpiar'!A1024</f>
        <v/>
      </c>
      <c r="B1010">
        <f>'2 transformar y limpiar'!B1024</f>
        <v/>
      </c>
      <c r="C1010" s="6">
        <f>('2 transformar y limpiar'!C1024-$B$6)/$C$6</f>
        <v/>
      </c>
      <c r="D1010" s="6">
        <f>('2 transformar y limpiar'!D1024-$B$7)/$C$7</f>
        <v/>
      </c>
      <c r="E1010" s="6">
        <f>('2 transformar y limpiar'!E1024-$B$8)/$C$8</f>
        <v/>
      </c>
      <c r="F1010" s="6">
        <f>('2 transformar y limpiar'!F1024-$B$9)/$C$9</f>
        <v/>
      </c>
      <c r="G1010">
        <f>'2 transformar y limpiar'!G1024</f>
        <v/>
      </c>
      <c r="H1010">
        <f>'2 transformar y limpiar'!H1024</f>
        <v/>
      </c>
      <c r="I1010">
        <f>'2 transformar y limpiar'!I1024</f>
        <v/>
      </c>
      <c r="J1010">
        <f>'2 transformar y limpiar'!J1024</f>
        <v/>
      </c>
      <c r="K1010">
        <f>'2 transformar y limpiar'!K1024</f>
        <v/>
      </c>
      <c r="L1010">
        <f>'2 transformar y limpiar'!L1024</f>
        <v/>
      </c>
      <c r="M1010">
        <f>'2 transformar y limpiar'!M1024</f>
        <v/>
      </c>
      <c r="N1010">
        <f>'2 transformar y limpiar'!N1024</f>
        <v/>
      </c>
      <c r="O1010">
        <f>'2 transformar y limpiar'!O1024</f>
        <v/>
      </c>
      <c r="P1010">
        <f>'2 transformar y limpiar'!P1024</f>
        <v/>
      </c>
      <c r="Q1010">
        <f>'2 transformar y limpiar'!Q1024</f>
        <v/>
      </c>
      <c r="R1010">
        <f>'2 transformar y limpiar'!R1024</f>
        <v/>
      </c>
      <c r="S1010">
        <f>'2 transformar y limpiar'!S1024</f>
        <v/>
      </c>
      <c r="T1010">
        <f>'2 transformar y limpiar'!T1024</f>
        <v/>
      </c>
      <c r="U1010" s="5">
        <f>'2 transformar y limpiar'!U1024</f>
        <v/>
      </c>
    </row>
    <row r="1011">
      <c r="A1011">
        <f>'2 transformar y limpiar'!A1025</f>
        <v/>
      </c>
      <c r="B1011">
        <f>'2 transformar y limpiar'!B1025</f>
        <v/>
      </c>
      <c r="C1011" s="6">
        <f>('2 transformar y limpiar'!C1025-$B$6)/$C$6</f>
        <v/>
      </c>
      <c r="D1011" s="6">
        <f>('2 transformar y limpiar'!D1025-$B$7)/$C$7</f>
        <v/>
      </c>
      <c r="E1011" s="6">
        <f>('2 transformar y limpiar'!E1025-$B$8)/$C$8</f>
        <v/>
      </c>
      <c r="F1011" s="6">
        <f>('2 transformar y limpiar'!F1025-$B$9)/$C$9</f>
        <v/>
      </c>
      <c r="G1011">
        <f>'2 transformar y limpiar'!G1025</f>
        <v/>
      </c>
      <c r="H1011">
        <f>'2 transformar y limpiar'!H1025</f>
        <v/>
      </c>
      <c r="I1011">
        <f>'2 transformar y limpiar'!I1025</f>
        <v/>
      </c>
      <c r="J1011">
        <f>'2 transformar y limpiar'!J1025</f>
        <v/>
      </c>
      <c r="K1011">
        <f>'2 transformar y limpiar'!K1025</f>
        <v/>
      </c>
      <c r="L1011">
        <f>'2 transformar y limpiar'!L1025</f>
        <v/>
      </c>
      <c r="M1011">
        <f>'2 transformar y limpiar'!M1025</f>
        <v/>
      </c>
      <c r="N1011">
        <f>'2 transformar y limpiar'!N1025</f>
        <v/>
      </c>
      <c r="O1011">
        <f>'2 transformar y limpiar'!O1025</f>
        <v/>
      </c>
      <c r="P1011">
        <f>'2 transformar y limpiar'!P1025</f>
        <v/>
      </c>
      <c r="Q1011">
        <f>'2 transformar y limpiar'!Q1025</f>
        <v/>
      </c>
      <c r="R1011">
        <f>'2 transformar y limpiar'!R1025</f>
        <v/>
      </c>
      <c r="S1011">
        <f>'2 transformar y limpiar'!S1025</f>
        <v/>
      </c>
      <c r="T1011">
        <f>'2 transformar y limpiar'!T1025</f>
        <v/>
      </c>
      <c r="U1011" s="5">
        <f>'2 transformar y limpiar'!U1025</f>
        <v/>
      </c>
    </row>
    <row r="1012">
      <c r="A1012">
        <f>'2 transformar y limpiar'!A1026</f>
        <v/>
      </c>
      <c r="B1012">
        <f>'2 transformar y limpiar'!B1026</f>
        <v/>
      </c>
      <c r="C1012" s="6">
        <f>('2 transformar y limpiar'!C1026-$B$6)/$C$6</f>
        <v/>
      </c>
      <c r="D1012" s="6">
        <f>('2 transformar y limpiar'!D1026-$B$7)/$C$7</f>
        <v/>
      </c>
      <c r="E1012" s="6">
        <f>('2 transformar y limpiar'!E1026-$B$8)/$C$8</f>
        <v/>
      </c>
      <c r="F1012" s="6">
        <f>('2 transformar y limpiar'!F1026-$B$9)/$C$9</f>
        <v/>
      </c>
      <c r="G1012">
        <f>'2 transformar y limpiar'!G1026</f>
        <v/>
      </c>
      <c r="H1012">
        <f>'2 transformar y limpiar'!H1026</f>
        <v/>
      </c>
      <c r="I1012">
        <f>'2 transformar y limpiar'!I1026</f>
        <v/>
      </c>
      <c r="J1012">
        <f>'2 transformar y limpiar'!J1026</f>
        <v/>
      </c>
      <c r="K1012">
        <f>'2 transformar y limpiar'!K1026</f>
        <v/>
      </c>
      <c r="L1012">
        <f>'2 transformar y limpiar'!L1026</f>
        <v/>
      </c>
      <c r="M1012">
        <f>'2 transformar y limpiar'!M1026</f>
        <v/>
      </c>
      <c r="N1012">
        <f>'2 transformar y limpiar'!N1026</f>
        <v/>
      </c>
      <c r="O1012">
        <f>'2 transformar y limpiar'!O1026</f>
        <v/>
      </c>
      <c r="P1012">
        <f>'2 transformar y limpiar'!P1026</f>
        <v/>
      </c>
      <c r="Q1012">
        <f>'2 transformar y limpiar'!Q1026</f>
        <v/>
      </c>
      <c r="R1012">
        <f>'2 transformar y limpiar'!R1026</f>
        <v/>
      </c>
      <c r="S1012">
        <f>'2 transformar y limpiar'!S1026</f>
        <v/>
      </c>
      <c r="T1012">
        <f>'2 transformar y limpiar'!T1026</f>
        <v/>
      </c>
      <c r="U1012" s="5">
        <f>'2 transformar y limpiar'!U1026</f>
        <v/>
      </c>
    </row>
    <row r="1013">
      <c r="A1013">
        <f>'2 transformar y limpiar'!A1027</f>
        <v/>
      </c>
      <c r="B1013">
        <f>'2 transformar y limpiar'!B1027</f>
        <v/>
      </c>
      <c r="C1013" s="6">
        <f>('2 transformar y limpiar'!C1027-$B$6)/$C$6</f>
        <v/>
      </c>
      <c r="D1013" s="6">
        <f>('2 transformar y limpiar'!D1027-$B$7)/$C$7</f>
        <v/>
      </c>
      <c r="E1013" s="6">
        <f>('2 transformar y limpiar'!E1027-$B$8)/$C$8</f>
        <v/>
      </c>
      <c r="F1013" s="6">
        <f>('2 transformar y limpiar'!F1027-$B$9)/$C$9</f>
        <v/>
      </c>
      <c r="G1013">
        <f>'2 transformar y limpiar'!G1027</f>
        <v/>
      </c>
      <c r="H1013">
        <f>'2 transformar y limpiar'!H1027</f>
        <v/>
      </c>
      <c r="I1013">
        <f>'2 transformar y limpiar'!I1027</f>
        <v/>
      </c>
      <c r="J1013">
        <f>'2 transformar y limpiar'!J1027</f>
        <v/>
      </c>
      <c r="K1013">
        <f>'2 transformar y limpiar'!K1027</f>
        <v/>
      </c>
      <c r="L1013">
        <f>'2 transformar y limpiar'!L1027</f>
        <v/>
      </c>
      <c r="M1013">
        <f>'2 transformar y limpiar'!M1027</f>
        <v/>
      </c>
      <c r="N1013">
        <f>'2 transformar y limpiar'!N1027</f>
        <v/>
      </c>
      <c r="O1013">
        <f>'2 transformar y limpiar'!O1027</f>
        <v/>
      </c>
      <c r="P1013">
        <f>'2 transformar y limpiar'!P1027</f>
        <v/>
      </c>
      <c r="Q1013">
        <f>'2 transformar y limpiar'!Q1027</f>
        <v/>
      </c>
      <c r="R1013">
        <f>'2 transformar y limpiar'!R1027</f>
        <v/>
      </c>
      <c r="S1013">
        <f>'2 transformar y limpiar'!S1027</f>
        <v/>
      </c>
      <c r="T1013">
        <f>'2 transformar y limpiar'!T1027</f>
        <v/>
      </c>
      <c r="U1013" s="5">
        <f>'2 transformar y limpiar'!U1027</f>
        <v/>
      </c>
    </row>
    <row r="1014">
      <c r="A1014">
        <f>'2 transformar y limpiar'!A1028</f>
        <v/>
      </c>
      <c r="B1014">
        <f>'2 transformar y limpiar'!B1028</f>
        <v/>
      </c>
      <c r="C1014" s="6">
        <f>('2 transformar y limpiar'!C1028-$B$6)/$C$6</f>
        <v/>
      </c>
      <c r="D1014" s="6">
        <f>('2 transformar y limpiar'!D1028-$B$7)/$C$7</f>
        <v/>
      </c>
      <c r="E1014" s="6">
        <f>('2 transformar y limpiar'!E1028-$B$8)/$C$8</f>
        <v/>
      </c>
      <c r="F1014" s="6">
        <f>('2 transformar y limpiar'!F1028-$B$9)/$C$9</f>
        <v/>
      </c>
      <c r="G1014">
        <f>'2 transformar y limpiar'!G1028</f>
        <v/>
      </c>
      <c r="H1014">
        <f>'2 transformar y limpiar'!H1028</f>
        <v/>
      </c>
      <c r="I1014">
        <f>'2 transformar y limpiar'!I1028</f>
        <v/>
      </c>
      <c r="J1014">
        <f>'2 transformar y limpiar'!J1028</f>
        <v/>
      </c>
      <c r="K1014">
        <f>'2 transformar y limpiar'!K1028</f>
        <v/>
      </c>
      <c r="L1014">
        <f>'2 transformar y limpiar'!L1028</f>
        <v/>
      </c>
      <c r="M1014">
        <f>'2 transformar y limpiar'!M1028</f>
        <v/>
      </c>
      <c r="N1014">
        <f>'2 transformar y limpiar'!N1028</f>
        <v/>
      </c>
      <c r="O1014">
        <f>'2 transformar y limpiar'!O1028</f>
        <v/>
      </c>
      <c r="P1014">
        <f>'2 transformar y limpiar'!P1028</f>
        <v/>
      </c>
      <c r="Q1014">
        <f>'2 transformar y limpiar'!Q1028</f>
        <v/>
      </c>
      <c r="R1014">
        <f>'2 transformar y limpiar'!R1028</f>
        <v/>
      </c>
      <c r="S1014">
        <f>'2 transformar y limpiar'!S1028</f>
        <v/>
      </c>
      <c r="T1014">
        <f>'2 transformar y limpiar'!T1028</f>
        <v/>
      </c>
      <c r="U1014" s="5">
        <f>'2 transformar y limpiar'!U1028</f>
        <v/>
      </c>
    </row>
  </sheetData>
  <mergeCells count="2">
    <mergeCell ref="A3:P3"/>
    <mergeCell ref="A2:P2"/>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Q1023"/>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34" customWidth="1" min="1" max="1"/>
    <col width="19" customWidth="1" min="2" max="2"/>
    <col width="10" customWidth="1" min="3" max="3"/>
    <col width="10" customWidth="1" min="4" max="4"/>
    <col width="10" customWidth="1" min="5" max="5"/>
    <col width="10" customWidth="1" min="6" max="6"/>
    <col width="18" customWidth="1" min="7" max="7"/>
    <col width="13" customWidth="1" min="8" max="8"/>
    <col width="10" customWidth="1" min="9" max="9"/>
    <col width="14" customWidth="1" min="10" max="10"/>
    <col width="13" customWidth="1" min="11" max="11"/>
    <col width="13" customWidth="1" min="12" max="12"/>
    <col width="18" customWidth="1" min="13" max="13"/>
    <col width="16" customWidth="1" min="14" max="14"/>
    <col width="18" customWidth="1" min="15" max="15"/>
    <col width="19" customWidth="1" min="16" max="16"/>
    <col width="18" customWidth="1" min="17" max="17"/>
    <col width="16" customWidth="1" min="18" max="18"/>
    <col width="15" customWidth="1" min="19" max="19"/>
    <col width="19" customWidth="1" min="20" max="20"/>
    <col width="18" customWidth="1" min="21" max="21"/>
    <col width="20" customWidth="1" min="22" max="22"/>
    <col width="14" customWidth="1" min="23" max="23"/>
    <col width="10" customWidth="1" min="24" max="24"/>
    <col width="11" customWidth="1" min="25" max="25"/>
    <col width="10" customWidth="1" min="26" max="26"/>
    <col width="44" customWidth="1" min="28" max="28"/>
    <col width="27" customWidth="1" min="29" max="29"/>
    <col width="27" customWidth="1" min="30" max="30"/>
    <col width="46" customWidth="1" min="33" max="33"/>
    <col width="30" customWidth="1" min="34" max="34"/>
    <col width="30" customWidth="1" min="35" max="35"/>
    <col width="30" customWidth="1" min="36" max="36"/>
    <col width="30" customWidth="1" min="37" max="37"/>
    <col width="30" customWidth="1" min="38" max="38"/>
    <col width="46" customWidth="1" min="39" max="39"/>
    <col width="30" customWidth="1" min="40" max="40"/>
    <col width="30" customWidth="1" min="41" max="41"/>
    <col width="30" customWidth="1" min="42" max="42"/>
    <col width="30" customWidth="1" min="43" max="43"/>
    <col width="30" customWidth="1" min="44" max="44"/>
  </cols>
  <sheetData>
    <row r="1">
      <c r="A1" s="3" t="inlineStr">
        <is>
          <t>El modelo (recta Z, logística p, pérdida, Solver), el umbral y la evaluación</t>
        </is>
      </c>
    </row>
    <row r="2" ht="80.5" customHeight="1">
      <c r="A2" s="2" t="inlineStr">
        <is>
          <t>Aquí está el modelo. Cada cliente tiene su fila con las 18 columnas ya escaladas y, a la derecha, un solo bloque de pesos (thetas) que se usa dos veces. La columna ŷ modelo simple es la regresión lineal de las clases anteriores: intercepto más cada columna por su peso, leída directo como predicción de y. Los pesos parten en 0,3 parejo, a propósito: con eso la recta se escapa del rango [0, 1] enseguida, y el bloque bajo la tabla lo muestra con el mínimo y el máximo por conjunto. Ese es el problema de la sección 1 de la clase: una recta no tiene tope, y un número fuera de [0, 1] no se puede leer como probabilidad.</t>
        </is>
      </c>
    </row>
    <row r="3" ht="80.5" customHeight="1">
      <c r="A3" s="2" t="inlineStr">
        <is>
          <t>La columna p resuelve eso con los mismos pesos: p = 1 / (1 + exp(−Z)) es la función logística (hoja aux_funcion_logistica), que toma cualquier número y lo lleva a (0, 1). Ahora p sí se lee como la probabilidad de que el cliente sea mal pagador, y la columna predicción la colapsa a 1 o 0 comparándola con el umbral (celda celeste, por ahora 0,5). La columna pérdida es la entropía cruzada de cada fila: −ln(p) si el cliente era malo, −ln(1 − p) si era bueno (hoja aux_funcion_de_perdida). El promedio de esa columna sobre training es la función de costo, y es lo que Solver minimiza moviendo los pesos.</t>
        </is>
      </c>
    </row>
    <row r="4" ht="80.5" customHeight="1">
      <c r="A4" s="2" t="inlineStr">
        <is>
          <t>Para usar Solver: objetivo = celda de pérdida total en training (la primera verde, la suma de las 700 filas), cambiando las celdas celestes de los pesos, método GRG no lineal, sin restricciones, y en Opciones bajar la convergencia a 0,000001 con derivadas centrales (el bloque de resultados lo detalla). Debería llegar a la misma pérdida que la referencia de scikit-learn (columna gris) y a pesos casi iguales, porque esta función de costo tiene un solo mínimo. La evaluación de la derecha y las hojas 5 y 6 leen estos pesos, así que antes de Solver muestran el modelo malo y después el entrenado; si quieres saltarte el Solver, copia la columna gris sobre la celeste.</t>
        </is>
      </c>
    </row>
    <row r="5" ht="80.5" customHeight="1">
      <c r="A5" s="2" t="inlineStr">
        <is>
          <t>Cómo evaluamos el modelo (bloque de la derecha, junto al umbral). El acierto (accuracy) es el punto de partida: qué fracción de los clientes quedó bien clasificada. Pero esconde lo que importa: en esta base, un modelo que dijera que todos pagan acertaría el 70% sin haber aprendido nada, y no atraparía a ningún mal pagador. La matriz de confusión separa los cuatro casos: verdaderos positivos (era malo y lo marqué), falsos positivos (era bueno y lo marqué), verdaderos negativos y falsos negativos (era malo y lo dejé pasar). Aquí positivo significa mal pagador, porque es el evento que queremos detectar.</t>
        </is>
      </c>
    </row>
    <row r="6" ht="65" customHeight="1">
      <c r="A6" s="2" t="inlineStr">
        <is>
          <t>De la matriz salen las dos métricas que hay que saber leer. Recall = TP / (TP + FN): de todos los malos pagadores que había, qué fracción atrapé. Es una medida de eficacia. Precision = TP / (TP + FP): de todos los que marqué como malos, qué fracción lo era de verdad. Es una medida de eficiencia, porque cada marca en falso cuesta (un buen cliente rechazado, una llamada de cobranza inútil). F1 es el promedio armónico de las dos, útil como resumen cuando no se sabe cuál importa más. Las tres se muestran para training y para testing; la que cuenta es la de testing.</t>
        </is>
      </c>
    </row>
    <row r="7" ht="65" customHeight="1">
      <c r="A7" s="2" t="inlineStr">
        <is>
          <t>El trade-off entre eficacia y eficiencia es el corazón de la clase. En riesgo de crédito, dejar pasar a un mal pagador (FN) cuesta el capital prestado, y rechazar a un buen pagador (FP) cuesta el margen que se dejó de ganar: se privilegia recall. En churn, contactar a un cliente que no se iba cuesta poco, pero el presupuesto de retención es finito: precision importa más de lo que parece. En fraude, marcar operaciones legítimas molesta a los clientes honestos: la eficiencia es lo que mantiene la fricción tolerable. La palanca para moverse entre los dos es el umbral, y de eso trata la hoja 5.</t>
        </is>
      </c>
    </row>
    <row r="8"/>
    <row r="9"/>
    <row r="10">
      <c r="AB10" s="3" t="inlineStr">
        <is>
          <t>Pesos del modelo (theta): los mismos para la recta y para la logística</t>
        </is>
      </c>
      <c r="AG10" s="3" t="inlineStr">
        <is>
          <t>EVALUACIÓN (usa el umbral celeste de la izquierda: muévelo y mira cómo cambian las matrices)</t>
        </is>
      </c>
    </row>
    <row r="11">
      <c r="A11" s="4" t="inlineStr">
        <is>
          <t>id</t>
        </is>
      </c>
      <c r="B11" s="4" t="inlineStr">
        <is>
          <t>conjunto</t>
        </is>
      </c>
      <c r="C11" s="4" t="inlineStr">
        <is>
          <t>y</t>
        </is>
      </c>
      <c r="D11" s="4" t="inlineStr">
        <is>
          <t>duracion</t>
        </is>
      </c>
      <c r="E11" s="4" t="inlineStr">
        <is>
          <t>monto</t>
        </is>
      </c>
      <c r="F11" s="4" t="inlineStr">
        <is>
          <t>edad</t>
        </is>
      </c>
      <c r="G11" s="4" t="inlineStr">
        <is>
          <t>cuota_pct_ingreso</t>
        </is>
      </c>
      <c r="H11" s="4" t="inlineStr">
        <is>
          <t>cta_negativa</t>
        </is>
      </c>
      <c r="I11" s="4" t="inlineStr">
        <is>
          <t>cta_0_200</t>
        </is>
      </c>
      <c r="J11" s="4" t="inlineStr">
        <is>
          <t>cta_sobre_200</t>
        </is>
      </c>
      <c r="K11" s="4" t="inlineStr">
        <is>
          <t>hist_critico</t>
        </is>
      </c>
      <c r="L11" s="4" t="inlineStr">
        <is>
          <t>hist_atrasos</t>
        </is>
      </c>
      <c r="M11" s="4" t="inlineStr">
        <is>
          <t>hist_sin_creditos</t>
        </is>
      </c>
      <c r="N11" s="4" t="inlineStr">
        <is>
          <t>ahorro_100_1000</t>
        </is>
      </c>
      <c r="O11" s="4" t="inlineStr">
        <is>
          <t>ahorro_sobre_1000</t>
        </is>
      </c>
      <c r="P11" s="4" t="inlineStr">
        <is>
          <t>ahorro_desconocido</t>
        </is>
      </c>
      <c r="Q11" s="4" t="inlineStr">
        <is>
          <t>vivienda_arriendo</t>
        </is>
      </c>
      <c r="R11" s="4" t="inlineStr">
        <is>
          <t>vivienda_gratis</t>
        </is>
      </c>
      <c r="S11" s="4" t="inlineStr">
        <is>
          <t>proposito_auto</t>
        </is>
      </c>
      <c r="T11" s="4" t="inlineStr">
        <is>
          <t>proposito_radio_tv</t>
        </is>
      </c>
      <c r="U11" s="4" t="inlineStr">
        <is>
          <t>proposito_muebles</t>
        </is>
      </c>
      <c r="V11" s="4" t="inlineStr">
        <is>
          <t>ŷ modelo simple (Z)</t>
        </is>
      </c>
      <c r="W11" s="4" t="inlineStr">
        <is>
          <t>p (logística)</t>
        </is>
      </c>
      <c r="X11" s="4" t="inlineStr">
        <is>
          <t>pérdida</t>
        </is>
      </c>
      <c r="Y11" s="4" t="inlineStr">
        <is>
          <t>predicción</t>
        </is>
      </c>
      <c r="Z11" s="4" t="inlineStr">
        <is>
          <t>acierto</t>
        </is>
      </c>
      <c r="AB11" s="4" t="inlineStr">
        <is>
          <t>variable</t>
        </is>
      </c>
      <c r="AC11" s="4" t="inlineStr">
        <is>
          <t>theta (celeste: cámbialo o deja que Solver lo mueva)</t>
        </is>
      </c>
      <c r="AD11" s="4" t="inlineStr">
        <is>
          <t>referencia scikit-learn (la solución)</t>
        </is>
      </c>
    </row>
    <row r="12">
      <c r="A12">
        <f>'3 escalar'!A15</f>
        <v/>
      </c>
      <c r="B12" s="5">
        <f>'3 escalar'!U15</f>
        <v/>
      </c>
      <c r="C12">
        <f>'3 escalar'!B15</f>
        <v/>
      </c>
      <c r="D12" s="7">
        <f>'3 escalar'!C15</f>
        <v/>
      </c>
      <c r="E12" s="7">
        <f>'3 escalar'!D15</f>
        <v/>
      </c>
      <c r="F12" s="7">
        <f>'3 escalar'!E15</f>
        <v/>
      </c>
      <c r="G12" s="7">
        <f>'3 escalar'!F15</f>
        <v/>
      </c>
      <c r="H12" s="7">
        <f>'3 escalar'!G15</f>
        <v/>
      </c>
      <c r="I12" s="7">
        <f>'3 escalar'!H15</f>
        <v/>
      </c>
      <c r="J12" s="7">
        <f>'3 escalar'!I15</f>
        <v/>
      </c>
      <c r="K12" s="7">
        <f>'3 escalar'!J15</f>
        <v/>
      </c>
      <c r="L12" s="7">
        <f>'3 escalar'!K15</f>
        <v/>
      </c>
      <c r="M12" s="7">
        <f>'3 escalar'!L15</f>
        <v/>
      </c>
      <c r="N12" s="7">
        <f>'3 escalar'!M15</f>
        <v/>
      </c>
      <c r="O12" s="7">
        <f>'3 escalar'!N15</f>
        <v/>
      </c>
      <c r="P12" s="7">
        <f>'3 escalar'!O15</f>
        <v/>
      </c>
      <c r="Q12" s="7">
        <f>'3 escalar'!P15</f>
        <v/>
      </c>
      <c r="R12" s="7">
        <f>'3 escalar'!Q15</f>
        <v/>
      </c>
      <c r="S12" s="7">
        <f>'3 escalar'!R15</f>
        <v/>
      </c>
      <c r="T12" s="7">
        <f>'3 escalar'!S15</f>
        <v/>
      </c>
      <c r="U12" s="7">
        <f>'3 escalar'!T15</f>
        <v/>
      </c>
      <c r="V12" s="6">
        <f>$AC$12+D12*$AC$13+E12*$AC$14+F12*$AC$15+G12*$AC$16+H12*$AC$17+I12*$AC$18+J12*$AC$19+K12*$AC$20+L12*$AC$21+M12*$AC$22+N12*$AC$23+O12*$AC$24+P12*$AC$25+Q12*$AC$26+R12*$AC$27+S12*$AC$28+T12*$AC$29+U12*$AC$30</f>
        <v/>
      </c>
      <c r="W12" s="6">
        <f>1/(1+EXP(-V12))</f>
        <v/>
      </c>
      <c r="X12" s="8">
        <f>-IF(C12=1,LN(W12),LN(1-W12))</f>
        <v/>
      </c>
      <c r="Y12" s="9">
        <f>IF(W12&gt;$AC$32,1,0)</f>
        <v/>
      </c>
      <c r="Z12">
        <f>IF(Y12=C12,1,0)</f>
        <v/>
      </c>
      <c r="AB12" t="inlineStr">
        <is>
          <t>intercepto</t>
        </is>
      </c>
      <c r="AC12" s="10" t="n">
        <v>0.3</v>
      </c>
      <c r="AD12" s="11" t="n">
        <v>-1.341270962110326</v>
      </c>
      <c r="AG12" s="3" t="inlineStr">
        <is>
          <t>Matriz de confusión, training (700 clientes)</t>
        </is>
      </c>
      <c r="AM12" s="3" t="inlineStr">
        <is>
          <t>Matriz de confusión, testing (300 clientes)</t>
        </is>
      </c>
    </row>
    <row r="13">
      <c r="A13">
        <f>'3 escalar'!A16</f>
        <v/>
      </c>
      <c r="B13" s="5">
        <f>'3 escalar'!U16</f>
        <v/>
      </c>
      <c r="C13">
        <f>'3 escalar'!B16</f>
        <v/>
      </c>
      <c r="D13" s="7">
        <f>'3 escalar'!C16</f>
        <v/>
      </c>
      <c r="E13" s="7">
        <f>'3 escalar'!D16</f>
        <v/>
      </c>
      <c r="F13" s="7">
        <f>'3 escalar'!E16</f>
        <v/>
      </c>
      <c r="G13" s="7">
        <f>'3 escalar'!F16</f>
        <v/>
      </c>
      <c r="H13" s="7">
        <f>'3 escalar'!G16</f>
        <v/>
      </c>
      <c r="I13" s="7">
        <f>'3 escalar'!H16</f>
        <v/>
      </c>
      <c r="J13" s="7">
        <f>'3 escalar'!I16</f>
        <v/>
      </c>
      <c r="K13" s="7">
        <f>'3 escalar'!J16</f>
        <v/>
      </c>
      <c r="L13" s="7">
        <f>'3 escalar'!K16</f>
        <v/>
      </c>
      <c r="M13" s="7">
        <f>'3 escalar'!L16</f>
        <v/>
      </c>
      <c r="N13" s="7">
        <f>'3 escalar'!M16</f>
        <v/>
      </c>
      <c r="O13" s="7">
        <f>'3 escalar'!N16</f>
        <v/>
      </c>
      <c r="P13" s="7">
        <f>'3 escalar'!O16</f>
        <v/>
      </c>
      <c r="Q13" s="7">
        <f>'3 escalar'!P16</f>
        <v/>
      </c>
      <c r="R13" s="7">
        <f>'3 escalar'!Q16</f>
        <v/>
      </c>
      <c r="S13" s="7">
        <f>'3 escalar'!R16</f>
        <v/>
      </c>
      <c r="T13" s="7">
        <f>'3 escalar'!S16</f>
        <v/>
      </c>
      <c r="U13" s="7">
        <f>'3 escalar'!T16</f>
        <v/>
      </c>
      <c r="V13" s="6">
        <f>$AC$12+D13*$AC$13+E13*$AC$14+F13*$AC$15+G13*$AC$16+H13*$AC$17+I13*$AC$18+J13*$AC$19+K13*$AC$20+L13*$AC$21+M13*$AC$22+N13*$AC$23+O13*$AC$24+P13*$AC$25+Q13*$AC$26+R13*$AC$27+S13*$AC$28+T13*$AC$29+U13*$AC$30</f>
        <v/>
      </c>
      <c r="W13" s="6">
        <f>1/(1+EXP(-V13))</f>
        <v/>
      </c>
      <c r="X13" s="8">
        <f>-IF(C13=1,LN(W13),LN(1-W13))</f>
        <v/>
      </c>
      <c r="Y13" s="9">
        <f>IF(W13&gt;$AC$32,1,0)</f>
        <v/>
      </c>
      <c r="Z13">
        <f>IF(Y13=C13,1,0)</f>
        <v/>
      </c>
      <c r="AB13" t="inlineStr">
        <is>
          <t>duracion</t>
        </is>
      </c>
      <c r="AC13" s="10" t="n">
        <v>0.3</v>
      </c>
      <c r="AD13" s="11" t="n">
        <v>0.3247012549391071</v>
      </c>
      <c r="AI13" s="3" t="inlineStr">
        <is>
          <t>predicho 0 (paga)</t>
        </is>
      </c>
      <c r="AJ13" s="3" t="inlineStr">
        <is>
          <t>predicho 1 (no paga)</t>
        </is>
      </c>
      <c r="AK13" s="3" t="inlineStr">
        <is>
          <t>total</t>
        </is>
      </c>
      <c r="AO13" s="3" t="inlineStr">
        <is>
          <t>predicho 0 (paga)</t>
        </is>
      </c>
      <c r="AP13" s="3" t="inlineStr">
        <is>
          <t>predicho 1 (no paga)</t>
        </is>
      </c>
      <c r="AQ13" s="3" t="inlineStr">
        <is>
          <t>total</t>
        </is>
      </c>
    </row>
    <row r="14">
      <c r="A14">
        <f>'3 escalar'!A17</f>
        <v/>
      </c>
      <c r="B14" s="5">
        <f>'3 escalar'!U17</f>
        <v/>
      </c>
      <c r="C14">
        <f>'3 escalar'!B17</f>
        <v/>
      </c>
      <c r="D14" s="7">
        <f>'3 escalar'!C17</f>
        <v/>
      </c>
      <c r="E14" s="7">
        <f>'3 escalar'!D17</f>
        <v/>
      </c>
      <c r="F14" s="7">
        <f>'3 escalar'!E17</f>
        <v/>
      </c>
      <c r="G14" s="7">
        <f>'3 escalar'!F17</f>
        <v/>
      </c>
      <c r="H14" s="7">
        <f>'3 escalar'!G17</f>
        <v/>
      </c>
      <c r="I14" s="7">
        <f>'3 escalar'!H17</f>
        <v/>
      </c>
      <c r="J14" s="7">
        <f>'3 escalar'!I17</f>
        <v/>
      </c>
      <c r="K14" s="7">
        <f>'3 escalar'!J17</f>
        <v/>
      </c>
      <c r="L14" s="7">
        <f>'3 escalar'!K17</f>
        <v/>
      </c>
      <c r="M14" s="7">
        <f>'3 escalar'!L17</f>
        <v/>
      </c>
      <c r="N14" s="7">
        <f>'3 escalar'!M17</f>
        <v/>
      </c>
      <c r="O14" s="7">
        <f>'3 escalar'!N17</f>
        <v/>
      </c>
      <c r="P14" s="7">
        <f>'3 escalar'!O17</f>
        <v/>
      </c>
      <c r="Q14" s="7">
        <f>'3 escalar'!P17</f>
        <v/>
      </c>
      <c r="R14" s="7">
        <f>'3 escalar'!Q17</f>
        <v/>
      </c>
      <c r="S14" s="7">
        <f>'3 escalar'!R17</f>
        <v/>
      </c>
      <c r="T14" s="7">
        <f>'3 escalar'!S17</f>
        <v/>
      </c>
      <c r="U14" s="7">
        <f>'3 escalar'!T17</f>
        <v/>
      </c>
      <c r="V14" s="6">
        <f>$AC$12+D14*$AC$13+E14*$AC$14+F14*$AC$15+G14*$AC$16+H14*$AC$17+I14*$AC$18+J14*$AC$19+K14*$AC$20+L14*$AC$21+M14*$AC$22+N14*$AC$23+O14*$AC$24+P14*$AC$25+Q14*$AC$26+R14*$AC$27+S14*$AC$28+T14*$AC$29+U14*$AC$30</f>
        <v/>
      </c>
      <c r="W14" s="6">
        <f>1/(1+EXP(-V14))</f>
        <v/>
      </c>
      <c r="X14" s="8">
        <f>-IF(C14=1,LN(W14),LN(1-W14))</f>
        <v/>
      </c>
      <c r="Y14" s="9">
        <f>IF(W14&gt;$AC$32,1,0)</f>
        <v/>
      </c>
      <c r="Z14">
        <f>IF(Y14=C14,1,0)</f>
        <v/>
      </c>
      <c r="AB14" t="inlineStr">
        <is>
          <t>monto</t>
        </is>
      </c>
      <c r="AC14" s="10" t="n">
        <v>0.3</v>
      </c>
      <c r="AD14" s="11" t="n">
        <v>0.1163535941884676</v>
      </c>
      <c r="AG14" s="3" t="inlineStr">
        <is>
          <t>real 0 (buen pagador)</t>
        </is>
      </c>
      <c r="AH14" t="inlineStr">
        <is>
          <t>TN | FP</t>
        </is>
      </c>
      <c r="AI14" s="12">
        <f>COUNTIFS($B$12:$B$1011,"training",$C$12:$C$1011,0,$Y$12:$Y$1011,0)</f>
        <v/>
      </c>
      <c r="AJ14" s="12">
        <f>COUNTIFS($B$12:$B$1011,"training",$C$12:$C$1011,0,$Y$12:$Y$1011,1)</f>
        <v/>
      </c>
      <c r="AK14">
        <f>AI14+AJ14</f>
        <v/>
      </c>
      <c r="AM14" s="3" t="inlineStr">
        <is>
          <t>real 0 (buen pagador)</t>
        </is>
      </c>
      <c r="AN14" t="inlineStr">
        <is>
          <t>TN | FP</t>
        </is>
      </c>
      <c r="AO14" s="12">
        <f>COUNTIFS($B$12:$B$1011,"testing",$C$12:$C$1011,0,$Y$12:$Y$1011,0)</f>
        <v/>
      </c>
      <c r="AP14" s="12">
        <f>COUNTIFS($B$12:$B$1011,"testing",$C$12:$C$1011,0,$Y$12:$Y$1011,1)</f>
        <v/>
      </c>
      <c r="AQ14">
        <f>AO14+AP14</f>
        <v/>
      </c>
    </row>
    <row r="15">
      <c r="A15">
        <f>'3 escalar'!A18</f>
        <v/>
      </c>
      <c r="B15" s="5">
        <f>'3 escalar'!U18</f>
        <v/>
      </c>
      <c r="C15">
        <f>'3 escalar'!B18</f>
        <v/>
      </c>
      <c r="D15" s="7">
        <f>'3 escalar'!C18</f>
        <v/>
      </c>
      <c r="E15" s="7">
        <f>'3 escalar'!D18</f>
        <v/>
      </c>
      <c r="F15" s="7">
        <f>'3 escalar'!E18</f>
        <v/>
      </c>
      <c r="G15" s="7">
        <f>'3 escalar'!F18</f>
        <v/>
      </c>
      <c r="H15" s="7">
        <f>'3 escalar'!G18</f>
        <v/>
      </c>
      <c r="I15" s="7">
        <f>'3 escalar'!H18</f>
        <v/>
      </c>
      <c r="J15" s="7">
        <f>'3 escalar'!I18</f>
        <v/>
      </c>
      <c r="K15" s="7">
        <f>'3 escalar'!J18</f>
        <v/>
      </c>
      <c r="L15" s="7">
        <f>'3 escalar'!K18</f>
        <v/>
      </c>
      <c r="M15" s="7">
        <f>'3 escalar'!L18</f>
        <v/>
      </c>
      <c r="N15" s="7">
        <f>'3 escalar'!M18</f>
        <v/>
      </c>
      <c r="O15" s="7">
        <f>'3 escalar'!N18</f>
        <v/>
      </c>
      <c r="P15" s="7">
        <f>'3 escalar'!O18</f>
        <v/>
      </c>
      <c r="Q15" s="7">
        <f>'3 escalar'!P18</f>
        <v/>
      </c>
      <c r="R15" s="7">
        <f>'3 escalar'!Q18</f>
        <v/>
      </c>
      <c r="S15" s="7">
        <f>'3 escalar'!R18</f>
        <v/>
      </c>
      <c r="T15" s="7">
        <f>'3 escalar'!S18</f>
        <v/>
      </c>
      <c r="U15" s="7">
        <f>'3 escalar'!T18</f>
        <v/>
      </c>
      <c r="V15" s="6">
        <f>$AC$12+D15*$AC$13+E15*$AC$14+F15*$AC$15+G15*$AC$16+H15*$AC$17+I15*$AC$18+J15*$AC$19+K15*$AC$20+L15*$AC$21+M15*$AC$22+N15*$AC$23+O15*$AC$24+P15*$AC$25+Q15*$AC$26+R15*$AC$27+S15*$AC$28+T15*$AC$29+U15*$AC$30</f>
        <v/>
      </c>
      <c r="W15" s="6">
        <f>1/(1+EXP(-V15))</f>
        <v/>
      </c>
      <c r="X15" s="8">
        <f>-IF(C15=1,LN(W15),LN(1-W15))</f>
        <v/>
      </c>
      <c r="Y15" s="9">
        <f>IF(W15&gt;$AC$32,1,0)</f>
        <v/>
      </c>
      <c r="Z15">
        <f>IF(Y15=C15,1,0)</f>
        <v/>
      </c>
      <c r="AB15" t="inlineStr">
        <is>
          <t>edad</t>
        </is>
      </c>
      <c r="AC15" s="10" t="n">
        <v>0.3</v>
      </c>
      <c r="AD15" s="11" t="n">
        <v>-0.09914522482627074</v>
      </c>
      <c r="AG15" s="3" t="inlineStr">
        <is>
          <t>real 1 (mal pagador)</t>
        </is>
      </c>
      <c r="AH15" t="inlineStr">
        <is>
          <t>FN | TP</t>
        </is>
      </c>
      <c r="AI15" s="12">
        <f>COUNTIFS($B$12:$B$1011,"training",$C$12:$C$1011,1,$Y$12:$Y$1011,0)</f>
        <v/>
      </c>
      <c r="AJ15" s="12">
        <f>COUNTIFS($B$12:$B$1011,"training",$C$12:$C$1011,1,$Y$12:$Y$1011,1)</f>
        <v/>
      </c>
      <c r="AK15">
        <f>AI15+AJ15</f>
        <v/>
      </c>
      <c r="AM15" s="3" t="inlineStr">
        <is>
          <t>real 1 (mal pagador)</t>
        </is>
      </c>
      <c r="AN15" t="inlineStr">
        <is>
          <t>FN | TP</t>
        </is>
      </c>
      <c r="AO15" s="12">
        <f>COUNTIFS($B$12:$B$1011,"testing",$C$12:$C$1011,1,$Y$12:$Y$1011,0)</f>
        <v/>
      </c>
      <c r="AP15" s="12">
        <f>COUNTIFS($B$12:$B$1011,"testing",$C$12:$C$1011,1,$Y$12:$Y$1011,1)</f>
        <v/>
      </c>
      <c r="AQ15">
        <f>AO15+AP15</f>
        <v/>
      </c>
    </row>
    <row r="16">
      <c r="A16">
        <f>'3 escalar'!A19</f>
        <v/>
      </c>
      <c r="B16" s="5">
        <f>'3 escalar'!U19</f>
        <v/>
      </c>
      <c r="C16">
        <f>'3 escalar'!B19</f>
        <v/>
      </c>
      <c r="D16" s="7">
        <f>'3 escalar'!C19</f>
        <v/>
      </c>
      <c r="E16" s="7">
        <f>'3 escalar'!D19</f>
        <v/>
      </c>
      <c r="F16" s="7">
        <f>'3 escalar'!E19</f>
        <v/>
      </c>
      <c r="G16" s="7">
        <f>'3 escalar'!F19</f>
        <v/>
      </c>
      <c r="H16" s="7">
        <f>'3 escalar'!G19</f>
        <v/>
      </c>
      <c r="I16" s="7">
        <f>'3 escalar'!H19</f>
        <v/>
      </c>
      <c r="J16" s="7">
        <f>'3 escalar'!I19</f>
        <v/>
      </c>
      <c r="K16" s="7">
        <f>'3 escalar'!J19</f>
        <v/>
      </c>
      <c r="L16" s="7">
        <f>'3 escalar'!K19</f>
        <v/>
      </c>
      <c r="M16" s="7">
        <f>'3 escalar'!L19</f>
        <v/>
      </c>
      <c r="N16" s="7">
        <f>'3 escalar'!M19</f>
        <v/>
      </c>
      <c r="O16" s="7">
        <f>'3 escalar'!N19</f>
        <v/>
      </c>
      <c r="P16" s="7">
        <f>'3 escalar'!O19</f>
        <v/>
      </c>
      <c r="Q16" s="7">
        <f>'3 escalar'!P19</f>
        <v/>
      </c>
      <c r="R16" s="7">
        <f>'3 escalar'!Q19</f>
        <v/>
      </c>
      <c r="S16" s="7">
        <f>'3 escalar'!R19</f>
        <v/>
      </c>
      <c r="T16" s="7">
        <f>'3 escalar'!S19</f>
        <v/>
      </c>
      <c r="U16" s="7">
        <f>'3 escalar'!T19</f>
        <v/>
      </c>
      <c r="V16" s="6">
        <f>$AC$12+D16*$AC$13+E16*$AC$14+F16*$AC$15+G16*$AC$16+H16*$AC$17+I16*$AC$18+J16*$AC$19+K16*$AC$20+L16*$AC$21+M16*$AC$22+N16*$AC$23+O16*$AC$24+P16*$AC$25+Q16*$AC$26+R16*$AC$27+S16*$AC$28+T16*$AC$29+U16*$AC$30</f>
        <v/>
      </c>
      <c r="W16" s="6">
        <f>1/(1+EXP(-V16))</f>
        <v/>
      </c>
      <c r="X16" s="8">
        <f>-IF(C16=1,LN(W16),LN(1-W16))</f>
        <v/>
      </c>
      <c r="Y16" s="9">
        <f>IF(W16&gt;$AC$32,1,0)</f>
        <v/>
      </c>
      <c r="Z16">
        <f>IF(Y16=C16,1,0)</f>
        <v/>
      </c>
      <c r="AB16" t="inlineStr">
        <is>
          <t>cuota_pct_ingreso</t>
        </is>
      </c>
      <c r="AC16" s="10" t="n">
        <v>0.3</v>
      </c>
      <c r="AD16" s="11" t="n">
        <v>0.2872157655933926</v>
      </c>
      <c r="AG16" s="3" t="inlineStr">
        <is>
          <t>total</t>
        </is>
      </c>
      <c r="AI16">
        <f>AI14+AI15</f>
        <v/>
      </c>
      <c r="AJ16">
        <f>AJ14+AJ15</f>
        <v/>
      </c>
      <c r="AK16">
        <f>AK14+AK15</f>
        <v/>
      </c>
      <c r="AM16" s="3" t="inlineStr">
        <is>
          <t>total</t>
        </is>
      </c>
      <c r="AO16">
        <f>AO14+AO15</f>
        <v/>
      </c>
      <c r="AP16">
        <f>AP14+AP15</f>
        <v/>
      </c>
      <c r="AQ16">
        <f>AQ14+AQ15</f>
        <v/>
      </c>
    </row>
    <row r="17">
      <c r="A17">
        <f>'3 escalar'!A20</f>
        <v/>
      </c>
      <c r="B17" s="5">
        <f>'3 escalar'!U20</f>
        <v/>
      </c>
      <c r="C17">
        <f>'3 escalar'!B20</f>
        <v/>
      </c>
      <c r="D17" s="7">
        <f>'3 escalar'!C20</f>
        <v/>
      </c>
      <c r="E17" s="7">
        <f>'3 escalar'!D20</f>
        <v/>
      </c>
      <c r="F17" s="7">
        <f>'3 escalar'!E20</f>
        <v/>
      </c>
      <c r="G17" s="7">
        <f>'3 escalar'!F20</f>
        <v/>
      </c>
      <c r="H17" s="7">
        <f>'3 escalar'!G20</f>
        <v/>
      </c>
      <c r="I17" s="7">
        <f>'3 escalar'!H20</f>
        <v/>
      </c>
      <c r="J17" s="7">
        <f>'3 escalar'!I20</f>
        <v/>
      </c>
      <c r="K17" s="7">
        <f>'3 escalar'!J20</f>
        <v/>
      </c>
      <c r="L17" s="7">
        <f>'3 escalar'!K20</f>
        <v/>
      </c>
      <c r="M17" s="7">
        <f>'3 escalar'!L20</f>
        <v/>
      </c>
      <c r="N17" s="7">
        <f>'3 escalar'!M20</f>
        <v/>
      </c>
      <c r="O17" s="7">
        <f>'3 escalar'!N20</f>
        <v/>
      </c>
      <c r="P17" s="7">
        <f>'3 escalar'!O20</f>
        <v/>
      </c>
      <c r="Q17" s="7">
        <f>'3 escalar'!P20</f>
        <v/>
      </c>
      <c r="R17" s="7">
        <f>'3 escalar'!Q20</f>
        <v/>
      </c>
      <c r="S17" s="7">
        <f>'3 escalar'!R20</f>
        <v/>
      </c>
      <c r="T17" s="7">
        <f>'3 escalar'!S20</f>
        <v/>
      </c>
      <c r="U17" s="7">
        <f>'3 escalar'!T20</f>
        <v/>
      </c>
      <c r="V17" s="6">
        <f>$AC$12+D17*$AC$13+E17*$AC$14+F17*$AC$15+G17*$AC$16+H17*$AC$17+I17*$AC$18+J17*$AC$19+K17*$AC$20+L17*$AC$21+M17*$AC$22+N17*$AC$23+O17*$AC$24+P17*$AC$25+Q17*$AC$26+R17*$AC$27+S17*$AC$28+T17*$AC$29+U17*$AC$30</f>
        <v/>
      </c>
      <c r="W17" s="6">
        <f>1/(1+EXP(-V17))</f>
        <v/>
      </c>
      <c r="X17" s="8">
        <f>-IF(C17=1,LN(W17),LN(1-W17))</f>
        <v/>
      </c>
      <c r="Y17" s="9">
        <f>IF(W17&gt;$AC$32,1,0)</f>
        <v/>
      </c>
      <c r="Z17">
        <f>IF(Y17=C17,1,0)</f>
        <v/>
      </c>
      <c r="AB17" t="inlineStr">
        <is>
          <t>cta_negativa</t>
        </is>
      </c>
      <c r="AC17" s="10" t="n">
        <v>0.3</v>
      </c>
      <c r="AD17" s="11" t="n">
        <v>1.546402670396991</v>
      </c>
    </row>
    <row r="18">
      <c r="A18">
        <f>'3 escalar'!A21</f>
        <v/>
      </c>
      <c r="B18" s="5">
        <f>'3 escalar'!U21</f>
        <v/>
      </c>
      <c r="C18">
        <f>'3 escalar'!B21</f>
        <v/>
      </c>
      <c r="D18" s="7">
        <f>'3 escalar'!C21</f>
        <v/>
      </c>
      <c r="E18" s="7">
        <f>'3 escalar'!D21</f>
        <v/>
      </c>
      <c r="F18" s="7">
        <f>'3 escalar'!E21</f>
        <v/>
      </c>
      <c r="G18" s="7">
        <f>'3 escalar'!F21</f>
        <v/>
      </c>
      <c r="H18" s="7">
        <f>'3 escalar'!G21</f>
        <v/>
      </c>
      <c r="I18" s="7">
        <f>'3 escalar'!H21</f>
        <v/>
      </c>
      <c r="J18" s="7">
        <f>'3 escalar'!I21</f>
        <v/>
      </c>
      <c r="K18" s="7">
        <f>'3 escalar'!J21</f>
        <v/>
      </c>
      <c r="L18" s="7">
        <f>'3 escalar'!K21</f>
        <v/>
      </c>
      <c r="M18" s="7">
        <f>'3 escalar'!L21</f>
        <v/>
      </c>
      <c r="N18" s="7">
        <f>'3 escalar'!M21</f>
        <v/>
      </c>
      <c r="O18" s="7">
        <f>'3 escalar'!N21</f>
        <v/>
      </c>
      <c r="P18" s="7">
        <f>'3 escalar'!O21</f>
        <v/>
      </c>
      <c r="Q18" s="7">
        <f>'3 escalar'!P21</f>
        <v/>
      </c>
      <c r="R18" s="7">
        <f>'3 escalar'!Q21</f>
        <v/>
      </c>
      <c r="S18" s="7">
        <f>'3 escalar'!R21</f>
        <v/>
      </c>
      <c r="T18" s="7">
        <f>'3 escalar'!S21</f>
        <v/>
      </c>
      <c r="U18" s="7">
        <f>'3 escalar'!T21</f>
        <v/>
      </c>
      <c r="V18" s="6">
        <f>$AC$12+D18*$AC$13+E18*$AC$14+F18*$AC$15+G18*$AC$16+H18*$AC$17+I18*$AC$18+J18*$AC$19+K18*$AC$20+L18*$AC$21+M18*$AC$22+N18*$AC$23+O18*$AC$24+P18*$AC$25+Q18*$AC$26+R18*$AC$27+S18*$AC$28+T18*$AC$29+U18*$AC$30</f>
        <v/>
      </c>
      <c r="W18" s="6">
        <f>1/(1+EXP(-V18))</f>
        <v/>
      </c>
      <c r="X18" s="8">
        <f>-IF(C18=1,LN(W18),LN(1-W18))</f>
        <v/>
      </c>
      <c r="Y18" s="9">
        <f>IF(W18&gt;$AC$32,1,0)</f>
        <v/>
      </c>
      <c r="Z18">
        <f>IF(Y18=C18,1,0)</f>
        <v/>
      </c>
      <c r="AB18" t="inlineStr">
        <is>
          <t>cta_0_200</t>
        </is>
      </c>
      <c r="AC18" s="10" t="n">
        <v>0.3</v>
      </c>
      <c r="AD18" s="11" t="n">
        <v>1.294997779791349</v>
      </c>
      <c r="AG18" s="3" t="inlineStr">
        <is>
          <t>Reporte de clasificación (como classification_report de scikit-learn)</t>
        </is>
      </c>
      <c r="AM18" s="3" t="inlineStr">
        <is>
          <t>Reporte de clasificación (como classification_report de scikit-learn)</t>
        </is>
      </c>
    </row>
    <row r="19">
      <c r="A19">
        <f>'3 escalar'!A22</f>
        <v/>
      </c>
      <c r="B19" s="5">
        <f>'3 escalar'!U22</f>
        <v/>
      </c>
      <c r="C19">
        <f>'3 escalar'!B22</f>
        <v/>
      </c>
      <c r="D19" s="7">
        <f>'3 escalar'!C22</f>
        <v/>
      </c>
      <c r="E19" s="7">
        <f>'3 escalar'!D22</f>
        <v/>
      </c>
      <c r="F19" s="7">
        <f>'3 escalar'!E22</f>
        <v/>
      </c>
      <c r="G19" s="7">
        <f>'3 escalar'!F22</f>
        <v/>
      </c>
      <c r="H19" s="7">
        <f>'3 escalar'!G22</f>
        <v/>
      </c>
      <c r="I19" s="7">
        <f>'3 escalar'!H22</f>
        <v/>
      </c>
      <c r="J19" s="7">
        <f>'3 escalar'!I22</f>
        <v/>
      </c>
      <c r="K19" s="7">
        <f>'3 escalar'!J22</f>
        <v/>
      </c>
      <c r="L19" s="7">
        <f>'3 escalar'!K22</f>
        <v/>
      </c>
      <c r="M19" s="7">
        <f>'3 escalar'!L22</f>
        <v/>
      </c>
      <c r="N19" s="7">
        <f>'3 escalar'!M22</f>
        <v/>
      </c>
      <c r="O19" s="7">
        <f>'3 escalar'!N22</f>
        <v/>
      </c>
      <c r="P19" s="7">
        <f>'3 escalar'!O22</f>
        <v/>
      </c>
      <c r="Q19" s="7">
        <f>'3 escalar'!P22</f>
        <v/>
      </c>
      <c r="R19" s="7">
        <f>'3 escalar'!Q22</f>
        <v/>
      </c>
      <c r="S19" s="7">
        <f>'3 escalar'!R22</f>
        <v/>
      </c>
      <c r="T19" s="7">
        <f>'3 escalar'!S22</f>
        <v/>
      </c>
      <c r="U19" s="7">
        <f>'3 escalar'!T22</f>
        <v/>
      </c>
      <c r="V19" s="6">
        <f>$AC$12+D19*$AC$13+E19*$AC$14+F19*$AC$15+G19*$AC$16+H19*$AC$17+I19*$AC$18+J19*$AC$19+K19*$AC$20+L19*$AC$21+M19*$AC$22+N19*$AC$23+O19*$AC$24+P19*$AC$25+Q19*$AC$26+R19*$AC$27+S19*$AC$28+T19*$AC$29+U19*$AC$30</f>
        <v/>
      </c>
      <c r="W19" s="6">
        <f>1/(1+EXP(-V19))</f>
        <v/>
      </c>
      <c r="X19" s="8">
        <f>-IF(C19=1,LN(W19),LN(1-W19))</f>
        <v/>
      </c>
      <c r="Y19" s="9">
        <f>IF(W19&gt;$AC$32,1,0)</f>
        <v/>
      </c>
      <c r="Z19">
        <f>IF(Y19=C19,1,0)</f>
        <v/>
      </c>
      <c r="AB19" t="inlineStr">
        <is>
          <t>cta_sobre_200</t>
        </is>
      </c>
      <c r="AC19" s="10" t="n">
        <v>0.3</v>
      </c>
      <c r="AD19" s="11" t="n">
        <v>0.6683615861023957</v>
      </c>
      <c r="AG19" s="4" t="inlineStr"/>
      <c r="AH19" s="4" t="inlineStr">
        <is>
          <t>precision</t>
        </is>
      </c>
      <c r="AI19" s="4" t="inlineStr">
        <is>
          <t>recall</t>
        </is>
      </c>
      <c r="AJ19" s="4" t="inlineStr">
        <is>
          <t>f1-score</t>
        </is>
      </c>
      <c r="AK19" s="4" t="inlineStr">
        <is>
          <t>support</t>
        </is>
      </c>
      <c r="AM19" s="4" t="inlineStr"/>
      <c r="AN19" s="4" t="inlineStr">
        <is>
          <t>precision</t>
        </is>
      </c>
      <c r="AO19" s="4" t="inlineStr">
        <is>
          <t>recall</t>
        </is>
      </c>
      <c r="AP19" s="4" t="inlineStr">
        <is>
          <t>f1-score</t>
        </is>
      </c>
      <c r="AQ19" s="4" t="inlineStr">
        <is>
          <t>support</t>
        </is>
      </c>
    </row>
    <row r="20">
      <c r="A20">
        <f>'3 escalar'!A23</f>
        <v/>
      </c>
      <c r="B20" s="5">
        <f>'3 escalar'!U23</f>
        <v/>
      </c>
      <c r="C20">
        <f>'3 escalar'!B23</f>
        <v/>
      </c>
      <c r="D20" s="7">
        <f>'3 escalar'!C23</f>
        <v/>
      </c>
      <c r="E20" s="7">
        <f>'3 escalar'!D23</f>
        <v/>
      </c>
      <c r="F20" s="7">
        <f>'3 escalar'!E23</f>
        <v/>
      </c>
      <c r="G20" s="7">
        <f>'3 escalar'!F23</f>
        <v/>
      </c>
      <c r="H20" s="7">
        <f>'3 escalar'!G23</f>
        <v/>
      </c>
      <c r="I20" s="7">
        <f>'3 escalar'!H23</f>
        <v/>
      </c>
      <c r="J20" s="7">
        <f>'3 escalar'!I23</f>
        <v/>
      </c>
      <c r="K20" s="7">
        <f>'3 escalar'!J23</f>
        <v/>
      </c>
      <c r="L20" s="7">
        <f>'3 escalar'!K23</f>
        <v/>
      </c>
      <c r="M20" s="7">
        <f>'3 escalar'!L23</f>
        <v/>
      </c>
      <c r="N20" s="7">
        <f>'3 escalar'!M23</f>
        <v/>
      </c>
      <c r="O20" s="7">
        <f>'3 escalar'!N23</f>
        <v/>
      </c>
      <c r="P20" s="7">
        <f>'3 escalar'!O23</f>
        <v/>
      </c>
      <c r="Q20" s="7">
        <f>'3 escalar'!P23</f>
        <v/>
      </c>
      <c r="R20" s="7">
        <f>'3 escalar'!Q23</f>
        <v/>
      </c>
      <c r="S20" s="7">
        <f>'3 escalar'!R23</f>
        <v/>
      </c>
      <c r="T20" s="7">
        <f>'3 escalar'!S23</f>
        <v/>
      </c>
      <c r="U20" s="7">
        <f>'3 escalar'!T23</f>
        <v/>
      </c>
      <c r="V20" s="6">
        <f>$AC$12+D20*$AC$13+E20*$AC$14+F20*$AC$15+G20*$AC$16+H20*$AC$17+I20*$AC$18+J20*$AC$19+K20*$AC$20+L20*$AC$21+M20*$AC$22+N20*$AC$23+O20*$AC$24+P20*$AC$25+Q20*$AC$26+R20*$AC$27+S20*$AC$28+T20*$AC$29+U20*$AC$30</f>
        <v/>
      </c>
      <c r="W20" s="6">
        <f>1/(1+EXP(-V20))</f>
        <v/>
      </c>
      <c r="X20" s="8">
        <f>-IF(C20=1,LN(W20),LN(1-W20))</f>
        <v/>
      </c>
      <c r="Y20" s="9">
        <f>IF(W20&gt;$AC$32,1,0)</f>
        <v/>
      </c>
      <c r="Z20">
        <f>IF(Y20=C20,1,0)</f>
        <v/>
      </c>
      <c r="AB20" t="inlineStr">
        <is>
          <t>hist_critico</t>
        </is>
      </c>
      <c r="AC20" s="10" t="n">
        <v>0.3</v>
      </c>
      <c r="AD20" s="11" t="n">
        <v>-0.6573449373610837</v>
      </c>
      <c r="AG20" s="3" t="inlineStr">
        <is>
          <t>clase 0 (paga)</t>
        </is>
      </c>
      <c r="AH20" s="13">
        <f>IF(AI14+AI15=0,0,AI14/(AI14+AI15))</f>
        <v/>
      </c>
      <c r="AI20" s="13">
        <f>IF(AI14+AJ14=0,0,AI14/(AI14+AJ14))</f>
        <v/>
      </c>
      <c r="AJ20" s="13">
        <f>IF(AH20+AI20=0,0,2*AH20*AI20/(AH20+AI20))</f>
        <v/>
      </c>
      <c r="AK20">
        <f>AK14</f>
        <v/>
      </c>
      <c r="AM20" s="3" t="inlineStr">
        <is>
          <t>clase 0 (paga)</t>
        </is>
      </c>
      <c r="AN20" s="13">
        <f>IF(AO14+AO15=0,0,AO14/(AO14+AO15))</f>
        <v/>
      </c>
      <c r="AO20" s="13">
        <f>IF(AO14+AP14=0,0,AO14/(AO14+AP14))</f>
        <v/>
      </c>
      <c r="AP20" s="13">
        <f>IF(AN20+AO20=0,0,2*AN20*AO20/(AN20+AO20))</f>
        <v/>
      </c>
      <c r="AQ20">
        <f>AQ14</f>
        <v/>
      </c>
    </row>
    <row r="21">
      <c r="A21">
        <f>'3 escalar'!A24</f>
        <v/>
      </c>
      <c r="B21" s="5">
        <f>'3 escalar'!U24</f>
        <v/>
      </c>
      <c r="C21">
        <f>'3 escalar'!B24</f>
        <v/>
      </c>
      <c r="D21" s="7">
        <f>'3 escalar'!C24</f>
        <v/>
      </c>
      <c r="E21" s="7">
        <f>'3 escalar'!D24</f>
        <v/>
      </c>
      <c r="F21" s="7">
        <f>'3 escalar'!E24</f>
        <v/>
      </c>
      <c r="G21" s="7">
        <f>'3 escalar'!F24</f>
        <v/>
      </c>
      <c r="H21" s="7">
        <f>'3 escalar'!G24</f>
        <v/>
      </c>
      <c r="I21" s="7">
        <f>'3 escalar'!H24</f>
        <v/>
      </c>
      <c r="J21" s="7">
        <f>'3 escalar'!I24</f>
        <v/>
      </c>
      <c r="K21" s="7">
        <f>'3 escalar'!J24</f>
        <v/>
      </c>
      <c r="L21" s="7">
        <f>'3 escalar'!K24</f>
        <v/>
      </c>
      <c r="M21" s="7">
        <f>'3 escalar'!L24</f>
        <v/>
      </c>
      <c r="N21" s="7">
        <f>'3 escalar'!M24</f>
        <v/>
      </c>
      <c r="O21" s="7">
        <f>'3 escalar'!N24</f>
        <v/>
      </c>
      <c r="P21" s="7">
        <f>'3 escalar'!O24</f>
        <v/>
      </c>
      <c r="Q21" s="7">
        <f>'3 escalar'!P24</f>
        <v/>
      </c>
      <c r="R21" s="7">
        <f>'3 escalar'!Q24</f>
        <v/>
      </c>
      <c r="S21" s="7">
        <f>'3 escalar'!R24</f>
        <v/>
      </c>
      <c r="T21" s="7">
        <f>'3 escalar'!S24</f>
        <v/>
      </c>
      <c r="U21" s="7">
        <f>'3 escalar'!T24</f>
        <v/>
      </c>
      <c r="V21" s="6">
        <f>$AC$12+D21*$AC$13+E21*$AC$14+F21*$AC$15+G21*$AC$16+H21*$AC$17+I21*$AC$18+J21*$AC$19+K21*$AC$20+L21*$AC$21+M21*$AC$22+N21*$AC$23+O21*$AC$24+P21*$AC$25+Q21*$AC$26+R21*$AC$27+S21*$AC$28+T21*$AC$29+U21*$AC$30</f>
        <v/>
      </c>
      <c r="W21" s="6">
        <f>1/(1+EXP(-V21))</f>
        <v/>
      </c>
      <c r="X21" s="8">
        <f>-IF(C21=1,LN(W21),LN(1-W21))</f>
        <v/>
      </c>
      <c r="Y21" s="9">
        <f>IF(W21&gt;$AC$32,1,0)</f>
        <v/>
      </c>
      <c r="Z21">
        <f>IF(Y21=C21,1,0)</f>
        <v/>
      </c>
      <c r="AB21" t="inlineStr">
        <is>
          <t>hist_atrasos</t>
        </is>
      </c>
      <c r="AC21" s="10" t="n">
        <v>0.3</v>
      </c>
      <c r="AD21" s="11" t="n">
        <v>-0.04019551911120235</v>
      </c>
      <c r="AG21" s="3" t="inlineStr">
        <is>
          <t>clase 1 (no paga)</t>
        </is>
      </c>
      <c r="AH21" s="13">
        <f>IF(AJ15+AJ14=0,0,AJ15/(AJ15+AJ14))</f>
        <v/>
      </c>
      <c r="AI21" s="13">
        <f>IF(AJ15+AI15=0,0,AJ15/(AJ15+AI15))</f>
        <v/>
      </c>
      <c r="AJ21" s="13">
        <f>IF(AH21+AI21=0,0,2*AH21*AI21/(AH21+AI21))</f>
        <v/>
      </c>
      <c r="AK21">
        <f>AK15</f>
        <v/>
      </c>
      <c r="AM21" s="3" t="inlineStr">
        <is>
          <t>clase 1 (no paga)</t>
        </is>
      </c>
      <c r="AN21" s="13">
        <f>IF(AP15+AP14=0,0,AP15/(AP15+AP14))</f>
        <v/>
      </c>
      <c r="AO21" s="13">
        <f>IF(AP15+AO15=0,0,AP15/(AP15+AO15))</f>
        <v/>
      </c>
      <c r="AP21" s="13">
        <f>IF(AN21+AO21=0,0,2*AN21*AO21/(AN21+AO21))</f>
        <v/>
      </c>
      <c r="AQ21">
        <f>AQ15</f>
        <v/>
      </c>
    </row>
    <row r="22">
      <c r="A22">
        <f>'3 escalar'!A25</f>
        <v/>
      </c>
      <c r="B22" s="5">
        <f>'3 escalar'!U25</f>
        <v/>
      </c>
      <c r="C22">
        <f>'3 escalar'!B25</f>
        <v/>
      </c>
      <c r="D22" s="7">
        <f>'3 escalar'!C25</f>
        <v/>
      </c>
      <c r="E22" s="7">
        <f>'3 escalar'!D25</f>
        <v/>
      </c>
      <c r="F22" s="7">
        <f>'3 escalar'!E25</f>
        <v/>
      </c>
      <c r="G22" s="7">
        <f>'3 escalar'!F25</f>
        <v/>
      </c>
      <c r="H22" s="7">
        <f>'3 escalar'!G25</f>
        <v/>
      </c>
      <c r="I22" s="7">
        <f>'3 escalar'!H25</f>
        <v/>
      </c>
      <c r="J22" s="7">
        <f>'3 escalar'!I25</f>
        <v/>
      </c>
      <c r="K22" s="7">
        <f>'3 escalar'!J25</f>
        <v/>
      </c>
      <c r="L22" s="7">
        <f>'3 escalar'!K25</f>
        <v/>
      </c>
      <c r="M22" s="7">
        <f>'3 escalar'!L25</f>
        <v/>
      </c>
      <c r="N22" s="7">
        <f>'3 escalar'!M25</f>
        <v/>
      </c>
      <c r="O22" s="7">
        <f>'3 escalar'!N25</f>
        <v/>
      </c>
      <c r="P22" s="7">
        <f>'3 escalar'!O25</f>
        <v/>
      </c>
      <c r="Q22" s="7">
        <f>'3 escalar'!P25</f>
        <v/>
      </c>
      <c r="R22" s="7">
        <f>'3 escalar'!Q25</f>
        <v/>
      </c>
      <c r="S22" s="7">
        <f>'3 escalar'!R25</f>
        <v/>
      </c>
      <c r="T22" s="7">
        <f>'3 escalar'!S25</f>
        <v/>
      </c>
      <c r="U22" s="7">
        <f>'3 escalar'!T25</f>
        <v/>
      </c>
      <c r="V22" s="6">
        <f>$AC$12+D22*$AC$13+E22*$AC$14+F22*$AC$15+G22*$AC$16+H22*$AC$17+I22*$AC$18+J22*$AC$19+K22*$AC$20+L22*$AC$21+M22*$AC$22+N22*$AC$23+O22*$AC$24+P22*$AC$25+Q22*$AC$26+R22*$AC$27+S22*$AC$28+T22*$AC$29+U22*$AC$30</f>
        <v/>
      </c>
      <c r="W22" s="6">
        <f>1/(1+EXP(-V22))</f>
        <v/>
      </c>
      <c r="X22" s="8">
        <f>-IF(C22=1,LN(W22),LN(1-W22))</f>
        <v/>
      </c>
      <c r="Y22" s="9">
        <f>IF(W22&gt;$AC$32,1,0)</f>
        <v/>
      </c>
      <c r="Z22">
        <f>IF(Y22=C22,1,0)</f>
        <v/>
      </c>
      <c r="AB22" t="inlineStr">
        <is>
          <t>hist_sin_creditos</t>
        </is>
      </c>
      <c r="AC22" s="10" t="n">
        <v>0.3</v>
      </c>
      <c r="AD22" s="11" t="n">
        <v>0.6690656278784681</v>
      </c>
    </row>
    <row r="23">
      <c r="A23">
        <f>'3 escalar'!A26</f>
        <v/>
      </c>
      <c r="B23" s="5">
        <f>'3 escalar'!U26</f>
        <v/>
      </c>
      <c r="C23">
        <f>'3 escalar'!B26</f>
        <v/>
      </c>
      <c r="D23" s="7">
        <f>'3 escalar'!C26</f>
        <v/>
      </c>
      <c r="E23" s="7">
        <f>'3 escalar'!D26</f>
        <v/>
      </c>
      <c r="F23" s="7">
        <f>'3 escalar'!E26</f>
        <v/>
      </c>
      <c r="G23" s="7">
        <f>'3 escalar'!F26</f>
        <v/>
      </c>
      <c r="H23" s="7">
        <f>'3 escalar'!G26</f>
        <v/>
      </c>
      <c r="I23" s="7">
        <f>'3 escalar'!H26</f>
        <v/>
      </c>
      <c r="J23" s="7">
        <f>'3 escalar'!I26</f>
        <v/>
      </c>
      <c r="K23" s="7">
        <f>'3 escalar'!J26</f>
        <v/>
      </c>
      <c r="L23" s="7">
        <f>'3 escalar'!K26</f>
        <v/>
      </c>
      <c r="M23" s="7">
        <f>'3 escalar'!L26</f>
        <v/>
      </c>
      <c r="N23" s="7">
        <f>'3 escalar'!M26</f>
        <v/>
      </c>
      <c r="O23" s="7">
        <f>'3 escalar'!N26</f>
        <v/>
      </c>
      <c r="P23" s="7">
        <f>'3 escalar'!O26</f>
        <v/>
      </c>
      <c r="Q23" s="7">
        <f>'3 escalar'!P26</f>
        <v/>
      </c>
      <c r="R23" s="7">
        <f>'3 escalar'!Q26</f>
        <v/>
      </c>
      <c r="S23" s="7">
        <f>'3 escalar'!R26</f>
        <v/>
      </c>
      <c r="T23" s="7">
        <f>'3 escalar'!S26</f>
        <v/>
      </c>
      <c r="U23" s="7">
        <f>'3 escalar'!T26</f>
        <v/>
      </c>
      <c r="V23" s="6">
        <f>$AC$12+D23*$AC$13+E23*$AC$14+F23*$AC$15+G23*$AC$16+H23*$AC$17+I23*$AC$18+J23*$AC$19+K23*$AC$20+L23*$AC$21+M23*$AC$22+N23*$AC$23+O23*$AC$24+P23*$AC$25+Q23*$AC$26+R23*$AC$27+S23*$AC$28+T23*$AC$29+U23*$AC$30</f>
        <v/>
      </c>
      <c r="W23" s="6">
        <f>1/(1+EXP(-V23))</f>
        <v/>
      </c>
      <c r="X23" s="8">
        <f>-IF(C23=1,LN(W23),LN(1-W23))</f>
        <v/>
      </c>
      <c r="Y23" s="9">
        <f>IF(W23&gt;$AC$32,1,0)</f>
        <v/>
      </c>
      <c r="Z23">
        <f>IF(Y23=C23,1,0)</f>
        <v/>
      </c>
      <c r="AB23" t="inlineStr">
        <is>
          <t>ahorro_100_1000</t>
        </is>
      </c>
      <c r="AC23" s="10" t="n">
        <v>0.3</v>
      </c>
      <c r="AD23" s="11" t="n">
        <v>-0.3895834298458181</v>
      </c>
      <c r="AG23" s="3" t="inlineStr">
        <is>
          <t>accuracy</t>
        </is>
      </c>
      <c r="AJ23" s="13">
        <f>(AJ15+AI14)/AK16</f>
        <v/>
      </c>
      <c r="AK23">
        <f>AK16</f>
        <v/>
      </c>
      <c r="AM23" s="3" t="inlineStr">
        <is>
          <t>accuracy</t>
        </is>
      </c>
      <c r="AP23" s="13">
        <f>(AP15+AO14)/AQ16</f>
        <v/>
      </c>
      <c r="AQ23">
        <f>AQ16</f>
        <v/>
      </c>
    </row>
    <row r="24">
      <c r="A24">
        <f>'3 escalar'!A27</f>
        <v/>
      </c>
      <c r="B24" s="5">
        <f>'3 escalar'!U27</f>
        <v/>
      </c>
      <c r="C24">
        <f>'3 escalar'!B27</f>
        <v/>
      </c>
      <c r="D24" s="7">
        <f>'3 escalar'!C27</f>
        <v/>
      </c>
      <c r="E24" s="7">
        <f>'3 escalar'!D27</f>
        <v/>
      </c>
      <c r="F24" s="7">
        <f>'3 escalar'!E27</f>
        <v/>
      </c>
      <c r="G24" s="7">
        <f>'3 escalar'!F27</f>
        <v/>
      </c>
      <c r="H24" s="7">
        <f>'3 escalar'!G27</f>
        <v/>
      </c>
      <c r="I24" s="7">
        <f>'3 escalar'!H27</f>
        <v/>
      </c>
      <c r="J24" s="7">
        <f>'3 escalar'!I27</f>
        <v/>
      </c>
      <c r="K24" s="7">
        <f>'3 escalar'!J27</f>
        <v/>
      </c>
      <c r="L24" s="7">
        <f>'3 escalar'!K27</f>
        <v/>
      </c>
      <c r="M24" s="7">
        <f>'3 escalar'!L27</f>
        <v/>
      </c>
      <c r="N24" s="7">
        <f>'3 escalar'!M27</f>
        <v/>
      </c>
      <c r="O24" s="7">
        <f>'3 escalar'!N27</f>
        <v/>
      </c>
      <c r="P24" s="7">
        <f>'3 escalar'!O27</f>
        <v/>
      </c>
      <c r="Q24" s="7">
        <f>'3 escalar'!P27</f>
        <v/>
      </c>
      <c r="R24" s="7">
        <f>'3 escalar'!Q27</f>
        <v/>
      </c>
      <c r="S24" s="7">
        <f>'3 escalar'!R27</f>
        <v/>
      </c>
      <c r="T24" s="7">
        <f>'3 escalar'!S27</f>
        <v/>
      </c>
      <c r="U24" s="7">
        <f>'3 escalar'!T27</f>
        <v/>
      </c>
      <c r="V24" s="6">
        <f>$AC$12+D24*$AC$13+E24*$AC$14+F24*$AC$15+G24*$AC$16+H24*$AC$17+I24*$AC$18+J24*$AC$19+K24*$AC$20+L24*$AC$21+M24*$AC$22+N24*$AC$23+O24*$AC$24+P24*$AC$25+Q24*$AC$26+R24*$AC$27+S24*$AC$28+T24*$AC$29+U24*$AC$30</f>
        <v/>
      </c>
      <c r="W24" s="6">
        <f>1/(1+EXP(-V24))</f>
        <v/>
      </c>
      <c r="X24" s="8">
        <f>-IF(C24=1,LN(W24),LN(1-W24))</f>
        <v/>
      </c>
      <c r="Y24" s="9">
        <f>IF(W24&gt;$AC$32,1,0)</f>
        <v/>
      </c>
      <c r="Z24">
        <f>IF(Y24=C24,1,0)</f>
        <v/>
      </c>
      <c r="AB24" t="inlineStr">
        <is>
          <t>ahorro_sobre_1000</t>
        </is>
      </c>
      <c r="AC24" s="10" t="n">
        <v>0.3</v>
      </c>
      <c r="AD24" s="11" t="n">
        <v>-0.8892238593761824</v>
      </c>
      <c r="AG24" s="3" t="inlineStr">
        <is>
          <t>macro avg</t>
        </is>
      </c>
      <c r="AH24" s="13">
        <f>AVERAGE(AH20,AH21)</f>
        <v/>
      </c>
      <c r="AI24" s="13">
        <f>AVERAGE(AI20,AI21)</f>
        <v/>
      </c>
      <c r="AJ24" s="13">
        <f>AVERAGE(AJ20,AJ21)</f>
        <v/>
      </c>
      <c r="AK24">
        <f>AK16</f>
        <v/>
      </c>
      <c r="AM24" s="3" t="inlineStr">
        <is>
          <t>macro avg</t>
        </is>
      </c>
      <c r="AN24" s="13">
        <f>AVERAGE(AN20,AN21)</f>
        <v/>
      </c>
      <c r="AO24" s="13">
        <f>AVERAGE(AO20,AO21)</f>
        <v/>
      </c>
      <c r="AP24" s="13">
        <f>AVERAGE(AP20,AP21)</f>
        <v/>
      </c>
      <c r="AQ24">
        <f>AQ16</f>
        <v/>
      </c>
    </row>
    <row r="25">
      <c r="A25">
        <f>'3 escalar'!A28</f>
        <v/>
      </c>
      <c r="B25" s="5">
        <f>'3 escalar'!U28</f>
        <v/>
      </c>
      <c r="C25">
        <f>'3 escalar'!B28</f>
        <v/>
      </c>
      <c r="D25" s="7">
        <f>'3 escalar'!C28</f>
        <v/>
      </c>
      <c r="E25" s="7">
        <f>'3 escalar'!D28</f>
        <v/>
      </c>
      <c r="F25" s="7">
        <f>'3 escalar'!E28</f>
        <v/>
      </c>
      <c r="G25" s="7">
        <f>'3 escalar'!F28</f>
        <v/>
      </c>
      <c r="H25" s="7">
        <f>'3 escalar'!G28</f>
        <v/>
      </c>
      <c r="I25" s="7">
        <f>'3 escalar'!H28</f>
        <v/>
      </c>
      <c r="J25" s="7">
        <f>'3 escalar'!I28</f>
        <v/>
      </c>
      <c r="K25" s="7">
        <f>'3 escalar'!J28</f>
        <v/>
      </c>
      <c r="L25" s="7">
        <f>'3 escalar'!K28</f>
        <v/>
      </c>
      <c r="M25" s="7">
        <f>'3 escalar'!L28</f>
        <v/>
      </c>
      <c r="N25" s="7">
        <f>'3 escalar'!M28</f>
        <v/>
      </c>
      <c r="O25" s="7">
        <f>'3 escalar'!N28</f>
        <v/>
      </c>
      <c r="P25" s="7">
        <f>'3 escalar'!O28</f>
        <v/>
      </c>
      <c r="Q25" s="7">
        <f>'3 escalar'!P28</f>
        <v/>
      </c>
      <c r="R25" s="7">
        <f>'3 escalar'!Q28</f>
        <v/>
      </c>
      <c r="S25" s="7">
        <f>'3 escalar'!R28</f>
        <v/>
      </c>
      <c r="T25" s="7">
        <f>'3 escalar'!S28</f>
        <v/>
      </c>
      <c r="U25" s="7">
        <f>'3 escalar'!T28</f>
        <v/>
      </c>
      <c r="V25" s="6">
        <f>$AC$12+D25*$AC$13+E25*$AC$14+F25*$AC$15+G25*$AC$16+H25*$AC$17+I25*$AC$18+J25*$AC$19+K25*$AC$20+L25*$AC$21+M25*$AC$22+N25*$AC$23+O25*$AC$24+P25*$AC$25+Q25*$AC$26+R25*$AC$27+S25*$AC$28+T25*$AC$29+U25*$AC$30</f>
        <v/>
      </c>
      <c r="W25" s="6">
        <f>1/(1+EXP(-V25))</f>
        <v/>
      </c>
      <c r="X25" s="8">
        <f>-IF(C25=1,LN(W25),LN(1-W25))</f>
        <v/>
      </c>
      <c r="Y25" s="9">
        <f>IF(W25&gt;$AC$32,1,0)</f>
        <v/>
      </c>
      <c r="Z25">
        <f>IF(Y25=C25,1,0)</f>
        <v/>
      </c>
      <c r="AB25" t="inlineStr">
        <is>
          <t>ahorro_desconocido</t>
        </is>
      </c>
      <c r="AC25" s="10" t="n">
        <v>0.3</v>
      </c>
      <c r="AD25" s="11" t="n">
        <v>-1.076092926242446</v>
      </c>
      <c r="AG25" s="3" t="inlineStr">
        <is>
          <t>weighted avg</t>
        </is>
      </c>
      <c r="AH25" s="13">
        <f>(AH20*AK20+AH21*AK21)/(AK20+AK21)</f>
        <v/>
      </c>
      <c r="AI25" s="13">
        <f>(AI20*AK20+AI21*AK21)/(AK20+AK21)</f>
        <v/>
      </c>
      <c r="AJ25" s="13">
        <f>(AJ20*AK20+AJ21*AK21)/(AK20+AK21)</f>
        <v/>
      </c>
      <c r="AK25">
        <f>AK16</f>
        <v/>
      </c>
      <c r="AM25" s="3" t="inlineStr">
        <is>
          <t>weighted avg</t>
        </is>
      </c>
      <c r="AN25" s="13">
        <f>(AN20*AQ20+AN21*AQ21)/(AQ20+AQ21)</f>
        <v/>
      </c>
      <c r="AO25" s="13">
        <f>(AO20*AQ20+AO21*AQ21)/(AQ20+AQ21)</f>
        <v/>
      </c>
      <c r="AP25" s="13">
        <f>(AP20*AQ20+AP21*AQ21)/(AQ20+AQ21)</f>
        <v/>
      </c>
      <c r="AQ25">
        <f>AQ16</f>
        <v/>
      </c>
    </row>
    <row r="26">
      <c r="A26">
        <f>'3 escalar'!A29</f>
        <v/>
      </c>
      <c r="B26" s="5">
        <f>'3 escalar'!U29</f>
        <v/>
      </c>
      <c r="C26">
        <f>'3 escalar'!B29</f>
        <v/>
      </c>
      <c r="D26" s="7">
        <f>'3 escalar'!C29</f>
        <v/>
      </c>
      <c r="E26" s="7">
        <f>'3 escalar'!D29</f>
        <v/>
      </c>
      <c r="F26" s="7">
        <f>'3 escalar'!E29</f>
        <v/>
      </c>
      <c r="G26" s="7">
        <f>'3 escalar'!F29</f>
        <v/>
      </c>
      <c r="H26" s="7">
        <f>'3 escalar'!G29</f>
        <v/>
      </c>
      <c r="I26" s="7">
        <f>'3 escalar'!H29</f>
        <v/>
      </c>
      <c r="J26" s="7">
        <f>'3 escalar'!I29</f>
        <v/>
      </c>
      <c r="K26" s="7">
        <f>'3 escalar'!J29</f>
        <v/>
      </c>
      <c r="L26" s="7">
        <f>'3 escalar'!K29</f>
        <v/>
      </c>
      <c r="M26" s="7">
        <f>'3 escalar'!L29</f>
        <v/>
      </c>
      <c r="N26" s="7">
        <f>'3 escalar'!M29</f>
        <v/>
      </c>
      <c r="O26" s="7">
        <f>'3 escalar'!N29</f>
        <v/>
      </c>
      <c r="P26" s="7">
        <f>'3 escalar'!O29</f>
        <v/>
      </c>
      <c r="Q26" s="7">
        <f>'3 escalar'!P29</f>
        <v/>
      </c>
      <c r="R26" s="7">
        <f>'3 escalar'!Q29</f>
        <v/>
      </c>
      <c r="S26" s="7">
        <f>'3 escalar'!R29</f>
        <v/>
      </c>
      <c r="T26" s="7">
        <f>'3 escalar'!S29</f>
        <v/>
      </c>
      <c r="U26" s="7">
        <f>'3 escalar'!T29</f>
        <v/>
      </c>
      <c r="V26" s="6">
        <f>$AC$12+D26*$AC$13+E26*$AC$14+F26*$AC$15+G26*$AC$16+H26*$AC$17+I26*$AC$18+J26*$AC$19+K26*$AC$20+L26*$AC$21+M26*$AC$22+N26*$AC$23+O26*$AC$24+P26*$AC$25+Q26*$AC$26+R26*$AC$27+S26*$AC$28+T26*$AC$29+U26*$AC$30</f>
        <v/>
      </c>
      <c r="W26" s="6">
        <f>1/(1+EXP(-V26))</f>
        <v/>
      </c>
      <c r="X26" s="8">
        <f>-IF(C26=1,LN(W26),LN(1-W26))</f>
        <v/>
      </c>
      <c r="Y26" s="9">
        <f>IF(W26&gt;$AC$32,1,0)</f>
        <v/>
      </c>
      <c r="Z26">
        <f>IF(Y26=C26,1,0)</f>
        <v/>
      </c>
      <c r="AB26" t="inlineStr">
        <is>
          <t>vivienda_arriendo</t>
        </is>
      </c>
      <c r="AC26" s="10" t="n">
        <v>0.3</v>
      </c>
      <c r="AD26" s="11" t="n">
        <v>0.6538371780658356</v>
      </c>
    </row>
    <row r="27">
      <c r="A27">
        <f>'3 escalar'!A30</f>
        <v/>
      </c>
      <c r="B27" s="5">
        <f>'3 escalar'!U30</f>
        <v/>
      </c>
      <c r="C27">
        <f>'3 escalar'!B30</f>
        <v/>
      </c>
      <c r="D27" s="7">
        <f>'3 escalar'!C30</f>
        <v/>
      </c>
      <c r="E27" s="7">
        <f>'3 escalar'!D30</f>
        <v/>
      </c>
      <c r="F27" s="7">
        <f>'3 escalar'!E30</f>
        <v/>
      </c>
      <c r="G27" s="7">
        <f>'3 escalar'!F30</f>
        <v/>
      </c>
      <c r="H27" s="7">
        <f>'3 escalar'!G30</f>
        <v/>
      </c>
      <c r="I27" s="7">
        <f>'3 escalar'!H30</f>
        <v/>
      </c>
      <c r="J27" s="7">
        <f>'3 escalar'!I30</f>
        <v/>
      </c>
      <c r="K27" s="7">
        <f>'3 escalar'!J30</f>
        <v/>
      </c>
      <c r="L27" s="7">
        <f>'3 escalar'!K30</f>
        <v/>
      </c>
      <c r="M27" s="7">
        <f>'3 escalar'!L30</f>
        <v/>
      </c>
      <c r="N27" s="7">
        <f>'3 escalar'!M30</f>
        <v/>
      </c>
      <c r="O27" s="7">
        <f>'3 escalar'!N30</f>
        <v/>
      </c>
      <c r="P27" s="7">
        <f>'3 escalar'!O30</f>
        <v/>
      </c>
      <c r="Q27" s="7">
        <f>'3 escalar'!P30</f>
        <v/>
      </c>
      <c r="R27" s="7">
        <f>'3 escalar'!Q30</f>
        <v/>
      </c>
      <c r="S27" s="7">
        <f>'3 escalar'!R30</f>
        <v/>
      </c>
      <c r="T27" s="7">
        <f>'3 escalar'!S30</f>
        <v/>
      </c>
      <c r="U27" s="7">
        <f>'3 escalar'!T30</f>
        <v/>
      </c>
      <c r="V27" s="6">
        <f>$AC$12+D27*$AC$13+E27*$AC$14+F27*$AC$15+G27*$AC$16+H27*$AC$17+I27*$AC$18+J27*$AC$19+K27*$AC$20+L27*$AC$21+M27*$AC$22+N27*$AC$23+O27*$AC$24+P27*$AC$25+Q27*$AC$26+R27*$AC$27+S27*$AC$28+T27*$AC$29+U27*$AC$30</f>
        <v/>
      </c>
      <c r="W27" s="6">
        <f>1/(1+EXP(-V27))</f>
        <v/>
      </c>
      <c r="X27" s="8">
        <f>-IF(C27=1,LN(W27),LN(1-W27))</f>
        <v/>
      </c>
      <c r="Y27" s="9">
        <f>IF(W27&gt;$AC$32,1,0)</f>
        <v/>
      </c>
      <c r="Z27">
        <f>IF(Y27=C27,1,0)</f>
        <v/>
      </c>
      <c r="AB27" t="inlineStr">
        <is>
          <t>vivienda_gratis</t>
        </is>
      </c>
      <c r="AC27" s="10" t="n">
        <v>0.3</v>
      </c>
      <c r="AD27" s="11" t="n">
        <v>0.1953653579159878</v>
      </c>
      <c r="AG27" t="inlineStr">
        <is>
          <t>acierto del modelo 'todos pagan' = buenos / total</t>
        </is>
      </c>
      <c r="AH27" s="13">
        <f>AK14/AK16</f>
        <v/>
      </c>
      <c r="AM27" t="inlineStr">
        <is>
          <t>acierto del modelo 'todos pagan' = buenos / total</t>
        </is>
      </c>
      <c r="AN27" s="13">
        <f>AQ14/AQ16</f>
        <v/>
      </c>
    </row>
    <row r="28">
      <c r="A28">
        <f>'3 escalar'!A31</f>
        <v/>
      </c>
      <c r="B28" s="5">
        <f>'3 escalar'!U31</f>
        <v/>
      </c>
      <c r="C28">
        <f>'3 escalar'!B31</f>
        <v/>
      </c>
      <c r="D28" s="7">
        <f>'3 escalar'!C31</f>
        <v/>
      </c>
      <c r="E28" s="7">
        <f>'3 escalar'!D31</f>
        <v/>
      </c>
      <c r="F28" s="7">
        <f>'3 escalar'!E31</f>
        <v/>
      </c>
      <c r="G28" s="7">
        <f>'3 escalar'!F31</f>
        <v/>
      </c>
      <c r="H28" s="7">
        <f>'3 escalar'!G31</f>
        <v/>
      </c>
      <c r="I28" s="7">
        <f>'3 escalar'!H31</f>
        <v/>
      </c>
      <c r="J28" s="7">
        <f>'3 escalar'!I31</f>
        <v/>
      </c>
      <c r="K28" s="7">
        <f>'3 escalar'!J31</f>
        <v/>
      </c>
      <c r="L28" s="7">
        <f>'3 escalar'!K31</f>
        <v/>
      </c>
      <c r="M28" s="7">
        <f>'3 escalar'!L31</f>
        <v/>
      </c>
      <c r="N28" s="7">
        <f>'3 escalar'!M31</f>
        <v/>
      </c>
      <c r="O28" s="7">
        <f>'3 escalar'!N31</f>
        <v/>
      </c>
      <c r="P28" s="7">
        <f>'3 escalar'!O31</f>
        <v/>
      </c>
      <c r="Q28" s="7">
        <f>'3 escalar'!P31</f>
        <v/>
      </c>
      <c r="R28" s="7">
        <f>'3 escalar'!Q31</f>
        <v/>
      </c>
      <c r="S28" s="7">
        <f>'3 escalar'!R31</f>
        <v/>
      </c>
      <c r="T28" s="7">
        <f>'3 escalar'!S31</f>
        <v/>
      </c>
      <c r="U28" s="7">
        <f>'3 escalar'!T31</f>
        <v/>
      </c>
      <c r="V28" s="6">
        <f>$AC$12+D28*$AC$13+E28*$AC$14+F28*$AC$15+G28*$AC$16+H28*$AC$17+I28*$AC$18+J28*$AC$19+K28*$AC$20+L28*$AC$21+M28*$AC$22+N28*$AC$23+O28*$AC$24+P28*$AC$25+Q28*$AC$26+R28*$AC$27+S28*$AC$28+T28*$AC$29+U28*$AC$30</f>
        <v/>
      </c>
      <c r="W28" s="6">
        <f>1/(1+EXP(-V28))</f>
        <v/>
      </c>
      <c r="X28" s="8">
        <f>-IF(C28=1,LN(W28),LN(1-W28))</f>
        <v/>
      </c>
      <c r="Y28" s="9">
        <f>IF(W28&gt;$AC$32,1,0)</f>
        <v/>
      </c>
      <c r="Z28">
        <f>IF(Y28=C28,1,0)</f>
        <v/>
      </c>
      <c r="AB28" t="inlineStr">
        <is>
          <t>proposito_auto</t>
        </is>
      </c>
      <c r="AC28" s="10" t="n">
        <v>0.3</v>
      </c>
      <c r="AD28" s="11" t="n">
        <v>-0.08016547581790479</v>
      </c>
      <c r="AG28" t="inlineStr">
        <is>
          <t>tasa de falsos positivos = FP / (FP + TN)</t>
        </is>
      </c>
      <c r="AH28" s="13">
        <f>IF(AJ14+AI14=0,0,AJ14/(AJ14+AI14))</f>
        <v/>
      </c>
      <c r="AM28" t="inlineStr">
        <is>
          <t>tasa de falsos positivos = FP / (FP + TN)</t>
        </is>
      </c>
      <c r="AN28" s="13">
        <f>IF(AP14+AO14=0,0,AP14/(AP14+AO14))</f>
        <v/>
      </c>
    </row>
    <row r="29">
      <c r="A29">
        <f>'3 escalar'!A32</f>
        <v/>
      </c>
      <c r="B29" s="5">
        <f>'3 escalar'!U32</f>
        <v/>
      </c>
      <c r="C29">
        <f>'3 escalar'!B32</f>
        <v/>
      </c>
      <c r="D29" s="7">
        <f>'3 escalar'!C32</f>
        <v/>
      </c>
      <c r="E29" s="7">
        <f>'3 escalar'!D32</f>
        <v/>
      </c>
      <c r="F29" s="7">
        <f>'3 escalar'!E32</f>
        <v/>
      </c>
      <c r="G29" s="7">
        <f>'3 escalar'!F32</f>
        <v/>
      </c>
      <c r="H29" s="7">
        <f>'3 escalar'!G32</f>
        <v/>
      </c>
      <c r="I29" s="7">
        <f>'3 escalar'!H32</f>
        <v/>
      </c>
      <c r="J29" s="7">
        <f>'3 escalar'!I32</f>
        <v/>
      </c>
      <c r="K29" s="7">
        <f>'3 escalar'!J32</f>
        <v/>
      </c>
      <c r="L29" s="7">
        <f>'3 escalar'!K32</f>
        <v/>
      </c>
      <c r="M29" s="7">
        <f>'3 escalar'!L32</f>
        <v/>
      </c>
      <c r="N29" s="7">
        <f>'3 escalar'!M32</f>
        <v/>
      </c>
      <c r="O29" s="7">
        <f>'3 escalar'!N32</f>
        <v/>
      </c>
      <c r="P29" s="7">
        <f>'3 escalar'!O32</f>
        <v/>
      </c>
      <c r="Q29" s="7">
        <f>'3 escalar'!P32</f>
        <v/>
      </c>
      <c r="R29" s="7">
        <f>'3 escalar'!Q32</f>
        <v/>
      </c>
      <c r="S29" s="7">
        <f>'3 escalar'!R32</f>
        <v/>
      </c>
      <c r="T29" s="7">
        <f>'3 escalar'!S32</f>
        <v/>
      </c>
      <c r="U29" s="7">
        <f>'3 escalar'!T32</f>
        <v/>
      </c>
      <c r="V29" s="6">
        <f>$AC$12+D29*$AC$13+E29*$AC$14+F29*$AC$15+G29*$AC$16+H29*$AC$17+I29*$AC$18+J29*$AC$19+K29*$AC$20+L29*$AC$21+M29*$AC$22+N29*$AC$23+O29*$AC$24+P29*$AC$25+Q29*$AC$26+R29*$AC$27+S29*$AC$28+T29*$AC$29+U29*$AC$30</f>
        <v/>
      </c>
      <c r="W29" s="6">
        <f>1/(1+EXP(-V29))</f>
        <v/>
      </c>
      <c r="X29" s="8">
        <f>-IF(C29=1,LN(W29),LN(1-W29))</f>
        <v/>
      </c>
      <c r="Y29" s="9">
        <f>IF(W29&gt;$AC$32,1,0)</f>
        <v/>
      </c>
      <c r="Z29">
        <f>IF(Y29=C29,1,0)</f>
        <v/>
      </c>
      <c r="AB29" t="inlineStr">
        <is>
          <t>proposito_radio_tv</t>
        </is>
      </c>
      <c r="AC29" s="10" t="n">
        <v>0.3</v>
      </c>
      <c r="AD29" s="11" t="n">
        <v>-0.5202106472417524</v>
      </c>
      <c r="AG29" t="inlineStr">
        <is>
          <t>El umbral que usan estas matrices es la celda celeste de la izquierda. Cámbialo y mira cómo se mueven recall y precision en direcciones opuestas.</t>
        </is>
      </c>
    </row>
    <row r="30">
      <c r="A30">
        <f>'3 escalar'!A33</f>
        <v/>
      </c>
      <c r="B30" s="5">
        <f>'3 escalar'!U33</f>
        <v/>
      </c>
      <c r="C30">
        <f>'3 escalar'!B33</f>
        <v/>
      </c>
      <c r="D30" s="7">
        <f>'3 escalar'!C33</f>
        <v/>
      </c>
      <c r="E30" s="7">
        <f>'3 escalar'!D33</f>
        <v/>
      </c>
      <c r="F30" s="7">
        <f>'3 escalar'!E33</f>
        <v/>
      </c>
      <c r="G30" s="7">
        <f>'3 escalar'!F33</f>
        <v/>
      </c>
      <c r="H30" s="7">
        <f>'3 escalar'!G33</f>
        <v/>
      </c>
      <c r="I30" s="7">
        <f>'3 escalar'!H33</f>
        <v/>
      </c>
      <c r="J30" s="7">
        <f>'3 escalar'!I33</f>
        <v/>
      </c>
      <c r="K30" s="7">
        <f>'3 escalar'!J33</f>
        <v/>
      </c>
      <c r="L30" s="7">
        <f>'3 escalar'!K33</f>
        <v/>
      </c>
      <c r="M30" s="7">
        <f>'3 escalar'!L33</f>
        <v/>
      </c>
      <c r="N30" s="7">
        <f>'3 escalar'!M33</f>
        <v/>
      </c>
      <c r="O30" s="7">
        <f>'3 escalar'!N33</f>
        <v/>
      </c>
      <c r="P30" s="7">
        <f>'3 escalar'!O33</f>
        <v/>
      </c>
      <c r="Q30" s="7">
        <f>'3 escalar'!P33</f>
        <v/>
      </c>
      <c r="R30" s="7">
        <f>'3 escalar'!Q33</f>
        <v/>
      </c>
      <c r="S30" s="7">
        <f>'3 escalar'!R33</f>
        <v/>
      </c>
      <c r="T30" s="7">
        <f>'3 escalar'!S33</f>
        <v/>
      </c>
      <c r="U30" s="7">
        <f>'3 escalar'!T33</f>
        <v/>
      </c>
      <c r="V30" s="6">
        <f>$AC$12+D30*$AC$13+E30*$AC$14+F30*$AC$15+G30*$AC$16+H30*$AC$17+I30*$AC$18+J30*$AC$19+K30*$AC$20+L30*$AC$21+M30*$AC$22+N30*$AC$23+O30*$AC$24+P30*$AC$25+Q30*$AC$26+R30*$AC$27+S30*$AC$28+T30*$AC$29+U30*$AC$30</f>
        <v/>
      </c>
      <c r="W30" s="6">
        <f>1/(1+EXP(-V30))</f>
        <v/>
      </c>
      <c r="X30" s="8">
        <f>-IF(C30=1,LN(W30),LN(1-W30))</f>
        <v/>
      </c>
      <c r="Y30" s="9">
        <f>IF(W30&gt;$AC$32,1,0)</f>
        <v/>
      </c>
      <c r="Z30">
        <f>IF(Y30=C30,1,0)</f>
        <v/>
      </c>
      <c r="AB30" t="inlineStr">
        <is>
          <t>proposito_muebles</t>
        </is>
      </c>
      <c r="AC30" s="10" t="n">
        <v>0.3</v>
      </c>
      <c r="AD30" s="11" t="n">
        <v>-0.2818027438096851</v>
      </c>
    </row>
    <row r="31">
      <c r="A31">
        <f>'3 escalar'!A34</f>
        <v/>
      </c>
      <c r="B31" s="5">
        <f>'3 escalar'!U34</f>
        <v/>
      </c>
      <c r="C31">
        <f>'3 escalar'!B34</f>
        <v/>
      </c>
      <c r="D31" s="7">
        <f>'3 escalar'!C34</f>
        <v/>
      </c>
      <c r="E31" s="7">
        <f>'3 escalar'!D34</f>
        <v/>
      </c>
      <c r="F31" s="7">
        <f>'3 escalar'!E34</f>
        <v/>
      </c>
      <c r="G31" s="7">
        <f>'3 escalar'!F34</f>
        <v/>
      </c>
      <c r="H31" s="7">
        <f>'3 escalar'!G34</f>
        <v/>
      </c>
      <c r="I31" s="7">
        <f>'3 escalar'!H34</f>
        <v/>
      </c>
      <c r="J31" s="7">
        <f>'3 escalar'!I34</f>
        <v/>
      </c>
      <c r="K31" s="7">
        <f>'3 escalar'!J34</f>
        <v/>
      </c>
      <c r="L31" s="7">
        <f>'3 escalar'!K34</f>
        <v/>
      </c>
      <c r="M31" s="7">
        <f>'3 escalar'!L34</f>
        <v/>
      </c>
      <c r="N31" s="7">
        <f>'3 escalar'!M34</f>
        <v/>
      </c>
      <c r="O31" s="7">
        <f>'3 escalar'!N34</f>
        <v/>
      </c>
      <c r="P31" s="7">
        <f>'3 escalar'!O34</f>
        <v/>
      </c>
      <c r="Q31" s="7">
        <f>'3 escalar'!P34</f>
        <v/>
      </c>
      <c r="R31" s="7">
        <f>'3 escalar'!Q34</f>
        <v/>
      </c>
      <c r="S31" s="7">
        <f>'3 escalar'!R34</f>
        <v/>
      </c>
      <c r="T31" s="7">
        <f>'3 escalar'!S34</f>
        <v/>
      </c>
      <c r="U31" s="7">
        <f>'3 escalar'!T34</f>
        <v/>
      </c>
      <c r="V31" s="6">
        <f>$AC$12+D31*$AC$13+E31*$AC$14+F31*$AC$15+G31*$AC$16+H31*$AC$17+I31*$AC$18+J31*$AC$19+K31*$AC$20+L31*$AC$21+M31*$AC$22+N31*$AC$23+O31*$AC$24+P31*$AC$25+Q31*$AC$26+R31*$AC$27+S31*$AC$28+T31*$AC$29+U31*$AC$30</f>
        <v/>
      </c>
      <c r="W31" s="6">
        <f>1/(1+EXP(-V31))</f>
        <v/>
      </c>
      <c r="X31" s="8">
        <f>-IF(C31=1,LN(W31),LN(1-W31))</f>
        <v/>
      </c>
      <c r="Y31" s="9">
        <f>IF(W31&gt;$AC$32,1,0)</f>
        <v/>
      </c>
      <c r="Z31">
        <f>IF(Y31=C31,1,0)</f>
        <v/>
      </c>
      <c r="AG31" s="3" t="inlineStr">
        <is>
          <t>Referencia scikit-learn en testing con umbral 0,5 y los pesos de la solución:</t>
        </is>
      </c>
    </row>
    <row r="32">
      <c r="A32">
        <f>'3 escalar'!A35</f>
        <v/>
      </c>
      <c r="B32" s="5">
        <f>'3 escalar'!U35</f>
        <v/>
      </c>
      <c r="C32">
        <f>'3 escalar'!B35</f>
        <v/>
      </c>
      <c r="D32" s="7">
        <f>'3 escalar'!C35</f>
        <v/>
      </c>
      <c r="E32" s="7">
        <f>'3 escalar'!D35</f>
        <v/>
      </c>
      <c r="F32" s="7">
        <f>'3 escalar'!E35</f>
        <v/>
      </c>
      <c r="G32" s="7">
        <f>'3 escalar'!F35</f>
        <v/>
      </c>
      <c r="H32" s="7">
        <f>'3 escalar'!G35</f>
        <v/>
      </c>
      <c r="I32" s="7">
        <f>'3 escalar'!H35</f>
        <v/>
      </c>
      <c r="J32" s="7">
        <f>'3 escalar'!I35</f>
        <v/>
      </c>
      <c r="K32" s="7">
        <f>'3 escalar'!J35</f>
        <v/>
      </c>
      <c r="L32" s="7">
        <f>'3 escalar'!K35</f>
        <v/>
      </c>
      <c r="M32" s="7">
        <f>'3 escalar'!L35</f>
        <v/>
      </c>
      <c r="N32" s="7">
        <f>'3 escalar'!M35</f>
        <v/>
      </c>
      <c r="O32" s="7">
        <f>'3 escalar'!N35</f>
        <v/>
      </c>
      <c r="P32" s="7">
        <f>'3 escalar'!O35</f>
        <v/>
      </c>
      <c r="Q32" s="7">
        <f>'3 escalar'!P35</f>
        <v/>
      </c>
      <c r="R32" s="7">
        <f>'3 escalar'!Q35</f>
        <v/>
      </c>
      <c r="S32" s="7">
        <f>'3 escalar'!R35</f>
        <v/>
      </c>
      <c r="T32" s="7">
        <f>'3 escalar'!S35</f>
        <v/>
      </c>
      <c r="U32" s="7">
        <f>'3 escalar'!T35</f>
        <v/>
      </c>
      <c r="V32" s="6">
        <f>$AC$12+D32*$AC$13+E32*$AC$14+F32*$AC$15+G32*$AC$16+H32*$AC$17+I32*$AC$18+J32*$AC$19+K32*$AC$20+L32*$AC$21+M32*$AC$22+N32*$AC$23+O32*$AC$24+P32*$AC$25+Q32*$AC$26+R32*$AC$27+S32*$AC$28+T32*$AC$29+U32*$AC$30</f>
        <v/>
      </c>
      <c r="W32" s="6">
        <f>1/(1+EXP(-V32))</f>
        <v/>
      </c>
      <c r="X32" s="8">
        <f>-IF(C32=1,LN(W32),LN(1-W32))</f>
        <v/>
      </c>
      <c r="Y32" s="9">
        <f>IF(W32&gt;$AC$32,1,0)</f>
        <v/>
      </c>
      <c r="Z32">
        <f>IF(Y32=C32,1,0)</f>
        <v/>
      </c>
      <c r="AB32" s="3" t="inlineStr">
        <is>
          <t>umbral</t>
        </is>
      </c>
      <c r="AC32" s="14" t="n">
        <v>0.5</v>
      </c>
      <c r="AG32" t="inlineStr">
        <is>
          <t>acierto</t>
        </is>
      </c>
      <c r="AH32" s="15" t="n">
        <v>0.78</v>
      </c>
    </row>
    <row r="33">
      <c r="A33">
        <f>'3 escalar'!A36</f>
        <v/>
      </c>
      <c r="B33" s="5">
        <f>'3 escalar'!U36</f>
        <v/>
      </c>
      <c r="C33">
        <f>'3 escalar'!B36</f>
        <v/>
      </c>
      <c r="D33" s="7">
        <f>'3 escalar'!C36</f>
        <v/>
      </c>
      <c r="E33" s="7">
        <f>'3 escalar'!D36</f>
        <v/>
      </c>
      <c r="F33" s="7">
        <f>'3 escalar'!E36</f>
        <v/>
      </c>
      <c r="G33" s="7">
        <f>'3 escalar'!F36</f>
        <v/>
      </c>
      <c r="H33" s="7">
        <f>'3 escalar'!G36</f>
        <v/>
      </c>
      <c r="I33" s="7">
        <f>'3 escalar'!H36</f>
        <v/>
      </c>
      <c r="J33" s="7">
        <f>'3 escalar'!I36</f>
        <v/>
      </c>
      <c r="K33" s="7">
        <f>'3 escalar'!J36</f>
        <v/>
      </c>
      <c r="L33" s="7">
        <f>'3 escalar'!K36</f>
        <v/>
      </c>
      <c r="M33" s="7">
        <f>'3 escalar'!L36</f>
        <v/>
      </c>
      <c r="N33" s="7">
        <f>'3 escalar'!M36</f>
        <v/>
      </c>
      <c r="O33" s="7">
        <f>'3 escalar'!N36</f>
        <v/>
      </c>
      <c r="P33" s="7">
        <f>'3 escalar'!O36</f>
        <v/>
      </c>
      <c r="Q33" s="7">
        <f>'3 escalar'!P36</f>
        <v/>
      </c>
      <c r="R33" s="7">
        <f>'3 escalar'!Q36</f>
        <v/>
      </c>
      <c r="S33" s="7">
        <f>'3 escalar'!R36</f>
        <v/>
      </c>
      <c r="T33" s="7">
        <f>'3 escalar'!S36</f>
        <v/>
      </c>
      <c r="U33" s="7">
        <f>'3 escalar'!T36</f>
        <v/>
      </c>
      <c r="V33" s="6">
        <f>$AC$12+D33*$AC$13+E33*$AC$14+F33*$AC$15+G33*$AC$16+H33*$AC$17+I33*$AC$18+J33*$AC$19+K33*$AC$20+L33*$AC$21+M33*$AC$22+N33*$AC$23+O33*$AC$24+P33*$AC$25+Q33*$AC$26+R33*$AC$27+S33*$AC$28+T33*$AC$29+U33*$AC$30</f>
        <v/>
      </c>
      <c r="W33" s="6">
        <f>1/(1+EXP(-V33))</f>
        <v/>
      </c>
      <c r="X33" s="8">
        <f>-IF(C33=1,LN(W33),LN(1-W33))</f>
        <v/>
      </c>
      <c r="Y33" s="9">
        <f>IF(W33&gt;$AC$32,1,0)</f>
        <v/>
      </c>
      <c r="Z33">
        <f>IF(Y33=C33,1,0)</f>
        <v/>
      </c>
      <c r="AG33" t="inlineStr">
        <is>
          <t>recall</t>
        </is>
      </c>
      <c r="AH33" s="15" t="n">
        <v>0.5666666666666667</v>
      </c>
    </row>
    <row r="34">
      <c r="A34">
        <f>'3 escalar'!A37</f>
        <v/>
      </c>
      <c r="B34" s="5">
        <f>'3 escalar'!U37</f>
        <v/>
      </c>
      <c r="C34">
        <f>'3 escalar'!B37</f>
        <v/>
      </c>
      <c r="D34" s="7">
        <f>'3 escalar'!C37</f>
        <v/>
      </c>
      <c r="E34" s="7">
        <f>'3 escalar'!D37</f>
        <v/>
      </c>
      <c r="F34" s="7">
        <f>'3 escalar'!E37</f>
        <v/>
      </c>
      <c r="G34" s="7">
        <f>'3 escalar'!F37</f>
        <v/>
      </c>
      <c r="H34" s="7">
        <f>'3 escalar'!G37</f>
        <v/>
      </c>
      <c r="I34" s="7">
        <f>'3 escalar'!H37</f>
        <v/>
      </c>
      <c r="J34" s="7">
        <f>'3 escalar'!I37</f>
        <v/>
      </c>
      <c r="K34" s="7">
        <f>'3 escalar'!J37</f>
        <v/>
      </c>
      <c r="L34" s="7">
        <f>'3 escalar'!K37</f>
        <v/>
      </c>
      <c r="M34" s="7">
        <f>'3 escalar'!L37</f>
        <v/>
      </c>
      <c r="N34" s="7">
        <f>'3 escalar'!M37</f>
        <v/>
      </c>
      <c r="O34" s="7">
        <f>'3 escalar'!N37</f>
        <v/>
      </c>
      <c r="P34" s="7">
        <f>'3 escalar'!O37</f>
        <v/>
      </c>
      <c r="Q34" s="7">
        <f>'3 escalar'!P37</f>
        <v/>
      </c>
      <c r="R34" s="7">
        <f>'3 escalar'!Q37</f>
        <v/>
      </c>
      <c r="S34" s="7">
        <f>'3 escalar'!R37</f>
        <v/>
      </c>
      <c r="T34" s="7">
        <f>'3 escalar'!S37</f>
        <v/>
      </c>
      <c r="U34" s="7">
        <f>'3 escalar'!T37</f>
        <v/>
      </c>
      <c r="V34" s="6">
        <f>$AC$12+D34*$AC$13+E34*$AC$14+F34*$AC$15+G34*$AC$16+H34*$AC$17+I34*$AC$18+J34*$AC$19+K34*$AC$20+L34*$AC$21+M34*$AC$22+N34*$AC$23+O34*$AC$24+P34*$AC$25+Q34*$AC$26+R34*$AC$27+S34*$AC$28+T34*$AC$29+U34*$AC$30</f>
        <v/>
      </c>
      <c r="W34" s="6">
        <f>1/(1+EXP(-V34))</f>
        <v/>
      </c>
      <c r="X34" s="8">
        <f>-IF(C34=1,LN(W34),LN(1-W34))</f>
        <v/>
      </c>
      <c r="Y34" s="9">
        <f>IF(W34&gt;$AC$32,1,0)</f>
        <v/>
      </c>
      <c r="Z34">
        <f>IF(Y34=C34,1,0)</f>
        <v/>
      </c>
      <c r="AB34" s="3" t="inlineStr">
        <is>
          <t>RESULTADOS</t>
        </is>
      </c>
      <c r="AG34" t="inlineStr">
        <is>
          <t>precision</t>
        </is>
      </c>
      <c r="AH34" s="15" t="n">
        <v>0.6538461538461539</v>
      </c>
    </row>
    <row r="35">
      <c r="A35">
        <f>'3 escalar'!A38</f>
        <v/>
      </c>
      <c r="B35" s="5">
        <f>'3 escalar'!U38</f>
        <v/>
      </c>
      <c r="C35">
        <f>'3 escalar'!B38</f>
        <v/>
      </c>
      <c r="D35" s="7">
        <f>'3 escalar'!C38</f>
        <v/>
      </c>
      <c r="E35" s="7">
        <f>'3 escalar'!D38</f>
        <v/>
      </c>
      <c r="F35" s="7">
        <f>'3 escalar'!E38</f>
        <v/>
      </c>
      <c r="G35" s="7">
        <f>'3 escalar'!F38</f>
        <v/>
      </c>
      <c r="H35" s="7">
        <f>'3 escalar'!G38</f>
        <v/>
      </c>
      <c r="I35" s="7">
        <f>'3 escalar'!H38</f>
        <v/>
      </c>
      <c r="J35" s="7">
        <f>'3 escalar'!I38</f>
        <v/>
      </c>
      <c r="K35" s="7">
        <f>'3 escalar'!J38</f>
        <v/>
      </c>
      <c r="L35" s="7">
        <f>'3 escalar'!K38</f>
        <v/>
      </c>
      <c r="M35" s="7">
        <f>'3 escalar'!L38</f>
        <v/>
      </c>
      <c r="N35" s="7">
        <f>'3 escalar'!M38</f>
        <v/>
      </c>
      <c r="O35" s="7">
        <f>'3 escalar'!N38</f>
        <v/>
      </c>
      <c r="P35" s="7">
        <f>'3 escalar'!O38</f>
        <v/>
      </c>
      <c r="Q35" s="7">
        <f>'3 escalar'!P38</f>
        <v/>
      </c>
      <c r="R35" s="7">
        <f>'3 escalar'!Q38</f>
        <v/>
      </c>
      <c r="S35" s="7">
        <f>'3 escalar'!R38</f>
        <v/>
      </c>
      <c r="T35" s="7">
        <f>'3 escalar'!S38</f>
        <v/>
      </c>
      <c r="U35" s="7">
        <f>'3 escalar'!T38</f>
        <v/>
      </c>
      <c r="V35" s="6">
        <f>$AC$12+D35*$AC$13+E35*$AC$14+F35*$AC$15+G35*$AC$16+H35*$AC$17+I35*$AC$18+J35*$AC$19+K35*$AC$20+L35*$AC$21+M35*$AC$22+N35*$AC$23+O35*$AC$24+P35*$AC$25+Q35*$AC$26+R35*$AC$27+S35*$AC$28+T35*$AC$29+U35*$AC$30</f>
        <v/>
      </c>
      <c r="W35" s="6">
        <f>1/(1+EXP(-V35))</f>
        <v/>
      </c>
      <c r="X35" s="8">
        <f>-IF(C35=1,LN(W35),LN(1-W35))</f>
        <v/>
      </c>
      <c r="Y35" s="9">
        <f>IF(W35&gt;$AC$32,1,0)</f>
        <v/>
      </c>
      <c r="Z35">
        <f>IF(Y35=C35,1,0)</f>
        <v/>
      </c>
      <c r="AB35" t="inlineStr">
        <is>
          <t>pérdida total training, suma de las 700 filas (objetivo de Solver)</t>
        </is>
      </c>
      <c r="AC35" s="16">
        <f>SUMPRODUCT(($B$12:$B$1011="training")*$X$12:$X$1011)</f>
        <v/>
      </c>
      <c r="AG35" t="inlineStr">
        <is>
          <t>F1</t>
        </is>
      </c>
      <c r="AH35" s="17" t="n">
        <v>0.6071428571428571</v>
      </c>
    </row>
    <row r="36">
      <c r="A36">
        <f>'3 escalar'!A39</f>
        <v/>
      </c>
      <c r="B36" s="5">
        <f>'3 escalar'!U39</f>
        <v/>
      </c>
      <c r="C36">
        <f>'3 escalar'!B39</f>
        <v/>
      </c>
      <c r="D36" s="7">
        <f>'3 escalar'!C39</f>
        <v/>
      </c>
      <c r="E36" s="7">
        <f>'3 escalar'!D39</f>
        <v/>
      </c>
      <c r="F36" s="7">
        <f>'3 escalar'!E39</f>
        <v/>
      </c>
      <c r="G36" s="7">
        <f>'3 escalar'!F39</f>
        <v/>
      </c>
      <c r="H36" s="7">
        <f>'3 escalar'!G39</f>
        <v/>
      </c>
      <c r="I36" s="7">
        <f>'3 escalar'!H39</f>
        <v/>
      </c>
      <c r="J36" s="7">
        <f>'3 escalar'!I39</f>
        <v/>
      </c>
      <c r="K36" s="7">
        <f>'3 escalar'!J39</f>
        <v/>
      </c>
      <c r="L36" s="7">
        <f>'3 escalar'!K39</f>
        <v/>
      </c>
      <c r="M36" s="7">
        <f>'3 escalar'!L39</f>
        <v/>
      </c>
      <c r="N36" s="7">
        <f>'3 escalar'!M39</f>
        <v/>
      </c>
      <c r="O36" s="7">
        <f>'3 escalar'!N39</f>
        <v/>
      </c>
      <c r="P36" s="7">
        <f>'3 escalar'!O39</f>
        <v/>
      </c>
      <c r="Q36" s="7">
        <f>'3 escalar'!P39</f>
        <v/>
      </c>
      <c r="R36" s="7">
        <f>'3 escalar'!Q39</f>
        <v/>
      </c>
      <c r="S36" s="7">
        <f>'3 escalar'!R39</f>
        <v/>
      </c>
      <c r="T36" s="7">
        <f>'3 escalar'!S39</f>
        <v/>
      </c>
      <c r="U36" s="7">
        <f>'3 escalar'!T39</f>
        <v/>
      </c>
      <c r="V36" s="6">
        <f>$AC$12+D36*$AC$13+E36*$AC$14+F36*$AC$15+G36*$AC$16+H36*$AC$17+I36*$AC$18+J36*$AC$19+K36*$AC$20+L36*$AC$21+M36*$AC$22+N36*$AC$23+O36*$AC$24+P36*$AC$25+Q36*$AC$26+R36*$AC$27+S36*$AC$28+T36*$AC$29+U36*$AC$30</f>
        <v/>
      </c>
      <c r="W36" s="6">
        <f>1/(1+EXP(-V36))</f>
        <v/>
      </c>
      <c r="X36" s="8">
        <f>-IF(C36=1,LN(W36),LN(1-W36))</f>
        <v/>
      </c>
      <c r="Y36" s="9">
        <f>IF(W36&gt;$AC$32,1,0)</f>
        <v/>
      </c>
      <c r="Z36">
        <f>IF(Y36=C36,1,0)</f>
        <v/>
      </c>
      <c r="AB36" t="inlineStr">
        <is>
          <t>pérdida promedio training</t>
        </is>
      </c>
      <c r="AC36" s="18">
        <f>SUMPRODUCT(($B$12:$B$1011="training")*$X$12:$X$1011)/COUNTIF($B$12:$B$1011,"training")</f>
        <v/>
      </c>
    </row>
    <row r="37">
      <c r="A37">
        <f>'3 escalar'!A40</f>
        <v/>
      </c>
      <c r="B37" s="5">
        <f>'3 escalar'!U40</f>
        <v/>
      </c>
      <c r="C37">
        <f>'3 escalar'!B40</f>
        <v/>
      </c>
      <c r="D37" s="7">
        <f>'3 escalar'!C40</f>
        <v/>
      </c>
      <c r="E37" s="7">
        <f>'3 escalar'!D40</f>
        <v/>
      </c>
      <c r="F37" s="7">
        <f>'3 escalar'!E40</f>
        <v/>
      </c>
      <c r="G37" s="7">
        <f>'3 escalar'!F40</f>
        <v/>
      </c>
      <c r="H37" s="7">
        <f>'3 escalar'!G40</f>
        <v/>
      </c>
      <c r="I37" s="7">
        <f>'3 escalar'!H40</f>
        <v/>
      </c>
      <c r="J37" s="7">
        <f>'3 escalar'!I40</f>
        <v/>
      </c>
      <c r="K37" s="7">
        <f>'3 escalar'!J40</f>
        <v/>
      </c>
      <c r="L37" s="7">
        <f>'3 escalar'!K40</f>
        <v/>
      </c>
      <c r="M37" s="7">
        <f>'3 escalar'!L40</f>
        <v/>
      </c>
      <c r="N37" s="7">
        <f>'3 escalar'!M40</f>
        <v/>
      </c>
      <c r="O37" s="7">
        <f>'3 escalar'!N40</f>
        <v/>
      </c>
      <c r="P37" s="7">
        <f>'3 escalar'!O40</f>
        <v/>
      </c>
      <c r="Q37" s="7">
        <f>'3 escalar'!P40</f>
        <v/>
      </c>
      <c r="R37" s="7">
        <f>'3 escalar'!Q40</f>
        <v/>
      </c>
      <c r="S37" s="7">
        <f>'3 escalar'!R40</f>
        <v/>
      </c>
      <c r="T37" s="7">
        <f>'3 escalar'!S40</f>
        <v/>
      </c>
      <c r="U37" s="7">
        <f>'3 escalar'!T40</f>
        <v/>
      </c>
      <c r="V37" s="6">
        <f>$AC$12+D37*$AC$13+E37*$AC$14+F37*$AC$15+G37*$AC$16+H37*$AC$17+I37*$AC$18+J37*$AC$19+K37*$AC$20+L37*$AC$21+M37*$AC$22+N37*$AC$23+O37*$AC$24+P37*$AC$25+Q37*$AC$26+R37*$AC$27+S37*$AC$28+T37*$AC$29+U37*$AC$30</f>
        <v/>
      </c>
      <c r="W37" s="6">
        <f>1/(1+EXP(-V37))</f>
        <v/>
      </c>
      <c r="X37" s="8">
        <f>-IF(C37=1,LN(W37),LN(1-W37))</f>
        <v/>
      </c>
      <c r="Y37" s="9">
        <f>IF(W37&gt;$AC$32,1,0)</f>
        <v/>
      </c>
      <c r="Z37">
        <f>IF(Y37=C37,1,0)</f>
        <v/>
      </c>
      <c r="AB37" t="inlineStr">
        <is>
          <t>pérdida promedio testing</t>
        </is>
      </c>
      <c r="AC37" s="18">
        <f>SUMPRODUCT(($B$12:$B$1011="testing")*$X$12:$X$1011)/COUNTIF($B$12:$B$1011,"testing")</f>
        <v/>
      </c>
    </row>
    <row r="38">
      <c r="A38">
        <f>'3 escalar'!A41</f>
        <v/>
      </c>
      <c r="B38" s="5">
        <f>'3 escalar'!U41</f>
        <v/>
      </c>
      <c r="C38">
        <f>'3 escalar'!B41</f>
        <v/>
      </c>
      <c r="D38" s="7">
        <f>'3 escalar'!C41</f>
        <v/>
      </c>
      <c r="E38" s="7">
        <f>'3 escalar'!D41</f>
        <v/>
      </c>
      <c r="F38" s="7">
        <f>'3 escalar'!E41</f>
        <v/>
      </c>
      <c r="G38" s="7">
        <f>'3 escalar'!F41</f>
        <v/>
      </c>
      <c r="H38" s="7">
        <f>'3 escalar'!G41</f>
        <v/>
      </c>
      <c r="I38" s="7">
        <f>'3 escalar'!H41</f>
        <v/>
      </c>
      <c r="J38" s="7">
        <f>'3 escalar'!I41</f>
        <v/>
      </c>
      <c r="K38" s="7">
        <f>'3 escalar'!J41</f>
        <v/>
      </c>
      <c r="L38" s="7">
        <f>'3 escalar'!K41</f>
        <v/>
      </c>
      <c r="M38" s="7">
        <f>'3 escalar'!L41</f>
        <v/>
      </c>
      <c r="N38" s="7">
        <f>'3 escalar'!M41</f>
        <v/>
      </c>
      <c r="O38" s="7">
        <f>'3 escalar'!N41</f>
        <v/>
      </c>
      <c r="P38" s="7">
        <f>'3 escalar'!O41</f>
        <v/>
      </c>
      <c r="Q38" s="7">
        <f>'3 escalar'!P41</f>
        <v/>
      </c>
      <c r="R38" s="7">
        <f>'3 escalar'!Q41</f>
        <v/>
      </c>
      <c r="S38" s="7">
        <f>'3 escalar'!R41</f>
        <v/>
      </c>
      <c r="T38" s="7">
        <f>'3 escalar'!S41</f>
        <v/>
      </c>
      <c r="U38" s="7">
        <f>'3 escalar'!T41</f>
        <v/>
      </c>
      <c r="V38" s="6">
        <f>$AC$12+D38*$AC$13+E38*$AC$14+F38*$AC$15+G38*$AC$16+H38*$AC$17+I38*$AC$18+J38*$AC$19+K38*$AC$20+L38*$AC$21+M38*$AC$22+N38*$AC$23+O38*$AC$24+P38*$AC$25+Q38*$AC$26+R38*$AC$27+S38*$AC$28+T38*$AC$29+U38*$AC$30</f>
        <v/>
      </c>
      <c r="W38" s="6">
        <f>1/(1+EXP(-V38))</f>
        <v/>
      </c>
      <c r="X38" s="8">
        <f>-IF(C38=1,LN(W38),LN(1-W38))</f>
        <v/>
      </c>
      <c r="Y38" s="9">
        <f>IF(W38&gt;$AC$32,1,0)</f>
        <v/>
      </c>
      <c r="Z38">
        <f>IF(Y38=C38,1,0)</f>
        <v/>
      </c>
      <c r="AB38" t="inlineStr">
        <is>
          <t>acierto training</t>
        </is>
      </c>
      <c r="AC38" s="19">
        <f>SUMPRODUCT(($B$12:$B$1011="training")*$Z$12:$Z$1011)/COUNTIF($B$12:$B$1011,"training")</f>
        <v/>
      </c>
      <c r="AG38" s="3" t="inlineStr">
        <is>
          <t>El trade-off según el negocio</t>
        </is>
      </c>
    </row>
    <row r="39">
      <c r="A39">
        <f>'3 escalar'!A42</f>
        <v/>
      </c>
      <c r="B39" s="5">
        <f>'3 escalar'!U42</f>
        <v/>
      </c>
      <c r="C39">
        <f>'3 escalar'!B42</f>
        <v/>
      </c>
      <c r="D39" s="7">
        <f>'3 escalar'!C42</f>
        <v/>
      </c>
      <c r="E39" s="7">
        <f>'3 escalar'!D42</f>
        <v/>
      </c>
      <c r="F39" s="7">
        <f>'3 escalar'!E42</f>
        <v/>
      </c>
      <c r="G39" s="7">
        <f>'3 escalar'!F42</f>
        <v/>
      </c>
      <c r="H39" s="7">
        <f>'3 escalar'!G42</f>
        <v/>
      </c>
      <c r="I39" s="7">
        <f>'3 escalar'!H42</f>
        <v/>
      </c>
      <c r="J39" s="7">
        <f>'3 escalar'!I42</f>
        <v/>
      </c>
      <c r="K39" s="7">
        <f>'3 escalar'!J42</f>
        <v/>
      </c>
      <c r="L39" s="7">
        <f>'3 escalar'!K42</f>
        <v/>
      </c>
      <c r="M39" s="7">
        <f>'3 escalar'!L42</f>
        <v/>
      </c>
      <c r="N39" s="7">
        <f>'3 escalar'!M42</f>
        <v/>
      </c>
      <c r="O39" s="7">
        <f>'3 escalar'!N42</f>
        <v/>
      </c>
      <c r="P39" s="7">
        <f>'3 escalar'!O42</f>
        <v/>
      </c>
      <c r="Q39" s="7">
        <f>'3 escalar'!P42</f>
        <v/>
      </c>
      <c r="R39" s="7">
        <f>'3 escalar'!Q42</f>
        <v/>
      </c>
      <c r="S39" s="7">
        <f>'3 escalar'!R42</f>
        <v/>
      </c>
      <c r="T39" s="7">
        <f>'3 escalar'!S42</f>
        <v/>
      </c>
      <c r="U39" s="7">
        <f>'3 escalar'!T42</f>
        <v/>
      </c>
      <c r="V39" s="6">
        <f>$AC$12+D39*$AC$13+E39*$AC$14+F39*$AC$15+G39*$AC$16+H39*$AC$17+I39*$AC$18+J39*$AC$19+K39*$AC$20+L39*$AC$21+M39*$AC$22+N39*$AC$23+O39*$AC$24+P39*$AC$25+Q39*$AC$26+R39*$AC$27+S39*$AC$28+T39*$AC$29+U39*$AC$30</f>
        <v/>
      </c>
      <c r="W39" s="6">
        <f>1/(1+EXP(-V39))</f>
        <v/>
      </c>
      <c r="X39" s="8">
        <f>-IF(C39=1,LN(W39),LN(1-W39))</f>
        <v/>
      </c>
      <c r="Y39" s="9">
        <f>IF(W39&gt;$AC$32,1,0)</f>
        <v/>
      </c>
      <c r="Z39">
        <f>IF(Y39=C39,1,0)</f>
        <v/>
      </c>
      <c r="AB39" t="inlineStr">
        <is>
          <t>acierto testing</t>
        </is>
      </c>
      <c r="AC39" s="19">
        <f>SUMPRODUCT(($B$12:$B$1011="testing")*$Z$12:$Z$1011)/COUNTIF($B$12:$B$1011,"testing")</f>
        <v/>
      </c>
      <c r="AG39" s="4" t="inlineStr">
        <is>
          <t>caso</t>
        </is>
      </c>
      <c r="AH39" s="4" t="inlineStr">
        <is>
          <t>qué cuesta un falso negativo (no marcar)</t>
        </is>
      </c>
      <c r="AI39" s="4" t="inlineStr">
        <is>
          <t>qué cuesta un falso positivo (marcar de más)</t>
        </is>
      </c>
      <c r="AJ39" s="4" t="inlineStr">
        <is>
          <t>qué se privilegia</t>
        </is>
      </c>
    </row>
    <row r="40" ht="46" customHeight="1">
      <c r="A40">
        <f>'3 escalar'!A43</f>
        <v/>
      </c>
      <c r="B40" s="5">
        <f>'3 escalar'!U43</f>
        <v/>
      </c>
      <c r="C40">
        <f>'3 escalar'!B43</f>
        <v/>
      </c>
      <c r="D40" s="7">
        <f>'3 escalar'!C43</f>
        <v/>
      </c>
      <c r="E40" s="7">
        <f>'3 escalar'!D43</f>
        <v/>
      </c>
      <c r="F40" s="7">
        <f>'3 escalar'!E43</f>
        <v/>
      </c>
      <c r="G40" s="7">
        <f>'3 escalar'!F43</f>
        <v/>
      </c>
      <c r="H40" s="7">
        <f>'3 escalar'!G43</f>
        <v/>
      </c>
      <c r="I40" s="7">
        <f>'3 escalar'!H43</f>
        <v/>
      </c>
      <c r="J40" s="7">
        <f>'3 escalar'!I43</f>
        <v/>
      </c>
      <c r="K40" s="7">
        <f>'3 escalar'!J43</f>
        <v/>
      </c>
      <c r="L40" s="7">
        <f>'3 escalar'!K43</f>
        <v/>
      </c>
      <c r="M40" s="7">
        <f>'3 escalar'!L43</f>
        <v/>
      </c>
      <c r="N40" s="7">
        <f>'3 escalar'!M43</f>
        <v/>
      </c>
      <c r="O40" s="7">
        <f>'3 escalar'!N43</f>
        <v/>
      </c>
      <c r="P40" s="7">
        <f>'3 escalar'!O43</f>
        <v/>
      </c>
      <c r="Q40" s="7">
        <f>'3 escalar'!P43</f>
        <v/>
      </c>
      <c r="R40" s="7">
        <f>'3 escalar'!Q43</f>
        <v/>
      </c>
      <c r="S40" s="7">
        <f>'3 escalar'!R43</f>
        <v/>
      </c>
      <c r="T40" s="7">
        <f>'3 escalar'!S43</f>
        <v/>
      </c>
      <c r="U40" s="7">
        <f>'3 escalar'!T43</f>
        <v/>
      </c>
      <c r="V40" s="6">
        <f>$AC$12+D40*$AC$13+E40*$AC$14+F40*$AC$15+G40*$AC$16+H40*$AC$17+I40*$AC$18+J40*$AC$19+K40*$AC$20+L40*$AC$21+M40*$AC$22+N40*$AC$23+O40*$AC$24+P40*$AC$25+Q40*$AC$26+R40*$AC$27+S40*$AC$28+T40*$AC$29+U40*$AC$30</f>
        <v/>
      </c>
      <c r="W40" s="6">
        <f>1/(1+EXP(-V40))</f>
        <v/>
      </c>
      <c r="X40" s="8">
        <f>-IF(C40=1,LN(W40),LN(1-W40))</f>
        <v/>
      </c>
      <c r="Y40" s="9">
        <f>IF(W40&gt;$AC$32,1,0)</f>
        <v/>
      </c>
      <c r="Z40">
        <f>IF(Y40=C40,1,0)</f>
        <v/>
      </c>
      <c r="AB40" t="inlineStr">
        <is>
          <t>referencia scikit-learn: pérdida total training</t>
        </is>
      </c>
      <c r="AC40" s="20" t="n">
        <v>350.2591360357155</v>
      </c>
      <c r="AG40" s="2" t="inlineStr">
        <is>
          <t>riesgo de crédito</t>
        </is>
      </c>
      <c r="AH40" s="2" t="inlineStr">
        <is>
          <t>aprobar a quien no paga: se pierde el capital</t>
        </is>
      </c>
      <c r="AI40" s="2" t="inlineStr">
        <is>
          <t>rechazar a quien pagaba: se pierde el margen</t>
        </is>
      </c>
      <c r="AJ40" s="2" t="inlineStr">
        <is>
          <t>recall (eficacia), con el costo asimétrico de la hoja 6</t>
        </is>
      </c>
    </row>
    <row r="41" ht="46" customHeight="1">
      <c r="A41">
        <f>'3 escalar'!A44</f>
        <v/>
      </c>
      <c r="B41" s="5">
        <f>'3 escalar'!U44</f>
        <v/>
      </c>
      <c r="C41">
        <f>'3 escalar'!B44</f>
        <v/>
      </c>
      <c r="D41" s="7">
        <f>'3 escalar'!C44</f>
        <v/>
      </c>
      <c r="E41" s="7">
        <f>'3 escalar'!D44</f>
        <v/>
      </c>
      <c r="F41" s="7">
        <f>'3 escalar'!E44</f>
        <v/>
      </c>
      <c r="G41" s="7">
        <f>'3 escalar'!F44</f>
        <v/>
      </c>
      <c r="H41" s="7">
        <f>'3 escalar'!G44</f>
        <v/>
      </c>
      <c r="I41" s="7">
        <f>'3 escalar'!H44</f>
        <v/>
      </c>
      <c r="J41" s="7">
        <f>'3 escalar'!I44</f>
        <v/>
      </c>
      <c r="K41" s="7">
        <f>'3 escalar'!J44</f>
        <v/>
      </c>
      <c r="L41" s="7">
        <f>'3 escalar'!K44</f>
        <v/>
      </c>
      <c r="M41" s="7">
        <f>'3 escalar'!L44</f>
        <v/>
      </c>
      <c r="N41" s="7">
        <f>'3 escalar'!M44</f>
        <v/>
      </c>
      <c r="O41" s="7">
        <f>'3 escalar'!N44</f>
        <v/>
      </c>
      <c r="P41" s="7">
        <f>'3 escalar'!O44</f>
        <v/>
      </c>
      <c r="Q41" s="7">
        <f>'3 escalar'!P44</f>
        <v/>
      </c>
      <c r="R41" s="7">
        <f>'3 escalar'!Q44</f>
        <v/>
      </c>
      <c r="S41" s="7">
        <f>'3 escalar'!R44</f>
        <v/>
      </c>
      <c r="T41" s="7">
        <f>'3 escalar'!S44</f>
        <v/>
      </c>
      <c r="U41" s="7">
        <f>'3 escalar'!T44</f>
        <v/>
      </c>
      <c r="V41" s="6">
        <f>$AC$12+D41*$AC$13+E41*$AC$14+F41*$AC$15+G41*$AC$16+H41*$AC$17+I41*$AC$18+J41*$AC$19+K41*$AC$20+L41*$AC$21+M41*$AC$22+N41*$AC$23+O41*$AC$24+P41*$AC$25+Q41*$AC$26+R41*$AC$27+S41*$AC$28+T41*$AC$29+U41*$AC$30</f>
        <v/>
      </c>
      <c r="W41" s="6">
        <f>1/(1+EXP(-V41))</f>
        <v/>
      </c>
      <c r="X41" s="8">
        <f>-IF(C41=1,LN(W41),LN(1-W41))</f>
        <v/>
      </c>
      <c r="Y41" s="9">
        <f>IF(W41&gt;$AC$32,1,0)</f>
        <v/>
      </c>
      <c r="Z41">
        <f>IF(Y41=C41,1,0)</f>
        <v/>
      </c>
      <c r="AB41" t="inlineStr">
        <is>
          <t>referencia scikit-learn: pérdida promedio training</t>
        </is>
      </c>
      <c r="AC41" s="11" t="n">
        <v>0.5003701943367364</v>
      </c>
      <c r="AG41" s="2" t="inlineStr">
        <is>
          <t>churn</t>
        </is>
      </c>
      <c r="AH41" s="2" t="inlineStr">
        <is>
          <t>no contactar a quien se iba: se pierde el cliente</t>
        </is>
      </c>
      <c r="AI41" s="2" t="inlineStr">
        <is>
          <t>contactar a quien se quedaba: una llamada o un descuento</t>
        </is>
      </c>
      <c r="AJ41" s="2" t="inlineStr">
        <is>
          <t>recall, pero el presupuesto de retención es finito, así que precision importa más de lo que parece</t>
        </is>
      </c>
    </row>
    <row r="42" ht="46" customHeight="1">
      <c r="A42">
        <f>'3 escalar'!A45</f>
        <v/>
      </c>
      <c r="B42" s="5">
        <f>'3 escalar'!U45</f>
        <v/>
      </c>
      <c r="C42">
        <f>'3 escalar'!B45</f>
        <v/>
      </c>
      <c r="D42" s="7">
        <f>'3 escalar'!C45</f>
        <v/>
      </c>
      <c r="E42" s="7">
        <f>'3 escalar'!D45</f>
        <v/>
      </c>
      <c r="F42" s="7">
        <f>'3 escalar'!E45</f>
        <v/>
      </c>
      <c r="G42" s="7">
        <f>'3 escalar'!F45</f>
        <v/>
      </c>
      <c r="H42" s="7">
        <f>'3 escalar'!G45</f>
        <v/>
      </c>
      <c r="I42" s="7">
        <f>'3 escalar'!H45</f>
        <v/>
      </c>
      <c r="J42" s="7">
        <f>'3 escalar'!I45</f>
        <v/>
      </c>
      <c r="K42" s="7">
        <f>'3 escalar'!J45</f>
        <v/>
      </c>
      <c r="L42" s="7">
        <f>'3 escalar'!K45</f>
        <v/>
      </c>
      <c r="M42" s="7">
        <f>'3 escalar'!L45</f>
        <v/>
      </c>
      <c r="N42" s="7">
        <f>'3 escalar'!M45</f>
        <v/>
      </c>
      <c r="O42" s="7">
        <f>'3 escalar'!N45</f>
        <v/>
      </c>
      <c r="P42" s="7">
        <f>'3 escalar'!O45</f>
        <v/>
      </c>
      <c r="Q42" s="7">
        <f>'3 escalar'!P45</f>
        <v/>
      </c>
      <c r="R42" s="7">
        <f>'3 escalar'!Q45</f>
        <v/>
      </c>
      <c r="S42" s="7">
        <f>'3 escalar'!R45</f>
        <v/>
      </c>
      <c r="T42" s="7">
        <f>'3 escalar'!S45</f>
        <v/>
      </c>
      <c r="U42" s="7">
        <f>'3 escalar'!T45</f>
        <v/>
      </c>
      <c r="V42" s="6">
        <f>$AC$12+D42*$AC$13+E42*$AC$14+F42*$AC$15+G42*$AC$16+H42*$AC$17+I42*$AC$18+J42*$AC$19+K42*$AC$20+L42*$AC$21+M42*$AC$22+N42*$AC$23+O42*$AC$24+P42*$AC$25+Q42*$AC$26+R42*$AC$27+S42*$AC$28+T42*$AC$29+U42*$AC$30</f>
        <v/>
      </c>
      <c r="W42" s="6">
        <f>1/(1+EXP(-V42))</f>
        <v/>
      </c>
      <c r="X42" s="8">
        <f>-IF(C42=1,LN(W42),LN(1-W42))</f>
        <v/>
      </c>
      <c r="Y42" s="9">
        <f>IF(W42&gt;$AC$32,1,0)</f>
        <v/>
      </c>
      <c r="Z42">
        <f>IF(Y42=C42,1,0)</f>
        <v/>
      </c>
      <c r="AB42" t="inlineStr">
        <is>
          <t>referencia scikit-learn: pérdida testing</t>
        </is>
      </c>
      <c r="AC42" s="11" t="n">
        <v>0.4690599152735907</v>
      </c>
      <c r="AG42" s="2" t="inlineStr">
        <is>
          <t>fraude</t>
        </is>
      </c>
      <c r="AH42" s="2" t="inlineStr">
        <is>
          <t>dejar pasar una operación fraudulenta: la pérdida completa</t>
        </is>
      </c>
      <c r="AI42" s="2" t="inlineStr">
        <is>
          <t>bloquear una operación legítima: un cliente honesto molesto</t>
        </is>
      </c>
      <c r="AJ42" s="2" t="inlineStr">
        <is>
          <t>precision (eficiencia) mantiene tolerable la fricción; recall se sube donde el monto lo justifica</t>
        </is>
      </c>
    </row>
    <row r="43">
      <c r="A43">
        <f>'3 escalar'!A46</f>
        <v/>
      </c>
      <c r="B43" s="5">
        <f>'3 escalar'!U46</f>
        <v/>
      </c>
      <c r="C43">
        <f>'3 escalar'!B46</f>
        <v/>
      </c>
      <c r="D43" s="7">
        <f>'3 escalar'!C46</f>
        <v/>
      </c>
      <c r="E43" s="7">
        <f>'3 escalar'!D46</f>
        <v/>
      </c>
      <c r="F43" s="7">
        <f>'3 escalar'!E46</f>
        <v/>
      </c>
      <c r="G43" s="7">
        <f>'3 escalar'!F46</f>
        <v/>
      </c>
      <c r="H43" s="7">
        <f>'3 escalar'!G46</f>
        <v/>
      </c>
      <c r="I43" s="7">
        <f>'3 escalar'!H46</f>
        <v/>
      </c>
      <c r="J43" s="7">
        <f>'3 escalar'!I46</f>
        <v/>
      </c>
      <c r="K43" s="7">
        <f>'3 escalar'!J46</f>
        <v/>
      </c>
      <c r="L43" s="7">
        <f>'3 escalar'!K46</f>
        <v/>
      </c>
      <c r="M43" s="7">
        <f>'3 escalar'!L46</f>
        <v/>
      </c>
      <c r="N43" s="7">
        <f>'3 escalar'!M46</f>
        <v/>
      </c>
      <c r="O43" s="7">
        <f>'3 escalar'!N46</f>
        <v/>
      </c>
      <c r="P43" s="7">
        <f>'3 escalar'!O46</f>
        <v/>
      </c>
      <c r="Q43" s="7">
        <f>'3 escalar'!P46</f>
        <v/>
      </c>
      <c r="R43" s="7">
        <f>'3 escalar'!Q46</f>
        <v/>
      </c>
      <c r="S43" s="7">
        <f>'3 escalar'!R46</f>
        <v/>
      </c>
      <c r="T43" s="7">
        <f>'3 escalar'!S46</f>
        <v/>
      </c>
      <c r="U43" s="7">
        <f>'3 escalar'!T46</f>
        <v/>
      </c>
      <c r="V43" s="6">
        <f>$AC$12+D43*$AC$13+E43*$AC$14+F43*$AC$15+G43*$AC$16+H43*$AC$17+I43*$AC$18+J43*$AC$19+K43*$AC$20+L43*$AC$21+M43*$AC$22+N43*$AC$23+O43*$AC$24+P43*$AC$25+Q43*$AC$26+R43*$AC$27+S43*$AC$28+T43*$AC$29+U43*$AC$30</f>
        <v/>
      </c>
      <c r="W43" s="6">
        <f>1/(1+EXP(-V43))</f>
        <v/>
      </c>
      <c r="X43" s="8">
        <f>-IF(C43=1,LN(W43),LN(1-W43))</f>
        <v/>
      </c>
      <c r="Y43" s="9">
        <f>IF(W43&gt;$AC$32,1,0)</f>
        <v/>
      </c>
      <c r="Z43">
        <f>IF(Y43=C43,1,0)</f>
        <v/>
      </c>
      <c r="AB43" t="inlineStr">
        <is>
          <t>referencia scikit-learn: acierto testing (umbral 0,5)</t>
        </is>
      </c>
      <c r="AC43" s="15" t="n">
        <v>0.78</v>
      </c>
    </row>
    <row r="44">
      <c r="A44">
        <f>'3 escalar'!A47</f>
        <v/>
      </c>
      <c r="B44" s="5">
        <f>'3 escalar'!U47</f>
        <v/>
      </c>
      <c r="C44">
        <f>'3 escalar'!B47</f>
        <v/>
      </c>
      <c r="D44" s="7">
        <f>'3 escalar'!C47</f>
        <v/>
      </c>
      <c r="E44" s="7">
        <f>'3 escalar'!D47</f>
        <v/>
      </c>
      <c r="F44" s="7">
        <f>'3 escalar'!E47</f>
        <v/>
      </c>
      <c r="G44" s="7">
        <f>'3 escalar'!F47</f>
        <v/>
      </c>
      <c r="H44" s="7">
        <f>'3 escalar'!G47</f>
        <v/>
      </c>
      <c r="I44" s="7">
        <f>'3 escalar'!H47</f>
        <v/>
      </c>
      <c r="J44" s="7">
        <f>'3 escalar'!I47</f>
        <v/>
      </c>
      <c r="K44" s="7">
        <f>'3 escalar'!J47</f>
        <v/>
      </c>
      <c r="L44" s="7">
        <f>'3 escalar'!K47</f>
        <v/>
      </c>
      <c r="M44" s="7">
        <f>'3 escalar'!L47</f>
        <v/>
      </c>
      <c r="N44" s="7">
        <f>'3 escalar'!M47</f>
        <v/>
      </c>
      <c r="O44" s="7">
        <f>'3 escalar'!N47</f>
        <v/>
      </c>
      <c r="P44" s="7">
        <f>'3 escalar'!O47</f>
        <v/>
      </c>
      <c r="Q44" s="7">
        <f>'3 escalar'!P47</f>
        <v/>
      </c>
      <c r="R44" s="7">
        <f>'3 escalar'!Q47</f>
        <v/>
      </c>
      <c r="S44" s="7">
        <f>'3 escalar'!R47</f>
        <v/>
      </c>
      <c r="T44" s="7">
        <f>'3 escalar'!S47</f>
        <v/>
      </c>
      <c r="U44" s="7">
        <f>'3 escalar'!T47</f>
        <v/>
      </c>
      <c r="V44" s="6">
        <f>$AC$12+D44*$AC$13+E44*$AC$14+F44*$AC$15+G44*$AC$16+H44*$AC$17+I44*$AC$18+J44*$AC$19+K44*$AC$20+L44*$AC$21+M44*$AC$22+N44*$AC$23+O44*$AC$24+P44*$AC$25+Q44*$AC$26+R44*$AC$27+S44*$AC$28+T44*$AC$29+U44*$AC$30</f>
        <v/>
      </c>
      <c r="W44" s="6">
        <f>1/(1+EXP(-V44))</f>
        <v/>
      </c>
      <c r="X44" s="8">
        <f>-IF(C44=1,LN(W44),LN(1-W44))</f>
        <v/>
      </c>
      <c r="Y44" s="9">
        <f>IF(W44&gt;$AC$32,1,0)</f>
        <v/>
      </c>
      <c r="Z44">
        <f>IF(Y44=C44,1,0)</f>
        <v/>
      </c>
    </row>
    <row r="45" ht="62" customHeight="1">
      <c r="A45">
        <f>'3 escalar'!A48</f>
        <v/>
      </c>
      <c r="B45" s="5">
        <f>'3 escalar'!U48</f>
        <v/>
      </c>
      <c r="C45">
        <f>'3 escalar'!B48</f>
        <v/>
      </c>
      <c r="D45" s="7">
        <f>'3 escalar'!C48</f>
        <v/>
      </c>
      <c r="E45" s="7">
        <f>'3 escalar'!D48</f>
        <v/>
      </c>
      <c r="F45" s="7">
        <f>'3 escalar'!E48</f>
        <v/>
      </c>
      <c r="G45" s="7">
        <f>'3 escalar'!F48</f>
        <v/>
      </c>
      <c r="H45" s="7">
        <f>'3 escalar'!G48</f>
        <v/>
      </c>
      <c r="I45" s="7">
        <f>'3 escalar'!H48</f>
        <v/>
      </c>
      <c r="J45" s="7">
        <f>'3 escalar'!I48</f>
        <v/>
      </c>
      <c r="K45" s="7">
        <f>'3 escalar'!J48</f>
        <v/>
      </c>
      <c r="L45" s="7">
        <f>'3 escalar'!K48</f>
        <v/>
      </c>
      <c r="M45" s="7">
        <f>'3 escalar'!L48</f>
        <v/>
      </c>
      <c r="N45" s="7">
        <f>'3 escalar'!M48</f>
        <v/>
      </c>
      <c r="O45" s="7">
        <f>'3 escalar'!N48</f>
        <v/>
      </c>
      <c r="P45" s="7">
        <f>'3 escalar'!O48</f>
        <v/>
      </c>
      <c r="Q45" s="7">
        <f>'3 escalar'!P48</f>
        <v/>
      </c>
      <c r="R45" s="7">
        <f>'3 escalar'!Q48</f>
        <v/>
      </c>
      <c r="S45" s="7">
        <f>'3 escalar'!R48</f>
        <v/>
      </c>
      <c r="T45" s="7">
        <f>'3 escalar'!S48</f>
        <v/>
      </c>
      <c r="U45" s="7">
        <f>'3 escalar'!T48</f>
        <v/>
      </c>
      <c r="V45" s="6">
        <f>$AC$12+D45*$AC$13+E45*$AC$14+F45*$AC$15+G45*$AC$16+H45*$AC$17+I45*$AC$18+J45*$AC$19+K45*$AC$20+L45*$AC$21+M45*$AC$22+N45*$AC$23+O45*$AC$24+P45*$AC$25+Q45*$AC$26+R45*$AC$27+S45*$AC$28+T45*$AC$29+U45*$AC$30</f>
        <v/>
      </c>
      <c r="W45" s="6">
        <f>1/(1+EXP(-V45))</f>
        <v/>
      </c>
      <c r="X45" s="8">
        <f>-IF(C45=1,LN(W45),LN(1-W45))</f>
        <v/>
      </c>
      <c r="Y45" s="9">
        <f>IF(W45&gt;$AC$32,1,0)</f>
        <v/>
      </c>
      <c r="Z45">
        <f>IF(Y45=C45,1,0)</f>
        <v/>
      </c>
      <c r="AB45" s="2" t="inlineStr">
        <is>
          <t>Solver: minimizar la primera celda verde (la suma) cambiando las celdas celestes de los pesos. Método GRG no lineal, sin restricciones. Testing no entra en el objetivo. IMPORTANTE: desmarca la casilla 'Convertir variables sin restricciones en no negativas' (Excel la trae marcada). Si queda marcada, los pesos negativos (intercepto, edad, ahorros, propósito) se clavan en cero y Solver se detiene en una suma de 473,5 en vez de 350,3.</t>
        </is>
      </c>
    </row>
    <row r="46" ht="62" customHeight="1">
      <c r="A46">
        <f>'3 escalar'!A49</f>
        <v/>
      </c>
      <c r="B46" s="5">
        <f>'3 escalar'!U49</f>
        <v/>
      </c>
      <c r="C46">
        <f>'3 escalar'!B49</f>
        <v/>
      </c>
      <c r="D46" s="7">
        <f>'3 escalar'!C49</f>
        <v/>
      </c>
      <c r="E46" s="7">
        <f>'3 escalar'!D49</f>
        <v/>
      </c>
      <c r="F46" s="7">
        <f>'3 escalar'!E49</f>
        <v/>
      </c>
      <c r="G46" s="7">
        <f>'3 escalar'!F49</f>
        <v/>
      </c>
      <c r="H46" s="7">
        <f>'3 escalar'!G49</f>
        <v/>
      </c>
      <c r="I46" s="7">
        <f>'3 escalar'!H49</f>
        <v/>
      </c>
      <c r="J46" s="7">
        <f>'3 escalar'!I49</f>
        <v/>
      </c>
      <c r="K46" s="7">
        <f>'3 escalar'!J49</f>
        <v/>
      </c>
      <c r="L46" s="7">
        <f>'3 escalar'!K49</f>
        <v/>
      </c>
      <c r="M46" s="7">
        <f>'3 escalar'!L49</f>
        <v/>
      </c>
      <c r="N46" s="7">
        <f>'3 escalar'!M49</f>
        <v/>
      </c>
      <c r="O46" s="7">
        <f>'3 escalar'!N49</f>
        <v/>
      </c>
      <c r="P46" s="7">
        <f>'3 escalar'!O49</f>
        <v/>
      </c>
      <c r="Q46" s="7">
        <f>'3 escalar'!P49</f>
        <v/>
      </c>
      <c r="R46" s="7">
        <f>'3 escalar'!Q49</f>
        <v/>
      </c>
      <c r="S46" s="7">
        <f>'3 escalar'!R49</f>
        <v/>
      </c>
      <c r="T46" s="7">
        <f>'3 escalar'!S49</f>
        <v/>
      </c>
      <c r="U46" s="7">
        <f>'3 escalar'!T49</f>
        <v/>
      </c>
      <c r="V46" s="6">
        <f>$AC$12+D46*$AC$13+E46*$AC$14+F46*$AC$15+G46*$AC$16+H46*$AC$17+I46*$AC$18+J46*$AC$19+K46*$AC$20+L46*$AC$21+M46*$AC$22+N46*$AC$23+O46*$AC$24+P46*$AC$25+Q46*$AC$26+R46*$AC$27+S46*$AC$28+T46*$AC$29+U46*$AC$30</f>
        <v/>
      </c>
      <c r="W46" s="6">
        <f>1/(1+EXP(-V46))</f>
        <v/>
      </c>
      <c r="X46" s="8">
        <f>-IF(C46=1,LN(W46),LN(1-W46))</f>
        <v/>
      </c>
      <c r="Y46" s="9">
        <f>IF(W46&gt;$AC$32,1,0)</f>
        <v/>
      </c>
      <c r="Z46">
        <f>IF(Y46=C46,1,0)</f>
        <v/>
      </c>
      <c r="AB46" s="2" t="inlineStr">
        <is>
          <t>Para que llegue al mismo mínimo que scikit-learn, en Opciones de Solver: Convergencia 0,000001 (por defecto trae 0,0001 y se detiene antes), Derivadas centrales, Iteraciones 1000, y dejar marcado Usar escala automática. Si se detiene con 'Solver ha convergido' y la pérdida todavía no iguala la referencia, vuelve a ejecutarlo desde donde quedó: la segunda pasada suele cerrar la diferencia.</t>
        </is>
      </c>
    </row>
    <row r="47" ht="62" customHeight="1">
      <c r="A47">
        <f>'3 escalar'!A50</f>
        <v/>
      </c>
      <c r="B47" s="5">
        <f>'3 escalar'!U50</f>
        <v/>
      </c>
      <c r="C47">
        <f>'3 escalar'!B50</f>
        <v/>
      </c>
      <c r="D47" s="7">
        <f>'3 escalar'!C50</f>
        <v/>
      </c>
      <c r="E47" s="7">
        <f>'3 escalar'!D50</f>
        <v/>
      </c>
      <c r="F47" s="7">
        <f>'3 escalar'!E50</f>
        <v/>
      </c>
      <c r="G47" s="7">
        <f>'3 escalar'!F50</f>
        <v/>
      </c>
      <c r="H47" s="7">
        <f>'3 escalar'!G50</f>
        <v/>
      </c>
      <c r="I47" s="7">
        <f>'3 escalar'!H50</f>
        <v/>
      </c>
      <c r="J47" s="7">
        <f>'3 escalar'!I50</f>
        <v/>
      </c>
      <c r="K47" s="7">
        <f>'3 escalar'!J50</f>
        <v/>
      </c>
      <c r="L47" s="7">
        <f>'3 escalar'!K50</f>
        <v/>
      </c>
      <c r="M47" s="7">
        <f>'3 escalar'!L50</f>
        <v/>
      </c>
      <c r="N47" s="7">
        <f>'3 escalar'!M50</f>
        <v/>
      </c>
      <c r="O47" s="7">
        <f>'3 escalar'!N50</f>
        <v/>
      </c>
      <c r="P47" s="7">
        <f>'3 escalar'!O50</f>
        <v/>
      </c>
      <c r="Q47" s="7">
        <f>'3 escalar'!P50</f>
        <v/>
      </c>
      <c r="R47" s="7">
        <f>'3 escalar'!Q50</f>
        <v/>
      </c>
      <c r="S47" s="7">
        <f>'3 escalar'!R50</f>
        <v/>
      </c>
      <c r="T47" s="7">
        <f>'3 escalar'!S50</f>
        <v/>
      </c>
      <c r="U47" s="7">
        <f>'3 escalar'!T50</f>
        <v/>
      </c>
      <c r="V47" s="6">
        <f>$AC$12+D47*$AC$13+E47*$AC$14+F47*$AC$15+G47*$AC$16+H47*$AC$17+I47*$AC$18+J47*$AC$19+K47*$AC$20+L47*$AC$21+M47*$AC$22+N47*$AC$23+O47*$AC$24+P47*$AC$25+Q47*$AC$26+R47*$AC$27+S47*$AC$28+T47*$AC$29+U47*$AC$30</f>
        <v/>
      </c>
      <c r="W47" s="6">
        <f>1/(1+EXP(-V47))</f>
        <v/>
      </c>
      <c r="X47" s="8">
        <f>-IF(C47=1,LN(W47),LN(1-W47))</f>
        <v/>
      </c>
      <c r="Y47" s="9">
        <f>IF(W47&gt;$AC$32,1,0)</f>
        <v/>
      </c>
      <c r="Z47">
        <f>IF(Y47=C47,1,0)</f>
        <v/>
      </c>
      <c r="AB47" s="2" t="inlineStr">
        <is>
          <t>Por qué se detiene antes: la entropía cruzada es muy plana cerca del mínimo (en las últimas iteraciones cambia en la quinta cifra) y el criterio de parada de Solver mira el cambio relativo del objetivo. Bajar la convergencia le pide que siga aunque el cambio sea chico. El objetivo se dejó como suma y no como promedio para que las derivadas numéricas no se pierdan en el redondeo.</t>
        </is>
      </c>
    </row>
    <row r="48">
      <c r="A48">
        <f>'3 escalar'!A51</f>
        <v/>
      </c>
      <c r="B48" s="5">
        <f>'3 escalar'!U51</f>
        <v/>
      </c>
      <c r="C48">
        <f>'3 escalar'!B51</f>
        <v/>
      </c>
      <c r="D48" s="7">
        <f>'3 escalar'!C51</f>
        <v/>
      </c>
      <c r="E48" s="7">
        <f>'3 escalar'!D51</f>
        <v/>
      </c>
      <c r="F48" s="7">
        <f>'3 escalar'!E51</f>
        <v/>
      </c>
      <c r="G48" s="7">
        <f>'3 escalar'!F51</f>
        <v/>
      </c>
      <c r="H48" s="7">
        <f>'3 escalar'!G51</f>
        <v/>
      </c>
      <c r="I48" s="7">
        <f>'3 escalar'!H51</f>
        <v/>
      </c>
      <c r="J48" s="7">
        <f>'3 escalar'!I51</f>
        <v/>
      </c>
      <c r="K48" s="7">
        <f>'3 escalar'!J51</f>
        <v/>
      </c>
      <c r="L48" s="7">
        <f>'3 escalar'!K51</f>
        <v/>
      </c>
      <c r="M48" s="7">
        <f>'3 escalar'!L51</f>
        <v/>
      </c>
      <c r="N48" s="7">
        <f>'3 escalar'!M51</f>
        <v/>
      </c>
      <c r="O48" s="7">
        <f>'3 escalar'!N51</f>
        <v/>
      </c>
      <c r="P48" s="7">
        <f>'3 escalar'!O51</f>
        <v/>
      </c>
      <c r="Q48" s="7">
        <f>'3 escalar'!P51</f>
        <v/>
      </c>
      <c r="R48" s="7">
        <f>'3 escalar'!Q51</f>
        <v/>
      </c>
      <c r="S48" s="7">
        <f>'3 escalar'!R51</f>
        <v/>
      </c>
      <c r="T48" s="7">
        <f>'3 escalar'!S51</f>
        <v/>
      </c>
      <c r="U48" s="7">
        <f>'3 escalar'!T51</f>
        <v/>
      </c>
      <c r="V48" s="6">
        <f>$AC$12+D48*$AC$13+E48*$AC$14+F48*$AC$15+G48*$AC$16+H48*$AC$17+I48*$AC$18+J48*$AC$19+K48*$AC$20+L48*$AC$21+M48*$AC$22+N48*$AC$23+O48*$AC$24+P48*$AC$25+Q48*$AC$26+R48*$AC$27+S48*$AC$28+T48*$AC$29+U48*$AC$30</f>
        <v/>
      </c>
      <c r="W48" s="6">
        <f>1/(1+EXP(-V48))</f>
        <v/>
      </c>
      <c r="X48" s="8">
        <f>-IF(C48=1,LN(W48),LN(1-W48))</f>
        <v/>
      </c>
      <c r="Y48" s="9">
        <f>IF(W48&gt;$AC$32,1,0)</f>
        <v/>
      </c>
      <c r="Z48">
        <f>IF(Y48=C48,1,0)</f>
        <v/>
      </c>
    </row>
    <row r="49">
      <c r="A49">
        <f>'3 escalar'!A52</f>
        <v/>
      </c>
      <c r="B49" s="5">
        <f>'3 escalar'!U52</f>
        <v/>
      </c>
      <c r="C49">
        <f>'3 escalar'!B52</f>
        <v/>
      </c>
      <c r="D49" s="7">
        <f>'3 escalar'!C52</f>
        <v/>
      </c>
      <c r="E49" s="7">
        <f>'3 escalar'!D52</f>
        <v/>
      </c>
      <c r="F49" s="7">
        <f>'3 escalar'!E52</f>
        <v/>
      </c>
      <c r="G49" s="7">
        <f>'3 escalar'!F52</f>
        <v/>
      </c>
      <c r="H49" s="7">
        <f>'3 escalar'!G52</f>
        <v/>
      </c>
      <c r="I49" s="7">
        <f>'3 escalar'!H52</f>
        <v/>
      </c>
      <c r="J49" s="7">
        <f>'3 escalar'!I52</f>
        <v/>
      </c>
      <c r="K49" s="7">
        <f>'3 escalar'!J52</f>
        <v/>
      </c>
      <c r="L49" s="7">
        <f>'3 escalar'!K52</f>
        <v/>
      </c>
      <c r="M49" s="7">
        <f>'3 escalar'!L52</f>
        <v/>
      </c>
      <c r="N49" s="7">
        <f>'3 escalar'!M52</f>
        <v/>
      </c>
      <c r="O49" s="7">
        <f>'3 escalar'!N52</f>
        <v/>
      </c>
      <c r="P49" s="7">
        <f>'3 escalar'!O52</f>
        <v/>
      </c>
      <c r="Q49" s="7">
        <f>'3 escalar'!P52</f>
        <v/>
      </c>
      <c r="R49" s="7">
        <f>'3 escalar'!Q52</f>
        <v/>
      </c>
      <c r="S49" s="7">
        <f>'3 escalar'!R52</f>
        <v/>
      </c>
      <c r="T49" s="7">
        <f>'3 escalar'!S52</f>
        <v/>
      </c>
      <c r="U49" s="7">
        <f>'3 escalar'!T52</f>
        <v/>
      </c>
      <c r="V49" s="6">
        <f>$AC$12+D49*$AC$13+E49*$AC$14+F49*$AC$15+G49*$AC$16+H49*$AC$17+I49*$AC$18+J49*$AC$19+K49*$AC$20+L49*$AC$21+M49*$AC$22+N49*$AC$23+O49*$AC$24+P49*$AC$25+Q49*$AC$26+R49*$AC$27+S49*$AC$28+T49*$AC$29+U49*$AC$30</f>
        <v/>
      </c>
      <c r="W49" s="6">
        <f>1/(1+EXP(-V49))</f>
        <v/>
      </c>
      <c r="X49" s="8">
        <f>-IF(C49=1,LN(W49),LN(1-W49))</f>
        <v/>
      </c>
      <c r="Y49" s="9">
        <f>IF(W49&gt;$AC$32,1,0)</f>
        <v/>
      </c>
      <c r="Z49">
        <f>IF(Y49=C49,1,0)</f>
        <v/>
      </c>
    </row>
    <row r="50">
      <c r="A50">
        <f>'3 escalar'!A53</f>
        <v/>
      </c>
      <c r="B50" s="5">
        <f>'3 escalar'!U53</f>
        <v/>
      </c>
      <c r="C50">
        <f>'3 escalar'!B53</f>
        <v/>
      </c>
      <c r="D50" s="7">
        <f>'3 escalar'!C53</f>
        <v/>
      </c>
      <c r="E50" s="7">
        <f>'3 escalar'!D53</f>
        <v/>
      </c>
      <c r="F50" s="7">
        <f>'3 escalar'!E53</f>
        <v/>
      </c>
      <c r="G50" s="7">
        <f>'3 escalar'!F53</f>
        <v/>
      </c>
      <c r="H50" s="7">
        <f>'3 escalar'!G53</f>
        <v/>
      </c>
      <c r="I50" s="7">
        <f>'3 escalar'!H53</f>
        <v/>
      </c>
      <c r="J50" s="7">
        <f>'3 escalar'!I53</f>
        <v/>
      </c>
      <c r="K50" s="7">
        <f>'3 escalar'!J53</f>
        <v/>
      </c>
      <c r="L50" s="7">
        <f>'3 escalar'!K53</f>
        <v/>
      </c>
      <c r="M50" s="7">
        <f>'3 escalar'!L53</f>
        <v/>
      </c>
      <c r="N50" s="7">
        <f>'3 escalar'!M53</f>
        <v/>
      </c>
      <c r="O50" s="7">
        <f>'3 escalar'!N53</f>
        <v/>
      </c>
      <c r="P50" s="7">
        <f>'3 escalar'!O53</f>
        <v/>
      </c>
      <c r="Q50" s="7">
        <f>'3 escalar'!P53</f>
        <v/>
      </c>
      <c r="R50" s="7">
        <f>'3 escalar'!Q53</f>
        <v/>
      </c>
      <c r="S50" s="7">
        <f>'3 escalar'!R53</f>
        <v/>
      </c>
      <c r="T50" s="7">
        <f>'3 escalar'!S53</f>
        <v/>
      </c>
      <c r="U50" s="7">
        <f>'3 escalar'!T53</f>
        <v/>
      </c>
      <c r="V50" s="6">
        <f>$AC$12+D50*$AC$13+E50*$AC$14+F50*$AC$15+G50*$AC$16+H50*$AC$17+I50*$AC$18+J50*$AC$19+K50*$AC$20+L50*$AC$21+M50*$AC$22+N50*$AC$23+O50*$AC$24+P50*$AC$25+Q50*$AC$26+R50*$AC$27+S50*$AC$28+T50*$AC$29+U50*$AC$30</f>
        <v/>
      </c>
      <c r="W50" s="6">
        <f>1/(1+EXP(-V50))</f>
        <v/>
      </c>
      <c r="X50" s="8">
        <f>-IF(C50=1,LN(W50),LN(1-W50))</f>
        <v/>
      </c>
      <c r="Y50" s="9">
        <f>IF(W50&gt;$AC$32,1,0)</f>
        <v/>
      </c>
      <c r="Z50">
        <f>IF(Y50=C50,1,0)</f>
        <v/>
      </c>
    </row>
    <row r="51">
      <c r="A51">
        <f>'3 escalar'!A54</f>
        <v/>
      </c>
      <c r="B51" s="5">
        <f>'3 escalar'!U54</f>
        <v/>
      </c>
      <c r="C51">
        <f>'3 escalar'!B54</f>
        <v/>
      </c>
      <c r="D51" s="7">
        <f>'3 escalar'!C54</f>
        <v/>
      </c>
      <c r="E51" s="7">
        <f>'3 escalar'!D54</f>
        <v/>
      </c>
      <c r="F51" s="7">
        <f>'3 escalar'!E54</f>
        <v/>
      </c>
      <c r="G51" s="7">
        <f>'3 escalar'!F54</f>
        <v/>
      </c>
      <c r="H51" s="7">
        <f>'3 escalar'!G54</f>
        <v/>
      </c>
      <c r="I51" s="7">
        <f>'3 escalar'!H54</f>
        <v/>
      </c>
      <c r="J51" s="7">
        <f>'3 escalar'!I54</f>
        <v/>
      </c>
      <c r="K51" s="7">
        <f>'3 escalar'!J54</f>
        <v/>
      </c>
      <c r="L51" s="7">
        <f>'3 escalar'!K54</f>
        <v/>
      </c>
      <c r="M51" s="7">
        <f>'3 escalar'!L54</f>
        <v/>
      </c>
      <c r="N51" s="7">
        <f>'3 escalar'!M54</f>
        <v/>
      </c>
      <c r="O51" s="7">
        <f>'3 escalar'!N54</f>
        <v/>
      </c>
      <c r="P51" s="7">
        <f>'3 escalar'!O54</f>
        <v/>
      </c>
      <c r="Q51" s="7">
        <f>'3 escalar'!P54</f>
        <v/>
      </c>
      <c r="R51" s="7">
        <f>'3 escalar'!Q54</f>
        <v/>
      </c>
      <c r="S51" s="7">
        <f>'3 escalar'!R54</f>
        <v/>
      </c>
      <c r="T51" s="7">
        <f>'3 escalar'!S54</f>
        <v/>
      </c>
      <c r="U51" s="7">
        <f>'3 escalar'!T54</f>
        <v/>
      </c>
      <c r="V51" s="6">
        <f>$AC$12+D51*$AC$13+E51*$AC$14+F51*$AC$15+G51*$AC$16+H51*$AC$17+I51*$AC$18+J51*$AC$19+K51*$AC$20+L51*$AC$21+M51*$AC$22+N51*$AC$23+O51*$AC$24+P51*$AC$25+Q51*$AC$26+R51*$AC$27+S51*$AC$28+T51*$AC$29+U51*$AC$30</f>
        <v/>
      </c>
      <c r="W51" s="6">
        <f>1/(1+EXP(-V51))</f>
        <v/>
      </c>
      <c r="X51" s="8">
        <f>-IF(C51=1,LN(W51),LN(1-W51))</f>
        <v/>
      </c>
      <c r="Y51" s="9">
        <f>IF(W51&gt;$AC$32,1,0)</f>
        <v/>
      </c>
      <c r="Z51">
        <f>IF(Y51=C51,1,0)</f>
        <v/>
      </c>
    </row>
    <row r="52">
      <c r="A52">
        <f>'3 escalar'!A55</f>
        <v/>
      </c>
      <c r="B52" s="5">
        <f>'3 escalar'!U55</f>
        <v/>
      </c>
      <c r="C52">
        <f>'3 escalar'!B55</f>
        <v/>
      </c>
      <c r="D52" s="7">
        <f>'3 escalar'!C55</f>
        <v/>
      </c>
      <c r="E52" s="7">
        <f>'3 escalar'!D55</f>
        <v/>
      </c>
      <c r="F52" s="7">
        <f>'3 escalar'!E55</f>
        <v/>
      </c>
      <c r="G52" s="7">
        <f>'3 escalar'!F55</f>
        <v/>
      </c>
      <c r="H52" s="7">
        <f>'3 escalar'!G55</f>
        <v/>
      </c>
      <c r="I52" s="7">
        <f>'3 escalar'!H55</f>
        <v/>
      </c>
      <c r="J52" s="7">
        <f>'3 escalar'!I55</f>
        <v/>
      </c>
      <c r="K52" s="7">
        <f>'3 escalar'!J55</f>
        <v/>
      </c>
      <c r="L52" s="7">
        <f>'3 escalar'!K55</f>
        <v/>
      </c>
      <c r="M52" s="7">
        <f>'3 escalar'!L55</f>
        <v/>
      </c>
      <c r="N52" s="7">
        <f>'3 escalar'!M55</f>
        <v/>
      </c>
      <c r="O52" s="7">
        <f>'3 escalar'!N55</f>
        <v/>
      </c>
      <c r="P52" s="7">
        <f>'3 escalar'!O55</f>
        <v/>
      </c>
      <c r="Q52" s="7">
        <f>'3 escalar'!P55</f>
        <v/>
      </c>
      <c r="R52" s="7">
        <f>'3 escalar'!Q55</f>
        <v/>
      </c>
      <c r="S52" s="7">
        <f>'3 escalar'!R55</f>
        <v/>
      </c>
      <c r="T52" s="7">
        <f>'3 escalar'!S55</f>
        <v/>
      </c>
      <c r="U52" s="7">
        <f>'3 escalar'!T55</f>
        <v/>
      </c>
      <c r="V52" s="6">
        <f>$AC$12+D52*$AC$13+E52*$AC$14+F52*$AC$15+G52*$AC$16+H52*$AC$17+I52*$AC$18+J52*$AC$19+K52*$AC$20+L52*$AC$21+M52*$AC$22+N52*$AC$23+O52*$AC$24+P52*$AC$25+Q52*$AC$26+R52*$AC$27+S52*$AC$28+T52*$AC$29+U52*$AC$30</f>
        <v/>
      </c>
      <c r="W52" s="6">
        <f>1/(1+EXP(-V52))</f>
        <v/>
      </c>
      <c r="X52" s="8">
        <f>-IF(C52=1,LN(W52),LN(1-W52))</f>
        <v/>
      </c>
      <c r="Y52" s="9">
        <f>IF(W52&gt;$AC$32,1,0)</f>
        <v/>
      </c>
      <c r="Z52">
        <f>IF(Y52=C52,1,0)</f>
        <v/>
      </c>
    </row>
    <row r="53">
      <c r="A53">
        <f>'3 escalar'!A56</f>
        <v/>
      </c>
      <c r="B53" s="5">
        <f>'3 escalar'!U56</f>
        <v/>
      </c>
      <c r="C53">
        <f>'3 escalar'!B56</f>
        <v/>
      </c>
      <c r="D53" s="7">
        <f>'3 escalar'!C56</f>
        <v/>
      </c>
      <c r="E53" s="7">
        <f>'3 escalar'!D56</f>
        <v/>
      </c>
      <c r="F53" s="7">
        <f>'3 escalar'!E56</f>
        <v/>
      </c>
      <c r="G53" s="7">
        <f>'3 escalar'!F56</f>
        <v/>
      </c>
      <c r="H53" s="7">
        <f>'3 escalar'!G56</f>
        <v/>
      </c>
      <c r="I53" s="7">
        <f>'3 escalar'!H56</f>
        <v/>
      </c>
      <c r="J53" s="7">
        <f>'3 escalar'!I56</f>
        <v/>
      </c>
      <c r="K53" s="7">
        <f>'3 escalar'!J56</f>
        <v/>
      </c>
      <c r="L53" s="7">
        <f>'3 escalar'!K56</f>
        <v/>
      </c>
      <c r="M53" s="7">
        <f>'3 escalar'!L56</f>
        <v/>
      </c>
      <c r="N53" s="7">
        <f>'3 escalar'!M56</f>
        <v/>
      </c>
      <c r="O53" s="7">
        <f>'3 escalar'!N56</f>
        <v/>
      </c>
      <c r="P53" s="7">
        <f>'3 escalar'!O56</f>
        <v/>
      </c>
      <c r="Q53" s="7">
        <f>'3 escalar'!P56</f>
        <v/>
      </c>
      <c r="R53" s="7">
        <f>'3 escalar'!Q56</f>
        <v/>
      </c>
      <c r="S53" s="7">
        <f>'3 escalar'!R56</f>
        <v/>
      </c>
      <c r="T53" s="7">
        <f>'3 escalar'!S56</f>
        <v/>
      </c>
      <c r="U53" s="7">
        <f>'3 escalar'!T56</f>
        <v/>
      </c>
      <c r="V53" s="6">
        <f>$AC$12+D53*$AC$13+E53*$AC$14+F53*$AC$15+G53*$AC$16+H53*$AC$17+I53*$AC$18+J53*$AC$19+K53*$AC$20+L53*$AC$21+M53*$AC$22+N53*$AC$23+O53*$AC$24+P53*$AC$25+Q53*$AC$26+R53*$AC$27+S53*$AC$28+T53*$AC$29+U53*$AC$30</f>
        <v/>
      </c>
      <c r="W53" s="6">
        <f>1/(1+EXP(-V53))</f>
        <v/>
      </c>
      <c r="X53" s="8">
        <f>-IF(C53=1,LN(W53),LN(1-W53))</f>
        <v/>
      </c>
      <c r="Y53" s="9">
        <f>IF(W53&gt;$AC$32,1,0)</f>
        <v/>
      </c>
      <c r="Z53">
        <f>IF(Y53=C53,1,0)</f>
        <v/>
      </c>
    </row>
    <row r="54">
      <c r="A54">
        <f>'3 escalar'!A57</f>
        <v/>
      </c>
      <c r="B54" s="5">
        <f>'3 escalar'!U57</f>
        <v/>
      </c>
      <c r="C54">
        <f>'3 escalar'!B57</f>
        <v/>
      </c>
      <c r="D54" s="7">
        <f>'3 escalar'!C57</f>
        <v/>
      </c>
      <c r="E54" s="7">
        <f>'3 escalar'!D57</f>
        <v/>
      </c>
      <c r="F54" s="7">
        <f>'3 escalar'!E57</f>
        <v/>
      </c>
      <c r="G54" s="7">
        <f>'3 escalar'!F57</f>
        <v/>
      </c>
      <c r="H54" s="7">
        <f>'3 escalar'!G57</f>
        <v/>
      </c>
      <c r="I54" s="7">
        <f>'3 escalar'!H57</f>
        <v/>
      </c>
      <c r="J54" s="7">
        <f>'3 escalar'!I57</f>
        <v/>
      </c>
      <c r="K54" s="7">
        <f>'3 escalar'!J57</f>
        <v/>
      </c>
      <c r="L54" s="7">
        <f>'3 escalar'!K57</f>
        <v/>
      </c>
      <c r="M54" s="7">
        <f>'3 escalar'!L57</f>
        <v/>
      </c>
      <c r="N54" s="7">
        <f>'3 escalar'!M57</f>
        <v/>
      </c>
      <c r="O54" s="7">
        <f>'3 escalar'!N57</f>
        <v/>
      </c>
      <c r="P54" s="7">
        <f>'3 escalar'!O57</f>
        <v/>
      </c>
      <c r="Q54" s="7">
        <f>'3 escalar'!P57</f>
        <v/>
      </c>
      <c r="R54" s="7">
        <f>'3 escalar'!Q57</f>
        <v/>
      </c>
      <c r="S54" s="7">
        <f>'3 escalar'!R57</f>
        <v/>
      </c>
      <c r="T54" s="7">
        <f>'3 escalar'!S57</f>
        <v/>
      </c>
      <c r="U54" s="7">
        <f>'3 escalar'!T57</f>
        <v/>
      </c>
      <c r="V54" s="6">
        <f>$AC$12+D54*$AC$13+E54*$AC$14+F54*$AC$15+G54*$AC$16+H54*$AC$17+I54*$AC$18+J54*$AC$19+K54*$AC$20+L54*$AC$21+M54*$AC$22+N54*$AC$23+O54*$AC$24+P54*$AC$25+Q54*$AC$26+R54*$AC$27+S54*$AC$28+T54*$AC$29+U54*$AC$30</f>
        <v/>
      </c>
      <c r="W54" s="6">
        <f>1/(1+EXP(-V54))</f>
        <v/>
      </c>
      <c r="X54" s="8">
        <f>-IF(C54=1,LN(W54),LN(1-W54))</f>
        <v/>
      </c>
      <c r="Y54" s="9">
        <f>IF(W54&gt;$AC$32,1,0)</f>
        <v/>
      </c>
      <c r="Z54">
        <f>IF(Y54=C54,1,0)</f>
        <v/>
      </c>
    </row>
    <row r="55">
      <c r="A55">
        <f>'3 escalar'!A58</f>
        <v/>
      </c>
      <c r="B55" s="5">
        <f>'3 escalar'!U58</f>
        <v/>
      </c>
      <c r="C55">
        <f>'3 escalar'!B58</f>
        <v/>
      </c>
      <c r="D55" s="7">
        <f>'3 escalar'!C58</f>
        <v/>
      </c>
      <c r="E55" s="7">
        <f>'3 escalar'!D58</f>
        <v/>
      </c>
      <c r="F55" s="7">
        <f>'3 escalar'!E58</f>
        <v/>
      </c>
      <c r="G55" s="7">
        <f>'3 escalar'!F58</f>
        <v/>
      </c>
      <c r="H55" s="7">
        <f>'3 escalar'!G58</f>
        <v/>
      </c>
      <c r="I55" s="7">
        <f>'3 escalar'!H58</f>
        <v/>
      </c>
      <c r="J55" s="7">
        <f>'3 escalar'!I58</f>
        <v/>
      </c>
      <c r="K55" s="7">
        <f>'3 escalar'!J58</f>
        <v/>
      </c>
      <c r="L55" s="7">
        <f>'3 escalar'!K58</f>
        <v/>
      </c>
      <c r="M55" s="7">
        <f>'3 escalar'!L58</f>
        <v/>
      </c>
      <c r="N55" s="7">
        <f>'3 escalar'!M58</f>
        <v/>
      </c>
      <c r="O55" s="7">
        <f>'3 escalar'!N58</f>
        <v/>
      </c>
      <c r="P55" s="7">
        <f>'3 escalar'!O58</f>
        <v/>
      </c>
      <c r="Q55" s="7">
        <f>'3 escalar'!P58</f>
        <v/>
      </c>
      <c r="R55" s="7">
        <f>'3 escalar'!Q58</f>
        <v/>
      </c>
      <c r="S55" s="7">
        <f>'3 escalar'!R58</f>
        <v/>
      </c>
      <c r="T55" s="7">
        <f>'3 escalar'!S58</f>
        <v/>
      </c>
      <c r="U55" s="7">
        <f>'3 escalar'!T58</f>
        <v/>
      </c>
      <c r="V55" s="6">
        <f>$AC$12+D55*$AC$13+E55*$AC$14+F55*$AC$15+G55*$AC$16+H55*$AC$17+I55*$AC$18+J55*$AC$19+K55*$AC$20+L55*$AC$21+M55*$AC$22+N55*$AC$23+O55*$AC$24+P55*$AC$25+Q55*$AC$26+R55*$AC$27+S55*$AC$28+T55*$AC$29+U55*$AC$30</f>
        <v/>
      </c>
      <c r="W55" s="6">
        <f>1/(1+EXP(-V55))</f>
        <v/>
      </c>
      <c r="X55" s="8">
        <f>-IF(C55=1,LN(W55),LN(1-W55))</f>
        <v/>
      </c>
      <c r="Y55" s="9">
        <f>IF(W55&gt;$AC$32,1,0)</f>
        <v/>
      </c>
      <c r="Z55">
        <f>IF(Y55=C55,1,0)</f>
        <v/>
      </c>
    </row>
    <row r="56">
      <c r="A56">
        <f>'3 escalar'!A59</f>
        <v/>
      </c>
      <c r="B56" s="5">
        <f>'3 escalar'!U59</f>
        <v/>
      </c>
      <c r="C56">
        <f>'3 escalar'!B59</f>
        <v/>
      </c>
      <c r="D56" s="7">
        <f>'3 escalar'!C59</f>
        <v/>
      </c>
      <c r="E56" s="7">
        <f>'3 escalar'!D59</f>
        <v/>
      </c>
      <c r="F56" s="7">
        <f>'3 escalar'!E59</f>
        <v/>
      </c>
      <c r="G56" s="7">
        <f>'3 escalar'!F59</f>
        <v/>
      </c>
      <c r="H56" s="7">
        <f>'3 escalar'!G59</f>
        <v/>
      </c>
      <c r="I56" s="7">
        <f>'3 escalar'!H59</f>
        <v/>
      </c>
      <c r="J56" s="7">
        <f>'3 escalar'!I59</f>
        <v/>
      </c>
      <c r="K56" s="7">
        <f>'3 escalar'!J59</f>
        <v/>
      </c>
      <c r="L56" s="7">
        <f>'3 escalar'!K59</f>
        <v/>
      </c>
      <c r="M56" s="7">
        <f>'3 escalar'!L59</f>
        <v/>
      </c>
      <c r="N56" s="7">
        <f>'3 escalar'!M59</f>
        <v/>
      </c>
      <c r="O56" s="7">
        <f>'3 escalar'!N59</f>
        <v/>
      </c>
      <c r="P56" s="7">
        <f>'3 escalar'!O59</f>
        <v/>
      </c>
      <c r="Q56" s="7">
        <f>'3 escalar'!P59</f>
        <v/>
      </c>
      <c r="R56" s="7">
        <f>'3 escalar'!Q59</f>
        <v/>
      </c>
      <c r="S56" s="7">
        <f>'3 escalar'!R59</f>
        <v/>
      </c>
      <c r="T56" s="7">
        <f>'3 escalar'!S59</f>
        <v/>
      </c>
      <c r="U56" s="7">
        <f>'3 escalar'!T59</f>
        <v/>
      </c>
      <c r="V56" s="6">
        <f>$AC$12+D56*$AC$13+E56*$AC$14+F56*$AC$15+G56*$AC$16+H56*$AC$17+I56*$AC$18+J56*$AC$19+K56*$AC$20+L56*$AC$21+M56*$AC$22+N56*$AC$23+O56*$AC$24+P56*$AC$25+Q56*$AC$26+R56*$AC$27+S56*$AC$28+T56*$AC$29+U56*$AC$30</f>
        <v/>
      </c>
      <c r="W56" s="6">
        <f>1/(1+EXP(-V56))</f>
        <v/>
      </c>
      <c r="X56" s="8">
        <f>-IF(C56=1,LN(W56),LN(1-W56))</f>
        <v/>
      </c>
      <c r="Y56" s="9">
        <f>IF(W56&gt;$AC$32,1,0)</f>
        <v/>
      </c>
      <c r="Z56">
        <f>IF(Y56=C56,1,0)</f>
        <v/>
      </c>
    </row>
    <row r="57">
      <c r="A57">
        <f>'3 escalar'!A60</f>
        <v/>
      </c>
      <c r="B57" s="5">
        <f>'3 escalar'!U60</f>
        <v/>
      </c>
      <c r="C57">
        <f>'3 escalar'!B60</f>
        <v/>
      </c>
      <c r="D57" s="7">
        <f>'3 escalar'!C60</f>
        <v/>
      </c>
      <c r="E57" s="7">
        <f>'3 escalar'!D60</f>
        <v/>
      </c>
      <c r="F57" s="7">
        <f>'3 escalar'!E60</f>
        <v/>
      </c>
      <c r="G57" s="7">
        <f>'3 escalar'!F60</f>
        <v/>
      </c>
      <c r="H57" s="7">
        <f>'3 escalar'!G60</f>
        <v/>
      </c>
      <c r="I57" s="7">
        <f>'3 escalar'!H60</f>
        <v/>
      </c>
      <c r="J57" s="7">
        <f>'3 escalar'!I60</f>
        <v/>
      </c>
      <c r="K57" s="7">
        <f>'3 escalar'!J60</f>
        <v/>
      </c>
      <c r="L57" s="7">
        <f>'3 escalar'!K60</f>
        <v/>
      </c>
      <c r="M57" s="7">
        <f>'3 escalar'!L60</f>
        <v/>
      </c>
      <c r="N57" s="7">
        <f>'3 escalar'!M60</f>
        <v/>
      </c>
      <c r="O57" s="7">
        <f>'3 escalar'!N60</f>
        <v/>
      </c>
      <c r="P57" s="7">
        <f>'3 escalar'!O60</f>
        <v/>
      </c>
      <c r="Q57" s="7">
        <f>'3 escalar'!P60</f>
        <v/>
      </c>
      <c r="R57" s="7">
        <f>'3 escalar'!Q60</f>
        <v/>
      </c>
      <c r="S57" s="7">
        <f>'3 escalar'!R60</f>
        <v/>
      </c>
      <c r="T57" s="7">
        <f>'3 escalar'!S60</f>
        <v/>
      </c>
      <c r="U57" s="7">
        <f>'3 escalar'!T60</f>
        <v/>
      </c>
      <c r="V57" s="6">
        <f>$AC$12+D57*$AC$13+E57*$AC$14+F57*$AC$15+G57*$AC$16+H57*$AC$17+I57*$AC$18+J57*$AC$19+K57*$AC$20+L57*$AC$21+M57*$AC$22+N57*$AC$23+O57*$AC$24+P57*$AC$25+Q57*$AC$26+R57*$AC$27+S57*$AC$28+T57*$AC$29+U57*$AC$30</f>
        <v/>
      </c>
      <c r="W57" s="6">
        <f>1/(1+EXP(-V57))</f>
        <v/>
      </c>
      <c r="X57" s="8">
        <f>-IF(C57=1,LN(W57),LN(1-W57))</f>
        <v/>
      </c>
      <c r="Y57" s="9">
        <f>IF(W57&gt;$AC$32,1,0)</f>
        <v/>
      </c>
      <c r="Z57">
        <f>IF(Y57=C57,1,0)</f>
        <v/>
      </c>
    </row>
    <row r="58">
      <c r="A58">
        <f>'3 escalar'!A61</f>
        <v/>
      </c>
      <c r="B58" s="5">
        <f>'3 escalar'!U61</f>
        <v/>
      </c>
      <c r="C58">
        <f>'3 escalar'!B61</f>
        <v/>
      </c>
      <c r="D58" s="7">
        <f>'3 escalar'!C61</f>
        <v/>
      </c>
      <c r="E58" s="7">
        <f>'3 escalar'!D61</f>
        <v/>
      </c>
      <c r="F58" s="7">
        <f>'3 escalar'!E61</f>
        <v/>
      </c>
      <c r="G58" s="7">
        <f>'3 escalar'!F61</f>
        <v/>
      </c>
      <c r="H58" s="7">
        <f>'3 escalar'!G61</f>
        <v/>
      </c>
      <c r="I58" s="7">
        <f>'3 escalar'!H61</f>
        <v/>
      </c>
      <c r="J58" s="7">
        <f>'3 escalar'!I61</f>
        <v/>
      </c>
      <c r="K58" s="7">
        <f>'3 escalar'!J61</f>
        <v/>
      </c>
      <c r="L58" s="7">
        <f>'3 escalar'!K61</f>
        <v/>
      </c>
      <c r="M58" s="7">
        <f>'3 escalar'!L61</f>
        <v/>
      </c>
      <c r="N58" s="7">
        <f>'3 escalar'!M61</f>
        <v/>
      </c>
      <c r="O58" s="7">
        <f>'3 escalar'!N61</f>
        <v/>
      </c>
      <c r="P58" s="7">
        <f>'3 escalar'!O61</f>
        <v/>
      </c>
      <c r="Q58" s="7">
        <f>'3 escalar'!P61</f>
        <v/>
      </c>
      <c r="R58" s="7">
        <f>'3 escalar'!Q61</f>
        <v/>
      </c>
      <c r="S58" s="7">
        <f>'3 escalar'!R61</f>
        <v/>
      </c>
      <c r="T58" s="7">
        <f>'3 escalar'!S61</f>
        <v/>
      </c>
      <c r="U58" s="7">
        <f>'3 escalar'!T61</f>
        <v/>
      </c>
      <c r="V58" s="6">
        <f>$AC$12+D58*$AC$13+E58*$AC$14+F58*$AC$15+G58*$AC$16+H58*$AC$17+I58*$AC$18+J58*$AC$19+K58*$AC$20+L58*$AC$21+M58*$AC$22+N58*$AC$23+O58*$AC$24+P58*$AC$25+Q58*$AC$26+R58*$AC$27+S58*$AC$28+T58*$AC$29+U58*$AC$30</f>
        <v/>
      </c>
      <c r="W58" s="6">
        <f>1/(1+EXP(-V58))</f>
        <v/>
      </c>
      <c r="X58" s="8">
        <f>-IF(C58=1,LN(W58),LN(1-W58))</f>
        <v/>
      </c>
      <c r="Y58" s="9">
        <f>IF(W58&gt;$AC$32,1,0)</f>
        <v/>
      </c>
      <c r="Z58">
        <f>IF(Y58=C58,1,0)</f>
        <v/>
      </c>
    </row>
    <row r="59">
      <c r="A59">
        <f>'3 escalar'!A62</f>
        <v/>
      </c>
      <c r="B59" s="5">
        <f>'3 escalar'!U62</f>
        <v/>
      </c>
      <c r="C59">
        <f>'3 escalar'!B62</f>
        <v/>
      </c>
      <c r="D59" s="7">
        <f>'3 escalar'!C62</f>
        <v/>
      </c>
      <c r="E59" s="7">
        <f>'3 escalar'!D62</f>
        <v/>
      </c>
      <c r="F59" s="7">
        <f>'3 escalar'!E62</f>
        <v/>
      </c>
      <c r="G59" s="7">
        <f>'3 escalar'!F62</f>
        <v/>
      </c>
      <c r="H59" s="7">
        <f>'3 escalar'!G62</f>
        <v/>
      </c>
      <c r="I59" s="7">
        <f>'3 escalar'!H62</f>
        <v/>
      </c>
      <c r="J59" s="7">
        <f>'3 escalar'!I62</f>
        <v/>
      </c>
      <c r="K59" s="7">
        <f>'3 escalar'!J62</f>
        <v/>
      </c>
      <c r="L59" s="7">
        <f>'3 escalar'!K62</f>
        <v/>
      </c>
      <c r="M59" s="7">
        <f>'3 escalar'!L62</f>
        <v/>
      </c>
      <c r="N59" s="7">
        <f>'3 escalar'!M62</f>
        <v/>
      </c>
      <c r="O59" s="7">
        <f>'3 escalar'!N62</f>
        <v/>
      </c>
      <c r="P59" s="7">
        <f>'3 escalar'!O62</f>
        <v/>
      </c>
      <c r="Q59" s="7">
        <f>'3 escalar'!P62</f>
        <v/>
      </c>
      <c r="R59" s="7">
        <f>'3 escalar'!Q62</f>
        <v/>
      </c>
      <c r="S59" s="7">
        <f>'3 escalar'!R62</f>
        <v/>
      </c>
      <c r="T59" s="7">
        <f>'3 escalar'!S62</f>
        <v/>
      </c>
      <c r="U59" s="7">
        <f>'3 escalar'!T62</f>
        <v/>
      </c>
      <c r="V59" s="6">
        <f>$AC$12+D59*$AC$13+E59*$AC$14+F59*$AC$15+G59*$AC$16+H59*$AC$17+I59*$AC$18+J59*$AC$19+K59*$AC$20+L59*$AC$21+M59*$AC$22+N59*$AC$23+O59*$AC$24+P59*$AC$25+Q59*$AC$26+R59*$AC$27+S59*$AC$28+T59*$AC$29+U59*$AC$30</f>
        <v/>
      </c>
      <c r="W59" s="6">
        <f>1/(1+EXP(-V59))</f>
        <v/>
      </c>
      <c r="X59" s="8">
        <f>-IF(C59=1,LN(W59),LN(1-W59))</f>
        <v/>
      </c>
      <c r="Y59" s="9">
        <f>IF(W59&gt;$AC$32,1,0)</f>
        <v/>
      </c>
      <c r="Z59">
        <f>IF(Y59=C59,1,0)</f>
        <v/>
      </c>
    </row>
    <row r="60">
      <c r="A60">
        <f>'3 escalar'!A63</f>
        <v/>
      </c>
      <c r="B60" s="5">
        <f>'3 escalar'!U63</f>
        <v/>
      </c>
      <c r="C60">
        <f>'3 escalar'!B63</f>
        <v/>
      </c>
      <c r="D60" s="7">
        <f>'3 escalar'!C63</f>
        <v/>
      </c>
      <c r="E60" s="7">
        <f>'3 escalar'!D63</f>
        <v/>
      </c>
      <c r="F60" s="7">
        <f>'3 escalar'!E63</f>
        <v/>
      </c>
      <c r="G60" s="7">
        <f>'3 escalar'!F63</f>
        <v/>
      </c>
      <c r="H60" s="7">
        <f>'3 escalar'!G63</f>
        <v/>
      </c>
      <c r="I60" s="7">
        <f>'3 escalar'!H63</f>
        <v/>
      </c>
      <c r="J60" s="7">
        <f>'3 escalar'!I63</f>
        <v/>
      </c>
      <c r="K60" s="7">
        <f>'3 escalar'!J63</f>
        <v/>
      </c>
      <c r="L60" s="7">
        <f>'3 escalar'!K63</f>
        <v/>
      </c>
      <c r="M60" s="7">
        <f>'3 escalar'!L63</f>
        <v/>
      </c>
      <c r="N60" s="7">
        <f>'3 escalar'!M63</f>
        <v/>
      </c>
      <c r="O60" s="7">
        <f>'3 escalar'!N63</f>
        <v/>
      </c>
      <c r="P60" s="7">
        <f>'3 escalar'!O63</f>
        <v/>
      </c>
      <c r="Q60" s="7">
        <f>'3 escalar'!P63</f>
        <v/>
      </c>
      <c r="R60" s="7">
        <f>'3 escalar'!Q63</f>
        <v/>
      </c>
      <c r="S60" s="7">
        <f>'3 escalar'!R63</f>
        <v/>
      </c>
      <c r="T60" s="7">
        <f>'3 escalar'!S63</f>
        <v/>
      </c>
      <c r="U60" s="7">
        <f>'3 escalar'!T63</f>
        <v/>
      </c>
      <c r="V60" s="6">
        <f>$AC$12+D60*$AC$13+E60*$AC$14+F60*$AC$15+G60*$AC$16+H60*$AC$17+I60*$AC$18+J60*$AC$19+K60*$AC$20+L60*$AC$21+M60*$AC$22+N60*$AC$23+O60*$AC$24+P60*$AC$25+Q60*$AC$26+R60*$AC$27+S60*$AC$28+T60*$AC$29+U60*$AC$30</f>
        <v/>
      </c>
      <c r="W60" s="6">
        <f>1/(1+EXP(-V60))</f>
        <v/>
      </c>
      <c r="X60" s="8">
        <f>-IF(C60=1,LN(W60),LN(1-W60))</f>
        <v/>
      </c>
      <c r="Y60" s="9">
        <f>IF(W60&gt;$AC$32,1,0)</f>
        <v/>
      </c>
      <c r="Z60">
        <f>IF(Y60=C60,1,0)</f>
        <v/>
      </c>
    </row>
    <row r="61">
      <c r="A61">
        <f>'3 escalar'!A64</f>
        <v/>
      </c>
      <c r="B61" s="5">
        <f>'3 escalar'!U64</f>
        <v/>
      </c>
      <c r="C61">
        <f>'3 escalar'!B64</f>
        <v/>
      </c>
      <c r="D61" s="7">
        <f>'3 escalar'!C64</f>
        <v/>
      </c>
      <c r="E61" s="7">
        <f>'3 escalar'!D64</f>
        <v/>
      </c>
      <c r="F61" s="7">
        <f>'3 escalar'!E64</f>
        <v/>
      </c>
      <c r="G61" s="7">
        <f>'3 escalar'!F64</f>
        <v/>
      </c>
      <c r="H61" s="7">
        <f>'3 escalar'!G64</f>
        <v/>
      </c>
      <c r="I61" s="7">
        <f>'3 escalar'!H64</f>
        <v/>
      </c>
      <c r="J61" s="7">
        <f>'3 escalar'!I64</f>
        <v/>
      </c>
      <c r="K61" s="7">
        <f>'3 escalar'!J64</f>
        <v/>
      </c>
      <c r="L61" s="7">
        <f>'3 escalar'!K64</f>
        <v/>
      </c>
      <c r="M61" s="7">
        <f>'3 escalar'!L64</f>
        <v/>
      </c>
      <c r="N61" s="7">
        <f>'3 escalar'!M64</f>
        <v/>
      </c>
      <c r="O61" s="7">
        <f>'3 escalar'!N64</f>
        <v/>
      </c>
      <c r="P61" s="7">
        <f>'3 escalar'!O64</f>
        <v/>
      </c>
      <c r="Q61" s="7">
        <f>'3 escalar'!P64</f>
        <v/>
      </c>
      <c r="R61" s="7">
        <f>'3 escalar'!Q64</f>
        <v/>
      </c>
      <c r="S61" s="7">
        <f>'3 escalar'!R64</f>
        <v/>
      </c>
      <c r="T61" s="7">
        <f>'3 escalar'!S64</f>
        <v/>
      </c>
      <c r="U61" s="7">
        <f>'3 escalar'!T64</f>
        <v/>
      </c>
      <c r="V61" s="6">
        <f>$AC$12+D61*$AC$13+E61*$AC$14+F61*$AC$15+G61*$AC$16+H61*$AC$17+I61*$AC$18+J61*$AC$19+K61*$AC$20+L61*$AC$21+M61*$AC$22+N61*$AC$23+O61*$AC$24+P61*$AC$25+Q61*$AC$26+R61*$AC$27+S61*$AC$28+T61*$AC$29+U61*$AC$30</f>
        <v/>
      </c>
      <c r="W61" s="6">
        <f>1/(1+EXP(-V61))</f>
        <v/>
      </c>
      <c r="X61" s="8">
        <f>-IF(C61=1,LN(W61),LN(1-W61))</f>
        <v/>
      </c>
      <c r="Y61" s="9">
        <f>IF(W61&gt;$AC$32,1,0)</f>
        <v/>
      </c>
      <c r="Z61">
        <f>IF(Y61=C61,1,0)</f>
        <v/>
      </c>
    </row>
    <row r="62">
      <c r="A62">
        <f>'3 escalar'!A65</f>
        <v/>
      </c>
      <c r="B62" s="5">
        <f>'3 escalar'!U65</f>
        <v/>
      </c>
      <c r="C62">
        <f>'3 escalar'!B65</f>
        <v/>
      </c>
      <c r="D62" s="7">
        <f>'3 escalar'!C65</f>
        <v/>
      </c>
      <c r="E62" s="7">
        <f>'3 escalar'!D65</f>
        <v/>
      </c>
      <c r="F62" s="7">
        <f>'3 escalar'!E65</f>
        <v/>
      </c>
      <c r="G62" s="7">
        <f>'3 escalar'!F65</f>
        <v/>
      </c>
      <c r="H62" s="7">
        <f>'3 escalar'!G65</f>
        <v/>
      </c>
      <c r="I62" s="7">
        <f>'3 escalar'!H65</f>
        <v/>
      </c>
      <c r="J62" s="7">
        <f>'3 escalar'!I65</f>
        <v/>
      </c>
      <c r="K62" s="7">
        <f>'3 escalar'!J65</f>
        <v/>
      </c>
      <c r="L62" s="7">
        <f>'3 escalar'!K65</f>
        <v/>
      </c>
      <c r="M62" s="7">
        <f>'3 escalar'!L65</f>
        <v/>
      </c>
      <c r="N62" s="7">
        <f>'3 escalar'!M65</f>
        <v/>
      </c>
      <c r="O62" s="7">
        <f>'3 escalar'!N65</f>
        <v/>
      </c>
      <c r="P62" s="7">
        <f>'3 escalar'!O65</f>
        <v/>
      </c>
      <c r="Q62" s="7">
        <f>'3 escalar'!P65</f>
        <v/>
      </c>
      <c r="R62" s="7">
        <f>'3 escalar'!Q65</f>
        <v/>
      </c>
      <c r="S62" s="7">
        <f>'3 escalar'!R65</f>
        <v/>
      </c>
      <c r="T62" s="7">
        <f>'3 escalar'!S65</f>
        <v/>
      </c>
      <c r="U62" s="7">
        <f>'3 escalar'!T65</f>
        <v/>
      </c>
      <c r="V62" s="6">
        <f>$AC$12+D62*$AC$13+E62*$AC$14+F62*$AC$15+G62*$AC$16+H62*$AC$17+I62*$AC$18+J62*$AC$19+K62*$AC$20+L62*$AC$21+M62*$AC$22+N62*$AC$23+O62*$AC$24+P62*$AC$25+Q62*$AC$26+R62*$AC$27+S62*$AC$28+T62*$AC$29+U62*$AC$30</f>
        <v/>
      </c>
      <c r="W62" s="6">
        <f>1/(1+EXP(-V62))</f>
        <v/>
      </c>
      <c r="X62" s="8">
        <f>-IF(C62=1,LN(W62),LN(1-W62))</f>
        <v/>
      </c>
      <c r="Y62" s="9">
        <f>IF(W62&gt;$AC$32,1,0)</f>
        <v/>
      </c>
      <c r="Z62">
        <f>IF(Y62=C62,1,0)</f>
        <v/>
      </c>
    </row>
    <row r="63">
      <c r="A63">
        <f>'3 escalar'!A66</f>
        <v/>
      </c>
      <c r="B63" s="5">
        <f>'3 escalar'!U66</f>
        <v/>
      </c>
      <c r="C63">
        <f>'3 escalar'!B66</f>
        <v/>
      </c>
      <c r="D63" s="7">
        <f>'3 escalar'!C66</f>
        <v/>
      </c>
      <c r="E63" s="7">
        <f>'3 escalar'!D66</f>
        <v/>
      </c>
      <c r="F63" s="7">
        <f>'3 escalar'!E66</f>
        <v/>
      </c>
      <c r="G63" s="7">
        <f>'3 escalar'!F66</f>
        <v/>
      </c>
      <c r="H63" s="7">
        <f>'3 escalar'!G66</f>
        <v/>
      </c>
      <c r="I63" s="7">
        <f>'3 escalar'!H66</f>
        <v/>
      </c>
      <c r="J63" s="7">
        <f>'3 escalar'!I66</f>
        <v/>
      </c>
      <c r="K63" s="7">
        <f>'3 escalar'!J66</f>
        <v/>
      </c>
      <c r="L63" s="7">
        <f>'3 escalar'!K66</f>
        <v/>
      </c>
      <c r="M63" s="7">
        <f>'3 escalar'!L66</f>
        <v/>
      </c>
      <c r="N63" s="7">
        <f>'3 escalar'!M66</f>
        <v/>
      </c>
      <c r="O63" s="7">
        <f>'3 escalar'!N66</f>
        <v/>
      </c>
      <c r="P63" s="7">
        <f>'3 escalar'!O66</f>
        <v/>
      </c>
      <c r="Q63" s="7">
        <f>'3 escalar'!P66</f>
        <v/>
      </c>
      <c r="R63" s="7">
        <f>'3 escalar'!Q66</f>
        <v/>
      </c>
      <c r="S63" s="7">
        <f>'3 escalar'!R66</f>
        <v/>
      </c>
      <c r="T63" s="7">
        <f>'3 escalar'!S66</f>
        <v/>
      </c>
      <c r="U63" s="7">
        <f>'3 escalar'!T66</f>
        <v/>
      </c>
      <c r="V63" s="6">
        <f>$AC$12+D63*$AC$13+E63*$AC$14+F63*$AC$15+G63*$AC$16+H63*$AC$17+I63*$AC$18+J63*$AC$19+K63*$AC$20+L63*$AC$21+M63*$AC$22+N63*$AC$23+O63*$AC$24+P63*$AC$25+Q63*$AC$26+R63*$AC$27+S63*$AC$28+T63*$AC$29+U63*$AC$30</f>
        <v/>
      </c>
      <c r="W63" s="6">
        <f>1/(1+EXP(-V63))</f>
        <v/>
      </c>
      <c r="X63" s="8">
        <f>-IF(C63=1,LN(W63),LN(1-W63))</f>
        <v/>
      </c>
      <c r="Y63" s="9">
        <f>IF(W63&gt;$AC$32,1,0)</f>
        <v/>
      </c>
      <c r="Z63">
        <f>IF(Y63=C63,1,0)</f>
        <v/>
      </c>
    </row>
    <row r="64">
      <c r="A64">
        <f>'3 escalar'!A67</f>
        <v/>
      </c>
      <c r="B64" s="5">
        <f>'3 escalar'!U67</f>
        <v/>
      </c>
      <c r="C64">
        <f>'3 escalar'!B67</f>
        <v/>
      </c>
      <c r="D64" s="7">
        <f>'3 escalar'!C67</f>
        <v/>
      </c>
      <c r="E64" s="7">
        <f>'3 escalar'!D67</f>
        <v/>
      </c>
      <c r="F64" s="7">
        <f>'3 escalar'!E67</f>
        <v/>
      </c>
      <c r="G64" s="7">
        <f>'3 escalar'!F67</f>
        <v/>
      </c>
      <c r="H64" s="7">
        <f>'3 escalar'!G67</f>
        <v/>
      </c>
      <c r="I64" s="7">
        <f>'3 escalar'!H67</f>
        <v/>
      </c>
      <c r="J64" s="7">
        <f>'3 escalar'!I67</f>
        <v/>
      </c>
      <c r="K64" s="7">
        <f>'3 escalar'!J67</f>
        <v/>
      </c>
      <c r="L64" s="7">
        <f>'3 escalar'!K67</f>
        <v/>
      </c>
      <c r="M64" s="7">
        <f>'3 escalar'!L67</f>
        <v/>
      </c>
      <c r="N64" s="7">
        <f>'3 escalar'!M67</f>
        <v/>
      </c>
      <c r="O64" s="7">
        <f>'3 escalar'!N67</f>
        <v/>
      </c>
      <c r="P64" s="7">
        <f>'3 escalar'!O67</f>
        <v/>
      </c>
      <c r="Q64" s="7">
        <f>'3 escalar'!P67</f>
        <v/>
      </c>
      <c r="R64" s="7">
        <f>'3 escalar'!Q67</f>
        <v/>
      </c>
      <c r="S64" s="7">
        <f>'3 escalar'!R67</f>
        <v/>
      </c>
      <c r="T64" s="7">
        <f>'3 escalar'!S67</f>
        <v/>
      </c>
      <c r="U64" s="7">
        <f>'3 escalar'!T67</f>
        <v/>
      </c>
      <c r="V64" s="6">
        <f>$AC$12+D64*$AC$13+E64*$AC$14+F64*$AC$15+G64*$AC$16+H64*$AC$17+I64*$AC$18+J64*$AC$19+K64*$AC$20+L64*$AC$21+M64*$AC$22+N64*$AC$23+O64*$AC$24+P64*$AC$25+Q64*$AC$26+R64*$AC$27+S64*$AC$28+T64*$AC$29+U64*$AC$30</f>
        <v/>
      </c>
      <c r="W64" s="6">
        <f>1/(1+EXP(-V64))</f>
        <v/>
      </c>
      <c r="X64" s="8">
        <f>-IF(C64=1,LN(W64),LN(1-W64))</f>
        <v/>
      </c>
      <c r="Y64" s="9">
        <f>IF(W64&gt;$AC$32,1,0)</f>
        <v/>
      </c>
      <c r="Z64">
        <f>IF(Y64=C64,1,0)</f>
        <v/>
      </c>
    </row>
    <row r="65">
      <c r="A65">
        <f>'3 escalar'!A68</f>
        <v/>
      </c>
      <c r="B65" s="5">
        <f>'3 escalar'!U68</f>
        <v/>
      </c>
      <c r="C65">
        <f>'3 escalar'!B68</f>
        <v/>
      </c>
      <c r="D65" s="7">
        <f>'3 escalar'!C68</f>
        <v/>
      </c>
      <c r="E65" s="7">
        <f>'3 escalar'!D68</f>
        <v/>
      </c>
      <c r="F65" s="7">
        <f>'3 escalar'!E68</f>
        <v/>
      </c>
      <c r="G65" s="7">
        <f>'3 escalar'!F68</f>
        <v/>
      </c>
      <c r="H65" s="7">
        <f>'3 escalar'!G68</f>
        <v/>
      </c>
      <c r="I65" s="7">
        <f>'3 escalar'!H68</f>
        <v/>
      </c>
      <c r="J65" s="7">
        <f>'3 escalar'!I68</f>
        <v/>
      </c>
      <c r="K65" s="7">
        <f>'3 escalar'!J68</f>
        <v/>
      </c>
      <c r="L65" s="7">
        <f>'3 escalar'!K68</f>
        <v/>
      </c>
      <c r="M65" s="7">
        <f>'3 escalar'!L68</f>
        <v/>
      </c>
      <c r="N65" s="7">
        <f>'3 escalar'!M68</f>
        <v/>
      </c>
      <c r="O65" s="7">
        <f>'3 escalar'!N68</f>
        <v/>
      </c>
      <c r="P65" s="7">
        <f>'3 escalar'!O68</f>
        <v/>
      </c>
      <c r="Q65" s="7">
        <f>'3 escalar'!P68</f>
        <v/>
      </c>
      <c r="R65" s="7">
        <f>'3 escalar'!Q68</f>
        <v/>
      </c>
      <c r="S65" s="7">
        <f>'3 escalar'!R68</f>
        <v/>
      </c>
      <c r="T65" s="7">
        <f>'3 escalar'!S68</f>
        <v/>
      </c>
      <c r="U65" s="7">
        <f>'3 escalar'!T68</f>
        <v/>
      </c>
      <c r="V65" s="6">
        <f>$AC$12+D65*$AC$13+E65*$AC$14+F65*$AC$15+G65*$AC$16+H65*$AC$17+I65*$AC$18+J65*$AC$19+K65*$AC$20+L65*$AC$21+M65*$AC$22+N65*$AC$23+O65*$AC$24+P65*$AC$25+Q65*$AC$26+R65*$AC$27+S65*$AC$28+T65*$AC$29+U65*$AC$30</f>
        <v/>
      </c>
      <c r="W65" s="6">
        <f>1/(1+EXP(-V65))</f>
        <v/>
      </c>
      <c r="X65" s="8">
        <f>-IF(C65=1,LN(W65),LN(1-W65))</f>
        <v/>
      </c>
      <c r="Y65" s="9">
        <f>IF(W65&gt;$AC$32,1,0)</f>
        <v/>
      </c>
      <c r="Z65">
        <f>IF(Y65=C65,1,0)</f>
        <v/>
      </c>
    </row>
    <row r="66">
      <c r="A66">
        <f>'3 escalar'!A69</f>
        <v/>
      </c>
      <c r="B66" s="5">
        <f>'3 escalar'!U69</f>
        <v/>
      </c>
      <c r="C66">
        <f>'3 escalar'!B69</f>
        <v/>
      </c>
      <c r="D66" s="7">
        <f>'3 escalar'!C69</f>
        <v/>
      </c>
      <c r="E66" s="7">
        <f>'3 escalar'!D69</f>
        <v/>
      </c>
      <c r="F66" s="7">
        <f>'3 escalar'!E69</f>
        <v/>
      </c>
      <c r="G66" s="7">
        <f>'3 escalar'!F69</f>
        <v/>
      </c>
      <c r="H66" s="7">
        <f>'3 escalar'!G69</f>
        <v/>
      </c>
      <c r="I66" s="7">
        <f>'3 escalar'!H69</f>
        <v/>
      </c>
      <c r="J66" s="7">
        <f>'3 escalar'!I69</f>
        <v/>
      </c>
      <c r="K66" s="7">
        <f>'3 escalar'!J69</f>
        <v/>
      </c>
      <c r="L66" s="7">
        <f>'3 escalar'!K69</f>
        <v/>
      </c>
      <c r="M66" s="7">
        <f>'3 escalar'!L69</f>
        <v/>
      </c>
      <c r="N66" s="7">
        <f>'3 escalar'!M69</f>
        <v/>
      </c>
      <c r="O66" s="7">
        <f>'3 escalar'!N69</f>
        <v/>
      </c>
      <c r="P66" s="7">
        <f>'3 escalar'!O69</f>
        <v/>
      </c>
      <c r="Q66" s="7">
        <f>'3 escalar'!P69</f>
        <v/>
      </c>
      <c r="R66" s="7">
        <f>'3 escalar'!Q69</f>
        <v/>
      </c>
      <c r="S66" s="7">
        <f>'3 escalar'!R69</f>
        <v/>
      </c>
      <c r="T66" s="7">
        <f>'3 escalar'!S69</f>
        <v/>
      </c>
      <c r="U66" s="7">
        <f>'3 escalar'!T69</f>
        <v/>
      </c>
      <c r="V66" s="6">
        <f>$AC$12+D66*$AC$13+E66*$AC$14+F66*$AC$15+G66*$AC$16+H66*$AC$17+I66*$AC$18+J66*$AC$19+K66*$AC$20+L66*$AC$21+M66*$AC$22+N66*$AC$23+O66*$AC$24+P66*$AC$25+Q66*$AC$26+R66*$AC$27+S66*$AC$28+T66*$AC$29+U66*$AC$30</f>
        <v/>
      </c>
      <c r="W66" s="6">
        <f>1/(1+EXP(-V66))</f>
        <v/>
      </c>
      <c r="X66" s="8">
        <f>-IF(C66=1,LN(W66),LN(1-W66))</f>
        <v/>
      </c>
      <c r="Y66" s="9">
        <f>IF(W66&gt;$AC$32,1,0)</f>
        <v/>
      </c>
      <c r="Z66">
        <f>IF(Y66=C66,1,0)</f>
        <v/>
      </c>
    </row>
    <row r="67">
      <c r="A67">
        <f>'3 escalar'!A70</f>
        <v/>
      </c>
      <c r="B67" s="5">
        <f>'3 escalar'!U70</f>
        <v/>
      </c>
      <c r="C67">
        <f>'3 escalar'!B70</f>
        <v/>
      </c>
      <c r="D67" s="7">
        <f>'3 escalar'!C70</f>
        <v/>
      </c>
      <c r="E67" s="7">
        <f>'3 escalar'!D70</f>
        <v/>
      </c>
      <c r="F67" s="7">
        <f>'3 escalar'!E70</f>
        <v/>
      </c>
      <c r="G67" s="7">
        <f>'3 escalar'!F70</f>
        <v/>
      </c>
      <c r="H67" s="7">
        <f>'3 escalar'!G70</f>
        <v/>
      </c>
      <c r="I67" s="7">
        <f>'3 escalar'!H70</f>
        <v/>
      </c>
      <c r="J67" s="7">
        <f>'3 escalar'!I70</f>
        <v/>
      </c>
      <c r="K67" s="7">
        <f>'3 escalar'!J70</f>
        <v/>
      </c>
      <c r="L67" s="7">
        <f>'3 escalar'!K70</f>
        <v/>
      </c>
      <c r="M67" s="7">
        <f>'3 escalar'!L70</f>
        <v/>
      </c>
      <c r="N67" s="7">
        <f>'3 escalar'!M70</f>
        <v/>
      </c>
      <c r="O67" s="7">
        <f>'3 escalar'!N70</f>
        <v/>
      </c>
      <c r="P67" s="7">
        <f>'3 escalar'!O70</f>
        <v/>
      </c>
      <c r="Q67" s="7">
        <f>'3 escalar'!P70</f>
        <v/>
      </c>
      <c r="R67" s="7">
        <f>'3 escalar'!Q70</f>
        <v/>
      </c>
      <c r="S67" s="7">
        <f>'3 escalar'!R70</f>
        <v/>
      </c>
      <c r="T67" s="7">
        <f>'3 escalar'!S70</f>
        <v/>
      </c>
      <c r="U67" s="7">
        <f>'3 escalar'!T70</f>
        <v/>
      </c>
      <c r="V67" s="6">
        <f>$AC$12+D67*$AC$13+E67*$AC$14+F67*$AC$15+G67*$AC$16+H67*$AC$17+I67*$AC$18+J67*$AC$19+K67*$AC$20+L67*$AC$21+M67*$AC$22+N67*$AC$23+O67*$AC$24+P67*$AC$25+Q67*$AC$26+R67*$AC$27+S67*$AC$28+T67*$AC$29+U67*$AC$30</f>
        <v/>
      </c>
      <c r="W67" s="6">
        <f>1/(1+EXP(-V67))</f>
        <v/>
      </c>
      <c r="X67" s="8">
        <f>-IF(C67=1,LN(W67),LN(1-W67))</f>
        <v/>
      </c>
      <c r="Y67" s="9">
        <f>IF(W67&gt;$AC$32,1,0)</f>
        <v/>
      </c>
      <c r="Z67">
        <f>IF(Y67=C67,1,0)</f>
        <v/>
      </c>
    </row>
    <row r="68">
      <c r="A68">
        <f>'3 escalar'!A71</f>
        <v/>
      </c>
      <c r="B68" s="5">
        <f>'3 escalar'!U71</f>
        <v/>
      </c>
      <c r="C68">
        <f>'3 escalar'!B71</f>
        <v/>
      </c>
      <c r="D68" s="7">
        <f>'3 escalar'!C71</f>
        <v/>
      </c>
      <c r="E68" s="7">
        <f>'3 escalar'!D71</f>
        <v/>
      </c>
      <c r="F68" s="7">
        <f>'3 escalar'!E71</f>
        <v/>
      </c>
      <c r="G68" s="7">
        <f>'3 escalar'!F71</f>
        <v/>
      </c>
      <c r="H68" s="7">
        <f>'3 escalar'!G71</f>
        <v/>
      </c>
      <c r="I68" s="7">
        <f>'3 escalar'!H71</f>
        <v/>
      </c>
      <c r="J68" s="7">
        <f>'3 escalar'!I71</f>
        <v/>
      </c>
      <c r="K68" s="7">
        <f>'3 escalar'!J71</f>
        <v/>
      </c>
      <c r="L68" s="7">
        <f>'3 escalar'!K71</f>
        <v/>
      </c>
      <c r="M68" s="7">
        <f>'3 escalar'!L71</f>
        <v/>
      </c>
      <c r="N68" s="7">
        <f>'3 escalar'!M71</f>
        <v/>
      </c>
      <c r="O68" s="7">
        <f>'3 escalar'!N71</f>
        <v/>
      </c>
      <c r="P68" s="7">
        <f>'3 escalar'!O71</f>
        <v/>
      </c>
      <c r="Q68" s="7">
        <f>'3 escalar'!P71</f>
        <v/>
      </c>
      <c r="R68" s="7">
        <f>'3 escalar'!Q71</f>
        <v/>
      </c>
      <c r="S68" s="7">
        <f>'3 escalar'!R71</f>
        <v/>
      </c>
      <c r="T68" s="7">
        <f>'3 escalar'!S71</f>
        <v/>
      </c>
      <c r="U68" s="7">
        <f>'3 escalar'!T71</f>
        <v/>
      </c>
      <c r="V68" s="6">
        <f>$AC$12+D68*$AC$13+E68*$AC$14+F68*$AC$15+G68*$AC$16+H68*$AC$17+I68*$AC$18+J68*$AC$19+K68*$AC$20+L68*$AC$21+M68*$AC$22+N68*$AC$23+O68*$AC$24+P68*$AC$25+Q68*$AC$26+R68*$AC$27+S68*$AC$28+T68*$AC$29+U68*$AC$30</f>
        <v/>
      </c>
      <c r="W68" s="6">
        <f>1/(1+EXP(-V68))</f>
        <v/>
      </c>
      <c r="X68" s="8">
        <f>-IF(C68=1,LN(W68),LN(1-W68))</f>
        <v/>
      </c>
      <c r="Y68" s="9">
        <f>IF(W68&gt;$AC$32,1,0)</f>
        <v/>
      </c>
      <c r="Z68">
        <f>IF(Y68=C68,1,0)</f>
        <v/>
      </c>
    </row>
    <row r="69">
      <c r="A69">
        <f>'3 escalar'!A72</f>
        <v/>
      </c>
      <c r="B69" s="5">
        <f>'3 escalar'!U72</f>
        <v/>
      </c>
      <c r="C69">
        <f>'3 escalar'!B72</f>
        <v/>
      </c>
      <c r="D69" s="7">
        <f>'3 escalar'!C72</f>
        <v/>
      </c>
      <c r="E69" s="7">
        <f>'3 escalar'!D72</f>
        <v/>
      </c>
      <c r="F69" s="7">
        <f>'3 escalar'!E72</f>
        <v/>
      </c>
      <c r="G69" s="7">
        <f>'3 escalar'!F72</f>
        <v/>
      </c>
      <c r="H69" s="7">
        <f>'3 escalar'!G72</f>
        <v/>
      </c>
      <c r="I69" s="7">
        <f>'3 escalar'!H72</f>
        <v/>
      </c>
      <c r="J69" s="7">
        <f>'3 escalar'!I72</f>
        <v/>
      </c>
      <c r="K69" s="7">
        <f>'3 escalar'!J72</f>
        <v/>
      </c>
      <c r="L69" s="7">
        <f>'3 escalar'!K72</f>
        <v/>
      </c>
      <c r="M69" s="7">
        <f>'3 escalar'!L72</f>
        <v/>
      </c>
      <c r="N69" s="7">
        <f>'3 escalar'!M72</f>
        <v/>
      </c>
      <c r="O69" s="7">
        <f>'3 escalar'!N72</f>
        <v/>
      </c>
      <c r="P69" s="7">
        <f>'3 escalar'!O72</f>
        <v/>
      </c>
      <c r="Q69" s="7">
        <f>'3 escalar'!P72</f>
        <v/>
      </c>
      <c r="R69" s="7">
        <f>'3 escalar'!Q72</f>
        <v/>
      </c>
      <c r="S69" s="7">
        <f>'3 escalar'!R72</f>
        <v/>
      </c>
      <c r="T69" s="7">
        <f>'3 escalar'!S72</f>
        <v/>
      </c>
      <c r="U69" s="7">
        <f>'3 escalar'!T72</f>
        <v/>
      </c>
      <c r="V69" s="6">
        <f>$AC$12+D69*$AC$13+E69*$AC$14+F69*$AC$15+G69*$AC$16+H69*$AC$17+I69*$AC$18+J69*$AC$19+K69*$AC$20+L69*$AC$21+M69*$AC$22+N69*$AC$23+O69*$AC$24+P69*$AC$25+Q69*$AC$26+R69*$AC$27+S69*$AC$28+T69*$AC$29+U69*$AC$30</f>
        <v/>
      </c>
      <c r="W69" s="6">
        <f>1/(1+EXP(-V69))</f>
        <v/>
      </c>
      <c r="X69" s="8">
        <f>-IF(C69=1,LN(W69),LN(1-W69))</f>
        <v/>
      </c>
      <c r="Y69" s="9">
        <f>IF(W69&gt;$AC$32,1,0)</f>
        <v/>
      </c>
      <c r="Z69">
        <f>IF(Y69=C69,1,0)</f>
        <v/>
      </c>
    </row>
    <row r="70">
      <c r="A70">
        <f>'3 escalar'!A73</f>
        <v/>
      </c>
      <c r="B70" s="5">
        <f>'3 escalar'!U73</f>
        <v/>
      </c>
      <c r="C70">
        <f>'3 escalar'!B73</f>
        <v/>
      </c>
      <c r="D70" s="7">
        <f>'3 escalar'!C73</f>
        <v/>
      </c>
      <c r="E70" s="7">
        <f>'3 escalar'!D73</f>
        <v/>
      </c>
      <c r="F70" s="7">
        <f>'3 escalar'!E73</f>
        <v/>
      </c>
      <c r="G70" s="7">
        <f>'3 escalar'!F73</f>
        <v/>
      </c>
      <c r="H70" s="7">
        <f>'3 escalar'!G73</f>
        <v/>
      </c>
      <c r="I70" s="7">
        <f>'3 escalar'!H73</f>
        <v/>
      </c>
      <c r="J70" s="7">
        <f>'3 escalar'!I73</f>
        <v/>
      </c>
      <c r="K70" s="7">
        <f>'3 escalar'!J73</f>
        <v/>
      </c>
      <c r="L70" s="7">
        <f>'3 escalar'!K73</f>
        <v/>
      </c>
      <c r="M70" s="7">
        <f>'3 escalar'!L73</f>
        <v/>
      </c>
      <c r="N70" s="7">
        <f>'3 escalar'!M73</f>
        <v/>
      </c>
      <c r="O70" s="7">
        <f>'3 escalar'!N73</f>
        <v/>
      </c>
      <c r="P70" s="7">
        <f>'3 escalar'!O73</f>
        <v/>
      </c>
      <c r="Q70" s="7">
        <f>'3 escalar'!P73</f>
        <v/>
      </c>
      <c r="R70" s="7">
        <f>'3 escalar'!Q73</f>
        <v/>
      </c>
      <c r="S70" s="7">
        <f>'3 escalar'!R73</f>
        <v/>
      </c>
      <c r="T70" s="7">
        <f>'3 escalar'!S73</f>
        <v/>
      </c>
      <c r="U70" s="7">
        <f>'3 escalar'!T73</f>
        <v/>
      </c>
      <c r="V70" s="6">
        <f>$AC$12+D70*$AC$13+E70*$AC$14+F70*$AC$15+G70*$AC$16+H70*$AC$17+I70*$AC$18+J70*$AC$19+K70*$AC$20+L70*$AC$21+M70*$AC$22+N70*$AC$23+O70*$AC$24+P70*$AC$25+Q70*$AC$26+R70*$AC$27+S70*$AC$28+T70*$AC$29+U70*$AC$30</f>
        <v/>
      </c>
      <c r="W70" s="6">
        <f>1/(1+EXP(-V70))</f>
        <v/>
      </c>
      <c r="X70" s="8">
        <f>-IF(C70=1,LN(W70),LN(1-W70))</f>
        <v/>
      </c>
      <c r="Y70" s="9">
        <f>IF(W70&gt;$AC$32,1,0)</f>
        <v/>
      </c>
      <c r="Z70">
        <f>IF(Y70=C70,1,0)</f>
        <v/>
      </c>
    </row>
    <row r="71">
      <c r="A71">
        <f>'3 escalar'!A74</f>
        <v/>
      </c>
      <c r="B71" s="5">
        <f>'3 escalar'!U74</f>
        <v/>
      </c>
      <c r="C71">
        <f>'3 escalar'!B74</f>
        <v/>
      </c>
      <c r="D71" s="7">
        <f>'3 escalar'!C74</f>
        <v/>
      </c>
      <c r="E71" s="7">
        <f>'3 escalar'!D74</f>
        <v/>
      </c>
      <c r="F71" s="7">
        <f>'3 escalar'!E74</f>
        <v/>
      </c>
      <c r="G71" s="7">
        <f>'3 escalar'!F74</f>
        <v/>
      </c>
      <c r="H71" s="7">
        <f>'3 escalar'!G74</f>
        <v/>
      </c>
      <c r="I71" s="7">
        <f>'3 escalar'!H74</f>
        <v/>
      </c>
      <c r="J71" s="7">
        <f>'3 escalar'!I74</f>
        <v/>
      </c>
      <c r="K71" s="7">
        <f>'3 escalar'!J74</f>
        <v/>
      </c>
      <c r="L71" s="7">
        <f>'3 escalar'!K74</f>
        <v/>
      </c>
      <c r="M71" s="7">
        <f>'3 escalar'!L74</f>
        <v/>
      </c>
      <c r="N71" s="7">
        <f>'3 escalar'!M74</f>
        <v/>
      </c>
      <c r="O71" s="7">
        <f>'3 escalar'!N74</f>
        <v/>
      </c>
      <c r="P71" s="7">
        <f>'3 escalar'!O74</f>
        <v/>
      </c>
      <c r="Q71" s="7">
        <f>'3 escalar'!P74</f>
        <v/>
      </c>
      <c r="R71" s="7">
        <f>'3 escalar'!Q74</f>
        <v/>
      </c>
      <c r="S71" s="7">
        <f>'3 escalar'!R74</f>
        <v/>
      </c>
      <c r="T71" s="7">
        <f>'3 escalar'!S74</f>
        <v/>
      </c>
      <c r="U71" s="7">
        <f>'3 escalar'!T74</f>
        <v/>
      </c>
      <c r="V71" s="6">
        <f>$AC$12+D71*$AC$13+E71*$AC$14+F71*$AC$15+G71*$AC$16+H71*$AC$17+I71*$AC$18+J71*$AC$19+K71*$AC$20+L71*$AC$21+M71*$AC$22+N71*$AC$23+O71*$AC$24+P71*$AC$25+Q71*$AC$26+R71*$AC$27+S71*$AC$28+T71*$AC$29+U71*$AC$30</f>
        <v/>
      </c>
      <c r="W71" s="6">
        <f>1/(1+EXP(-V71))</f>
        <v/>
      </c>
      <c r="X71" s="8">
        <f>-IF(C71=1,LN(W71),LN(1-W71))</f>
        <v/>
      </c>
      <c r="Y71" s="9">
        <f>IF(W71&gt;$AC$32,1,0)</f>
        <v/>
      </c>
      <c r="Z71">
        <f>IF(Y71=C71,1,0)</f>
        <v/>
      </c>
    </row>
    <row r="72">
      <c r="A72">
        <f>'3 escalar'!A75</f>
        <v/>
      </c>
      <c r="B72" s="5">
        <f>'3 escalar'!U75</f>
        <v/>
      </c>
      <c r="C72">
        <f>'3 escalar'!B75</f>
        <v/>
      </c>
      <c r="D72" s="7">
        <f>'3 escalar'!C75</f>
        <v/>
      </c>
      <c r="E72" s="7">
        <f>'3 escalar'!D75</f>
        <v/>
      </c>
      <c r="F72" s="7">
        <f>'3 escalar'!E75</f>
        <v/>
      </c>
      <c r="G72" s="7">
        <f>'3 escalar'!F75</f>
        <v/>
      </c>
      <c r="H72" s="7">
        <f>'3 escalar'!G75</f>
        <v/>
      </c>
      <c r="I72" s="7">
        <f>'3 escalar'!H75</f>
        <v/>
      </c>
      <c r="J72" s="7">
        <f>'3 escalar'!I75</f>
        <v/>
      </c>
      <c r="K72" s="7">
        <f>'3 escalar'!J75</f>
        <v/>
      </c>
      <c r="L72" s="7">
        <f>'3 escalar'!K75</f>
        <v/>
      </c>
      <c r="M72" s="7">
        <f>'3 escalar'!L75</f>
        <v/>
      </c>
      <c r="N72" s="7">
        <f>'3 escalar'!M75</f>
        <v/>
      </c>
      <c r="O72" s="7">
        <f>'3 escalar'!N75</f>
        <v/>
      </c>
      <c r="P72" s="7">
        <f>'3 escalar'!O75</f>
        <v/>
      </c>
      <c r="Q72" s="7">
        <f>'3 escalar'!P75</f>
        <v/>
      </c>
      <c r="R72" s="7">
        <f>'3 escalar'!Q75</f>
        <v/>
      </c>
      <c r="S72" s="7">
        <f>'3 escalar'!R75</f>
        <v/>
      </c>
      <c r="T72" s="7">
        <f>'3 escalar'!S75</f>
        <v/>
      </c>
      <c r="U72" s="7">
        <f>'3 escalar'!T75</f>
        <v/>
      </c>
      <c r="V72" s="6">
        <f>$AC$12+D72*$AC$13+E72*$AC$14+F72*$AC$15+G72*$AC$16+H72*$AC$17+I72*$AC$18+J72*$AC$19+K72*$AC$20+L72*$AC$21+M72*$AC$22+N72*$AC$23+O72*$AC$24+P72*$AC$25+Q72*$AC$26+R72*$AC$27+S72*$AC$28+T72*$AC$29+U72*$AC$30</f>
        <v/>
      </c>
      <c r="W72" s="6">
        <f>1/(1+EXP(-V72))</f>
        <v/>
      </c>
      <c r="X72" s="8">
        <f>-IF(C72=1,LN(W72),LN(1-W72))</f>
        <v/>
      </c>
      <c r="Y72" s="9">
        <f>IF(W72&gt;$AC$32,1,0)</f>
        <v/>
      </c>
      <c r="Z72">
        <f>IF(Y72=C72,1,0)</f>
        <v/>
      </c>
    </row>
    <row r="73">
      <c r="A73">
        <f>'3 escalar'!A76</f>
        <v/>
      </c>
      <c r="B73" s="5">
        <f>'3 escalar'!U76</f>
        <v/>
      </c>
      <c r="C73">
        <f>'3 escalar'!B76</f>
        <v/>
      </c>
      <c r="D73" s="7">
        <f>'3 escalar'!C76</f>
        <v/>
      </c>
      <c r="E73" s="7">
        <f>'3 escalar'!D76</f>
        <v/>
      </c>
      <c r="F73" s="7">
        <f>'3 escalar'!E76</f>
        <v/>
      </c>
      <c r="G73" s="7">
        <f>'3 escalar'!F76</f>
        <v/>
      </c>
      <c r="H73" s="7">
        <f>'3 escalar'!G76</f>
        <v/>
      </c>
      <c r="I73" s="7">
        <f>'3 escalar'!H76</f>
        <v/>
      </c>
      <c r="J73" s="7">
        <f>'3 escalar'!I76</f>
        <v/>
      </c>
      <c r="K73" s="7">
        <f>'3 escalar'!J76</f>
        <v/>
      </c>
      <c r="L73" s="7">
        <f>'3 escalar'!K76</f>
        <v/>
      </c>
      <c r="M73" s="7">
        <f>'3 escalar'!L76</f>
        <v/>
      </c>
      <c r="N73" s="7">
        <f>'3 escalar'!M76</f>
        <v/>
      </c>
      <c r="O73" s="7">
        <f>'3 escalar'!N76</f>
        <v/>
      </c>
      <c r="P73" s="7">
        <f>'3 escalar'!O76</f>
        <v/>
      </c>
      <c r="Q73" s="7">
        <f>'3 escalar'!P76</f>
        <v/>
      </c>
      <c r="R73" s="7">
        <f>'3 escalar'!Q76</f>
        <v/>
      </c>
      <c r="S73" s="7">
        <f>'3 escalar'!R76</f>
        <v/>
      </c>
      <c r="T73" s="7">
        <f>'3 escalar'!S76</f>
        <v/>
      </c>
      <c r="U73" s="7">
        <f>'3 escalar'!T76</f>
        <v/>
      </c>
      <c r="V73" s="6">
        <f>$AC$12+D73*$AC$13+E73*$AC$14+F73*$AC$15+G73*$AC$16+H73*$AC$17+I73*$AC$18+J73*$AC$19+K73*$AC$20+L73*$AC$21+M73*$AC$22+N73*$AC$23+O73*$AC$24+P73*$AC$25+Q73*$AC$26+R73*$AC$27+S73*$AC$28+T73*$AC$29+U73*$AC$30</f>
        <v/>
      </c>
      <c r="W73" s="6">
        <f>1/(1+EXP(-V73))</f>
        <v/>
      </c>
      <c r="X73" s="8">
        <f>-IF(C73=1,LN(W73),LN(1-W73))</f>
        <v/>
      </c>
      <c r="Y73" s="9">
        <f>IF(W73&gt;$AC$32,1,0)</f>
        <v/>
      </c>
      <c r="Z73">
        <f>IF(Y73=C73,1,0)</f>
        <v/>
      </c>
    </row>
    <row r="74">
      <c r="A74">
        <f>'3 escalar'!A77</f>
        <v/>
      </c>
      <c r="B74" s="5">
        <f>'3 escalar'!U77</f>
        <v/>
      </c>
      <c r="C74">
        <f>'3 escalar'!B77</f>
        <v/>
      </c>
      <c r="D74" s="7">
        <f>'3 escalar'!C77</f>
        <v/>
      </c>
      <c r="E74" s="7">
        <f>'3 escalar'!D77</f>
        <v/>
      </c>
      <c r="F74" s="7">
        <f>'3 escalar'!E77</f>
        <v/>
      </c>
      <c r="G74" s="7">
        <f>'3 escalar'!F77</f>
        <v/>
      </c>
      <c r="H74" s="7">
        <f>'3 escalar'!G77</f>
        <v/>
      </c>
      <c r="I74" s="7">
        <f>'3 escalar'!H77</f>
        <v/>
      </c>
      <c r="J74" s="7">
        <f>'3 escalar'!I77</f>
        <v/>
      </c>
      <c r="K74" s="7">
        <f>'3 escalar'!J77</f>
        <v/>
      </c>
      <c r="L74" s="7">
        <f>'3 escalar'!K77</f>
        <v/>
      </c>
      <c r="M74" s="7">
        <f>'3 escalar'!L77</f>
        <v/>
      </c>
      <c r="N74" s="7">
        <f>'3 escalar'!M77</f>
        <v/>
      </c>
      <c r="O74" s="7">
        <f>'3 escalar'!N77</f>
        <v/>
      </c>
      <c r="P74" s="7">
        <f>'3 escalar'!O77</f>
        <v/>
      </c>
      <c r="Q74" s="7">
        <f>'3 escalar'!P77</f>
        <v/>
      </c>
      <c r="R74" s="7">
        <f>'3 escalar'!Q77</f>
        <v/>
      </c>
      <c r="S74" s="7">
        <f>'3 escalar'!R77</f>
        <v/>
      </c>
      <c r="T74" s="7">
        <f>'3 escalar'!S77</f>
        <v/>
      </c>
      <c r="U74" s="7">
        <f>'3 escalar'!T77</f>
        <v/>
      </c>
      <c r="V74" s="6">
        <f>$AC$12+D74*$AC$13+E74*$AC$14+F74*$AC$15+G74*$AC$16+H74*$AC$17+I74*$AC$18+J74*$AC$19+K74*$AC$20+L74*$AC$21+M74*$AC$22+N74*$AC$23+O74*$AC$24+P74*$AC$25+Q74*$AC$26+R74*$AC$27+S74*$AC$28+T74*$AC$29+U74*$AC$30</f>
        <v/>
      </c>
      <c r="W74" s="6">
        <f>1/(1+EXP(-V74))</f>
        <v/>
      </c>
      <c r="X74" s="8">
        <f>-IF(C74=1,LN(W74),LN(1-W74))</f>
        <v/>
      </c>
      <c r="Y74" s="9">
        <f>IF(W74&gt;$AC$32,1,0)</f>
        <v/>
      </c>
      <c r="Z74">
        <f>IF(Y74=C74,1,0)</f>
        <v/>
      </c>
    </row>
    <row r="75">
      <c r="A75">
        <f>'3 escalar'!A78</f>
        <v/>
      </c>
      <c r="B75" s="5">
        <f>'3 escalar'!U78</f>
        <v/>
      </c>
      <c r="C75">
        <f>'3 escalar'!B78</f>
        <v/>
      </c>
      <c r="D75" s="7">
        <f>'3 escalar'!C78</f>
        <v/>
      </c>
      <c r="E75" s="7">
        <f>'3 escalar'!D78</f>
        <v/>
      </c>
      <c r="F75" s="7">
        <f>'3 escalar'!E78</f>
        <v/>
      </c>
      <c r="G75" s="7">
        <f>'3 escalar'!F78</f>
        <v/>
      </c>
      <c r="H75" s="7">
        <f>'3 escalar'!G78</f>
        <v/>
      </c>
      <c r="I75" s="7">
        <f>'3 escalar'!H78</f>
        <v/>
      </c>
      <c r="J75" s="7">
        <f>'3 escalar'!I78</f>
        <v/>
      </c>
      <c r="K75" s="7">
        <f>'3 escalar'!J78</f>
        <v/>
      </c>
      <c r="L75" s="7">
        <f>'3 escalar'!K78</f>
        <v/>
      </c>
      <c r="M75" s="7">
        <f>'3 escalar'!L78</f>
        <v/>
      </c>
      <c r="N75" s="7">
        <f>'3 escalar'!M78</f>
        <v/>
      </c>
      <c r="O75" s="7">
        <f>'3 escalar'!N78</f>
        <v/>
      </c>
      <c r="P75" s="7">
        <f>'3 escalar'!O78</f>
        <v/>
      </c>
      <c r="Q75" s="7">
        <f>'3 escalar'!P78</f>
        <v/>
      </c>
      <c r="R75" s="7">
        <f>'3 escalar'!Q78</f>
        <v/>
      </c>
      <c r="S75" s="7">
        <f>'3 escalar'!R78</f>
        <v/>
      </c>
      <c r="T75" s="7">
        <f>'3 escalar'!S78</f>
        <v/>
      </c>
      <c r="U75" s="7">
        <f>'3 escalar'!T78</f>
        <v/>
      </c>
      <c r="V75" s="6">
        <f>$AC$12+D75*$AC$13+E75*$AC$14+F75*$AC$15+G75*$AC$16+H75*$AC$17+I75*$AC$18+J75*$AC$19+K75*$AC$20+L75*$AC$21+M75*$AC$22+N75*$AC$23+O75*$AC$24+P75*$AC$25+Q75*$AC$26+R75*$AC$27+S75*$AC$28+T75*$AC$29+U75*$AC$30</f>
        <v/>
      </c>
      <c r="W75" s="6">
        <f>1/(1+EXP(-V75))</f>
        <v/>
      </c>
      <c r="X75" s="8">
        <f>-IF(C75=1,LN(W75),LN(1-W75))</f>
        <v/>
      </c>
      <c r="Y75" s="9">
        <f>IF(W75&gt;$AC$32,1,0)</f>
        <v/>
      </c>
      <c r="Z75">
        <f>IF(Y75=C75,1,0)</f>
        <v/>
      </c>
    </row>
    <row r="76">
      <c r="A76">
        <f>'3 escalar'!A79</f>
        <v/>
      </c>
      <c r="B76" s="5">
        <f>'3 escalar'!U79</f>
        <v/>
      </c>
      <c r="C76">
        <f>'3 escalar'!B79</f>
        <v/>
      </c>
      <c r="D76" s="7">
        <f>'3 escalar'!C79</f>
        <v/>
      </c>
      <c r="E76" s="7">
        <f>'3 escalar'!D79</f>
        <v/>
      </c>
      <c r="F76" s="7">
        <f>'3 escalar'!E79</f>
        <v/>
      </c>
      <c r="G76" s="7">
        <f>'3 escalar'!F79</f>
        <v/>
      </c>
      <c r="H76" s="7">
        <f>'3 escalar'!G79</f>
        <v/>
      </c>
      <c r="I76" s="7">
        <f>'3 escalar'!H79</f>
        <v/>
      </c>
      <c r="J76" s="7">
        <f>'3 escalar'!I79</f>
        <v/>
      </c>
      <c r="K76" s="7">
        <f>'3 escalar'!J79</f>
        <v/>
      </c>
      <c r="L76" s="7">
        <f>'3 escalar'!K79</f>
        <v/>
      </c>
      <c r="M76" s="7">
        <f>'3 escalar'!L79</f>
        <v/>
      </c>
      <c r="N76" s="7">
        <f>'3 escalar'!M79</f>
        <v/>
      </c>
      <c r="O76" s="7">
        <f>'3 escalar'!N79</f>
        <v/>
      </c>
      <c r="P76" s="7">
        <f>'3 escalar'!O79</f>
        <v/>
      </c>
      <c r="Q76" s="7">
        <f>'3 escalar'!P79</f>
        <v/>
      </c>
      <c r="R76" s="7">
        <f>'3 escalar'!Q79</f>
        <v/>
      </c>
      <c r="S76" s="7">
        <f>'3 escalar'!R79</f>
        <v/>
      </c>
      <c r="T76" s="7">
        <f>'3 escalar'!S79</f>
        <v/>
      </c>
      <c r="U76" s="7">
        <f>'3 escalar'!T79</f>
        <v/>
      </c>
      <c r="V76" s="6">
        <f>$AC$12+D76*$AC$13+E76*$AC$14+F76*$AC$15+G76*$AC$16+H76*$AC$17+I76*$AC$18+J76*$AC$19+K76*$AC$20+L76*$AC$21+M76*$AC$22+N76*$AC$23+O76*$AC$24+P76*$AC$25+Q76*$AC$26+R76*$AC$27+S76*$AC$28+T76*$AC$29+U76*$AC$30</f>
        <v/>
      </c>
      <c r="W76" s="6">
        <f>1/(1+EXP(-V76))</f>
        <v/>
      </c>
      <c r="X76" s="8">
        <f>-IF(C76=1,LN(W76),LN(1-W76))</f>
        <v/>
      </c>
      <c r="Y76" s="9">
        <f>IF(W76&gt;$AC$32,1,0)</f>
        <v/>
      </c>
      <c r="Z76">
        <f>IF(Y76=C76,1,0)</f>
        <v/>
      </c>
    </row>
    <row r="77">
      <c r="A77">
        <f>'3 escalar'!A80</f>
        <v/>
      </c>
      <c r="B77" s="5">
        <f>'3 escalar'!U80</f>
        <v/>
      </c>
      <c r="C77">
        <f>'3 escalar'!B80</f>
        <v/>
      </c>
      <c r="D77" s="7">
        <f>'3 escalar'!C80</f>
        <v/>
      </c>
      <c r="E77" s="7">
        <f>'3 escalar'!D80</f>
        <v/>
      </c>
      <c r="F77" s="7">
        <f>'3 escalar'!E80</f>
        <v/>
      </c>
      <c r="G77" s="7">
        <f>'3 escalar'!F80</f>
        <v/>
      </c>
      <c r="H77" s="7">
        <f>'3 escalar'!G80</f>
        <v/>
      </c>
      <c r="I77" s="7">
        <f>'3 escalar'!H80</f>
        <v/>
      </c>
      <c r="J77" s="7">
        <f>'3 escalar'!I80</f>
        <v/>
      </c>
      <c r="K77" s="7">
        <f>'3 escalar'!J80</f>
        <v/>
      </c>
      <c r="L77" s="7">
        <f>'3 escalar'!K80</f>
        <v/>
      </c>
      <c r="M77" s="7">
        <f>'3 escalar'!L80</f>
        <v/>
      </c>
      <c r="N77" s="7">
        <f>'3 escalar'!M80</f>
        <v/>
      </c>
      <c r="O77" s="7">
        <f>'3 escalar'!N80</f>
        <v/>
      </c>
      <c r="P77" s="7">
        <f>'3 escalar'!O80</f>
        <v/>
      </c>
      <c r="Q77" s="7">
        <f>'3 escalar'!P80</f>
        <v/>
      </c>
      <c r="R77" s="7">
        <f>'3 escalar'!Q80</f>
        <v/>
      </c>
      <c r="S77" s="7">
        <f>'3 escalar'!R80</f>
        <v/>
      </c>
      <c r="T77" s="7">
        <f>'3 escalar'!S80</f>
        <v/>
      </c>
      <c r="U77" s="7">
        <f>'3 escalar'!T80</f>
        <v/>
      </c>
      <c r="V77" s="6">
        <f>$AC$12+D77*$AC$13+E77*$AC$14+F77*$AC$15+G77*$AC$16+H77*$AC$17+I77*$AC$18+J77*$AC$19+K77*$AC$20+L77*$AC$21+M77*$AC$22+N77*$AC$23+O77*$AC$24+P77*$AC$25+Q77*$AC$26+R77*$AC$27+S77*$AC$28+T77*$AC$29+U77*$AC$30</f>
        <v/>
      </c>
      <c r="W77" s="6">
        <f>1/(1+EXP(-V77))</f>
        <v/>
      </c>
      <c r="X77" s="8">
        <f>-IF(C77=1,LN(W77),LN(1-W77))</f>
        <v/>
      </c>
      <c r="Y77" s="9">
        <f>IF(W77&gt;$AC$32,1,0)</f>
        <v/>
      </c>
      <c r="Z77">
        <f>IF(Y77=C77,1,0)</f>
        <v/>
      </c>
    </row>
    <row r="78">
      <c r="A78">
        <f>'3 escalar'!A81</f>
        <v/>
      </c>
      <c r="B78" s="5">
        <f>'3 escalar'!U81</f>
        <v/>
      </c>
      <c r="C78">
        <f>'3 escalar'!B81</f>
        <v/>
      </c>
      <c r="D78" s="7">
        <f>'3 escalar'!C81</f>
        <v/>
      </c>
      <c r="E78" s="7">
        <f>'3 escalar'!D81</f>
        <v/>
      </c>
      <c r="F78" s="7">
        <f>'3 escalar'!E81</f>
        <v/>
      </c>
      <c r="G78" s="7">
        <f>'3 escalar'!F81</f>
        <v/>
      </c>
      <c r="H78" s="7">
        <f>'3 escalar'!G81</f>
        <v/>
      </c>
      <c r="I78" s="7">
        <f>'3 escalar'!H81</f>
        <v/>
      </c>
      <c r="J78" s="7">
        <f>'3 escalar'!I81</f>
        <v/>
      </c>
      <c r="K78" s="7">
        <f>'3 escalar'!J81</f>
        <v/>
      </c>
      <c r="L78" s="7">
        <f>'3 escalar'!K81</f>
        <v/>
      </c>
      <c r="M78" s="7">
        <f>'3 escalar'!L81</f>
        <v/>
      </c>
      <c r="N78" s="7">
        <f>'3 escalar'!M81</f>
        <v/>
      </c>
      <c r="O78" s="7">
        <f>'3 escalar'!N81</f>
        <v/>
      </c>
      <c r="P78" s="7">
        <f>'3 escalar'!O81</f>
        <v/>
      </c>
      <c r="Q78" s="7">
        <f>'3 escalar'!P81</f>
        <v/>
      </c>
      <c r="R78" s="7">
        <f>'3 escalar'!Q81</f>
        <v/>
      </c>
      <c r="S78" s="7">
        <f>'3 escalar'!R81</f>
        <v/>
      </c>
      <c r="T78" s="7">
        <f>'3 escalar'!S81</f>
        <v/>
      </c>
      <c r="U78" s="7">
        <f>'3 escalar'!T81</f>
        <v/>
      </c>
      <c r="V78" s="6">
        <f>$AC$12+D78*$AC$13+E78*$AC$14+F78*$AC$15+G78*$AC$16+H78*$AC$17+I78*$AC$18+J78*$AC$19+K78*$AC$20+L78*$AC$21+M78*$AC$22+N78*$AC$23+O78*$AC$24+P78*$AC$25+Q78*$AC$26+R78*$AC$27+S78*$AC$28+T78*$AC$29+U78*$AC$30</f>
        <v/>
      </c>
      <c r="W78" s="6">
        <f>1/(1+EXP(-V78))</f>
        <v/>
      </c>
      <c r="X78" s="8">
        <f>-IF(C78=1,LN(W78),LN(1-W78))</f>
        <v/>
      </c>
      <c r="Y78" s="9">
        <f>IF(W78&gt;$AC$32,1,0)</f>
        <v/>
      </c>
      <c r="Z78">
        <f>IF(Y78=C78,1,0)</f>
        <v/>
      </c>
    </row>
    <row r="79">
      <c r="A79">
        <f>'3 escalar'!A82</f>
        <v/>
      </c>
      <c r="B79" s="5">
        <f>'3 escalar'!U82</f>
        <v/>
      </c>
      <c r="C79">
        <f>'3 escalar'!B82</f>
        <v/>
      </c>
      <c r="D79" s="7">
        <f>'3 escalar'!C82</f>
        <v/>
      </c>
      <c r="E79" s="7">
        <f>'3 escalar'!D82</f>
        <v/>
      </c>
      <c r="F79" s="7">
        <f>'3 escalar'!E82</f>
        <v/>
      </c>
      <c r="G79" s="7">
        <f>'3 escalar'!F82</f>
        <v/>
      </c>
      <c r="H79" s="7">
        <f>'3 escalar'!G82</f>
        <v/>
      </c>
      <c r="I79" s="7">
        <f>'3 escalar'!H82</f>
        <v/>
      </c>
      <c r="J79" s="7">
        <f>'3 escalar'!I82</f>
        <v/>
      </c>
      <c r="K79" s="7">
        <f>'3 escalar'!J82</f>
        <v/>
      </c>
      <c r="L79" s="7">
        <f>'3 escalar'!K82</f>
        <v/>
      </c>
      <c r="M79" s="7">
        <f>'3 escalar'!L82</f>
        <v/>
      </c>
      <c r="N79" s="7">
        <f>'3 escalar'!M82</f>
        <v/>
      </c>
      <c r="O79" s="7">
        <f>'3 escalar'!N82</f>
        <v/>
      </c>
      <c r="P79" s="7">
        <f>'3 escalar'!O82</f>
        <v/>
      </c>
      <c r="Q79" s="7">
        <f>'3 escalar'!P82</f>
        <v/>
      </c>
      <c r="R79" s="7">
        <f>'3 escalar'!Q82</f>
        <v/>
      </c>
      <c r="S79" s="7">
        <f>'3 escalar'!R82</f>
        <v/>
      </c>
      <c r="T79" s="7">
        <f>'3 escalar'!S82</f>
        <v/>
      </c>
      <c r="U79" s="7">
        <f>'3 escalar'!T82</f>
        <v/>
      </c>
      <c r="V79" s="6">
        <f>$AC$12+D79*$AC$13+E79*$AC$14+F79*$AC$15+G79*$AC$16+H79*$AC$17+I79*$AC$18+J79*$AC$19+K79*$AC$20+L79*$AC$21+M79*$AC$22+N79*$AC$23+O79*$AC$24+P79*$AC$25+Q79*$AC$26+R79*$AC$27+S79*$AC$28+T79*$AC$29+U79*$AC$30</f>
        <v/>
      </c>
      <c r="W79" s="6">
        <f>1/(1+EXP(-V79))</f>
        <v/>
      </c>
      <c r="X79" s="8">
        <f>-IF(C79=1,LN(W79),LN(1-W79))</f>
        <v/>
      </c>
      <c r="Y79" s="9">
        <f>IF(W79&gt;$AC$32,1,0)</f>
        <v/>
      </c>
      <c r="Z79">
        <f>IF(Y79=C79,1,0)</f>
        <v/>
      </c>
    </row>
    <row r="80">
      <c r="A80">
        <f>'3 escalar'!A83</f>
        <v/>
      </c>
      <c r="B80" s="5">
        <f>'3 escalar'!U83</f>
        <v/>
      </c>
      <c r="C80">
        <f>'3 escalar'!B83</f>
        <v/>
      </c>
      <c r="D80" s="7">
        <f>'3 escalar'!C83</f>
        <v/>
      </c>
      <c r="E80" s="7">
        <f>'3 escalar'!D83</f>
        <v/>
      </c>
      <c r="F80" s="7">
        <f>'3 escalar'!E83</f>
        <v/>
      </c>
      <c r="G80" s="7">
        <f>'3 escalar'!F83</f>
        <v/>
      </c>
      <c r="H80" s="7">
        <f>'3 escalar'!G83</f>
        <v/>
      </c>
      <c r="I80" s="7">
        <f>'3 escalar'!H83</f>
        <v/>
      </c>
      <c r="J80" s="7">
        <f>'3 escalar'!I83</f>
        <v/>
      </c>
      <c r="K80" s="7">
        <f>'3 escalar'!J83</f>
        <v/>
      </c>
      <c r="L80" s="7">
        <f>'3 escalar'!K83</f>
        <v/>
      </c>
      <c r="M80" s="7">
        <f>'3 escalar'!L83</f>
        <v/>
      </c>
      <c r="N80" s="7">
        <f>'3 escalar'!M83</f>
        <v/>
      </c>
      <c r="O80" s="7">
        <f>'3 escalar'!N83</f>
        <v/>
      </c>
      <c r="P80" s="7">
        <f>'3 escalar'!O83</f>
        <v/>
      </c>
      <c r="Q80" s="7">
        <f>'3 escalar'!P83</f>
        <v/>
      </c>
      <c r="R80" s="7">
        <f>'3 escalar'!Q83</f>
        <v/>
      </c>
      <c r="S80" s="7">
        <f>'3 escalar'!R83</f>
        <v/>
      </c>
      <c r="T80" s="7">
        <f>'3 escalar'!S83</f>
        <v/>
      </c>
      <c r="U80" s="7">
        <f>'3 escalar'!T83</f>
        <v/>
      </c>
      <c r="V80" s="6">
        <f>$AC$12+D80*$AC$13+E80*$AC$14+F80*$AC$15+G80*$AC$16+H80*$AC$17+I80*$AC$18+J80*$AC$19+K80*$AC$20+L80*$AC$21+M80*$AC$22+N80*$AC$23+O80*$AC$24+P80*$AC$25+Q80*$AC$26+R80*$AC$27+S80*$AC$28+T80*$AC$29+U80*$AC$30</f>
        <v/>
      </c>
      <c r="W80" s="6">
        <f>1/(1+EXP(-V80))</f>
        <v/>
      </c>
      <c r="X80" s="8">
        <f>-IF(C80=1,LN(W80),LN(1-W80))</f>
        <v/>
      </c>
      <c r="Y80" s="9">
        <f>IF(W80&gt;$AC$32,1,0)</f>
        <v/>
      </c>
      <c r="Z80">
        <f>IF(Y80=C80,1,0)</f>
        <v/>
      </c>
    </row>
    <row r="81">
      <c r="A81">
        <f>'3 escalar'!A84</f>
        <v/>
      </c>
      <c r="B81" s="5">
        <f>'3 escalar'!U84</f>
        <v/>
      </c>
      <c r="C81">
        <f>'3 escalar'!B84</f>
        <v/>
      </c>
      <c r="D81" s="7">
        <f>'3 escalar'!C84</f>
        <v/>
      </c>
      <c r="E81" s="7">
        <f>'3 escalar'!D84</f>
        <v/>
      </c>
      <c r="F81" s="7">
        <f>'3 escalar'!E84</f>
        <v/>
      </c>
      <c r="G81" s="7">
        <f>'3 escalar'!F84</f>
        <v/>
      </c>
      <c r="H81" s="7">
        <f>'3 escalar'!G84</f>
        <v/>
      </c>
      <c r="I81" s="7">
        <f>'3 escalar'!H84</f>
        <v/>
      </c>
      <c r="J81" s="7">
        <f>'3 escalar'!I84</f>
        <v/>
      </c>
      <c r="K81" s="7">
        <f>'3 escalar'!J84</f>
        <v/>
      </c>
      <c r="L81" s="7">
        <f>'3 escalar'!K84</f>
        <v/>
      </c>
      <c r="M81" s="7">
        <f>'3 escalar'!L84</f>
        <v/>
      </c>
      <c r="N81" s="7">
        <f>'3 escalar'!M84</f>
        <v/>
      </c>
      <c r="O81" s="7">
        <f>'3 escalar'!N84</f>
        <v/>
      </c>
      <c r="P81" s="7">
        <f>'3 escalar'!O84</f>
        <v/>
      </c>
      <c r="Q81" s="7">
        <f>'3 escalar'!P84</f>
        <v/>
      </c>
      <c r="R81" s="7">
        <f>'3 escalar'!Q84</f>
        <v/>
      </c>
      <c r="S81" s="7">
        <f>'3 escalar'!R84</f>
        <v/>
      </c>
      <c r="T81" s="7">
        <f>'3 escalar'!S84</f>
        <v/>
      </c>
      <c r="U81" s="7">
        <f>'3 escalar'!T84</f>
        <v/>
      </c>
      <c r="V81" s="6">
        <f>$AC$12+D81*$AC$13+E81*$AC$14+F81*$AC$15+G81*$AC$16+H81*$AC$17+I81*$AC$18+J81*$AC$19+K81*$AC$20+L81*$AC$21+M81*$AC$22+N81*$AC$23+O81*$AC$24+P81*$AC$25+Q81*$AC$26+R81*$AC$27+S81*$AC$28+T81*$AC$29+U81*$AC$30</f>
        <v/>
      </c>
      <c r="W81" s="6">
        <f>1/(1+EXP(-V81))</f>
        <v/>
      </c>
      <c r="X81" s="8">
        <f>-IF(C81=1,LN(W81),LN(1-W81))</f>
        <v/>
      </c>
      <c r="Y81" s="9">
        <f>IF(W81&gt;$AC$32,1,0)</f>
        <v/>
      </c>
      <c r="Z81">
        <f>IF(Y81=C81,1,0)</f>
        <v/>
      </c>
    </row>
    <row r="82">
      <c r="A82">
        <f>'3 escalar'!A85</f>
        <v/>
      </c>
      <c r="B82" s="5">
        <f>'3 escalar'!U85</f>
        <v/>
      </c>
      <c r="C82">
        <f>'3 escalar'!B85</f>
        <v/>
      </c>
      <c r="D82" s="7">
        <f>'3 escalar'!C85</f>
        <v/>
      </c>
      <c r="E82" s="7">
        <f>'3 escalar'!D85</f>
        <v/>
      </c>
      <c r="F82" s="7">
        <f>'3 escalar'!E85</f>
        <v/>
      </c>
      <c r="G82" s="7">
        <f>'3 escalar'!F85</f>
        <v/>
      </c>
      <c r="H82" s="7">
        <f>'3 escalar'!G85</f>
        <v/>
      </c>
      <c r="I82" s="7">
        <f>'3 escalar'!H85</f>
        <v/>
      </c>
      <c r="J82" s="7">
        <f>'3 escalar'!I85</f>
        <v/>
      </c>
      <c r="K82" s="7">
        <f>'3 escalar'!J85</f>
        <v/>
      </c>
      <c r="L82" s="7">
        <f>'3 escalar'!K85</f>
        <v/>
      </c>
      <c r="M82" s="7">
        <f>'3 escalar'!L85</f>
        <v/>
      </c>
      <c r="N82" s="7">
        <f>'3 escalar'!M85</f>
        <v/>
      </c>
      <c r="O82" s="7">
        <f>'3 escalar'!N85</f>
        <v/>
      </c>
      <c r="P82" s="7">
        <f>'3 escalar'!O85</f>
        <v/>
      </c>
      <c r="Q82" s="7">
        <f>'3 escalar'!P85</f>
        <v/>
      </c>
      <c r="R82" s="7">
        <f>'3 escalar'!Q85</f>
        <v/>
      </c>
      <c r="S82" s="7">
        <f>'3 escalar'!R85</f>
        <v/>
      </c>
      <c r="T82" s="7">
        <f>'3 escalar'!S85</f>
        <v/>
      </c>
      <c r="U82" s="7">
        <f>'3 escalar'!T85</f>
        <v/>
      </c>
      <c r="V82" s="6">
        <f>$AC$12+D82*$AC$13+E82*$AC$14+F82*$AC$15+G82*$AC$16+H82*$AC$17+I82*$AC$18+J82*$AC$19+K82*$AC$20+L82*$AC$21+M82*$AC$22+N82*$AC$23+O82*$AC$24+P82*$AC$25+Q82*$AC$26+R82*$AC$27+S82*$AC$28+T82*$AC$29+U82*$AC$30</f>
        <v/>
      </c>
      <c r="W82" s="6">
        <f>1/(1+EXP(-V82))</f>
        <v/>
      </c>
      <c r="X82" s="8">
        <f>-IF(C82=1,LN(W82),LN(1-W82))</f>
        <v/>
      </c>
      <c r="Y82" s="9">
        <f>IF(W82&gt;$AC$32,1,0)</f>
        <v/>
      </c>
      <c r="Z82">
        <f>IF(Y82=C82,1,0)</f>
        <v/>
      </c>
    </row>
    <row r="83">
      <c r="A83">
        <f>'3 escalar'!A86</f>
        <v/>
      </c>
      <c r="B83" s="5">
        <f>'3 escalar'!U86</f>
        <v/>
      </c>
      <c r="C83">
        <f>'3 escalar'!B86</f>
        <v/>
      </c>
      <c r="D83" s="7">
        <f>'3 escalar'!C86</f>
        <v/>
      </c>
      <c r="E83" s="7">
        <f>'3 escalar'!D86</f>
        <v/>
      </c>
      <c r="F83" s="7">
        <f>'3 escalar'!E86</f>
        <v/>
      </c>
      <c r="G83" s="7">
        <f>'3 escalar'!F86</f>
        <v/>
      </c>
      <c r="H83" s="7">
        <f>'3 escalar'!G86</f>
        <v/>
      </c>
      <c r="I83" s="7">
        <f>'3 escalar'!H86</f>
        <v/>
      </c>
      <c r="J83" s="7">
        <f>'3 escalar'!I86</f>
        <v/>
      </c>
      <c r="K83" s="7">
        <f>'3 escalar'!J86</f>
        <v/>
      </c>
      <c r="L83" s="7">
        <f>'3 escalar'!K86</f>
        <v/>
      </c>
      <c r="M83" s="7">
        <f>'3 escalar'!L86</f>
        <v/>
      </c>
      <c r="N83" s="7">
        <f>'3 escalar'!M86</f>
        <v/>
      </c>
      <c r="O83" s="7">
        <f>'3 escalar'!N86</f>
        <v/>
      </c>
      <c r="P83" s="7">
        <f>'3 escalar'!O86</f>
        <v/>
      </c>
      <c r="Q83" s="7">
        <f>'3 escalar'!P86</f>
        <v/>
      </c>
      <c r="R83" s="7">
        <f>'3 escalar'!Q86</f>
        <v/>
      </c>
      <c r="S83" s="7">
        <f>'3 escalar'!R86</f>
        <v/>
      </c>
      <c r="T83" s="7">
        <f>'3 escalar'!S86</f>
        <v/>
      </c>
      <c r="U83" s="7">
        <f>'3 escalar'!T86</f>
        <v/>
      </c>
      <c r="V83" s="6">
        <f>$AC$12+D83*$AC$13+E83*$AC$14+F83*$AC$15+G83*$AC$16+H83*$AC$17+I83*$AC$18+J83*$AC$19+K83*$AC$20+L83*$AC$21+M83*$AC$22+N83*$AC$23+O83*$AC$24+P83*$AC$25+Q83*$AC$26+R83*$AC$27+S83*$AC$28+T83*$AC$29+U83*$AC$30</f>
        <v/>
      </c>
      <c r="W83" s="6">
        <f>1/(1+EXP(-V83))</f>
        <v/>
      </c>
      <c r="X83" s="8">
        <f>-IF(C83=1,LN(W83),LN(1-W83))</f>
        <v/>
      </c>
      <c r="Y83" s="9">
        <f>IF(W83&gt;$AC$32,1,0)</f>
        <v/>
      </c>
      <c r="Z83">
        <f>IF(Y83=C83,1,0)</f>
        <v/>
      </c>
    </row>
    <row r="84">
      <c r="A84">
        <f>'3 escalar'!A87</f>
        <v/>
      </c>
      <c r="B84" s="5">
        <f>'3 escalar'!U87</f>
        <v/>
      </c>
      <c r="C84">
        <f>'3 escalar'!B87</f>
        <v/>
      </c>
      <c r="D84" s="7">
        <f>'3 escalar'!C87</f>
        <v/>
      </c>
      <c r="E84" s="7">
        <f>'3 escalar'!D87</f>
        <v/>
      </c>
      <c r="F84" s="7">
        <f>'3 escalar'!E87</f>
        <v/>
      </c>
      <c r="G84" s="7">
        <f>'3 escalar'!F87</f>
        <v/>
      </c>
      <c r="H84" s="7">
        <f>'3 escalar'!G87</f>
        <v/>
      </c>
      <c r="I84" s="7">
        <f>'3 escalar'!H87</f>
        <v/>
      </c>
      <c r="J84" s="7">
        <f>'3 escalar'!I87</f>
        <v/>
      </c>
      <c r="K84" s="7">
        <f>'3 escalar'!J87</f>
        <v/>
      </c>
      <c r="L84" s="7">
        <f>'3 escalar'!K87</f>
        <v/>
      </c>
      <c r="M84" s="7">
        <f>'3 escalar'!L87</f>
        <v/>
      </c>
      <c r="N84" s="7">
        <f>'3 escalar'!M87</f>
        <v/>
      </c>
      <c r="O84" s="7">
        <f>'3 escalar'!N87</f>
        <v/>
      </c>
      <c r="P84" s="7">
        <f>'3 escalar'!O87</f>
        <v/>
      </c>
      <c r="Q84" s="7">
        <f>'3 escalar'!P87</f>
        <v/>
      </c>
      <c r="R84" s="7">
        <f>'3 escalar'!Q87</f>
        <v/>
      </c>
      <c r="S84" s="7">
        <f>'3 escalar'!R87</f>
        <v/>
      </c>
      <c r="T84" s="7">
        <f>'3 escalar'!S87</f>
        <v/>
      </c>
      <c r="U84" s="7">
        <f>'3 escalar'!T87</f>
        <v/>
      </c>
      <c r="V84" s="6">
        <f>$AC$12+D84*$AC$13+E84*$AC$14+F84*$AC$15+G84*$AC$16+H84*$AC$17+I84*$AC$18+J84*$AC$19+K84*$AC$20+L84*$AC$21+M84*$AC$22+N84*$AC$23+O84*$AC$24+P84*$AC$25+Q84*$AC$26+R84*$AC$27+S84*$AC$28+T84*$AC$29+U84*$AC$30</f>
        <v/>
      </c>
      <c r="W84" s="6">
        <f>1/(1+EXP(-V84))</f>
        <v/>
      </c>
      <c r="X84" s="8">
        <f>-IF(C84=1,LN(W84),LN(1-W84))</f>
        <v/>
      </c>
      <c r="Y84" s="9">
        <f>IF(W84&gt;$AC$32,1,0)</f>
        <v/>
      </c>
      <c r="Z84">
        <f>IF(Y84=C84,1,0)</f>
        <v/>
      </c>
    </row>
    <row r="85">
      <c r="A85">
        <f>'3 escalar'!A88</f>
        <v/>
      </c>
      <c r="B85" s="5">
        <f>'3 escalar'!U88</f>
        <v/>
      </c>
      <c r="C85">
        <f>'3 escalar'!B88</f>
        <v/>
      </c>
      <c r="D85" s="7">
        <f>'3 escalar'!C88</f>
        <v/>
      </c>
      <c r="E85" s="7">
        <f>'3 escalar'!D88</f>
        <v/>
      </c>
      <c r="F85" s="7">
        <f>'3 escalar'!E88</f>
        <v/>
      </c>
      <c r="G85" s="7">
        <f>'3 escalar'!F88</f>
        <v/>
      </c>
      <c r="H85" s="7">
        <f>'3 escalar'!G88</f>
        <v/>
      </c>
      <c r="I85" s="7">
        <f>'3 escalar'!H88</f>
        <v/>
      </c>
      <c r="J85" s="7">
        <f>'3 escalar'!I88</f>
        <v/>
      </c>
      <c r="K85" s="7">
        <f>'3 escalar'!J88</f>
        <v/>
      </c>
      <c r="L85" s="7">
        <f>'3 escalar'!K88</f>
        <v/>
      </c>
      <c r="M85" s="7">
        <f>'3 escalar'!L88</f>
        <v/>
      </c>
      <c r="N85" s="7">
        <f>'3 escalar'!M88</f>
        <v/>
      </c>
      <c r="O85" s="7">
        <f>'3 escalar'!N88</f>
        <v/>
      </c>
      <c r="P85" s="7">
        <f>'3 escalar'!O88</f>
        <v/>
      </c>
      <c r="Q85" s="7">
        <f>'3 escalar'!P88</f>
        <v/>
      </c>
      <c r="R85" s="7">
        <f>'3 escalar'!Q88</f>
        <v/>
      </c>
      <c r="S85" s="7">
        <f>'3 escalar'!R88</f>
        <v/>
      </c>
      <c r="T85" s="7">
        <f>'3 escalar'!S88</f>
        <v/>
      </c>
      <c r="U85" s="7">
        <f>'3 escalar'!T88</f>
        <v/>
      </c>
      <c r="V85" s="6">
        <f>$AC$12+D85*$AC$13+E85*$AC$14+F85*$AC$15+G85*$AC$16+H85*$AC$17+I85*$AC$18+J85*$AC$19+K85*$AC$20+L85*$AC$21+M85*$AC$22+N85*$AC$23+O85*$AC$24+P85*$AC$25+Q85*$AC$26+R85*$AC$27+S85*$AC$28+T85*$AC$29+U85*$AC$30</f>
        <v/>
      </c>
      <c r="W85" s="6">
        <f>1/(1+EXP(-V85))</f>
        <v/>
      </c>
      <c r="X85" s="8">
        <f>-IF(C85=1,LN(W85),LN(1-W85))</f>
        <v/>
      </c>
      <c r="Y85" s="9">
        <f>IF(W85&gt;$AC$32,1,0)</f>
        <v/>
      </c>
      <c r="Z85">
        <f>IF(Y85=C85,1,0)</f>
        <v/>
      </c>
    </row>
    <row r="86">
      <c r="A86">
        <f>'3 escalar'!A89</f>
        <v/>
      </c>
      <c r="B86" s="5">
        <f>'3 escalar'!U89</f>
        <v/>
      </c>
      <c r="C86">
        <f>'3 escalar'!B89</f>
        <v/>
      </c>
      <c r="D86" s="7">
        <f>'3 escalar'!C89</f>
        <v/>
      </c>
      <c r="E86" s="7">
        <f>'3 escalar'!D89</f>
        <v/>
      </c>
      <c r="F86" s="7">
        <f>'3 escalar'!E89</f>
        <v/>
      </c>
      <c r="G86" s="7">
        <f>'3 escalar'!F89</f>
        <v/>
      </c>
      <c r="H86" s="7">
        <f>'3 escalar'!G89</f>
        <v/>
      </c>
      <c r="I86" s="7">
        <f>'3 escalar'!H89</f>
        <v/>
      </c>
      <c r="J86" s="7">
        <f>'3 escalar'!I89</f>
        <v/>
      </c>
      <c r="K86" s="7">
        <f>'3 escalar'!J89</f>
        <v/>
      </c>
      <c r="L86" s="7">
        <f>'3 escalar'!K89</f>
        <v/>
      </c>
      <c r="M86" s="7">
        <f>'3 escalar'!L89</f>
        <v/>
      </c>
      <c r="N86" s="7">
        <f>'3 escalar'!M89</f>
        <v/>
      </c>
      <c r="O86" s="7">
        <f>'3 escalar'!N89</f>
        <v/>
      </c>
      <c r="P86" s="7">
        <f>'3 escalar'!O89</f>
        <v/>
      </c>
      <c r="Q86" s="7">
        <f>'3 escalar'!P89</f>
        <v/>
      </c>
      <c r="R86" s="7">
        <f>'3 escalar'!Q89</f>
        <v/>
      </c>
      <c r="S86" s="7">
        <f>'3 escalar'!R89</f>
        <v/>
      </c>
      <c r="T86" s="7">
        <f>'3 escalar'!S89</f>
        <v/>
      </c>
      <c r="U86" s="7">
        <f>'3 escalar'!T89</f>
        <v/>
      </c>
      <c r="V86" s="6">
        <f>$AC$12+D86*$AC$13+E86*$AC$14+F86*$AC$15+G86*$AC$16+H86*$AC$17+I86*$AC$18+J86*$AC$19+K86*$AC$20+L86*$AC$21+M86*$AC$22+N86*$AC$23+O86*$AC$24+P86*$AC$25+Q86*$AC$26+R86*$AC$27+S86*$AC$28+T86*$AC$29+U86*$AC$30</f>
        <v/>
      </c>
      <c r="W86" s="6">
        <f>1/(1+EXP(-V86))</f>
        <v/>
      </c>
      <c r="X86" s="8">
        <f>-IF(C86=1,LN(W86),LN(1-W86))</f>
        <v/>
      </c>
      <c r="Y86" s="9">
        <f>IF(W86&gt;$AC$32,1,0)</f>
        <v/>
      </c>
      <c r="Z86">
        <f>IF(Y86=C86,1,0)</f>
        <v/>
      </c>
    </row>
    <row r="87">
      <c r="A87">
        <f>'3 escalar'!A90</f>
        <v/>
      </c>
      <c r="B87" s="5">
        <f>'3 escalar'!U90</f>
        <v/>
      </c>
      <c r="C87">
        <f>'3 escalar'!B90</f>
        <v/>
      </c>
      <c r="D87" s="7">
        <f>'3 escalar'!C90</f>
        <v/>
      </c>
      <c r="E87" s="7">
        <f>'3 escalar'!D90</f>
        <v/>
      </c>
      <c r="F87" s="7">
        <f>'3 escalar'!E90</f>
        <v/>
      </c>
      <c r="G87" s="7">
        <f>'3 escalar'!F90</f>
        <v/>
      </c>
      <c r="H87" s="7">
        <f>'3 escalar'!G90</f>
        <v/>
      </c>
      <c r="I87" s="7">
        <f>'3 escalar'!H90</f>
        <v/>
      </c>
      <c r="J87" s="7">
        <f>'3 escalar'!I90</f>
        <v/>
      </c>
      <c r="K87" s="7">
        <f>'3 escalar'!J90</f>
        <v/>
      </c>
      <c r="L87" s="7">
        <f>'3 escalar'!K90</f>
        <v/>
      </c>
      <c r="M87" s="7">
        <f>'3 escalar'!L90</f>
        <v/>
      </c>
      <c r="N87" s="7">
        <f>'3 escalar'!M90</f>
        <v/>
      </c>
      <c r="O87" s="7">
        <f>'3 escalar'!N90</f>
        <v/>
      </c>
      <c r="P87" s="7">
        <f>'3 escalar'!O90</f>
        <v/>
      </c>
      <c r="Q87" s="7">
        <f>'3 escalar'!P90</f>
        <v/>
      </c>
      <c r="R87" s="7">
        <f>'3 escalar'!Q90</f>
        <v/>
      </c>
      <c r="S87" s="7">
        <f>'3 escalar'!R90</f>
        <v/>
      </c>
      <c r="T87" s="7">
        <f>'3 escalar'!S90</f>
        <v/>
      </c>
      <c r="U87" s="7">
        <f>'3 escalar'!T90</f>
        <v/>
      </c>
      <c r="V87" s="6">
        <f>$AC$12+D87*$AC$13+E87*$AC$14+F87*$AC$15+G87*$AC$16+H87*$AC$17+I87*$AC$18+J87*$AC$19+K87*$AC$20+L87*$AC$21+M87*$AC$22+N87*$AC$23+O87*$AC$24+P87*$AC$25+Q87*$AC$26+R87*$AC$27+S87*$AC$28+T87*$AC$29+U87*$AC$30</f>
        <v/>
      </c>
      <c r="W87" s="6">
        <f>1/(1+EXP(-V87))</f>
        <v/>
      </c>
      <c r="X87" s="8">
        <f>-IF(C87=1,LN(W87),LN(1-W87))</f>
        <v/>
      </c>
      <c r="Y87" s="9">
        <f>IF(W87&gt;$AC$32,1,0)</f>
        <v/>
      </c>
      <c r="Z87">
        <f>IF(Y87=C87,1,0)</f>
        <v/>
      </c>
    </row>
    <row r="88">
      <c r="A88">
        <f>'3 escalar'!A91</f>
        <v/>
      </c>
      <c r="B88" s="5">
        <f>'3 escalar'!U91</f>
        <v/>
      </c>
      <c r="C88">
        <f>'3 escalar'!B91</f>
        <v/>
      </c>
      <c r="D88" s="7">
        <f>'3 escalar'!C91</f>
        <v/>
      </c>
      <c r="E88" s="7">
        <f>'3 escalar'!D91</f>
        <v/>
      </c>
      <c r="F88" s="7">
        <f>'3 escalar'!E91</f>
        <v/>
      </c>
      <c r="G88" s="7">
        <f>'3 escalar'!F91</f>
        <v/>
      </c>
      <c r="H88" s="7">
        <f>'3 escalar'!G91</f>
        <v/>
      </c>
      <c r="I88" s="7">
        <f>'3 escalar'!H91</f>
        <v/>
      </c>
      <c r="J88" s="7">
        <f>'3 escalar'!I91</f>
        <v/>
      </c>
      <c r="K88" s="7">
        <f>'3 escalar'!J91</f>
        <v/>
      </c>
      <c r="L88" s="7">
        <f>'3 escalar'!K91</f>
        <v/>
      </c>
      <c r="M88" s="7">
        <f>'3 escalar'!L91</f>
        <v/>
      </c>
      <c r="N88" s="7">
        <f>'3 escalar'!M91</f>
        <v/>
      </c>
      <c r="O88" s="7">
        <f>'3 escalar'!N91</f>
        <v/>
      </c>
      <c r="P88" s="7">
        <f>'3 escalar'!O91</f>
        <v/>
      </c>
      <c r="Q88" s="7">
        <f>'3 escalar'!P91</f>
        <v/>
      </c>
      <c r="R88" s="7">
        <f>'3 escalar'!Q91</f>
        <v/>
      </c>
      <c r="S88" s="7">
        <f>'3 escalar'!R91</f>
        <v/>
      </c>
      <c r="T88" s="7">
        <f>'3 escalar'!S91</f>
        <v/>
      </c>
      <c r="U88" s="7">
        <f>'3 escalar'!T91</f>
        <v/>
      </c>
      <c r="V88" s="6">
        <f>$AC$12+D88*$AC$13+E88*$AC$14+F88*$AC$15+G88*$AC$16+H88*$AC$17+I88*$AC$18+J88*$AC$19+K88*$AC$20+L88*$AC$21+M88*$AC$22+N88*$AC$23+O88*$AC$24+P88*$AC$25+Q88*$AC$26+R88*$AC$27+S88*$AC$28+T88*$AC$29+U88*$AC$30</f>
        <v/>
      </c>
      <c r="W88" s="6">
        <f>1/(1+EXP(-V88))</f>
        <v/>
      </c>
      <c r="X88" s="8">
        <f>-IF(C88=1,LN(W88),LN(1-W88))</f>
        <v/>
      </c>
      <c r="Y88" s="9">
        <f>IF(W88&gt;$AC$32,1,0)</f>
        <v/>
      </c>
      <c r="Z88">
        <f>IF(Y88=C88,1,0)</f>
        <v/>
      </c>
    </row>
    <row r="89">
      <c r="A89">
        <f>'3 escalar'!A92</f>
        <v/>
      </c>
      <c r="B89" s="5">
        <f>'3 escalar'!U92</f>
        <v/>
      </c>
      <c r="C89">
        <f>'3 escalar'!B92</f>
        <v/>
      </c>
      <c r="D89" s="7">
        <f>'3 escalar'!C92</f>
        <v/>
      </c>
      <c r="E89" s="7">
        <f>'3 escalar'!D92</f>
        <v/>
      </c>
      <c r="F89" s="7">
        <f>'3 escalar'!E92</f>
        <v/>
      </c>
      <c r="G89" s="7">
        <f>'3 escalar'!F92</f>
        <v/>
      </c>
      <c r="H89" s="7">
        <f>'3 escalar'!G92</f>
        <v/>
      </c>
      <c r="I89" s="7">
        <f>'3 escalar'!H92</f>
        <v/>
      </c>
      <c r="J89" s="7">
        <f>'3 escalar'!I92</f>
        <v/>
      </c>
      <c r="K89" s="7">
        <f>'3 escalar'!J92</f>
        <v/>
      </c>
      <c r="L89" s="7">
        <f>'3 escalar'!K92</f>
        <v/>
      </c>
      <c r="M89" s="7">
        <f>'3 escalar'!L92</f>
        <v/>
      </c>
      <c r="N89" s="7">
        <f>'3 escalar'!M92</f>
        <v/>
      </c>
      <c r="O89" s="7">
        <f>'3 escalar'!N92</f>
        <v/>
      </c>
      <c r="P89" s="7">
        <f>'3 escalar'!O92</f>
        <v/>
      </c>
      <c r="Q89" s="7">
        <f>'3 escalar'!P92</f>
        <v/>
      </c>
      <c r="R89" s="7">
        <f>'3 escalar'!Q92</f>
        <v/>
      </c>
      <c r="S89" s="7">
        <f>'3 escalar'!R92</f>
        <v/>
      </c>
      <c r="T89" s="7">
        <f>'3 escalar'!S92</f>
        <v/>
      </c>
      <c r="U89" s="7">
        <f>'3 escalar'!T92</f>
        <v/>
      </c>
      <c r="V89" s="6">
        <f>$AC$12+D89*$AC$13+E89*$AC$14+F89*$AC$15+G89*$AC$16+H89*$AC$17+I89*$AC$18+J89*$AC$19+K89*$AC$20+L89*$AC$21+M89*$AC$22+N89*$AC$23+O89*$AC$24+P89*$AC$25+Q89*$AC$26+R89*$AC$27+S89*$AC$28+T89*$AC$29+U89*$AC$30</f>
        <v/>
      </c>
      <c r="W89" s="6">
        <f>1/(1+EXP(-V89))</f>
        <v/>
      </c>
      <c r="X89" s="8">
        <f>-IF(C89=1,LN(W89),LN(1-W89))</f>
        <v/>
      </c>
      <c r="Y89" s="9">
        <f>IF(W89&gt;$AC$32,1,0)</f>
        <v/>
      </c>
      <c r="Z89">
        <f>IF(Y89=C89,1,0)</f>
        <v/>
      </c>
    </row>
    <row r="90">
      <c r="A90">
        <f>'3 escalar'!A93</f>
        <v/>
      </c>
      <c r="B90" s="5">
        <f>'3 escalar'!U93</f>
        <v/>
      </c>
      <c r="C90">
        <f>'3 escalar'!B93</f>
        <v/>
      </c>
      <c r="D90" s="7">
        <f>'3 escalar'!C93</f>
        <v/>
      </c>
      <c r="E90" s="7">
        <f>'3 escalar'!D93</f>
        <v/>
      </c>
      <c r="F90" s="7">
        <f>'3 escalar'!E93</f>
        <v/>
      </c>
      <c r="G90" s="7">
        <f>'3 escalar'!F93</f>
        <v/>
      </c>
      <c r="H90" s="7">
        <f>'3 escalar'!G93</f>
        <v/>
      </c>
      <c r="I90" s="7">
        <f>'3 escalar'!H93</f>
        <v/>
      </c>
      <c r="J90" s="7">
        <f>'3 escalar'!I93</f>
        <v/>
      </c>
      <c r="K90" s="7">
        <f>'3 escalar'!J93</f>
        <v/>
      </c>
      <c r="L90" s="7">
        <f>'3 escalar'!K93</f>
        <v/>
      </c>
      <c r="M90" s="7">
        <f>'3 escalar'!L93</f>
        <v/>
      </c>
      <c r="N90" s="7">
        <f>'3 escalar'!M93</f>
        <v/>
      </c>
      <c r="O90" s="7">
        <f>'3 escalar'!N93</f>
        <v/>
      </c>
      <c r="P90" s="7">
        <f>'3 escalar'!O93</f>
        <v/>
      </c>
      <c r="Q90" s="7">
        <f>'3 escalar'!P93</f>
        <v/>
      </c>
      <c r="R90" s="7">
        <f>'3 escalar'!Q93</f>
        <v/>
      </c>
      <c r="S90" s="7">
        <f>'3 escalar'!R93</f>
        <v/>
      </c>
      <c r="T90" s="7">
        <f>'3 escalar'!S93</f>
        <v/>
      </c>
      <c r="U90" s="7">
        <f>'3 escalar'!T93</f>
        <v/>
      </c>
      <c r="V90" s="6">
        <f>$AC$12+D90*$AC$13+E90*$AC$14+F90*$AC$15+G90*$AC$16+H90*$AC$17+I90*$AC$18+J90*$AC$19+K90*$AC$20+L90*$AC$21+M90*$AC$22+N90*$AC$23+O90*$AC$24+P90*$AC$25+Q90*$AC$26+R90*$AC$27+S90*$AC$28+T90*$AC$29+U90*$AC$30</f>
        <v/>
      </c>
      <c r="W90" s="6">
        <f>1/(1+EXP(-V90))</f>
        <v/>
      </c>
      <c r="X90" s="8">
        <f>-IF(C90=1,LN(W90),LN(1-W90))</f>
        <v/>
      </c>
      <c r="Y90" s="9">
        <f>IF(W90&gt;$AC$32,1,0)</f>
        <v/>
      </c>
      <c r="Z90">
        <f>IF(Y90=C90,1,0)</f>
        <v/>
      </c>
    </row>
    <row r="91">
      <c r="A91">
        <f>'3 escalar'!A94</f>
        <v/>
      </c>
      <c r="B91" s="5">
        <f>'3 escalar'!U94</f>
        <v/>
      </c>
      <c r="C91">
        <f>'3 escalar'!B94</f>
        <v/>
      </c>
      <c r="D91" s="7">
        <f>'3 escalar'!C94</f>
        <v/>
      </c>
      <c r="E91" s="7">
        <f>'3 escalar'!D94</f>
        <v/>
      </c>
      <c r="F91" s="7">
        <f>'3 escalar'!E94</f>
        <v/>
      </c>
      <c r="G91" s="7">
        <f>'3 escalar'!F94</f>
        <v/>
      </c>
      <c r="H91" s="7">
        <f>'3 escalar'!G94</f>
        <v/>
      </c>
      <c r="I91" s="7">
        <f>'3 escalar'!H94</f>
        <v/>
      </c>
      <c r="J91" s="7">
        <f>'3 escalar'!I94</f>
        <v/>
      </c>
      <c r="K91" s="7">
        <f>'3 escalar'!J94</f>
        <v/>
      </c>
      <c r="L91" s="7">
        <f>'3 escalar'!K94</f>
        <v/>
      </c>
      <c r="M91" s="7">
        <f>'3 escalar'!L94</f>
        <v/>
      </c>
      <c r="N91" s="7">
        <f>'3 escalar'!M94</f>
        <v/>
      </c>
      <c r="O91" s="7">
        <f>'3 escalar'!N94</f>
        <v/>
      </c>
      <c r="P91" s="7">
        <f>'3 escalar'!O94</f>
        <v/>
      </c>
      <c r="Q91" s="7">
        <f>'3 escalar'!P94</f>
        <v/>
      </c>
      <c r="R91" s="7">
        <f>'3 escalar'!Q94</f>
        <v/>
      </c>
      <c r="S91" s="7">
        <f>'3 escalar'!R94</f>
        <v/>
      </c>
      <c r="T91" s="7">
        <f>'3 escalar'!S94</f>
        <v/>
      </c>
      <c r="U91" s="7">
        <f>'3 escalar'!T94</f>
        <v/>
      </c>
      <c r="V91" s="6">
        <f>$AC$12+D91*$AC$13+E91*$AC$14+F91*$AC$15+G91*$AC$16+H91*$AC$17+I91*$AC$18+J91*$AC$19+K91*$AC$20+L91*$AC$21+M91*$AC$22+N91*$AC$23+O91*$AC$24+P91*$AC$25+Q91*$AC$26+R91*$AC$27+S91*$AC$28+T91*$AC$29+U91*$AC$30</f>
        <v/>
      </c>
      <c r="W91" s="6">
        <f>1/(1+EXP(-V91))</f>
        <v/>
      </c>
      <c r="X91" s="8">
        <f>-IF(C91=1,LN(W91),LN(1-W91))</f>
        <v/>
      </c>
      <c r="Y91" s="9">
        <f>IF(W91&gt;$AC$32,1,0)</f>
        <v/>
      </c>
      <c r="Z91">
        <f>IF(Y91=C91,1,0)</f>
        <v/>
      </c>
    </row>
    <row r="92">
      <c r="A92">
        <f>'3 escalar'!A95</f>
        <v/>
      </c>
      <c r="B92" s="5">
        <f>'3 escalar'!U95</f>
        <v/>
      </c>
      <c r="C92">
        <f>'3 escalar'!B95</f>
        <v/>
      </c>
      <c r="D92" s="7">
        <f>'3 escalar'!C95</f>
        <v/>
      </c>
      <c r="E92" s="7">
        <f>'3 escalar'!D95</f>
        <v/>
      </c>
      <c r="F92" s="7">
        <f>'3 escalar'!E95</f>
        <v/>
      </c>
      <c r="G92" s="7">
        <f>'3 escalar'!F95</f>
        <v/>
      </c>
      <c r="H92" s="7">
        <f>'3 escalar'!G95</f>
        <v/>
      </c>
      <c r="I92" s="7">
        <f>'3 escalar'!H95</f>
        <v/>
      </c>
      <c r="J92" s="7">
        <f>'3 escalar'!I95</f>
        <v/>
      </c>
      <c r="K92" s="7">
        <f>'3 escalar'!J95</f>
        <v/>
      </c>
      <c r="L92" s="7">
        <f>'3 escalar'!K95</f>
        <v/>
      </c>
      <c r="M92" s="7">
        <f>'3 escalar'!L95</f>
        <v/>
      </c>
      <c r="N92" s="7">
        <f>'3 escalar'!M95</f>
        <v/>
      </c>
      <c r="O92" s="7">
        <f>'3 escalar'!N95</f>
        <v/>
      </c>
      <c r="P92" s="7">
        <f>'3 escalar'!O95</f>
        <v/>
      </c>
      <c r="Q92" s="7">
        <f>'3 escalar'!P95</f>
        <v/>
      </c>
      <c r="R92" s="7">
        <f>'3 escalar'!Q95</f>
        <v/>
      </c>
      <c r="S92" s="7">
        <f>'3 escalar'!R95</f>
        <v/>
      </c>
      <c r="T92" s="7">
        <f>'3 escalar'!S95</f>
        <v/>
      </c>
      <c r="U92" s="7">
        <f>'3 escalar'!T95</f>
        <v/>
      </c>
      <c r="V92" s="6">
        <f>$AC$12+D92*$AC$13+E92*$AC$14+F92*$AC$15+G92*$AC$16+H92*$AC$17+I92*$AC$18+J92*$AC$19+K92*$AC$20+L92*$AC$21+M92*$AC$22+N92*$AC$23+O92*$AC$24+P92*$AC$25+Q92*$AC$26+R92*$AC$27+S92*$AC$28+T92*$AC$29+U92*$AC$30</f>
        <v/>
      </c>
      <c r="W92" s="6">
        <f>1/(1+EXP(-V92))</f>
        <v/>
      </c>
      <c r="X92" s="8">
        <f>-IF(C92=1,LN(W92),LN(1-W92))</f>
        <v/>
      </c>
      <c r="Y92" s="9">
        <f>IF(W92&gt;$AC$32,1,0)</f>
        <v/>
      </c>
      <c r="Z92">
        <f>IF(Y92=C92,1,0)</f>
        <v/>
      </c>
    </row>
    <row r="93">
      <c r="A93">
        <f>'3 escalar'!A96</f>
        <v/>
      </c>
      <c r="B93" s="5">
        <f>'3 escalar'!U96</f>
        <v/>
      </c>
      <c r="C93">
        <f>'3 escalar'!B96</f>
        <v/>
      </c>
      <c r="D93" s="7">
        <f>'3 escalar'!C96</f>
        <v/>
      </c>
      <c r="E93" s="7">
        <f>'3 escalar'!D96</f>
        <v/>
      </c>
      <c r="F93" s="7">
        <f>'3 escalar'!E96</f>
        <v/>
      </c>
      <c r="G93" s="7">
        <f>'3 escalar'!F96</f>
        <v/>
      </c>
      <c r="H93" s="7">
        <f>'3 escalar'!G96</f>
        <v/>
      </c>
      <c r="I93" s="7">
        <f>'3 escalar'!H96</f>
        <v/>
      </c>
      <c r="J93" s="7">
        <f>'3 escalar'!I96</f>
        <v/>
      </c>
      <c r="K93" s="7">
        <f>'3 escalar'!J96</f>
        <v/>
      </c>
      <c r="L93" s="7">
        <f>'3 escalar'!K96</f>
        <v/>
      </c>
      <c r="M93" s="7">
        <f>'3 escalar'!L96</f>
        <v/>
      </c>
      <c r="N93" s="7">
        <f>'3 escalar'!M96</f>
        <v/>
      </c>
      <c r="O93" s="7">
        <f>'3 escalar'!N96</f>
        <v/>
      </c>
      <c r="P93" s="7">
        <f>'3 escalar'!O96</f>
        <v/>
      </c>
      <c r="Q93" s="7">
        <f>'3 escalar'!P96</f>
        <v/>
      </c>
      <c r="R93" s="7">
        <f>'3 escalar'!Q96</f>
        <v/>
      </c>
      <c r="S93" s="7">
        <f>'3 escalar'!R96</f>
        <v/>
      </c>
      <c r="T93" s="7">
        <f>'3 escalar'!S96</f>
        <v/>
      </c>
      <c r="U93" s="7">
        <f>'3 escalar'!T96</f>
        <v/>
      </c>
      <c r="V93" s="6">
        <f>$AC$12+D93*$AC$13+E93*$AC$14+F93*$AC$15+G93*$AC$16+H93*$AC$17+I93*$AC$18+J93*$AC$19+K93*$AC$20+L93*$AC$21+M93*$AC$22+N93*$AC$23+O93*$AC$24+P93*$AC$25+Q93*$AC$26+R93*$AC$27+S93*$AC$28+T93*$AC$29+U93*$AC$30</f>
        <v/>
      </c>
      <c r="W93" s="6">
        <f>1/(1+EXP(-V93))</f>
        <v/>
      </c>
      <c r="X93" s="8">
        <f>-IF(C93=1,LN(W93),LN(1-W93))</f>
        <v/>
      </c>
      <c r="Y93" s="9">
        <f>IF(W93&gt;$AC$32,1,0)</f>
        <v/>
      </c>
      <c r="Z93">
        <f>IF(Y93=C93,1,0)</f>
        <v/>
      </c>
    </row>
    <row r="94">
      <c r="A94">
        <f>'3 escalar'!A97</f>
        <v/>
      </c>
      <c r="B94" s="5">
        <f>'3 escalar'!U97</f>
        <v/>
      </c>
      <c r="C94">
        <f>'3 escalar'!B97</f>
        <v/>
      </c>
      <c r="D94" s="7">
        <f>'3 escalar'!C97</f>
        <v/>
      </c>
      <c r="E94" s="7">
        <f>'3 escalar'!D97</f>
        <v/>
      </c>
      <c r="F94" s="7">
        <f>'3 escalar'!E97</f>
        <v/>
      </c>
      <c r="G94" s="7">
        <f>'3 escalar'!F97</f>
        <v/>
      </c>
      <c r="H94" s="7">
        <f>'3 escalar'!G97</f>
        <v/>
      </c>
      <c r="I94" s="7">
        <f>'3 escalar'!H97</f>
        <v/>
      </c>
      <c r="J94" s="7">
        <f>'3 escalar'!I97</f>
        <v/>
      </c>
      <c r="K94" s="7">
        <f>'3 escalar'!J97</f>
        <v/>
      </c>
      <c r="L94" s="7">
        <f>'3 escalar'!K97</f>
        <v/>
      </c>
      <c r="M94" s="7">
        <f>'3 escalar'!L97</f>
        <v/>
      </c>
      <c r="N94" s="7">
        <f>'3 escalar'!M97</f>
        <v/>
      </c>
      <c r="O94" s="7">
        <f>'3 escalar'!N97</f>
        <v/>
      </c>
      <c r="P94" s="7">
        <f>'3 escalar'!O97</f>
        <v/>
      </c>
      <c r="Q94" s="7">
        <f>'3 escalar'!P97</f>
        <v/>
      </c>
      <c r="R94" s="7">
        <f>'3 escalar'!Q97</f>
        <v/>
      </c>
      <c r="S94" s="7">
        <f>'3 escalar'!R97</f>
        <v/>
      </c>
      <c r="T94" s="7">
        <f>'3 escalar'!S97</f>
        <v/>
      </c>
      <c r="U94" s="7">
        <f>'3 escalar'!T97</f>
        <v/>
      </c>
      <c r="V94" s="6">
        <f>$AC$12+D94*$AC$13+E94*$AC$14+F94*$AC$15+G94*$AC$16+H94*$AC$17+I94*$AC$18+J94*$AC$19+K94*$AC$20+L94*$AC$21+M94*$AC$22+N94*$AC$23+O94*$AC$24+P94*$AC$25+Q94*$AC$26+R94*$AC$27+S94*$AC$28+T94*$AC$29+U94*$AC$30</f>
        <v/>
      </c>
      <c r="W94" s="6">
        <f>1/(1+EXP(-V94))</f>
        <v/>
      </c>
      <c r="X94" s="8">
        <f>-IF(C94=1,LN(W94),LN(1-W94))</f>
        <v/>
      </c>
      <c r="Y94" s="9">
        <f>IF(W94&gt;$AC$32,1,0)</f>
        <v/>
      </c>
      <c r="Z94">
        <f>IF(Y94=C94,1,0)</f>
        <v/>
      </c>
    </row>
    <row r="95">
      <c r="A95">
        <f>'3 escalar'!A98</f>
        <v/>
      </c>
      <c r="B95" s="5">
        <f>'3 escalar'!U98</f>
        <v/>
      </c>
      <c r="C95">
        <f>'3 escalar'!B98</f>
        <v/>
      </c>
      <c r="D95" s="7">
        <f>'3 escalar'!C98</f>
        <v/>
      </c>
      <c r="E95" s="7">
        <f>'3 escalar'!D98</f>
        <v/>
      </c>
      <c r="F95" s="7">
        <f>'3 escalar'!E98</f>
        <v/>
      </c>
      <c r="G95" s="7">
        <f>'3 escalar'!F98</f>
        <v/>
      </c>
      <c r="H95" s="7">
        <f>'3 escalar'!G98</f>
        <v/>
      </c>
      <c r="I95" s="7">
        <f>'3 escalar'!H98</f>
        <v/>
      </c>
      <c r="J95" s="7">
        <f>'3 escalar'!I98</f>
        <v/>
      </c>
      <c r="K95" s="7">
        <f>'3 escalar'!J98</f>
        <v/>
      </c>
      <c r="L95" s="7">
        <f>'3 escalar'!K98</f>
        <v/>
      </c>
      <c r="M95" s="7">
        <f>'3 escalar'!L98</f>
        <v/>
      </c>
      <c r="N95" s="7">
        <f>'3 escalar'!M98</f>
        <v/>
      </c>
      <c r="O95" s="7">
        <f>'3 escalar'!N98</f>
        <v/>
      </c>
      <c r="P95" s="7">
        <f>'3 escalar'!O98</f>
        <v/>
      </c>
      <c r="Q95" s="7">
        <f>'3 escalar'!P98</f>
        <v/>
      </c>
      <c r="R95" s="7">
        <f>'3 escalar'!Q98</f>
        <v/>
      </c>
      <c r="S95" s="7">
        <f>'3 escalar'!R98</f>
        <v/>
      </c>
      <c r="T95" s="7">
        <f>'3 escalar'!S98</f>
        <v/>
      </c>
      <c r="U95" s="7">
        <f>'3 escalar'!T98</f>
        <v/>
      </c>
      <c r="V95" s="6">
        <f>$AC$12+D95*$AC$13+E95*$AC$14+F95*$AC$15+G95*$AC$16+H95*$AC$17+I95*$AC$18+J95*$AC$19+K95*$AC$20+L95*$AC$21+M95*$AC$22+N95*$AC$23+O95*$AC$24+P95*$AC$25+Q95*$AC$26+R95*$AC$27+S95*$AC$28+T95*$AC$29+U95*$AC$30</f>
        <v/>
      </c>
      <c r="W95" s="6">
        <f>1/(1+EXP(-V95))</f>
        <v/>
      </c>
      <c r="X95" s="8">
        <f>-IF(C95=1,LN(W95),LN(1-W95))</f>
        <v/>
      </c>
      <c r="Y95" s="9">
        <f>IF(W95&gt;$AC$32,1,0)</f>
        <v/>
      </c>
      <c r="Z95">
        <f>IF(Y95=C95,1,0)</f>
        <v/>
      </c>
    </row>
    <row r="96">
      <c r="A96">
        <f>'3 escalar'!A99</f>
        <v/>
      </c>
      <c r="B96" s="5">
        <f>'3 escalar'!U99</f>
        <v/>
      </c>
      <c r="C96">
        <f>'3 escalar'!B99</f>
        <v/>
      </c>
      <c r="D96" s="7">
        <f>'3 escalar'!C99</f>
        <v/>
      </c>
      <c r="E96" s="7">
        <f>'3 escalar'!D99</f>
        <v/>
      </c>
      <c r="F96" s="7">
        <f>'3 escalar'!E99</f>
        <v/>
      </c>
      <c r="G96" s="7">
        <f>'3 escalar'!F99</f>
        <v/>
      </c>
      <c r="H96" s="7">
        <f>'3 escalar'!G99</f>
        <v/>
      </c>
      <c r="I96" s="7">
        <f>'3 escalar'!H99</f>
        <v/>
      </c>
      <c r="J96" s="7">
        <f>'3 escalar'!I99</f>
        <v/>
      </c>
      <c r="K96" s="7">
        <f>'3 escalar'!J99</f>
        <v/>
      </c>
      <c r="L96" s="7">
        <f>'3 escalar'!K99</f>
        <v/>
      </c>
      <c r="M96" s="7">
        <f>'3 escalar'!L99</f>
        <v/>
      </c>
      <c r="N96" s="7">
        <f>'3 escalar'!M99</f>
        <v/>
      </c>
      <c r="O96" s="7">
        <f>'3 escalar'!N99</f>
        <v/>
      </c>
      <c r="P96" s="7">
        <f>'3 escalar'!O99</f>
        <v/>
      </c>
      <c r="Q96" s="7">
        <f>'3 escalar'!P99</f>
        <v/>
      </c>
      <c r="R96" s="7">
        <f>'3 escalar'!Q99</f>
        <v/>
      </c>
      <c r="S96" s="7">
        <f>'3 escalar'!R99</f>
        <v/>
      </c>
      <c r="T96" s="7">
        <f>'3 escalar'!S99</f>
        <v/>
      </c>
      <c r="U96" s="7">
        <f>'3 escalar'!T99</f>
        <v/>
      </c>
      <c r="V96" s="6">
        <f>$AC$12+D96*$AC$13+E96*$AC$14+F96*$AC$15+G96*$AC$16+H96*$AC$17+I96*$AC$18+J96*$AC$19+K96*$AC$20+L96*$AC$21+M96*$AC$22+N96*$AC$23+O96*$AC$24+P96*$AC$25+Q96*$AC$26+R96*$AC$27+S96*$AC$28+T96*$AC$29+U96*$AC$30</f>
        <v/>
      </c>
      <c r="W96" s="6">
        <f>1/(1+EXP(-V96))</f>
        <v/>
      </c>
      <c r="X96" s="8">
        <f>-IF(C96=1,LN(W96),LN(1-W96))</f>
        <v/>
      </c>
      <c r="Y96" s="9">
        <f>IF(W96&gt;$AC$32,1,0)</f>
        <v/>
      </c>
      <c r="Z96">
        <f>IF(Y96=C96,1,0)</f>
        <v/>
      </c>
    </row>
    <row r="97">
      <c r="A97">
        <f>'3 escalar'!A100</f>
        <v/>
      </c>
      <c r="B97" s="5">
        <f>'3 escalar'!U100</f>
        <v/>
      </c>
      <c r="C97">
        <f>'3 escalar'!B100</f>
        <v/>
      </c>
      <c r="D97" s="7">
        <f>'3 escalar'!C100</f>
        <v/>
      </c>
      <c r="E97" s="7">
        <f>'3 escalar'!D100</f>
        <v/>
      </c>
      <c r="F97" s="7">
        <f>'3 escalar'!E100</f>
        <v/>
      </c>
      <c r="G97" s="7">
        <f>'3 escalar'!F100</f>
        <v/>
      </c>
      <c r="H97" s="7">
        <f>'3 escalar'!G100</f>
        <v/>
      </c>
      <c r="I97" s="7">
        <f>'3 escalar'!H100</f>
        <v/>
      </c>
      <c r="J97" s="7">
        <f>'3 escalar'!I100</f>
        <v/>
      </c>
      <c r="K97" s="7">
        <f>'3 escalar'!J100</f>
        <v/>
      </c>
      <c r="L97" s="7">
        <f>'3 escalar'!K100</f>
        <v/>
      </c>
      <c r="M97" s="7">
        <f>'3 escalar'!L100</f>
        <v/>
      </c>
      <c r="N97" s="7">
        <f>'3 escalar'!M100</f>
        <v/>
      </c>
      <c r="O97" s="7">
        <f>'3 escalar'!N100</f>
        <v/>
      </c>
      <c r="P97" s="7">
        <f>'3 escalar'!O100</f>
        <v/>
      </c>
      <c r="Q97" s="7">
        <f>'3 escalar'!P100</f>
        <v/>
      </c>
      <c r="R97" s="7">
        <f>'3 escalar'!Q100</f>
        <v/>
      </c>
      <c r="S97" s="7">
        <f>'3 escalar'!R100</f>
        <v/>
      </c>
      <c r="T97" s="7">
        <f>'3 escalar'!S100</f>
        <v/>
      </c>
      <c r="U97" s="7">
        <f>'3 escalar'!T100</f>
        <v/>
      </c>
      <c r="V97" s="6">
        <f>$AC$12+D97*$AC$13+E97*$AC$14+F97*$AC$15+G97*$AC$16+H97*$AC$17+I97*$AC$18+J97*$AC$19+K97*$AC$20+L97*$AC$21+M97*$AC$22+N97*$AC$23+O97*$AC$24+P97*$AC$25+Q97*$AC$26+R97*$AC$27+S97*$AC$28+T97*$AC$29+U97*$AC$30</f>
        <v/>
      </c>
      <c r="W97" s="6">
        <f>1/(1+EXP(-V97))</f>
        <v/>
      </c>
      <c r="X97" s="8">
        <f>-IF(C97=1,LN(W97),LN(1-W97))</f>
        <v/>
      </c>
      <c r="Y97" s="9">
        <f>IF(W97&gt;$AC$32,1,0)</f>
        <v/>
      </c>
      <c r="Z97">
        <f>IF(Y97=C97,1,0)</f>
        <v/>
      </c>
    </row>
    <row r="98">
      <c r="A98">
        <f>'3 escalar'!A101</f>
        <v/>
      </c>
      <c r="B98" s="5">
        <f>'3 escalar'!U101</f>
        <v/>
      </c>
      <c r="C98">
        <f>'3 escalar'!B101</f>
        <v/>
      </c>
      <c r="D98" s="7">
        <f>'3 escalar'!C101</f>
        <v/>
      </c>
      <c r="E98" s="7">
        <f>'3 escalar'!D101</f>
        <v/>
      </c>
      <c r="F98" s="7">
        <f>'3 escalar'!E101</f>
        <v/>
      </c>
      <c r="G98" s="7">
        <f>'3 escalar'!F101</f>
        <v/>
      </c>
      <c r="H98" s="7">
        <f>'3 escalar'!G101</f>
        <v/>
      </c>
      <c r="I98" s="7">
        <f>'3 escalar'!H101</f>
        <v/>
      </c>
      <c r="J98" s="7">
        <f>'3 escalar'!I101</f>
        <v/>
      </c>
      <c r="K98" s="7">
        <f>'3 escalar'!J101</f>
        <v/>
      </c>
      <c r="L98" s="7">
        <f>'3 escalar'!K101</f>
        <v/>
      </c>
      <c r="M98" s="7">
        <f>'3 escalar'!L101</f>
        <v/>
      </c>
      <c r="N98" s="7">
        <f>'3 escalar'!M101</f>
        <v/>
      </c>
      <c r="O98" s="7">
        <f>'3 escalar'!N101</f>
        <v/>
      </c>
      <c r="P98" s="7">
        <f>'3 escalar'!O101</f>
        <v/>
      </c>
      <c r="Q98" s="7">
        <f>'3 escalar'!P101</f>
        <v/>
      </c>
      <c r="R98" s="7">
        <f>'3 escalar'!Q101</f>
        <v/>
      </c>
      <c r="S98" s="7">
        <f>'3 escalar'!R101</f>
        <v/>
      </c>
      <c r="T98" s="7">
        <f>'3 escalar'!S101</f>
        <v/>
      </c>
      <c r="U98" s="7">
        <f>'3 escalar'!T101</f>
        <v/>
      </c>
      <c r="V98" s="6">
        <f>$AC$12+D98*$AC$13+E98*$AC$14+F98*$AC$15+G98*$AC$16+H98*$AC$17+I98*$AC$18+J98*$AC$19+K98*$AC$20+L98*$AC$21+M98*$AC$22+N98*$AC$23+O98*$AC$24+P98*$AC$25+Q98*$AC$26+R98*$AC$27+S98*$AC$28+T98*$AC$29+U98*$AC$30</f>
        <v/>
      </c>
      <c r="W98" s="6">
        <f>1/(1+EXP(-V98))</f>
        <v/>
      </c>
      <c r="X98" s="8">
        <f>-IF(C98=1,LN(W98),LN(1-W98))</f>
        <v/>
      </c>
      <c r="Y98" s="9">
        <f>IF(W98&gt;$AC$32,1,0)</f>
        <v/>
      </c>
      <c r="Z98">
        <f>IF(Y98=C98,1,0)</f>
        <v/>
      </c>
    </row>
    <row r="99">
      <c r="A99">
        <f>'3 escalar'!A102</f>
        <v/>
      </c>
      <c r="B99" s="5">
        <f>'3 escalar'!U102</f>
        <v/>
      </c>
      <c r="C99">
        <f>'3 escalar'!B102</f>
        <v/>
      </c>
      <c r="D99" s="7">
        <f>'3 escalar'!C102</f>
        <v/>
      </c>
      <c r="E99" s="7">
        <f>'3 escalar'!D102</f>
        <v/>
      </c>
      <c r="F99" s="7">
        <f>'3 escalar'!E102</f>
        <v/>
      </c>
      <c r="G99" s="7">
        <f>'3 escalar'!F102</f>
        <v/>
      </c>
      <c r="H99" s="7">
        <f>'3 escalar'!G102</f>
        <v/>
      </c>
      <c r="I99" s="7">
        <f>'3 escalar'!H102</f>
        <v/>
      </c>
      <c r="J99" s="7">
        <f>'3 escalar'!I102</f>
        <v/>
      </c>
      <c r="K99" s="7">
        <f>'3 escalar'!J102</f>
        <v/>
      </c>
      <c r="L99" s="7">
        <f>'3 escalar'!K102</f>
        <v/>
      </c>
      <c r="M99" s="7">
        <f>'3 escalar'!L102</f>
        <v/>
      </c>
      <c r="N99" s="7">
        <f>'3 escalar'!M102</f>
        <v/>
      </c>
      <c r="O99" s="7">
        <f>'3 escalar'!N102</f>
        <v/>
      </c>
      <c r="P99" s="7">
        <f>'3 escalar'!O102</f>
        <v/>
      </c>
      <c r="Q99" s="7">
        <f>'3 escalar'!P102</f>
        <v/>
      </c>
      <c r="R99" s="7">
        <f>'3 escalar'!Q102</f>
        <v/>
      </c>
      <c r="S99" s="7">
        <f>'3 escalar'!R102</f>
        <v/>
      </c>
      <c r="T99" s="7">
        <f>'3 escalar'!S102</f>
        <v/>
      </c>
      <c r="U99" s="7">
        <f>'3 escalar'!T102</f>
        <v/>
      </c>
      <c r="V99" s="6">
        <f>$AC$12+D99*$AC$13+E99*$AC$14+F99*$AC$15+G99*$AC$16+H99*$AC$17+I99*$AC$18+J99*$AC$19+K99*$AC$20+L99*$AC$21+M99*$AC$22+N99*$AC$23+O99*$AC$24+P99*$AC$25+Q99*$AC$26+R99*$AC$27+S99*$AC$28+T99*$AC$29+U99*$AC$30</f>
        <v/>
      </c>
      <c r="W99" s="6">
        <f>1/(1+EXP(-V99))</f>
        <v/>
      </c>
      <c r="X99" s="8">
        <f>-IF(C99=1,LN(W99),LN(1-W99))</f>
        <v/>
      </c>
      <c r="Y99" s="9">
        <f>IF(W99&gt;$AC$32,1,0)</f>
        <v/>
      </c>
      <c r="Z99">
        <f>IF(Y99=C99,1,0)</f>
        <v/>
      </c>
    </row>
    <row r="100">
      <c r="A100">
        <f>'3 escalar'!A103</f>
        <v/>
      </c>
      <c r="B100" s="5">
        <f>'3 escalar'!U103</f>
        <v/>
      </c>
      <c r="C100">
        <f>'3 escalar'!B103</f>
        <v/>
      </c>
      <c r="D100" s="7">
        <f>'3 escalar'!C103</f>
        <v/>
      </c>
      <c r="E100" s="7">
        <f>'3 escalar'!D103</f>
        <v/>
      </c>
      <c r="F100" s="7">
        <f>'3 escalar'!E103</f>
        <v/>
      </c>
      <c r="G100" s="7">
        <f>'3 escalar'!F103</f>
        <v/>
      </c>
      <c r="H100" s="7">
        <f>'3 escalar'!G103</f>
        <v/>
      </c>
      <c r="I100" s="7">
        <f>'3 escalar'!H103</f>
        <v/>
      </c>
      <c r="J100" s="7">
        <f>'3 escalar'!I103</f>
        <v/>
      </c>
      <c r="K100" s="7">
        <f>'3 escalar'!J103</f>
        <v/>
      </c>
      <c r="L100" s="7">
        <f>'3 escalar'!K103</f>
        <v/>
      </c>
      <c r="M100" s="7">
        <f>'3 escalar'!L103</f>
        <v/>
      </c>
      <c r="N100" s="7">
        <f>'3 escalar'!M103</f>
        <v/>
      </c>
      <c r="O100" s="7">
        <f>'3 escalar'!N103</f>
        <v/>
      </c>
      <c r="P100" s="7">
        <f>'3 escalar'!O103</f>
        <v/>
      </c>
      <c r="Q100" s="7">
        <f>'3 escalar'!P103</f>
        <v/>
      </c>
      <c r="R100" s="7">
        <f>'3 escalar'!Q103</f>
        <v/>
      </c>
      <c r="S100" s="7">
        <f>'3 escalar'!R103</f>
        <v/>
      </c>
      <c r="T100" s="7">
        <f>'3 escalar'!S103</f>
        <v/>
      </c>
      <c r="U100" s="7">
        <f>'3 escalar'!T103</f>
        <v/>
      </c>
      <c r="V100" s="6">
        <f>$AC$12+D100*$AC$13+E100*$AC$14+F100*$AC$15+G100*$AC$16+H100*$AC$17+I100*$AC$18+J100*$AC$19+K100*$AC$20+L100*$AC$21+M100*$AC$22+N100*$AC$23+O100*$AC$24+P100*$AC$25+Q100*$AC$26+R100*$AC$27+S100*$AC$28+T100*$AC$29+U100*$AC$30</f>
        <v/>
      </c>
      <c r="W100" s="6">
        <f>1/(1+EXP(-V100))</f>
        <v/>
      </c>
      <c r="X100" s="8">
        <f>-IF(C100=1,LN(W100),LN(1-W100))</f>
        <v/>
      </c>
      <c r="Y100" s="9">
        <f>IF(W100&gt;$AC$32,1,0)</f>
        <v/>
      </c>
      <c r="Z100">
        <f>IF(Y100=C100,1,0)</f>
        <v/>
      </c>
    </row>
    <row r="101">
      <c r="A101">
        <f>'3 escalar'!A104</f>
        <v/>
      </c>
      <c r="B101" s="5">
        <f>'3 escalar'!U104</f>
        <v/>
      </c>
      <c r="C101">
        <f>'3 escalar'!B104</f>
        <v/>
      </c>
      <c r="D101" s="7">
        <f>'3 escalar'!C104</f>
        <v/>
      </c>
      <c r="E101" s="7">
        <f>'3 escalar'!D104</f>
        <v/>
      </c>
      <c r="F101" s="7">
        <f>'3 escalar'!E104</f>
        <v/>
      </c>
      <c r="G101" s="7">
        <f>'3 escalar'!F104</f>
        <v/>
      </c>
      <c r="H101" s="7">
        <f>'3 escalar'!G104</f>
        <v/>
      </c>
      <c r="I101" s="7">
        <f>'3 escalar'!H104</f>
        <v/>
      </c>
      <c r="J101" s="7">
        <f>'3 escalar'!I104</f>
        <v/>
      </c>
      <c r="K101" s="7">
        <f>'3 escalar'!J104</f>
        <v/>
      </c>
      <c r="L101" s="7">
        <f>'3 escalar'!K104</f>
        <v/>
      </c>
      <c r="M101" s="7">
        <f>'3 escalar'!L104</f>
        <v/>
      </c>
      <c r="N101" s="7">
        <f>'3 escalar'!M104</f>
        <v/>
      </c>
      <c r="O101" s="7">
        <f>'3 escalar'!N104</f>
        <v/>
      </c>
      <c r="P101" s="7">
        <f>'3 escalar'!O104</f>
        <v/>
      </c>
      <c r="Q101" s="7">
        <f>'3 escalar'!P104</f>
        <v/>
      </c>
      <c r="R101" s="7">
        <f>'3 escalar'!Q104</f>
        <v/>
      </c>
      <c r="S101" s="7">
        <f>'3 escalar'!R104</f>
        <v/>
      </c>
      <c r="T101" s="7">
        <f>'3 escalar'!S104</f>
        <v/>
      </c>
      <c r="U101" s="7">
        <f>'3 escalar'!T104</f>
        <v/>
      </c>
      <c r="V101" s="6">
        <f>$AC$12+D101*$AC$13+E101*$AC$14+F101*$AC$15+G101*$AC$16+H101*$AC$17+I101*$AC$18+J101*$AC$19+K101*$AC$20+L101*$AC$21+M101*$AC$22+N101*$AC$23+O101*$AC$24+P101*$AC$25+Q101*$AC$26+R101*$AC$27+S101*$AC$28+T101*$AC$29+U101*$AC$30</f>
        <v/>
      </c>
      <c r="W101" s="6">
        <f>1/(1+EXP(-V101))</f>
        <v/>
      </c>
      <c r="X101" s="8">
        <f>-IF(C101=1,LN(W101),LN(1-W101))</f>
        <v/>
      </c>
      <c r="Y101" s="9">
        <f>IF(W101&gt;$AC$32,1,0)</f>
        <v/>
      </c>
      <c r="Z101">
        <f>IF(Y101=C101,1,0)</f>
        <v/>
      </c>
    </row>
    <row r="102">
      <c r="A102">
        <f>'3 escalar'!A105</f>
        <v/>
      </c>
      <c r="B102" s="5">
        <f>'3 escalar'!U105</f>
        <v/>
      </c>
      <c r="C102">
        <f>'3 escalar'!B105</f>
        <v/>
      </c>
      <c r="D102" s="7">
        <f>'3 escalar'!C105</f>
        <v/>
      </c>
      <c r="E102" s="7">
        <f>'3 escalar'!D105</f>
        <v/>
      </c>
      <c r="F102" s="7">
        <f>'3 escalar'!E105</f>
        <v/>
      </c>
      <c r="G102" s="7">
        <f>'3 escalar'!F105</f>
        <v/>
      </c>
      <c r="H102" s="7">
        <f>'3 escalar'!G105</f>
        <v/>
      </c>
      <c r="I102" s="7">
        <f>'3 escalar'!H105</f>
        <v/>
      </c>
      <c r="J102" s="7">
        <f>'3 escalar'!I105</f>
        <v/>
      </c>
      <c r="K102" s="7">
        <f>'3 escalar'!J105</f>
        <v/>
      </c>
      <c r="L102" s="7">
        <f>'3 escalar'!K105</f>
        <v/>
      </c>
      <c r="M102" s="7">
        <f>'3 escalar'!L105</f>
        <v/>
      </c>
      <c r="N102" s="7">
        <f>'3 escalar'!M105</f>
        <v/>
      </c>
      <c r="O102" s="7">
        <f>'3 escalar'!N105</f>
        <v/>
      </c>
      <c r="P102" s="7">
        <f>'3 escalar'!O105</f>
        <v/>
      </c>
      <c r="Q102" s="7">
        <f>'3 escalar'!P105</f>
        <v/>
      </c>
      <c r="R102" s="7">
        <f>'3 escalar'!Q105</f>
        <v/>
      </c>
      <c r="S102" s="7">
        <f>'3 escalar'!R105</f>
        <v/>
      </c>
      <c r="T102" s="7">
        <f>'3 escalar'!S105</f>
        <v/>
      </c>
      <c r="U102" s="7">
        <f>'3 escalar'!T105</f>
        <v/>
      </c>
      <c r="V102" s="6">
        <f>$AC$12+D102*$AC$13+E102*$AC$14+F102*$AC$15+G102*$AC$16+H102*$AC$17+I102*$AC$18+J102*$AC$19+K102*$AC$20+L102*$AC$21+M102*$AC$22+N102*$AC$23+O102*$AC$24+P102*$AC$25+Q102*$AC$26+R102*$AC$27+S102*$AC$28+T102*$AC$29+U102*$AC$30</f>
        <v/>
      </c>
      <c r="W102" s="6">
        <f>1/(1+EXP(-V102))</f>
        <v/>
      </c>
      <c r="X102" s="8">
        <f>-IF(C102=1,LN(W102),LN(1-W102))</f>
        <v/>
      </c>
      <c r="Y102" s="9">
        <f>IF(W102&gt;$AC$32,1,0)</f>
        <v/>
      </c>
      <c r="Z102">
        <f>IF(Y102=C102,1,0)</f>
        <v/>
      </c>
    </row>
    <row r="103">
      <c r="A103">
        <f>'3 escalar'!A106</f>
        <v/>
      </c>
      <c r="B103" s="5">
        <f>'3 escalar'!U106</f>
        <v/>
      </c>
      <c r="C103">
        <f>'3 escalar'!B106</f>
        <v/>
      </c>
      <c r="D103" s="7">
        <f>'3 escalar'!C106</f>
        <v/>
      </c>
      <c r="E103" s="7">
        <f>'3 escalar'!D106</f>
        <v/>
      </c>
      <c r="F103" s="7">
        <f>'3 escalar'!E106</f>
        <v/>
      </c>
      <c r="G103" s="7">
        <f>'3 escalar'!F106</f>
        <v/>
      </c>
      <c r="H103" s="7">
        <f>'3 escalar'!G106</f>
        <v/>
      </c>
      <c r="I103" s="7">
        <f>'3 escalar'!H106</f>
        <v/>
      </c>
      <c r="J103" s="7">
        <f>'3 escalar'!I106</f>
        <v/>
      </c>
      <c r="K103" s="7">
        <f>'3 escalar'!J106</f>
        <v/>
      </c>
      <c r="L103" s="7">
        <f>'3 escalar'!K106</f>
        <v/>
      </c>
      <c r="M103" s="7">
        <f>'3 escalar'!L106</f>
        <v/>
      </c>
      <c r="N103" s="7">
        <f>'3 escalar'!M106</f>
        <v/>
      </c>
      <c r="O103" s="7">
        <f>'3 escalar'!N106</f>
        <v/>
      </c>
      <c r="P103" s="7">
        <f>'3 escalar'!O106</f>
        <v/>
      </c>
      <c r="Q103" s="7">
        <f>'3 escalar'!P106</f>
        <v/>
      </c>
      <c r="R103" s="7">
        <f>'3 escalar'!Q106</f>
        <v/>
      </c>
      <c r="S103" s="7">
        <f>'3 escalar'!R106</f>
        <v/>
      </c>
      <c r="T103" s="7">
        <f>'3 escalar'!S106</f>
        <v/>
      </c>
      <c r="U103" s="7">
        <f>'3 escalar'!T106</f>
        <v/>
      </c>
      <c r="V103" s="6">
        <f>$AC$12+D103*$AC$13+E103*$AC$14+F103*$AC$15+G103*$AC$16+H103*$AC$17+I103*$AC$18+J103*$AC$19+K103*$AC$20+L103*$AC$21+M103*$AC$22+N103*$AC$23+O103*$AC$24+P103*$AC$25+Q103*$AC$26+R103*$AC$27+S103*$AC$28+T103*$AC$29+U103*$AC$30</f>
        <v/>
      </c>
      <c r="W103" s="6">
        <f>1/(1+EXP(-V103))</f>
        <v/>
      </c>
      <c r="X103" s="8">
        <f>-IF(C103=1,LN(W103),LN(1-W103))</f>
        <v/>
      </c>
      <c r="Y103" s="9">
        <f>IF(W103&gt;$AC$32,1,0)</f>
        <v/>
      </c>
      <c r="Z103">
        <f>IF(Y103=C103,1,0)</f>
        <v/>
      </c>
    </row>
    <row r="104">
      <c r="A104">
        <f>'3 escalar'!A107</f>
        <v/>
      </c>
      <c r="B104" s="5">
        <f>'3 escalar'!U107</f>
        <v/>
      </c>
      <c r="C104">
        <f>'3 escalar'!B107</f>
        <v/>
      </c>
      <c r="D104" s="7">
        <f>'3 escalar'!C107</f>
        <v/>
      </c>
      <c r="E104" s="7">
        <f>'3 escalar'!D107</f>
        <v/>
      </c>
      <c r="F104" s="7">
        <f>'3 escalar'!E107</f>
        <v/>
      </c>
      <c r="G104" s="7">
        <f>'3 escalar'!F107</f>
        <v/>
      </c>
      <c r="H104" s="7">
        <f>'3 escalar'!G107</f>
        <v/>
      </c>
      <c r="I104" s="7">
        <f>'3 escalar'!H107</f>
        <v/>
      </c>
      <c r="J104" s="7">
        <f>'3 escalar'!I107</f>
        <v/>
      </c>
      <c r="K104" s="7">
        <f>'3 escalar'!J107</f>
        <v/>
      </c>
      <c r="L104" s="7">
        <f>'3 escalar'!K107</f>
        <v/>
      </c>
      <c r="M104" s="7">
        <f>'3 escalar'!L107</f>
        <v/>
      </c>
      <c r="N104" s="7">
        <f>'3 escalar'!M107</f>
        <v/>
      </c>
      <c r="O104" s="7">
        <f>'3 escalar'!N107</f>
        <v/>
      </c>
      <c r="P104" s="7">
        <f>'3 escalar'!O107</f>
        <v/>
      </c>
      <c r="Q104" s="7">
        <f>'3 escalar'!P107</f>
        <v/>
      </c>
      <c r="R104" s="7">
        <f>'3 escalar'!Q107</f>
        <v/>
      </c>
      <c r="S104" s="7">
        <f>'3 escalar'!R107</f>
        <v/>
      </c>
      <c r="T104" s="7">
        <f>'3 escalar'!S107</f>
        <v/>
      </c>
      <c r="U104" s="7">
        <f>'3 escalar'!T107</f>
        <v/>
      </c>
      <c r="V104" s="6">
        <f>$AC$12+D104*$AC$13+E104*$AC$14+F104*$AC$15+G104*$AC$16+H104*$AC$17+I104*$AC$18+J104*$AC$19+K104*$AC$20+L104*$AC$21+M104*$AC$22+N104*$AC$23+O104*$AC$24+P104*$AC$25+Q104*$AC$26+R104*$AC$27+S104*$AC$28+T104*$AC$29+U104*$AC$30</f>
        <v/>
      </c>
      <c r="W104" s="6">
        <f>1/(1+EXP(-V104))</f>
        <v/>
      </c>
      <c r="X104" s="8">
        <f>-IF(C104=1,LN(W104),LN(1-W104))</f>
        <v/>
      </c>
      <c r="Y104" s="9">
        <f>IF(W104&gt;$AC$32,1,0)</f>
        <v/>
      </c>
      <c r="Z104">
        <f>IF(Y104=C104,1,0)</f>
        <v/>
      </c>
    </row>
    <row r="105">
      <c r="A105">
        <f>'3 escalar'!A108</f>
        <v/>
      </c>
      <c r="B105" s="5">
        <f>'3 escalar'!U108</f>
        <v/>
      </c>
      <c r="C105">
        <f>'3 escalar'!B108</f>
        <v/>
      </c>
      <c r="D105" s="7">
        <f>'3 escalar'!C108</f>
        <v/>
      </c>
      <c r="E105" s="7">
        <f>'3 escalar'!D108</f>
        <v/>
      </c>
      <c r="F105" s="7">
        <f>'3 escalar'!E108</f>
        <v/>
      </c>
      <c r="G105" s="7">
        <f>'3 escalar'!F108</f>
        <v/>
      </c>
      <c r="H105" s="7">
        <f>'3 escalar'!G108</f>
        <v/>
      </c>
      <c r="I105" s="7">
        <f>'3 escalar'!H108</f>
        <v/>
      </c>
      <c r="J105" s="7">
        <f>'3 escalar'!I108</f>
        <v/>
      </c>
      <c r="K105" s="7">
        <f>'3 escalar'!J108</f>
        <v/>
      </c>
      <c r="L105" s="7">
        <f>'3 escalar'!K108</f>
        <v/>
      </c>
      <c r="M105" s="7">
        <f>'3 escalar'!L108</f>
        <v/>
      </c>
      <c r="N105" s="7">
        <f>'3 escalar'!M108</f>
        <v/>
      </c>
      <c r="O105" s="7">
        <f>'3 escalar'!N108</f>
        <v/>
      </c>
      <c r="P105" s="7">
        <f>'3 escalar'!O108</f>
        <v/>
      </c>
      <c r="Q105" s="7">
        <f>'3 escalar'!P108</f>
        <v/>
      </c>
      <c r="R105" s="7">
        <f>'3 escalar'!Q108</f>
        <v/>
      </c>
      <c r="S105" s="7">
        <f>'3 escalar'!R108</f>
        <v/>
      </c>
      <c r="T105" s="7">
        <f>'3 escalar'!S108</f>
        <v/>
      </c>
      <c r="U105" s="7">
        <f>'3 escalar'!T108</f>
        <v/>
      </c>
      <c r="V105" s="6">
        <f>$AC$12+D105*$AC$13+E105*$AC$14+F105*$AC$15+G105*$AC$16+H105*$AC$17+I105*$AC$18+J105*$AC$19+K105*$AC$20+L105*$AC$21+M105*$AC$22+N105*$AC$23+O105*$AC$24+P105*$AC$25+Q105*$AC$26+R105*$AC$27+S105*$AC$28+T105*$AC$29+U105*$AC$30</f>
        <v/>
      </c>
      <c r="W105" s="6">
        <f>1/(1+EXP(-V105))</f>
        <v/>
      </c>
      <c r="X105" s="8">
        <f>-IF(C105=1,LN(W105),LN(1-W105))</f>
        <v/>
      </c>
      <c r="Y105" s="9">
        <f>IF(W105&gt;$AC$32,1,0)</f>
        <v/>
      </c>
      <c r="Z105">
        <f>IF(Y105=C105,1,0)</f>
        <v/>
      </c>
    </row>
    <row r="106">
      <c r="A106">
        <f>'3 escalar'!A109</f>
        <v/>
      </c>
      <c r="B106" s="5">
        <f>'3 escalar'!U109</f>
        <v/>
      </c>
      <c r="C106">
        <f>'3 escalar'!B109</f>
        <v/>
      </c>
      <c r="D106" s="7">
        <f>'3 escalar'!C109</f>
        <v/>
      </c>
      <c r="E106" s="7">
        <f>'3 escalar'!D109</f>
        <v/>
      </c>
      <c r="F106" s="7">
        <f>'3 escalar'!E109</f>
        <v/>
      </c>
      <c r="G106" s="7">
        <f>'3 escalar'!F109</f>
        <v/>
      </c>
      <c r="H106" s="7">
        <f>'3 escalar'!G109</f>
        <v/>
      </c>
      <c r="I106" s="7">
        <f>'3 escalar'!H109</f>
        <v/>
      </c>
      <c r="J106" s="7">
        <f>'3 escalar'!I109</f>
        <v/>
      </c>
      <c r="K106" s="7">
        <f>'3 escalar'!J109</f>
        <v/>
      </c>
      <c r="L106" s="7">
        <f>'3 escalar'!K109</f>
        <v/>
      </c>
      <c r="M106" s="7">
        <f>'3 escalar'!L109</f>
        <v/>
      </c>
      <c r="N106" s="7">
        <f>'3 escalar'!M109</f>
        <v/>
      </c>
      <c r="O106" s="7">
        <f>'3 escalar'!N109</f>
        <v/>
      </c>
      <c r="P106" s="7">
        <f>'3 escalar'!O109</f>
        <v/>
      </c>
      <c r="Q106" s="7">
        <f>'3 escalar'!P109</f>
        <v/>
      </c>
      <c r="R106" s="7">
        <f>'3 escalar'!Q109</f>
        <v/>
      </c>
      <c r="S106" s="7">
        <f>'3 escalar'!R109</f>
        <v/>
      </c>
      <c r="T106" s="7">
        <f>'3 escalar'!S109</f>
        <v/>
      </c>
      <c r="U106" s="7">
        <f>'3 escalar'!T109</f>
        <v/>
      </c>
      <c r="V106" s="6">
        <f>$AC$12+D106*$AC$13+E106*$AC$14+F106*$AC$15+G106*$AC$16+H106*$AC$17+I106*$AC$18+J106*$AC$19+K106*$AC$20+L106*$AC$21+M106*$AC$22+N106*$AC$23+O106*$AC$24+P106*$AC$25+Q106*$AC$26+R106*$AC$27+S106*$AC$28+T106*$AC$29+U106*$AC$30</f>
        <v/>
      </c>
      <c r="W106" s="6">
        <f>1/(1+EXP(-V106))</f>
        <v/>
      </c>
      <c r="X106" s="8">
        <f>-IF(C106=1,LN(W106),LN(1-W106))</f>
        <v/>
      </c>
      <c r="Y106" s="9">
        <f>IF(W106&gt;$AC$32,1,0)</f>
        <v/>
      </c>
      <c r="Z106">
        <f>IF(Y106=C106,1,0)</f>
        <v/>
      </c>
    </row>
    <row r="107">
      <c r="A107">
        <f>'3 escalar'!A110</f>
        <v/>
      </c>
      <c r="B107" s="5">
        <f>'3 escalar'!U110</f>
        <v/>
      </c>
      <c r="C107">
        <f>'3 escalar'!B110</f>
        <v/>
      </c>
      <c r="D107" s="7">
        <f>'3 escalar'!C110</f>
        <v/>
      </c>
      <c r="E107" s="7">
        <f>'3 escalar'!D110</f>
        <v/>
      </c>
      <c r="F107" s="7">
        <f>'3 escalar'!E110</f>
        <v/>
      </c>
      <c r="G107" s="7">
        <f>'3 escalar'!F110</f>
        <v/>
      </c>
      <c r="H107" s="7">
        <f>'3 escalar'!G110</f>
        <v/>
      </c>
      <c r="I107" s="7">
        <f>'3 escalar'!H110</f>
        <v/>
      </c>
      <c r="J107" s="7">
        <f>'3 escalar'!I110</f>
        <v/>
      </c>
      <c r="K107" s="7">
        <f>'3 escalar'!J110</f>
        <v/>
      </c>
      <c r="L107" s="7">
        <f>'3 escalar'!K110</f>
        <v/>
      </c>
      <c r="M107" s="7">
        <f>'3 escalar'!L110</f>
        <v/>
      </c>
      <c r="N107" s="7">
        <f>'3 escalar'!M110</f>
        <v/>
      </c>
      <c r="O107" s="7">
        <f>'3 escalar'!N110</f>
        <v/>
      </c>
      <c r="P107" s="7">
        <f>'3 escalar'!O110</f>
        <v/>
      </c>
      <c r="Q107" s="7">
        <f>'3 escalar'!P110</f>
        <v/>
      </c>
      <c r="R107" s="7">
        <f>'3 escalar'!Q110</f>
        <v/>
      </c>
      <c r="S107" s="7">
        <f>'3 escalar'!R110</f>
        <v/>
      </c>
      <c r="T107" s="7">
        <f>'3 escalar'!S110</f>
        <v/>
      </c>
      <c r="U107" s="7">
        <f>'3 escalar'!T110</f>
        <v/>
      </c>
      <c r="V107" s="6">
        <f>$AC$12+D107*$AC$13+E107*$AC$14+F107*$AC$15+G107*$AC$16+H107*$AC$17+I107*$AC$18+J107*$AC$19+K107*$AC$20+L107*$AC$21+M107*$AC$22+N107*$AC$23+O107*$AC$24+P107*$AC$25+Q107*$AC$26+R107*$AC$27+S107*$AC$28+T107*$AC$29+U107*$AC$30</f>
        <v/>
      </c>
      <c r="W107" s="6">
        <f>1/(1+EXP(-V107))</f>
        <v/>
      </c>
      <c r="X107" s="8">
        <f>-IF(C107=1,LN(W107),LN(1-W107))</f>
        <v/>
      </c>
      <c r="Y107" s="9">
        <f>IF(W107&gt;$AC$32,1,0)</f>
        <v/>
      </c>
      <c r="Z107">
        <f>IF(Y107=C107,1,0)</f>
        <v/>
      </c>
    </row>
    <row r="108">
      <c r="A108">
        <f>'3 escalar'!A111</f>
        <v/>
      </c>
      <c r="B108" s="5">
        <f>'3 escalar'!U111</f>
        <v/>
      </c>
      <c r="C108">
        <f>'3 escalar'!B111</f>
        <v/>
      </c>
      <c r="D108" s="7">
        <f>'3 escalar'!C111</f>
        <v/>
      </c>
      <c r="E108" s="7">
        <f>'3 escalar'!D111</f>
        <v/>
      </c>
      <c r="F108" s="7">
        <f>'3 escalar'!E111</f>
        <v/>
      </c>
      <c r="G108" s="7">
        <f>'3 escalar'!F111</f>
        <v/>
      </c>
      <c r="H108" s="7">
        <f>'3 escalar'!G111</f>
        <v/>
      </c>
      <c r="I108" s="7">
        <f>'3 escalar'!H111</f>
        <v/>
      </c>
      <c r="J108" s="7">
        <f>'3 escalar'!I111</f>
        <v/>
      </c>
      <c r="K108" s="7">
        <f>'3 escalar'!J111</f>
        <v/>
      </c>
      <c r="L108" s="7">
        <f>'3 escalar'!K111</f>
        <v/>
      </c>
      <c r="M108" s="7">
        <f>'3 escalar'!L111</f>
        <v/>
      </c>
      <c r="N108" s="7">
        <f>'3 escalar'!M111</f>
        <v/>
      </c>
      <c r="O108" s="7">
        <f>'3 escalar'!N111</f>
        <v/>
      </c>
      <c r="P108" s="7">
        <f>'3 escalar'!O111</f>
        <v/>
      </c>
      <c r="Q108" s="7">
        <f>'3 escalar'!P111</f>
        <v/>
      </c>
      <c r="R108" s="7">
        <f>'3 escalar'!Q111</f>
        <v/>
      </c>
      <c r="S108" s="7">
        <f>'3 escalar'!R111</f>
        <v/>
      </c>
      <c r="T108" s="7">
        <f>'3 escalar'!S111</f>
        <v/>
      </c>
      <c r="U108" s="7">
        <f>'3 escalar'!T111</f>
        <v/>
      </c>
      <c r="V108" s="6">
        <f>$AC$12+D108*$AC$13+E108*$AC$14+F108*$AC$15+G108*$AC$16+H108*$AC$17+I108*$AC$18+J108*$AC$19+K108*$AC$20+L108*$AC$21+M108*$AC$22+N108*$AC$23+O108*$AC$24+P108*$AC$25+Q108*$AC$26+R108*$AC$27+S108*$AC$28+T108*$AC$29+U108*$AC$30</f>
        <v/>
      </c>
      <c r="W108" s="6">
        <f>1/(1+EXP(-V108))</f>
        <v/>
      </c>
      <c r="X108" s="8">
        <f>-IF(C108=1,LN(W108),LN(1-W108))</f>
        <v/>
      </c>
      <c r="Y108" s="9">
        <f>IF(W108&gt;$AC$32,1,0)</f>
        <v/>
      </c>
      <c r="Z108">
        <f>IF(Y108=C108,1,0)</f>
        <v/>
      </c>
    </row>
    <row r="109">
      <c r="A109">
        <f>'3 escalar'!A112</f>
        <v/>
      </c>
      <c r="B109" s="5">
        <f>'3 escalar'!U112</f>
        <v/>
      </c>
      <c r="C109">
        <f>'3 escalar'!B112</f>
        <v/>
      </c>
      <c r="D109" s="7">
        <f>'3 escalar'!C112</f>
        <v/>
      </c>
      <c r="E109" s="7">
        <f>'3 escalar'!D112</f>
        <v/>
      </c>
      <c r="F109" s="7">
        <f>'3 escalar'!E112</f>
        <v/>
      </c>
      <c r="G109" s="7">
        <f>'3 escalar'!F112</f>
        <v/>
      </c>
      <c r="H109" s="7">
        <f>'3 escalar'!G112</f>
        <v/>
      </c>
      <c r="I109" s="7">
        <f>'3 escalar'!H112</f>
        <v/>
      </c>
      <c r="J109" s="7">
        <f>'3 escalar'!I112</f>
        <v/>
      </c>
      <c r="K109" s="7">
        <f>'3 escalar'!J112</f>
        <v/>
      </c>
      <c r="L109" s="7">
        <f>'3 escalar'!K112</f>
        <v/>
      </c>
      <c r="M109" s="7">
        <f>'3 escalar'!L112</f>
        <v/>
      </c>
      <c r="N109" s="7">
        <f>'3 escalar'!M112</f>
        <v/>
      </c>
      <c r="O109" s="7">
        <f>'3 escalar'!N112</f>
        <v/>
      </c>
      <c r="P109" s="7">
        <f>'3 escalar'!O112</f>
        <v/>
      </c>
      <c r="Q109" s="7">
        <f>'3 escalar'!P112</f>
        <v/>
      </c>
      <c r="R109" s="7">
        <f>'3 escalar'!Q112</f>
        <v/>
      </c>
      <c r="S109" s="7">
        <f>'3 escalar'!R112</f>
        <v/>
      </c>
      <c r="T109" s="7">
        <f>'3 escalar'!S112</f>
        <v/>
      </c>
      <c r="U109" s="7">
        <f>'3 escalar'!T112</f>
        <v/>
      </c>
      <c r="V109" s="6">
        <f>$AC$12+D109*$AC$13+E109*$AC$14+F109*$AC$15+G109*$AC$16+H109*$AC$17+I109*$AC$18+J109*$AC$19+K109*$AC$20+L109*$AC$21+M109*$AC$22+N109*$AC$23+O109*$AC$24+P109*$AC$25+Q109*$AC$26+R109*$AC$27+S109*$AC$28+T109*$AC$29+U109*$AC$30</f>
        <v/>
      </c>
      <c r="W109" s="6">
        <f>1/(1+EXP(-V109))</f>
        <v/>
      </c>
      <c r="X109" s="8">
        <f>-IF(C109=1,LN(W109),LN(1-W109))</f>
        <v/>
      </c>
      <c r="Y109" s="9">
        <f>IF(W109&gt;$AC$32,1,0)</f>
        <v/>
      </c>
      <c r="Z109">
        <f>IF(Y109=C109,1,0)</f>
        <v/>
      </c>
    </row>
    <row r="110">
      <c r="A110">
        <f>'3 escalar'!A113</f>
        <v/>
      </c>
      <c r="B110" s="5">
        <f>'3 escalar'!U113</f>
        <v/>
      </c>
      <c r="C110">
        <f>'3 escalar'!B113</f>
        <v/>
      </c>
      <c r="D110" s="7">
        <f>'3 escalar'!C113</f>
        <v/>
      </c>
      <c r="E110" s="7">
        <f>'3 escalar'!D113</f>
        <v/>
      </c>
      <c r="F110" s="7">
        <f>'3 escalar'!E113</f>
        <v/>
      </c>
      <c r="G110" s="7">
        <f>'3 escalar'!F113</f>
        <v/>
      </c>
      <c r="H110" s="7">
        <f>'3 escalar'!G113</f>
        <v/>
      </c>
      <c r="I110" s="7">
        <f>'3 escalar'!H113</f>
        <v/>
      </c>
      <c r="J110" s="7">
        <f>'3 escalar'!I113</f>
        <v/>
      </c>
      <c r="K110" s="7">
        <f>'3 escalar'!J113</f>
        <v/>
      </c>
      <c r="L110" s="7">
        <f>'3 escalar'!K113</f>
        <v/>
      </c>
      <c r="M110" s="7">
        <f>'3 escalar'!L113</f>
        <v/>
      </c>
      <c r="N110" s="7">
        <f>'3 escalar'!M113</f>
        <v/>
      </c>
      <c r="O110" s="7">
        <f>'3 escalar'!N113</f>
        <v/>
      </c>
      <c r="P110" s="7">
        <f>'3 escalar'!O113</f>
        <v/>
      </c>
      <c r="Q110" s="7">
        <f>'3 escalar'!P113</f>
        <v/>
      </c>
      <c r="R110" s="7">
        <f>'3 escalar'!Q113</f>
        <v/>
      </c>
      <c r="S110" s="7">
        <f>'3 escalar'!R113</f>
        <v/>
      </c>
      <c r="T110" s="7">
        <f>'3 escalar'!S113</f>
        <v/>
      </c>
      <c r="U110" s="7">
        <f>'3 escalar'!T113</f>
        <v/>
      </c>
      <c r="V110" s="6">
        <f>$AC$12+D110*$AC$13+E110*$AC$14+F110*$AC$15+G110*$AC$16+H110*$AC$17+I110*$AC$18+J110*$AC$19+K110*$AC$20+L110*$AC$21+M110*$AC$22+N110*$AC$23+O110*$AC$24+P110*$AC$25+Q110*$AC$26+R110*$AC$27+S110*$AC$28+T110*$AC$29+U110*$AC$30</f>
        <v/>
      </c>
      <c r="W110" s="6">
        <f>1/(1+EXP(-V110))</f>
        <v/>
      </c>
      <c r="X110" s="8">
        <f>-IF(C110=1,LN(W110),LN(1-W110))</f>
        <v/>
      </c>
      <c r="Y110" s="9">
        <f>IF(W110&gt;$AC$32,1,0)</f>
        <v/>
      </c>
      <c r="Z110">
        <f>IF(Y110=C110,1,0)</f>
        <v/>
      </c>
    </row>
    <row r="111">
      <c r="A111">
        <f>'3 escalar'!A114</f>
        <v/>
      </c>
      <c r="B111" s="5">
        <f>'3 escalar'!U114</f>
        <v/>
      </c>
      <c r="C111">
        <f>'3 escalar'!B114</f>
        <v/>
      </c>
      <c r="D111" s="7">
        <f>'3 escalar'!C114</f>
        <v/>
      </c>
      <c r="E111" s="7">
        <f>'3 escalar'!D114</f>
        <v/>
      </c>
      <c r="F111" s="7">
        <f>'3 escalar'!E114</f>
        <v/>
      </c>
      <c r="G111" s="7">
        <f>'3 escalar'!F114</f>
        <v/>
      </c>
      <c r="H111" s="7">
        <f>'3 escalar'!G114</f>
        <v/>
      </c>
      <c r="I111" s="7">
        <f>'3 escalar'!H114</f>
        <v/>
      </c>
      <c r="J111" s="7">
        <f>'3 escalar'!I114</f>
        <v/>
      </c>
      <c r="K111" s="7">
        <f>'3 escalar'!J114</f>
        <v/>
      </c>
      <c r="L111" s="7">
        <f>'3 escalar'!K114</f>
        <v/>
      </c>
      <c r="M111" s="7">
        <f>'3 escalar'!L114</f>
        <v/>
      </c>
      <c r="N111" s="7">
        <f>'3 escalar'!M114</f>
        <v/>
      </c>
      <c r="O111" s="7">
        <f>'3 escalar'!N114</f>
        <v/>
      </c>
      <c r="P111" s="7">
        <f>'3 escalar'!O114</f>
        <v/>
      </c>
      <c r="Q111" s="7">
        <f>'3 escalar'!P114</f>
        <v/>
      </c>
      <c r="R111" s="7">
        <f>'3 escalar'!Q114</f>
        <v/>
      </c>
      <c r="S111" s="7">
        <f>'3 escalar'!R114</f>
        <v/>
      </c>
      <c r="T111" s="7">
        <f>'3 escalar'!S114</f>
        <v/>
      </c>
      <c r="U111" s="7">
        <f>'3 escalar'!T114</f>
        <v/>
      </c>
      <c r="V111" s="6">
        <f>$AC$12+D111*$AC$13+E111*$AC$14+F111*$AC$15+G111*$AC$16+H111*$AC$17+I111*$AC$18+J111*$AC$19+K111*$AC$20+L111*$AC$21+M111*$AC$22+N111*$AC$23+O111*$AC$24+P111*$AC$25+Q111*$AC$26+R111*$AC$27+S111*$AC$28+T111*$AC$29+U111*$AC$30</f>
        <v/>
      </c>
      <c r="W111" s="6">
        <f>1/(1+EXP(-V111))</f>
        <v/>
      </c>
      <c r="X111" s="8">
        <f>-IF(C111=1,LN(W111),LN(1-W111))</f>
        <v/>
      </c>
      <c r="Y111" s="9">
        <f>IF(W111&gt;$AC$32,1,0)</f>
        <v/>
      </c>
      <c r="Z111">
        <f>IF(Y111=C111,1,0)</f>
        <v/>
      </c>
    </row>
    <row r="112">
      <c r="A112">
        <f>'3 escalar'!A115</f>
        <v/>
      </c>
      <c r="B112" s="5">
        <f>'3 escalar'!U115</f>
        <v/>
      </c>
      <c r="C112">
        <f>'3 escalar'!B115</f>
        <v/>
      </c>
      <c r="D112" s="7">
        <f>'3 escalar'!C115</f>
        <v/>
      </c>
      <c r="E112" s="7">
        <f>'3 escalar'!D115</f>
        <v/>
      </c>
      <c r="F112" s="7">
        <f>'3 escalar'!E115</f>
        <v/>
      </c>
      <c r="G112" s="7">
        <f>'3 escalar'!F115</f>
        <v/>
      </c>
      <c r="H112" s="7">
        <f>'3 escalar'!G115</f>
        <v/>
      </c>
      <c r="I112" s="7">
        <f>'3 escalar'!H115</f>
        <v/>
      </c>
      <c r="J112" s="7">
        <f>'3 escalar'!I115</f>
        <v/>
      </c>
      <c r="K112" s="7">
        <f>'3 escalar'!J115</f>
        <v/>
      </c>
      <c r="L112" s="7">
        <f>'3 escalar'!K115</f>
        <v/>
      </c>
      <c r="M112" s="7">
        <f>'3 escalar'!L115</f>
        <v/>
      </c>
      <c r="N112" s="7">
        <f>'3 escalar'!M115</f>
        <v/>
      </c>
      <c r="O112" s="7">
        <f>'3 escalar'!N115</f>
        <v/>
      </c>
      <c r="P112" s="7">
        <f>'3 escalar'!O115</f>
        <v/>
      </c>
      <c r="Q112" s="7">
        <f>'3 escalar'!P115</f>
        <v/>
      </c>
      <c r="R112" s="7">
        <f>'3 escalar'!Q115</f>
        <v/>
      </c>
      <c r="S112" s="7">
        <f>'3 escalar'!R115</f>
        <v/>
      </c>
      <c r="T112" s="7">
        <f>'3 escalar'!S115</f>
        <v/>
      </c>
      <c r="U112" s="7">
        <f>'3 escalar'!T115</f>
        <v/>
      </c>
      <c r="V112" s="6">
        <f>$AC$12+D112*$AC$13+E112*$AC$14+F112*$AC$15+G112*$AC$16+H112*$AC$17+I112*$AC$18+J112*$AC$19+K112*$AC$20+L112*$AC$21+M112*$AC$22+N112*$AC$23+O112*$AC$24+P112*$AC$25+Q112*$AC$26+R112*$AC$27+S112*$AC$28+T112*$AC$29+U112*$AC$30</f>
        <v/>
      </c>
      <c r="W112" s="6">
        <f>1/(1+EXP(-V112))</f>
        <v/>
      </c>
      <c r="X112" s="8">
        <f>-IF(C112=1,LN(W112),LN(1-W112))</f>
        <v/>
      </c>
      <c r="Y112" s="9">
        <f>IF(W112&gt;$AC$32,1,0)</f>
        <v/>
      </c>
      <c r="Z112">
        <f>IF(Y112=C112,1,0)</f>
        <v/>
      </c>
    </row>
    <row r="113">
      <c r="A113">
        <f>'3 escalar'!A116</f>
        <v/>
      </c>
      <c r="B113" s="5">
        <f>'3 escalar'!U116</f>
        <v/>
      </c>
      <c r="C113">
        <f>'3 escalar'!B116</f>
        <v/>
      </c>
      <c r="D113" s="7">
        <f>'3 escalar'!C116</f>
        <v/>
      </c>
      <c r="E113" s="7">
        <f>'3 escalar'!D116</f>
        <v/>
      </c>
      <c r="F113" s="7">
        <f>'3 escalar'!E116</f>
        <v/>
      </c>
      <c r="G113" s="7">
        <f>'3 escalar'!F116</f>
        <v/>
      </c>
      <c r="H113" s="7">
        <f>'3 escalar'!G116</f>
        <v/>
      </c>
      <c r="I113" s="7">
        <f>'3 escalar'!H116</f>
        <v/>
      </c>
      <c r="J113" s="7">
        <f>'3 escalar'!I116</f>
        <v/>
      </c>
      <c r="K113" s="7">
        <f>'3 escalar'!J116</f>
        <v/>
      </c>
      <c r="L113" s="7">
        <f>'3 escalar'!K116</f>
        <v/>
      </c>
      <c r="M113" s="7">
        <f>'3 escalar'!L116</f>
        <v/>
      </c>
      <c r="N113" s="7">
        <f>'3 escalar'!M116</f>
        <v/>
      </c>
      <c r="O113" s="7">
        <f>'3 escalar'!N116</f>
        <v/>
      </c>
      <c r="P113" s="7">
        <f>'3 escalar'!O116</f>
        <v/>
      </c>
      <c r="Q113" s="7">
        <f>'3 escalar'!P116</f>
        <v/>
      </c>
      <c r="R113" s="7">
        <f>'3 escalar'!Q116</f>
        <v/>
      </c>
      <c r="S113" s="7">
        <f>'3 escalar'!R116</f>
        <v/>
      </c>
      <c r="T113" s="7">
        <f>'3 escalar'!S116</f>
        <v/>
      </c>
      <c r="U113" s="7">
        <f>'3 escalar'!T116</f>
        <v/>
      </c>
      <c r="V113" s="6">
        <f>$AC$12+D113*$AC$13+E113*$AC$14+F113*$AC$15+G113*$AC$16+H113*$AC$17+I113*$AC$18+J113*$AC$19+K113*$AC$20+L113*$AC$21+M113*$AC$22+N113*$AC$23+O113*$AC$24+P113*$AC$25+Q113*$AC$26+R113*$AC$27+S113*$AC$28+T113*$AC$29+U113*$AC$30</f>
        <v/>
      </c>
      <c r="W113" s="6">
        <f>1/(1+EXP(-V113))</f>
        <v/>
      </c>
      <c r="X113" s="8">
        <f>-IF(C113=1,LN(W113),LN(1-W113))</f>
        <v/>
      </c>
      <c r="Y113" s="9">
        <f>IF(W113&gt;$AC$32,1,0)</f>
        <v/>
      </c>
      <c r="Z113">
        <f>IF(Y113=C113,1,0)</f>
        <v/>
      </c>
    </row>
    <row r="114">
      <c r="A114">
        <f>'3 escalar'!A117</f>
        <v/>
      </c>
      <c r="B114" s="5">
        <f>'3 escalar'!U117</f>
        <v/>
      </c>
      <c r="C114">
        <f>'3 escalar'!B117</f>
        <v/>
      </c>
      <c r="D114" s="7">
        <f>'3 escalar'!C117</f>
        <v/>
      </c>
      <c r="E114" s="7">
        <f>'3 escalar'!D117</f>
        <v/>
      </c>
      <c r="F114" s="7">
        <f>'3 escalar'!E117</f>
        <v/>
      </c>
      <c r="G114" s="7">
        <f>'3 escalar'!F117</f>
        <v/>
      </c>
      <c r="H114" s="7">
        <f>'3 escalar'!G117</f>
        <v/>
      </c>
      <c r="I114" s="7">
        <f>'3 escalar'!H117</f>
        <v/>
      </c>
      <c r="J114" s="7">
        <f>'3 escalar'!I117</f>
        <v/>
      </c>
      <c r="K114" s="7">
        <f>'3 escalar'!J117</f>
        <v/>
      </c>
      <c r="L114" s="7">
        <f>'3 escalar'!K117</f>
        <v/>
      </c>
      <c r="M114" s="7">
        <f>'3 escalar'!L117</f>
        <v/>
      </c>
      <c r="N114" s="7">
        <f>'3 escalar'!M117</f>
        <v/>
      </c>
      <c r="O114" s="7">
        <f>'3 escalar'!N117</f>
        <v/>
      </c>
      <c r="P114" s="7">
        <f>'3 escalar'!O117</f>
        <v/>
      </c>
      <c r="Q114" s="7">
        <f>'3 escalar'!P117</f>
        <v/>
      </c>
      <c r="R114" s="7">
        <f>'3 escalar'!Q117</f>
        <v/>
      </c>
      <c r="S114" s="7">
        <f>'3 escalar'!R117</f>
        <v/>
      </c>
      <c r="T114" s="7">
        <f>'3 escalar'!S117</f>
        <v/>
      </c>
      <c r="U114" s="7">
        <f>'3 escalar'!T117</f>
        <v/>
      </c>
      <c r="V114" s="6">
        <f>$AC$12+D114*$AC$13+E114*$AC$14+F114*$AC$15+G114*$AC$16+H114*$AC$17+I114*$AC$18+J114*$AC$19+K114*$AC$20+L114*$AC$21+M114*$AC$22+N114*$AC$23+O114*$AC$24+P114*$AC$25+Q114*$AC$26+R114*$AC$27+S114*$AC$28+T114*$AC$29+U114*$AC$30</f>
        <v/>
      </c>
      <c r="W114" s="6">
        <f>1/(1+EXP(-V114))</f>
        <v/>
      </c>
      <c r="X114" s="8">
        <f>-IF(C114=1,LN(W114),LN(1-W114))</f>
        <v/>
      </c>
      <c r="Y114" s="9">
        <f>IF(W114&gt;$AC$32,1,0)</f>
        <v/>
      </c>
      <c r="Z114">
        <f>IF(Y114=C114,1,0)</f>
        <v/>
      </c>
    </row>
    <row r="115">
      <c r="A115">
        <f>'3 escalar'!A118</f>
        <v/>
      </c>
      <c r="B115" s="5">
        <f>'3 escalar'!U118</f>
        <v/>
      </c>
      <c r="C115">
        <f>'3 escalar'!B118</f>
        <v/>
      </c>
      <c r="D115" s="7">
        <f>'3 escalar'!C118</f>
        <v/>
      </c>
      <c r="E115" s="7">
        <f>'3 escalar'!D118</f>
        <v/>
      </c>
      <c r="F115" s="7">
        <f>'3 escalar'!E118</f>
        <v/>
      </c>
      <c r="G115" s="7">
        <f>'3 escalar'!F118</f>
        <v/>
      </c>
      <c r="H115" s="7">
        <f>'3 escalar'!G118</f>
        <v/>
      </c>
      <c r="I115" s="7">
        <f>'3 escalar'!H118</f>
        <v/>
      </c>
      <c r="J115" s="7">
        <f>'3 escalar'!I118</f>
        <v/>
      </c>
      <c r="K115" s="7">
        <f>'3 escalar'!J118</f>
        <v/>
      </c>
      <c r="L115" s="7">
        <f>'3 escalar'!K118</f>
        <v/>
      </c>
      <c r="M115" s="7">
        <f>'3 escalar'!L118</f>
        <v/>
      </c>
      <c r="N115" s="7">
        <f>'3 escalar'!M118</f>
        <v/>
      </c>
      <c r="O115" s="7">
        <f>'3 escalar'!N118</f>
        <v/>
      </c>
      <c r="P115" s="7">
        <f>'3 escalar'!O118</f>
        <v/>
      </c>
      <c r="Q115" s="7">
        <f>'3 escalar'!P118</f>
        <v/>
      </c>
      <c r="R115" s="7">
        <f>'3 escalar'!Q118</f>
        <v/>
      </c>
      <c r="S115" s="7">
        <f>'3 escalar'!R118</f>
        <v/>
      </c>
      <c r="T115" s="7">
        <f>'3 escalar'!S118</f>
        <v/>
      </c>
      <c r="U115" s="7">
        <f>'3 escalar'!T118</f>
        <v/>
      </c>
      <c r="V115" s="6">
        <f>$AC$12+D115*$AC$13+E115*$AC$14+F115*$AC$15+G115*$AC$16+H115*$AC$17+I115*$AC$18+J115*$AC$19+K115*$AC$20+L115*$AC$21+M115*$AC$22+N115*$AC$23+O115*$AC$24+P115*$AC$25+Q115*$AC$26+R115*$AC$27+S115*$AC$28+T115*$AC$29+U115*$AC$30</f>
        <v/>
      </c>
      <c r="W115" s="6">
        <f>1/(1+EXP(-V115))</f>
        <v/>
      </c>
      <c r="X115" s="8">
        <f>-IF(C115=1,LN(W115),LN(1-W115))</f>
        <v/>
      </c>
      <c r="Y115" s="9">
        <f>IF(W115&gt;$AC$32,1,0)</f>
        <v/>
      </c>
      <c r="Z115">
        <f>IF(Y115=C115,1,0)</f>
        <v/>
      </c>
    </row>
    <row r="116">
      <c r="A116">
        <f>'3 escalar'!A119</f>
        <v/>
      </c>
      <c r="B116" s="5">
        <f>'3 escalar'!U119</f>
        <v/>
      </c>
      <c r="C116">
        <f>'3 escalar'!B119</f>
        <v/>
      </c>
      <c r="D116" s="7">
        <f>'3 escalar'!C119</f>
        <v/>
      </c>
      <c r="E116" s="7">
        <f>'3 escalar'!D119</f>
        <v/>
      </c>
      <c r="F116" s="7">
        <f>'3 escalar'!E119</f>
        <v/>
      </c>
      <c r="G116" s="7">
        <f>'3 escalar'!F119</f>
        <v/>
      </c>
      <c r="H116" s="7">
        <f>'3 escalar'!G119</f>
        <v/>
      </c>
      <c r="I116" s="7">
        <f>'3 escalar'!H119</f>
        <v/>
      </c>
      <c r="J116" s="7">
        <f>'3 escalar'!I119</f>
        <v/>
      </c>
      <c r="K116" s="7">
        <f>'3 escalar'!J119</f>
        <v/>
      </c>
      <c r="L116" s="7">
        <f>'3 escalar'!K119</f>
        <v/>
      </c>
      <c r="M116" s="7">
        <f>'3 escalar'!L119</f>
        <v/>
      </c>
      <c r="N116" s="7">
        <f>'3 escalar'!M119</f>
        <v/>
      </c>
      <c r="O116" s="7">
        <f>'3 escalar'!N119</f>
        <v/>
      </c>
      <c r="P116" s="7">
        <f>'3 escalar'!O119</f>
        <v/>
      </c>
      <c r="Q116" s="7">
        <f>'3 escalar'!P119</f>
        <v/>
      </c>
      <c r="R116" s="7">
        <f>'3 escalar'!Q119</f>
        <v/>
      </c>
      <c r="S116" s="7">
        <f>'3 escalar'!R119</f>
        <v/>
      </c>
      <c r="T116" s="7">
        <f>'3 escalar'!S119</f>
        <v/>
      </c>
      <c r="U116" s="7">
        <f>'3 escalar'!T119</f>
        <v/>
      </c>
      <c r="V116" s="6">
        <f>$AC$12+D116*$AC$13+E116*$AC$14+F116*$AC$15+G116*$AC$16+H116*$AC$17+I116*$AC$18+J116*$AC$19+K116*$AC$20+L116*$AC$21+M116*$AC$22+N116*$AC$23+O116*$AC$24+P116*$AC$25+Q116*$AC$26+R116*$AC$27+S116*$AC$28+T116*$AC$29+U116*$AC$30</f>
        <v/>
      </c>
      <c r="W116" s="6">
        <f>1/(1+EXP(-V116))</f>
        <v/>
      </c>
      <c r="X116" s="8">
        <f>-IF(C116=1,LN(W116),LN(1-W116))</f>
        <v/>
      </c>
      <c r="Y116" s="9">
        <f>IF(W116&gt;$AC$32,1,0)</f>
        <v/>
      </c>
      <c r="Z116">
        <f>IF(Y116=C116,1,0)</f>
        <v/>
      </c>
    </row>
    <row r="117">
      <c r="A117">
        <f>'3 escalar'!A120</f>
        <v/>
      </c>
      <c r="B117" s="5">
        <f>'3 escalar'!U120</f>
        <v/>
      </c>
      <c r="C117">
        <f>'3 escalar'!B120</f>
        <v/>
      </c>
      <c r="D117" s="7">
        <f>'3 escalar'!C120</f>
        <v/>
      </c>
      <c r="E117" s="7">
        <f>'3 escalar'!D120</f>
        <v/>
      </c>
      <c r="F117" s="7">
        <f>'3 escalar'!E120</f>
        <v/>
      </c>
      <c r="G117" s="7">
        <f>'3 escalar'!F120</f>
        <v/>
      </c>
      <c r="H117" s="7">
        <f>'3 escalar'!G120</f>
        <v/>
      </c>
      <c r="I117" s="7">
        <f>'3 escalar'!H120</f>
        <v/>
      </c>
      <c r="J117" s="7">
        <f>'3 escalar'!I120</f>
        <v/>
      </c>
      <c r="K117" s="7">
        <f>'3 escalar'!J120</f>
        <v/>
      </c>
      <c r="L117" s="7">
        <f>'3 escalar'!K120</f>
        <v/>
      </c>
      <c r="M117" s="7">
        <f>'3 escalar'!L120</f>
        <v/>
      </c>
      <c r="N117" s="7">
        <f>'3 escalar'!M120</f>
        <v/>
      </c>
      <c r="O117" s="7">
        <f>'3 escalar'!N120</f>
        <v/>
      </c>
      <c r="P117" s="7">
        <f>'3 escalar'!O120</f>
        <v/>
      </c>
      <c r="Q117" s="7">
        <f>'3 escalar'!P120</f>
        <v/>
      </c>
      <c r="R117" s="7">
        <f>'3 escalar'!Q120</f>
        <v/>
      </c>
      <c r="S117" s="7">
        <f>'3 escalar'!R120</f>
        <v/>
      </c>
      <c r="T117" s="7">
        <f>'3 escalar'!S120</f>
        <v/>
      </c>
      <c r="U117" s="7">
        <f>'3 escalar'!T120</f>
        <v/>
      </c>
      <c r="V117" s="6">
        <f>$AC$12+D117*$AC$13+E117*$AC$14+F117*$AC$15+G117*$AC$16+H117*$AC$17+I117*$AC$18+J117*$AC$19+K117*$AC$20+L117*$AC$21+M117*$AC$22+N117*$AC$23+O117*$AC$24+P117*$AC$25+Q117*$AC$26+R117*$AC$27+S117*$AC$28+T117*$AC$29+U117*$AC$30</f>
        <v/>
      </c>
      <c r="W117" s="6">
        <f>1/(1+EXP(-V117))</f>
        <v/>
      </c>
      <c r="X117" s="8">
        <f>-IF(C117=1,LN(W117),LN(1-W117))</f>
        <v/>
      </c>
      <c r="Y117" s="9">
        <f>IF(W117&gt;$AC$32,1,0)</f>
        <v/>
      </c>
      <c r="Z117">
        <f>IF(Y117=C117,1,0)</f>
        <v/>
      </c>
    </row>
    <row r="118">
      <c r="A118">
        <f>'3 escalar'!A121</f>
        <v/>
      </c>
      <c r="B118" s="5">
        <f>'3 escalar'!U121</f>
        <v/>
      </c>
      <c r="C118">
        <f>'3 escalar'!B121</f>
        <v/>
      </c>
      <c r="D118" s="7">
        <f>'3 escalar'!C121</f>
        <v/>
      </c>
      <c r="E118" s="7">
        <f>'3 escalar'!D121</f>
        <v/>
      </c>
      <c r="F118" s="7">
        <f>'3 escalar'!E121</f>
        <v/>
      </c>
      <c r="G118" s="7">
        <f>'3 escalar'!F121</f>
        <v/>
      </c>
      <c r="H118" s="7">
        <f>'3 escalar'!G121</f>
        <v/>
      </c>
      <c r="I118" s="7">
        <f>'3 escalar'!H121</f>
        <v/>
      </c>
      <c r="J118" s="7">
        <f>'3 escalar'!I121</f>
        <v/>
      </c>
      <c r="K118" s="7">
        <f>'3 escalar'!J121</f>
        <v/>
      </c>
      <c r="L118" s="7">
        <f>'3 escalar'!K121</f>
        <v/>
      </c>
      <c r="M118" s="7">
        <f>'3 escalar'!L121</f>
        <v/>
      </c>
      <c r="N118" s="7">
        <f>'3 escalar'!M121</f>
        <v/>
      </c>
      <c r="O118" s="7">
        <f>'3 escalar'!N121</f>
        <v/>
      </c>
      <c r="P118" s="7">
        <f>'3 escalar'!O121</f>
        <v/>
      </c>
      <c r="Q118" s="7">
        <f>'3 escalar'!P121</f>
        <v/>
      </c>
      <c r="R118" s="7">
        <f>'3 escalar'!Q121</f>
        <v/>
      </c>
      <c r="S118" s="7">
        <f>'3 escalar'!R121</f>
        <v/>
      </c>
      <c r="T118" s="7">
        <f>'3 escalar'!S121</f>
        <v/>
      </c>
      <c r="U118" s="7">
        <f>'3 escalar'!T121</f>
        <v/>
      </c>
      <c r="V118" s="6">
        <f>$AC$12+D118*$AC$13+E118*$AC$14+F118*$AC$15+G118*$AC$16+H118*$AC$17+I118*$AC$18+J118*$AC$19+K118*$AC$20+L118*$AC$21+M118*$AC$22+N118*$AC$23+O118*$AC$24+P118*$AC$25+Q118*$AC$26+R118*$AC$27+S118*$AC$28+T118*$AC$29+U118*$AC$30</f>
        <v/>
      </c>
      <c r="W118" s="6">
        <f>1/(1+EXP(-V118))</f>
        <v/>
      </c>
      <c r="X118" s="8">
        <f>-IF(C118=1,LN(W118),LN(1-W118))</f>
        <v/>
      </c>
      <c r="Y118" s="9">
        <f>IF(W118&gt;$AC$32,1,0)</f>
        <v/>
      </c>
      <c r="Z118">
        <f>IF(Y118=C118,1,0)</f>
        <v/>
      </c>
    </row>
    <row r="119">
      <c r="A119">
        <f>'3 escalar'!A122</f>
        <v/>
      </c>
      <c r="B119" s="5">
        <f>'3 escalar'!U122</f>
        <v/>
      </c>
      <c r="C119">
        <f>'3 escalar'!B122</f>
        <v/>
      </c>
      <c r="D119" s="7">
        <f>'3 escalar'!C122</f>
        <v/>
      </c>
      <c r="E119" s="7">
        <f>'3 escalar'!D122</f>
        <v/>
      </c>
      <c r="F119" s="7">
        <f>'3 escalar'!E122</f>
        <v/>
      </c>
      <c r="G119" s="7">
        <f>'3 escalar'!F122</f>
        <v/>
      </c>
      <c r="H119" s="7">
        <f>'3 escalar'!G122</f>
        <v/>
      </c>
      <c r="I119" s="7">
        <f>'3 escalar'!H122</f>
        <v/>
      </c>
      <c r="J119" s="7">
        <f>'3 escalar'!I122</f>
        <v/>
      </c>
      <c r="K119" s="7">
        <f>'3 escalar'!J122</f>
        <v/>
      </c>
      <c r="L119" s="7">
        <f>'3 escalar'!K122</f>
        <v/>
      </c>
      <c r="M119" s="7">
        <f>'3 escalar'!L122</f>
        <v/>
      </c>
      <c r="N119" s="7">
        <f>'3 escalar'!M122</f>
        <v/>
      </c>
      <c r="O119" s="7">
        <f>'3 escalar'!N122</f>
        <v/>
      </c>
      <c r="P119" s="7">
        <f>'3 escalar'!O122</f>
        <v/>
      </c>
      <c r="Q119" s="7">
        <f>'3 escalar'!P122</f>
        <v/>
      </c>
      <c r="R119" s="7">
        <f>'3 escalar'!Q122</f>
        <v/>
      </c>
      <c r="S119" s="7">
        <f>'3 escalar'!R122</f>
        <v/>
      </c>
      <c r="T119" s="7">
        <f>'3 escalar'!S122</f>
        <v/>
      </c>
      <c r="U119" s="7">
        <f>'3 escalar'!T122</f>
        <v/>
      </c>
      <c r="V119" s="6">
        <f>$AC$12+D119*$AC$13+E119*$AC$14+F119*$AC$15+G119*$AC$16+H119*$AC$17+I119*$AC$18+J119*$AC$19+K119*$AC$20+L119*$AC$21+M119*$AC$22+N119*$AC$23+O119*$AC$24+P119*$AC$25+Q119*$AC$26+R119*$AC$27+S119*$AC$28+T119*$AC$29+U119*$AC$30</f>
        <v/>
      </c>
      <c r="W119" s="6">
        <f>1/(1+EXP(-V119))</f>
        <v/>
      </c>
      <c r="X119" s="8">
        <f>-IF(C119=1,LN(W119),LN(1-W119))</f>
        <v/>
      </c>
      <c r="Y119" s="9">
        <f>IF(W119&gt;$AC$32,1,0)</f>
        <v/>
      </c>
      <c r="Z119">
        <f>IF(Y119=C119,1,0)</f>
        <v/>
      </c>
    </row>
    <row r="120">
      <c r="A120">
        <f>'3 escalar'!A123</f>
        <v/>
      </c>
      <c r="B120" s="5">
        <f>'3 escalar'!U123</f>
        <v/>
      </c>
      <c r="C120">
        <f>'3 escalar'!B123</f>
        <v/>
      </c>
      <c r="D120" s="7">
        <f>'3 escalar'!C123</f>
        <v/>
      </c>
      <c r="E120" s="7">
        <f>'3 escalar'!D123</f>
        <v/>
      </c>
      <c r="F120" s="7">
        <f>'3 escalar'!E123</f>
        <v/>
      </c>
      <c r="G120" s="7">
        <f>'3 escalar'!F123</f>
        <v/>
      </c>
      <c r="H120" s="7">
        <f>'3 escalar'!G123</f>
        <v/>
      </c>
      <c r="I120" s="7">
        <f>'3 escalar'!H123</f>
        <v/>
      </c>
      <c r="J120" s="7">
        <f>'3 escalar'!I123</f>
        <v/>
      </c>
      <c r="K120" s="7">
        <f>'3 escalar'!J123</f>
        <v/>
      </c>
      <c r="L120" s="7">
        <f>'3 escalar'!K123</f>
        <v/>
      </c>
      <c r="M120" s="7">
        <f>'3 escalar'!L123</f>
        <v/>
      </c>
      <c r="N120" s="7">
        <f>'3 escalar'!M123</f>
        <v/>
      </c>
      <c r="O120" s="7">
        <f>'3 escalar'!N123</f>
        <v/>
      </c>
      <c r="P120" s="7">
        <f>'3 escalar'!O123</f>
        <v/>
      </c>
      <c r="Q120" s="7">
        <f>'3 escalar'!P123</f>
        <v/>
      </c>
      <c r="R120" s="7">
        <f>'3 escalar'!Q123</f>
        <v/>
      </c>
      <c r="S120" s="7">
        <f>'3 escalar'!R123</f>
        <v/>
      </c>
      <c r="T120" s="7">
        <f>'3 escalar'!S123</f>
        <v/>
      </c>
      <c r="U120" s="7">
        <f>'3 escalar'!T123</f>
        <v/>
      </c>
      <c r="V120" s="6">
        <f>$AC$12+D120*$AC$13+E120*$AC$14+F120*$AC$15+G120*$AC$16+H120*$AC$17+I120*$AC$18+J120*$AC$19+K120*$AC$20+L120*$AC$21+M120*$AC$22+N120*$AC$23+O120*$AC$24+P120*$AC$25+Q120*$AC$26+R120*$AC$27+S120*$AC$28+T120*$AC$29+U120*$AC$30</f>
        <v/>
      </c>
      <c r="W120" s="6">
        <f>1/(1+EXP(-V120))</f>
        <v/>
      </c>
      <c r="X120" s="8">
        <f>-IF(C120=1,LN(W120),LN(1-W120))</f>
        <v/>
      </c>
      <c r="Y120" s="9">
        <f>IF(W120&gt;$AC$32,1,0)</f>
        <v/>
      </c>
      <c r="Z120">
        <f>IF(Y120=C120,1,0)</f>
        <v/>
      </c>
    </row>
    <row r="121">
      <c r="A121">
        <f>'3 escalar'!A124</f>
        <v/>
      </c>
      <c r="B121" s="5">
        <f>'3 escalar'!U124</f>
        <v/>
      </c>
      <c r="C121">
        <f>'3 escalar'!B124</f>
        <v/>
      </c>
      <c r="D121" s="7">
        <f>'3 escalar'!C124</f>
        <v/>
      </c>
      <c r="E121" s="7">
        <f>'3 escalar'!D124</f>
        <v/>
      </c>
      <c r="F121" s="7">
        <f>'3 escalar'!E124</f>
        <v/>
      </c>
      <c r="G121" s="7">
        <f>'3 escalar'!F124</f>
        <v/>
      </c>
      <c r="H121" s="7">
        <f>'3 escalar'!G124</f>
        <v/>
      </c>
      <c r="I121" s="7">
        <f>'3 escalar'!H124</f>
        <v/>
      </c>
      <c r="J121" s="7">
        <f>'3 escalar'!I124</f>
        <v/>
      </c>
      <c r="K121" s="7">
        <f>'3 escalar'!J124</f>
        <v/>
      </c>
      <c r="L121" s="7">
        <f>'3 escalar'!K124</f>
        <v/>
      </c>
      <c r="M121" s="7">
        <f>'3 escalar'!L124</f>
        <v/>
      </c>
      <c r="N121" s="7">
        <f>'3 escalar'!M124</f>
        <v/>
      </c>
      <c r="O121" s="7">
        <f>'3 escalar'!N124</f>
        <v/>
      </c>
      <c r="P121" s="7">
        <f>'3 escalar'!O124</f>
        <v/>
      </c>
      <c r="Q121" s="7">
        <f>'3 escalar'!P124</f>
        <v/>
      </c>
      <c r="R121" s="7">
        <f>'3 escalar'!Q124</f>
        <v/>
      </c>
      <c r="S121" s="7">
        <f>'3 escalar'!R124</f>
        <v/>
      </c>
      <c r="T121" s="7">
        <f>'3 escalar'!S124</f>
        <v/>
      </c>
      <c r="U121" s="7">
        <f>'3 escalar'!T124</f>
        <v/>
      </c>
      <c r="V121" s="6">
        <f>$AC$12+D121*$AC$13+E121*$AC$14+F121*$AC$15+G121*$AC$16+H121*$AC$17+I121*$AC$18+J121*$AC$19+K121*$AC$20+L121*$AC$21+M121*$AC$22+N121*$AC$23+O121*$AC$24+P121*$AC$25+Q121*$AC$26+R121*$AC$27+S121*$AC$28+T121*$AC$29+U121*$AC$30</f>
        <v/>
      </c>
      <c r="W121" s="6">
        <f>1/(1+EXP(-V121))</f>
        <v/>
      </c>
      <c r="X121" s="8">
        <f>-IF(C121=1,LN(W121),LN(1-W121))</f>
        <v/>
      </c>
      <c r="Y121" s="9">
        <f>IF(W121&gt;$AC$32,1,0)</f>
        <v/>
      </c>
      <c r="Z121">
        <f>IF(Y121=C121,1,0)</f>
        <v/>
      </c>
    </row>
    <row r="122">
      <c r="A122">
        <f>'3 escalar'!A125</f>
        <v/>
      </c>
      <c r="B122" s="5">
        <f>'3 escalar'!U125</f>
        <v/>
      </c>
      <c r="C122">
        <f>'3 escalar'!B125</f>
        <v/>
      </c>
      <c r="D122" s="7">
        <f>'3 escalar'!C125</f>
        <v/>
      </c>
      <c r="E122" s="7">
        <f>'3 escalar'!D125</f>
        <v/>
      </c>
      <c r="F122" s="7">
        <f>'3 escalar'!E125</f>
        <v/>
      </c>
      <c r="G122" s="7">
        <f>'3 escalar'!F125</f>
        <v/>
      </c>
      <c r="H122" s="7">
        <f>'3 escalar'!G125</f>
        <v/>
      </c>
      <c r="I122" s="7">
        <f>'3 escalar'!H125</f>
        <v/>
      </c>
      <c r="J122" s="7">
        <f>'3 escalar'!I125</f>
        <v/>
      </c>
      <c r="K122" s="7">
        <f>'3 escalar'!J125</f>
        <v/>
      </c>
      <c r="L122" s="7">
        <f>'3 escalar'!K125</f>
        <v/>
      </c>
      <c r="M122" s="7">
        <f>'3 escalar'!L125</f>
        <v/>
      </c>
      <c r="N122" s="7">
        <f>'3 escalar'!M125</f>
        <v/>
      </c>
      <c r="O122" s="7">
        <f>'3 escalar'!N125</f>
        <v/>
      </c>
      <c r="P122" s="7">
        <f>'3 escalar'!O125</f>
        <v/>
      </c>
      <c r="Q122" s="7">
        <f>'3 escalar'!P125</f>
        <v/>
      </c>
      <c r="R122" s="7">
        <f>'3 escalar'!Q125</f>
        <v/>
      </c>
      <c r="S122" s="7">
        <f>'3 escalar'!R125</f>
        <v/>
      </c>
      <c r="T122" s="7">
        <f>'3 escalar'!S125</f>
        <v/>
      </c>
      <c r="U122" s="7">
        <f>'3 escalar'!T125</f>
        <v/>
      </c>
      <c r="V122" s="6">
        <f>$AC$12+D122*$AC$13+E122*$AC$14+F122*$AC$15+G122*$AC$16+H122*$AC$17+I122*$AC$18+J122*$AC$19+K122*$AC$20+L122*$AC$21+M122*$AC$22+N122*$AC$23+O122*$AC$24+P122*$AC$25+Q122*$AC$26+R122*$AC$27+S122*$AC$28+T122*$AC$29+U122*$AC$30</f>
        <v/>
      </c>
      <c r="W122" s="6">
        <f>1/(1+EXP(-V122))</f>
        <v/>
      </c>
      <c r="X122" s="8">
        <f>-IF(C122=1,LN(W122),LN(1-W122))</f>
        <v/>
      </c>
      <c r="Y122" s="9">
        <f>IF(W122&gt;$AC$32,1,0)</f>
        <v/>
      </c>
      <c r="Z122">
        <f>IF(Y122=C122,1,0)</f>
        <v/>
      </c>
    </row>
    <row r="123">
      <c r="A123">
        <f>'3 escalar'!A126</f>
        <v/>
      </c>
      <c r="B123" s="5">
        <f>'3 escalar'!U126</f>
        <v/>
      </c>
      <c r="C123">
        <f>'3 escalar'!B126</f>
        <v/>
      </c>
      <c r="D123" s="7">
        <f>'3 escalar'!C126</f>
        <v/>
      </c>
      <c r="E123" s="7">
        <f>'3 escalar'!D126</f>
        <v/>
      </c>
      <c r="F123" s="7">
        <f>'3 escalar'!E126</f>
        <v/>
      </c>
      <c r="G123" s="7">
        <f>'3 escalar'!F126</f>
        <v/>
      </c>
      <c r="H123" s="7">
        <f>'3 escalar'!G126</f>
        <v/>
      </c>
      <c r="I123" s="7">
        <f>'3 escalar'!H126</f>
        <v/>
      </c>
      <c r="J123" s="7">
        <f>'3 escalar'!I126</f>
        <v/>
      </c>
      <c r="K123" s="7">
        <f>'3 escalar'!J126</f>
        <v/>
      </c>
      <c r="L123" s="7">
        <f>'3 escalar'!K126</f>
        <v/>
      </c>
      <c r="M123" s="7">
        <f>'3 escalar'!L126</f>
        <v/>
      </c>
      <c r="N123" s="7">
        <f>'3 escalar'!M126</f>
        <v/>
      </c>
      <c r="O123" s="7">
        <f>'3 escalar'!N126</f>
        <v/>
      </c>
      <c r="P123" s="7">
        <f>'3 escalar'!O126</f>
        <v/>
      </c>
      <c r="Q123" s="7">
        <f>'3 escalar'!P126</f>
        <v/>
      </c>
      <c r="R123" s="7">
        <f>'3 escalar'!Q126</f>
        <v/>
      </c>
      <c r="S123" s="7">
        <f>'3 escalar'!R126</f>
        <v/>
      </c>
      <c r="T123" s="7">
        <f>'3 escalar'!S126</f>
        <v/>
      </c>
      <c r="U123" s="7">
        <f>'3 escalar'!T126</f>
        <v/>
      </c>
      <c r="V123" s="6">
        <f>$AC$12+D123*$AC$13+E123*$AC$14+F123*$AC$15+G123*$AC$16+H123*$AC$17+I123*$AC$18+J123*$AC$19+K123*$AC$20+L123*$AC$21+M123*$AC$22+N123*$AC$23+O123*$AC$24+P123*$AC$25+Q123*$AC$26+R123*$AC$27+S123*$AC$28+T123*$AC$29+U123*$AC$30</f>
        <v/>
      </c>
      <c r="W123" s="6">
        <f>1/(1+EXP(-V123))</f>
        <v/>
      </c>
      <c r="X123" s="8">
        <f>-IF(C123=1,LN(W123),LN(1-W123))</f>
        <v/>
      </c>
      <c r="Y123" s="9">
        <f>IF(W123&gt;$AC$32,1,0)</f>
        <v/>
      </c>
      <c r="Z123">
        <f>IF(Y123=C123,1,0)</f>
        <v/>
      </c>
    </row>
    <row r="124">
      <c r="A124">
        <f>'3 escalar'!A127</f>
        <v/>
      </c>
      <c r="B124" s="5">
        <f>'3 escalar'!U127</f>
        <v/>
      </c>
      <c r="C124">
        <f>'3 escalar'!B127</f>
        <v/>
      </c>
      <c r="D124" s="7">
        <f>'3 escalar'!C127</f>
        <v/>
      </c>
      <c r="E124" s="7">
        <f>'3 escalar'!D127</f>
        <v/>
      </c>
      <c r="F124" s="7">
        <f>'3 escalar'!E127</f>
        <v/>
      </c>
      <c r="G124" s="7">
        <f>'3 escalar'!F127</f>
        <v/>
      </c>
      <c r="H124" s="7">
        <f>'3 escalar'!G127</f>
        <v/>
      </c>
      <c r="I124" s="7">
        <f>'3 escalar'!H127</f>
        <v/>
      </c>
      <c r="J124" s="7">
        <f>'3 escalar'!I127</f>
        <v/>
      </c>
      <c r="K124" s="7">
        <f>'3 escalar'!J127</f>
        <v/>
      </c>
      <c r="L124" s="7">
        <f>'3 escalar'!K127</f>
        <v/>
      </c>
      <c r="M124" s="7">
        <f>'3 escalar'!L127</f>
        <v/>
      </c>
      <c r="N124" s="7">
        <f>'3 escalar'!M127</f>
        <v/>
      </c>
      <c r="O124" s="7">
        <f>'3 escalar'!N127</f>
        <v/>
      </c>
      <c r="P124" s="7">
        <f>'3 escalar'!O127</f>
        <v/>
      </c>
      <c r="Q124" s="7">
        <f>'3 escalar'!P127</f>
        <v/>
      </c>
      <c r="R124" s="7">
        <f>'3 escalar'!Q127</f>
        <v/>
      </c>
      <c r="S124" s="7">
        <f>'3 escalar'!R127</f>
        <v/>
      </c>
      <c r="T124" s="7">
        <f>'3 escalar'!S127</f>
        <v/>
      </c>
      <c r="U124" s="7">
        <f>'3 escalar'!T127</f>
        <v/>
      </c>
      <c r="V124" s="6">
        <f>$AC$12+D124*$AC$13+E124*$AC$14+F124*$AC$15+G124*$AC$16+H124*$AC$17+I124*$AC$18+J124*$AC$19+K124*$AC$20+L124*$AC$21+M124*$AC$22+N124*$AC$23+O124*$AC$24+P124*$AC$25+Q124*$AC$26+R124*$AC$27+S124*$AC$28+T124*$AC$29+U124*$AC$30</f>
        <v/>
      </c>
      <c r="W124" s="6">
        <f>1/(1+EXP(-V124))</f>
        <v/>
      </c>
      <c r="X124" s="8">
        <f>-IF(C124=1,LN(W124),LN(1-W124))</f>
        <v/>
      </c>
      <c r="Y124" s="9">
        <f>IF(W124&gt;$AC$32,1,0)</f>
        <v/>
      </c>
      <c r="Z124">
        <f>IF(Y124=C124,1,0)</f>
        <v/>
      </c>
    </row>
    <row r="125">
      <c r="A125">
        <f>'3 escalar'!A128</f>
        <v/>
      </c>
      <c r="B125" s="5">
        <f>'3 escalar'!U128</f>
        <v/>
      </c>
      <c r="C125">
        <f>'3 escalar'!B128</f>
        <v/>
      </c>
      <c r="D125" s="7">
        <f>'3 escalar'!C128</f>
        <v/>
      </c>
      <c r="E125" s="7">
        <f>'3 escalar'!D128</f>
        <v/>
      </c>
      <c r="F125" s="7">
        <f>'3 escalar'!E128</f>
        <v/>
      </c>
      <c r="G125" s="7">
        <f>'3 escalar'!F128</f>
        <v/>
      </c>
      <c r="H125" s="7">
        <f>'3 escalar'!G128</f>
        <v/>
      </c>
      <c r="I125" s="7">
        <f>'3 escalar'!H128</f>
        <v/>
      </c>
      <c r="J125" s="7">
        <f>'3 escalar'!I128</f>
        <v/>
      </c>
      <c r="K125" s="7">
        <f>'3 escalar'!J128</f>
        <v/>
      </c>
      <c r="L125" s="7">
        <f>'3 escalar'!K128</f>
        <v/>
      </c>
      <c r="M125" s="7">
        <f>'3 escalar'!L128</f>
        <v/>
      </c>
      <c r="N125" s="7">
        <f>'3 escalar'!M128</f>
        <v/>
      </c>
      <c r="O125" s="7">
        <f>'3 escalar'!N128</f>
        <v/>
      </c>
      <c r="P125" s="7">
        <f>'3 escalar'!O128</f>
        <v/>
      </c>
      <c r="Q125" s="7">
        <f>'3 escalar'!P128</f>
        <v/>
      </c>
      <c r="R125" s="7">
        <f>'3 escalar'!Q128</f>
        <v/>
      </c>
      <c r="S125" s="7">
        <f>'3 escalar'!R128</f>
        <v/>
      </c>
      <c r="T125" s="7">
        <f>'3 escalar'!S128</f>
        <v/>
      </c>
      <c r="U125" s="7">
        <f>'3 escalar'!T128</f>
        <v/>
      </c>
      <c r="V125" s="6">
        <f>$AC$12+D125*$AC$13+E125*$AC$14+F125*$AC$15+G125*$AC$16+H125*$AC$17+I125*$AC$18+J125*$AC$19+K125*$AC$20+L125*$AC$21+M125*$AC$22+N125*$AC$23+O125*$AC$24+P125*$AC$25+Q125*$AC$26+R125*$AC$27+S125*$AC$28+T125*$AC$29+U125*$AC$30</f>
        <v/>
      </c>
      <c r="W125" s="6">
        <f>1/(1+EXP(-V125))</f>
        <v/>
      </c>
      <c r="X125" s="8">
        <f>-IF(C125=1,LN(W125),LN(1-W125))</f>
        <v/>
      </c>
      <c r="Y125" s="9">
        <f>IF(W125&gt;$AC$32,1,0)</f>
        <v/>
      </c>
      <c r="Z125">
        <f>IF(Y125=C125,1,0)</f>
        <v/>
      </c>
    </row>
    <row r="126">
      <c r="A126">
        <f>'3 escalar'!A129</f>
        <v/>
      </c>
      <c r="B126" s="5">
        <f>'3 escalar'!U129</f>
        <v/>
      </c>
      <c r="C126">
        <f>'3 escalar'!B129</f>
        <v/>
      </c>
      <c r="D126" s="7">
        <f>'3 escalar'!C129</f>
        <v/>
      </c>
      <c r="E126" s="7">
        <f>'3 escalar'!D129</f>
        <v/>
      </c>
      <c r="F126" s="7">
        <f>'3 escalar'!E129</f>
        <v/>
      </c>
      <c r="G126" s="7">
        <f>'3 escalar'!F129</f>
        <v/>
      </c>
      <c r="H126" s="7">
        <f>'3 escalar'!G129</f>
        <v/>
      </c>
      <c r="I126" s="7">
        <f>'3 escalar'!H129</f>
        <v/>
      </c>
      <c r="J126" s="7">
        <f>'3 escalar'!I129</f>
        <v/>
      </c>
      <c r="K126" s="7">
        <f>'3 escalar'!J129</f>
        <v/>
      </c>
      <c r="L126" s="7">
        <f>'3 escalar'!K129</f>
        <v/>
      </c>
      <c r="M126" s="7">
        <f>'3 escalar'!L129</f>
        <v/>
      </c>
      <c r="N126" s="7">
        <f>'3 escalar'!M129</f>
        <v/>
      </c>
      <c r="O126" s="7">
        <f>'3 escalar'!N129</f>
        <v/>
      </c>
      <c r="P126" s="7">
        <f>'3 escalar'!O129</f>
        <v/>
      </c>
      <c r="Q126" s="7">
        <f>'3 escalar'!P129</f>
        <v/>
      </c>
      <c r="R126" s="7">
        <f>'3 escalar'!Q129</f>
        <v/>
      </c>
      <c r="S126" s="7">
        <f>'3 escalar'!R129</f>
        <v/>
      </c>
      <c r="T126" s="7">
        <f>'3 escalar'!S129</f>
        <v/>
      </c>
      <c r="U126" s="7">
        <f>'3 escalar'!T129</f>
        <v/>
      </c>
      <c r="V126" s="6">
        <f>$AC$12+D126*$AC$13+E126*$AC$14+F126*$AC$15+G126*$AC$16+H126*$AC$17+I126*$AC$18+J126*$AC$19+K126*$AC$20+L126*$AC$21+M126*$AC$22+N126*$AC$23+O126*$AC$24+P126*$AC$25+Q126*$AC$26+R126*$AC$27+S126*$AC$28+T126*$AC$29+U126*$AC$30</f>
        <v/>
      </c>
      <c r="W126" s="6">
        <f>1/(1+EXP(-V126))</f>
        <v/>
      </c>
      <c r="X126" s="8">
        <f>-IF(C126=1,LN(W126),LN(1-W126))</f>
        <v/>
      </c>
      <c r="Y126" s="9">
        <f>IF(W126&gt;$AC$32,1,0)</f>
        <v/>
      </c>
      <c r="Z126">
        <f>IF(Y126=C126,1,0)</f>
        <v/>
      </c>
    </row>
    <row r="127">
      <c r="A127">
        <f>'3 escalar'!A130</f>
        <v/>
      </c>
      <c r="B127" s="5">
        <f>'3 escalar'!U130</f>
        <v/>
      </c>
      <c r="C127">
        <f>'3 escalar'!B130</f>
        <v/>
      </c>
      <c r="D127" s="7">
        <f>'3 escalar'!C130</f>
        <v/>
      </c>
      <c r="E127" s="7">
        <f>'3 escalar'!D130</f>
        <v/>
      </c>
      <c r="F127" s="7">
        <f>'3 escalar'!E130</f>
        <v/>
      </c>
      <c r="G127" s="7">
        <f>'3 escalar'!F130</f>
        <v/>
      </c>
      <c r="H127" s="7">
        <f>'3 escalar'!G130</f>
        <v/>
      </c>
      <c r="I127" s="7">
        <f>'3 escalar'!H130</f>
        <v/>
      </c>
      <c r="J127" s="7">
        <f>'3 escalar'!I130</f>
        <v/>
      </c>
      <c r="K127" s="7">
        <f>'3 escalar'!J130</f>
        <v/>
      </c>
      <c r="L127" s="7">
        <f>'3 escalar'!K130</f>
        <v/>
      </c>
      <c r="M127" s="7">
        <f>'3 escalar'!L130</f>
        <v/>
      </c>
      <c r="N127" s="7">
        <f>'3 escalar'!M130</f>
        <v/>
      </c>
      <c r="O127" s="7">
        <f>'3 escalar'!N130</f>
        <v/>
      </c>
      <c r="P127" s="7">
        <f>'3 escalar'!O130</f>
        <v/>
      </c>
      <c r="Q127" s="7">
        <f>'3 escalar'!P130</f>
        <v/>
      </c>
      <c r="R127" s="7">
        <f>'3 escalar'!Q130</f>
        <v/>
      </c>
      <c r="S127" s="7">
        <f>'3 escalar'!R130</f>
        <v/>
      </c>
      <c r="T127" s="7">
        <f>'3 escalar'!S130</f>
        <v/>
      </c>
      <c r="U127" s="7">
        <f>'3 escalar'!T130</f>
        <v/>
      </c>
      <c r="V127" s="6">
        <f>$AC$12+D127*$AC$13+E127*$AC$14+F127*$AC$15+G127*$AC$16+H127*$AC$17+I127*$AC$18+J127*$AC$19+K127*$AC$20+L127*$AC$21+M127*$AC$22+N127*$AC$23+O127*$AC$24+P127*$AC$25+Q127*$AC$26+R127*$AC$27+S127*$AC$28+T127*$AC$29+U127*$AC$30</f>
        <v/>
      </c>
      <c r="W127" s="6">
        <f>1/(1+EXP(-V127))</f>
        <v/>
      </c>
      <c r="X127" s="8">
        <f>-IF(C127=1,LN(W127),LN(1-W127))</f>
        <v/>
      </c>
      <c r="Y127" s="9">
        <f>IF(W127&gt;$AC$32,1,0)</f>
        <v/>
      </c>
      <c r="Z127">
        <f>IF(Y127=C127,1,0)</f>
        <v/>
      </c>
    </row>
    <row r="128">
      <c r="A128">
        <f>'3 escalar'!A131</f>
        <v/>
      </c>
      <c r="B128" s="5">
        <f>'3 escalar'!U131</f>
        <v/>
      </c>
      <c r="C128">
        <f>'3 escalar'!B131</f>
        <v/>
      </c>
      <c r="D128" s="7">
        <f>'3 escalar'!C131</f>
        <v/>
      </c>
      <c r="E128" s="7">
        <f>'3 escalar'!D131</f>
        <v/>
      </c>
      <c r="F128" s="7">
        <f>'3 escalar'!E131</f>
        <v/>
      </c>
      <c r="G128" s="7">
        <f>'3 escalar'!F131</f>
        <v/>
      </c>
      <c r="H128" s="7">
        <f>'3 escalar'!G131</f>
        <v/>
      </c>
      <c r="I128" s="7">
        <f>'3 escalar'!H131</f>
        <v/>
      </c>
      <c r="J128" s="7">
        <f>'3 escalar'!I131</f>
        <v/>
      </c>
      <c r="K128" s="7">
        <f>'3 escalar'!J131</f>
        <v/>
      </c>
      <c r="L128" s="7">
        <f>'3 escalar'!K131</f>
        <v/>
      </c>
      <c r="M128" s="7">
        <f>'3 escalar'!L131</f>
        <v/>
      </c>
      <c r="N128" s="7">
        <f>'3 escalar'!M131</f>
        <v/>
      </c>
      <c r="O128" s="7">
        <f>'3 escalar'!N131</f>
        <v/>
      </c>
      <c r="P128" s="7">
        <f>'3 escalar'!O131</f>
        <v/>
      </c>
      <c r="Q128" s="7">
        <f>'3 escalar'!P131</f>
        <v/>
      </c>
      <c r="R128" s="7">
        <f>'3 escalar'!Q131</f>
        <v/>
      </c>
      <c r="S128" s="7">
        <f>'3 escalar'!R131</f>
        <v/>
      </c>
      <c r="T128" s="7">
        <f>'3 escalar'!S131</f>
        <v/>
      </c>
      <c r="U128" s="7">
        <f>'3 escalar'!T131</f>
        <v/>
      </c>
      <c r="V128" s="6">
        <f>$AC$12+D128*$AC$13+E128*$AC$14+F128*$AC$15+G128*$AC$16+H128*$AC$17+I128*$AC$18+J128*$AC$19+K128*$AC$20+L128*$AC$21+M128*$AC$22+N128*$AC$23+O128*$AC$24+P128*$AC$25+Q128*$AC$26+R128*$AC$27+S128*$AC$28+T128*$AC$29+U128*$AC$30</f>
        <v/>
      </c>
      <c r="W128" s="6">
        <f>1/(1+EXP(-V128))</f>
        <v/>
      </c>
      <c r="X128" s="8">
        <f>-IF(C128=1,LN(W128),LN(1-W128))</f>
        <v/>
      </c>
      <c r="Y128" s="9">
        <f>IF(W128&gt;$AC$32,1,0)</f>
        <v/>
      </c>
      <c r="Z128">
        <f>IF(Y128=C128,1,0)</f>
        <v/>
      </c>
    </row>
    <row r="129">
      <c r="A129">
        <f>'3 escalar'!A132</f>
        <v/>
      </c>
      <c r="B129" s="5">
        <f>'3 escalar'!U132</f>
        <v/>
      </c>
      <c r="C129">
        <f>'3 escalar'!B132</f>
        <v/>
      </c>
      <c r="D129" s="7">
        <f>'3 escalar'!C132</f>
        <v/>
      </c>
      <c r="E129" s="7">
        <f>'3 escalar'!D132</f>
        <v/>
      </c>
      <c r="F129" s="7">
        <f>'3 escalar'!E132</f>
        <v/>
      </c>
      <c r="G129" s="7">
        <f>'3 escalar'!F132</f>
        <v/>
      </c>
      <c r="H129" s="7">
        <f>'3 escalar'!G132</f>
        <v/>
      </c>
      <c r="I129" s="7">
        <f>'3 escalar'!H132</f>
        <v/>
      </c>
      <c r="J129" s="7">
        <f>'3 escalar'!I132</f>
        <v/>
      </c>
      <c r="K129" s="7">
        <f>'3 escalar'!J132</f>
        <v/>
      </c>
      <c r="L129" s="7">
        <f>'3 escalar'!K132</f>
        <v/>
      </c>
      <c r="M129" s="7">
        <f>'3 escalar'!L132</f>
        <v/>
      </c>
      <c r="N129" s="7">
        <f>'3 escalar'!M132</f>
        <v/>
      </c>
      <c r="O129" s="7">
        <f>'3 escalar'!N132</f>
        <v/>
      </c>
      <c r="P129" s="7">
        <f>'3 escalar'!O132</f>
        <v/>
      </c>
      <c r="Q129" s="7">
        <f>'3 escalar'!P132</f>
        <v/>
      </c>
      <c r="R129" s="7">
        <f>'3 escalar'!Q132</f>
        <v/>
      </c>
      <c r="S129" s="7">
        <f>'3 escalar'!R132</f>
        <v/>
      </c>
      <c r="T129" s="7">
        <f>'3 escalar'!S132</f>
        <v/>
      </c>
      <c r="U129" s="7">
        <f>'3 escalar'!T132</f>
        <v/>
      </c>
      <c r="V129" s="6">
        <f>$AC$12+D129*$AC$13+E129*$AC$14+F129*$AC$15+G129*$AC$16+H129*$AC$17+I129*$AC$18+J129*$AC$19+K129*$AC$20+L129*$AC$21+M129*$AC$22+N129*$AC$23+O129*$AC$24+P129*$AC$25+Q129*$AC$26+R129*$AC$27+S129*$AC$28+T129*$AC$29+U129*$AC$30</f>
        <v/>
      </c>
      <c r="W129" s="6">
        <f>1/(1+EXP(-V129))</f>
        <v/>
      </c>
      <c r="X129" s="8">
        <f>-IF(C129=1,LN(W129),LN(1-W129))</f>
        <v/>
      </c>
      <c r="Y129" s="9">
        <f>IF(W129&gt;$AC$32,1,0)</f>
        <v/>
      </c>
      <c r="Z129">
        <f>IF(Y129=C129,1,0)</f>
        <v/>
      </c>
    </row>
    <row r="130">
      <c r="A130">
        <f>'3 escalar'!A133</f>
        <v/>
      </c>
      <c r="B130" s="5">
        <f>'3 escalar'!U133</f>
        <v/>
      </c>
      <c r="C130">
        <f>'3 escalar'!B133</f>
        <v/>
      </c>
      <c r="D130" s="7">
        <f>'3 escalar'!C133</f>
        <v/>
      </c>
      <c r="E130" s="7">
        <f>'3 escalar'!D133</f>
        <v/>
      </c>
      <c r="F130" s="7">
        <f>'3 escalar'!E133</f>
        <v/>
      </c>
      <c r="G130" s="7">
        <f>'3 escalar'!F133</f>
        <v/>
      </c>
      <c r="H130" s="7">
        <f>'3 escalar'!G133</f>
        <v/>
      </c>
      <c r="I130" s="7">
        <f>'3 escalar'!H133</f>
        <v/>
      </c>
      <c r="J130" s="7">
        <f>'3 escalar'!I133</f>
        <v/>
      </c>
      <c r="K130" s="7">
        <f>'3 escalar'!J133</f>
        <v/>
      </c>
      <c r="L130" s="7">
        <f>'3 escalar'!K133</f>
        <v/>
      </c>
      <c r="M130" s="7">
        <f>'3 escalar'!L133</f>
        <v/>
      </c>
      <c r="N130" s="7">
        <f>'3 escalar'!M133</f>
        <v/>
      </c>
      <c r="O130" s="7">
        <f>'3 escalar'!N133</f>
        <v/>
      </c>
      <c r="P130" s="7">
        <f>'3 escalar'!O133</f>
        <v/>
      </c>
      <c r="Q130" s="7">
        <f>'3 escalar'!P133</f>
        <v/>
      </c>
      <c r="R130" s="7">
        <f>'3 escalar'!Q133</f>
        <v/>
      </c>
      <c r="S130" s="7">
        <f>'3 escalar'!R133</f>
        <v/>
      </c>
      <c r="T130" s="7">
        <f>'3 escalar'!S133</f>
        <v/>
      </c>
      <c r="U130" s="7">
        <f>'3 escalar'!T133</f>
        <v/>
      </c>
      <c r="V130" s="6">
        <f>$AC$12+D130*$AC$13+E130*$AC$14+F130*$AC$15+G130*$AC$16+H130*$AC$17+I130*$AC$18+J130*$AC$19+K130*$AC$20+L130*$AC$21+M130*$AC$22+N130*$AC$23+O130*$AC$24+P130*$AC$25+Q130*$AC$26+R130*$AC$27+S130*$AC$28+T130*$AC$29+U130*$AC$30</f>
        <v/>
      </c>
      <c r="W130" s="6">
        <f>1/(1+EXP(-V130))</f>
        <v/>
      </c>
      <c r="X130" s="8">
        <f>-IF(C130=1,LN(W130),LN(1-W130))</f>
        <v/>
      </c>
      <c r="Y130" s="9">
        <f>IF(W130&gt;$AC$32,1,0)</f>
        <v/>
      </c>
      <c r="Z130">
        <f>IF(Y130=C130,1,0)</f>
        <v/>
      </c>
    </row>
    <row r="131">
      <c r="A131">
        <f>'3 escalar'!A134</f>
        <v/>
      </c>
      <c r="B131" s="5">
        <f>'3 escalar'!U134</f>
        <v/>
      </c>
      <c r="C131">
        <f>'3 escalar'!B134</f>
        <v/>
      </c>
      <c r="D131" s="7">
        <f>'3 escalar'!C134</f>
        <v/>
      </c>
      <c r="E131" s="7">
        <f>'3 escalar'!D134</f>
        <v/>
      </c>
      <c r="F131" s="7">
        <f>'3 escalar'!E134</f>
        <v/>
      </c>
      <c r="G131" s="7">
        <f>'3 escalar'!F134</f>
        <v/>
      </c>
      <c r="H131" s="7">
        <f>'3 escalar'!G134</f>
        <v/>
      </c>
      <c r="I131" s="7">
        <f>'3 escalar'!H134</f>
        <v/>
      </c>
      <c r="J131" s="7">
        <f>'3 escalar'!I134</f>
        <v/>
      </c>
      <c r="K131" s="7">
        <f>'3 escalar'!J134</f>
        <v/>
      </c>
      <c r="L131" s="7">
        <f>'3 escalar'!K134</f>
        <v/>
      </c>
      <c r="M131" s="7">
        <f>'3 escalar'!L134</f>
        <v/>
      </c>
      <c r="N131" s="7">
        <f>'3 escalar'!M134</f>
        <v/>
      </c>
      <c r="O131" s="7">
        <f>'3 escalar'!N134</f>
        <v/>
      </c>
      <c r="P131" s="7">
        <f>'3 escalar'!O134</f>
        <v/>
      </c>
      <c r="Q131" s="7">
        <f>'3 escalar'!P134</f>
        <v/>
      </c>
      <c r="R131" s="7">
        <f>'3 escalar'!Q134</f>
        <v/>
      </c>
      <c r="S131" s="7">
        <f>'3 escalar'!R134</f>
        <v/>
      </c>
      <c r="T131" s="7">
        <f>'3 escalar'!S134</f>
        <v/>
      </c>
      <c r="U131" s="7">
        <f>'3 escalar'!T134</f>
        <v/>
      </c>
      <c r="V131" s="6">
        <f>$AC$12+D131*$AC$13+E131*$AC$14+F131*$AC$15+G131*$AC$16+H131*$AC$17+I131*$AC$18+J131*$AC$19+K131*$AC$20+L131*$AC$21+M131*$AC$22+N131*$AC$23+O131*$AC$24+P131*$AC$25+Q131*$AC$26+R131*$AC$27+S131*$AC$28+T131*$AC$29+U131*$AC$30</f>
        <v/>
      </c>
      <c r="W131" s="6">
        <f>1/(1+EXP(-V131))</f>
        <v/>
      </c>
      <c r="X131" s="8">
        <f>-IF(C131=1,LN(W131),LN(1-W131))</f>
        <v/>
      </c>
      <c r="Y131" s="9">
        <f>IF(W131&gt;$AC$32,1,0)</f>
        <v/>
      </c>
      <c r="Z131">
        <f>IF(Y131=C131,1,0)</f>
        <v/>
      </c>
    </row>
    <row r="132">
      <c r="A132">
        <f>'3 escalar'!A135</f>
        <v/>
      </c>
      <c r="B132" s="5">
        <f>'3 escalar'!U135</f>
        <v/>
      </c>
      <c r="C132">
        <f>'3 escalar'!B135</f>
        <v/>
      </c>
      <c r="D132" s="7">
        <f>'3 escalar'!C135</f>
        <v/>
      </c>
      <c r="E132" s="7">
        <f>'3 escalar'!D135</f>
        <v/>
      </c>
      <c r="F132" s="7">
        <f>'3 escalar'!E135</f>
        <v/>
      </c>
      <c r="G132" s="7">
        <f>'3 escalar'!F135</f>
        <v/>
      </c>
      <c r="H132" s="7">
        <f>'3 escalar'!G135</f>
        <v/>
      </c>
      <c r="I132" s="7">
        <f>'3 escalar'!H135</f>
        <v/>
      </c>
      <c r="J132" s="7">
        <f>'3 escalar'!I135</f>
        <v/>
      </c>
      <c r="K132" s="7">
        <f>'3 escalar'!J135</f>
        <v/>
      </c>
      <c r="L132" s="7">
        <f>'3 escalar'!K135</f>
        <v/>
      </c>
      <c r="M132" s="7">
        <f>'3 escalar'!L135</f>
        <v/>
      </c>
      <c r="N132" s="7">
        <f>'3 escalar'!M135</f>
        <v/>
      </c>
      <c r="O132" s="7">
        <f>'3 escalar'!N135</f>
        <v/>
      </c>
      <c r="P132" s="7">
        <f>'3 escalar'!O135</f>
        <v/>
      </c>
      <c r="Q132" s="7">
        <f>'3 escalar'!P135</f>
        <v/>
      </c>
      <c r="R132" s="7">
        <f>'3 escalar'!Q135</f>
        <v/>
      </c>
      <c r="S132" s="7">
        <f>'3 escalar'!R135</f>
        <v/>
      </c>
      <c r="T132" s="7">
        <f>'3 escalar'!S135</f>
        <v/>
      </c>
      <c r="U132" s="7">
        <f>'3 escalar'!T135</f>
        <v/>
      </c>
      <c r="V132" s="6">
        <f>$AC$12+D132*$AC$13+E132*$AC$14+F132*$AC$15+G132*$AC$16+H132*$AC$17+I132*$AC$18+J132*$AC$19+K132*$AC$20+L132*$AC$21+M132*$AC$22+N132*$AC$23+O132*$AC$24+P132*$AC$25+Q132*$AC$26+R132*$AC$27+S132*$AC$28+T132*$AC$29+U132*$AC$30</f>
        <v/>
      </c>
      <c r="W132" s="6">
        <f>1/(1+EXP(-V132))</f>
        <v/>
      </c>
      <c r="X132" s="8">
        <f>-IF(C132=1,LN(W132),LN(1-W132))</f>
        <v/>
      </c>
      <c r="Y132" s="9">
        <f>IF(W132&gt;$AC$32,1,0)</f>
        <v/>
      </c>
      <c r="Z132">
        <f>IF(Y132=C132,1,0)</f>
        <v/>
      </c>
    </row>
    <row r="133">
      <c r="A133">
        <f>'3 escalar'!A136</f>
        <v/>
      </c>
      <c r="B133" s="5">
        <f>'3 escalar'!U136</f>
        <v/>
      </c>
      <c r="C133">
        <f>'3 escalar'!B136</f>
        <v/>
      </c>
      <c r="D133" s="7">
        <f>'3 escalar'!C136</f>
        <v/>
      </c>
      <c r="E133" s="7">
        <f>'3 escalar'!D136</f>
        <v/>
      </c>
      <c r="F133" s="7">
        <f>'3 escalar'!E136</f>
        <v/>
      </c>
      <c r="G133" s="7">
        <f>'3 escalar'!F136</f>
        <v/>
      </c>
      <c r="H133" s="7">
        <f>'3 escalar'!G136</f>
        <v/>
      </c>
      <c r="I133" s="7">
        <f>'3 escalar'!H136</f>
        <v/>
      </c>
      <c r="J133" s="7">
        <f>'3 escalar'!I136</f>
        <v/>
      </c>
      <c r="K133" s="7">
        <f>'3 escalar'!J136</f>
        <v/>
      </c>
      <c r="L133" s="7">
        <f>'3 escalar'!K136</f>
        <v/>
      </c>
      <c r="M133" s="7">
        <f>'3 escalar'!L136</f>
        <v/>
      </c>
      <c r="N133" s="7">
        <f>'3 escalar'!M136</f>
        <v/>
      </c>
      <c r="O133" s="7">
        <f>'3 escalar'!N136</f>
        <v/>
      </c>
      <c r="P133" s="7">
        <f>'3 escalar'!O136</f>
        <v/>
      </c>
      <c r="Q133" s="7">
        <f>'3 escalar'!P136</f>
        <v/>
      </c>
      <c r="R133" s="7">
        <f>'3 escalar'!Q136</f>
        <v/>
      </c>
      <c r="S133" s="7">
        <f>'3 escalar'!R136</f>
        <v/>
      </c>
      <c r="T133" s="7">
        <f>'3 escalar'!S136</f>
        <v/>
      </c>
      <c r="U133" s="7">
        <f>'3 escalar'!T136</f>
        <v/>
      </c>
      <c r="V133" s="6">
        <f>$AC$12+D133*$AC$13+E133*$AC$14+F133*$AC$15+G133*$AC$16+H133*$AC$17+I133*$AC$18+J133*$AC$19+K133*$AC$20+L133*$AC$21+M133*$AC$22+N133*$AC$23+O133*$AC$24+P133*$AC$25+Q133*$AC$26+R133*$AC$27+S133*$AC$28+T133*$AC$29+U133*$AC$30</f>
        <v/>
      </c>
      <c r="W133" s="6">
        <f>1/(1+EXP(-V133))</f>
        <v/>
      </c>
      <c r="X133" s="8">
        <f>-IF(C133=1,LN(W133),LN(1-W133))</f>
        <v/>
      </c>
      <c r="Y133" s="9">
        <f>IF(W133&gt;$AC$32,1,0)</f>
        <v/>
      </c>
      <c r="Z133">
        <f>IF(Y133=C133,1,0)</f>
        <v/>
      </c>
    </row>
    <row r="134">
      <c r="A134">
        <f>'3 escalar'!A137</f>
        <v/>
      </c>
      <c r="B134" s="5">
        <f>'3 escalar'!U137</f>
        <v/>
      </c>
      <c r="C134">
        <f>'3 escalar'!B137</f>
        <v/>
      </c>
      <c r="D134" s="7">
        <f>'3 escalar'!C137</f>
        <v/>
      </c>
      <c r="E134" s="7">
        <f>'3 escalar'!D137</f>
        <v/>
      </c>
      <c r="F134" s="7">
        <f>'3 escalar'!E137</f>
        <v/>
      </c>
      <c r="G134" s="7">
        <f>'3 escalar'!F137</f>
        <v/>
      </c>
      <c r="H134" s="7">
        <f>'3 escalar'!G137</f>
        <v/>
      </c>
      <c r="I134" s="7">
        <f>'3 escalar'!H137</f>
        <v/>
      </c>
      <c r="J134" s="7">
        <f>'3 escalar'!I137</f>
        <v/>
      </c>
      <c r="K134" s="7">
        <f>'3 escalar'!J137</f>
        <v/>
      </c>
      <c r="L134" s="7">
        <f>'3 escalar'!K137</f>
        <v/>
      </c>
      <c r="M134" s="7">
        <f>'3 escalar'!L137</f>
        <v/>
      </c>
      <c r="N134" s="7">
        <f>'3 escalar'!M137</f>
        <v/>
      </c>
      <c r="O134" s="7">
        <f>'3 escalar'!N137</f>
        <v/>
      </c>
      <c r="P134" s="7">
        <f>'3 escalar'!O137</f>
        <v/>
      </c>
      <c r="Q134" s="7">
        <f>'3 escalar'!P137</f>
        <v/>
      </c>
      <c r="R134" s="7">
        <f>'3 escalar'!Q137</f>
        <v/>
      </c>
      <c r="S134" s="7">
        <f>'3 escalar'!R137</f>
        <v/>
      </c>
      <c r="T134" s="7">
        <f>'3 escalar'!S137</f>
        <v/>
      </c>
      <c r="U134" s="7">
        <f>'3 escalar'!T137</f>
        <v/>
      </c>
      <c r="V134" s="6">
        <f>$AC$12+D134*$AC$13+E134*$AC$14+F134*$AC$15+G134*$AC$16+H134*$AC$17+I134*$AC$18+J134*$AC$19+K134*$AC$20+L134*$AC$21+M134*$AC$22+N134*$AC$23+O134*$AC$24+P134*$AC$25+Q134*$AC$26+R134*$AC$27+S134*$AC$28+T134*$AC$29+U134*$AC$30</f>
        <v/>
      </c>
      <c r="W134" s="6">
        <f>1/(1+EXP(-V134))</f>
        <v/>
      </c>
      <c r="X134" s="8">
        <f>-IF(C134=1,LN(W134),LN(1-W134))</f>
        <v/>
      </c>
      <c r="Y134" s="9">
        <f>IF(W134&gt;$AC$32,1,0)</f>
        <v/>
      </c>
      <c r="Z134">
        <f>IF(Y134=C134,1,0)</f>
        <v/>
      </c>
    </row>
    <row r="135">
      <c r="A135">
        <f>'3 escalar'!A138</f>
        <v/>
      </c>
      <c r="B135" s="5">
        <f>'3 escalar'!U138</f>
        <v/>
      </c>
      <c r="C135">
        <f>'3 escalar'!B138</f>
        <v/>
      </c>
      <c r="D135" s="7">
        <f>'3 escalar'!C138</f>
        <v/>
      </c>
      <c r="E135" s="7">
        <f>'3 escalar'!D138</f>
        <v/>
      </c>
      <c r="F135" s="7">
        <f>'3 escalar'!E138</f>
        <v/>
      </c>
      <c r="G135" s="7">
        <f>'3 escalar'!F138</f>
        <v/>
      </c>
      <c r="H135" s="7">
        <f>'3 escalar'!G138</f>
        <v/>
      </c>
      <c r="I135" s="7">
        <f>'3 escalar'!H138</f>
        <v/>
      </c>
      <c r="J135" s="7">
        <f>'3 escalar'!I138</f>
        <v/>
      </c>
      <c r="K135" s="7">
        <f>'3 escalar'!J138</f>
        <v/>
      </c>
      <c r="L135" s="7">
        <f>'3 escalar'!K138</f>
        <v/>
      </c>
      <c r="M135" s="7">
        <f>'3 escalar'!L138</f>
        <v/>
      </c>
      <c r="N135" s="7">
        <f>'3 escalar'!M138</f>
        <v/>
      </c>
      <c r="O135" s="7">
        <f>'3 escalar'!N138</f>
        <v/>
      </c>
      <c r="P135" s="7">
        <f>'3 escalar'!O138</f>
        <v/>
      </c>
      <c r="Q135" s="7">
        <f>'3 escalar'!P138</f>
        <v/>
      </c>
      <c r="R135" s="7">
        <f>'3 escalar'!Q138</f>
        <v/>
      </c>
      <c r="S135" s="7">
        <f>'3 escalar'!R138</f>
        <v/>
      </c>
      <c r="T135" s="7">
        <f>'3 escalar'!S138</f>
        <v/>
      </c>
      <c r="U135" s="7">
        <f>'3 escalar'!T138</f>
        <v/>
      </c>
      <c r="V135" s="6">
        <f>$AC$12+D135*$AC$13+E135*$AC$14+F135*$AC$15+G135*$AC$16+H135*$AC$17+I135*$AC$18+J135*$AC$19+K135*$AC$20+L135*$AC$21+M135*$AC$22+N135*$AC$23+O135*$AC$24+P135*$AC$25+Q135*$AC$26+R135*$AC$27+S135*$AC$28+T135*$AC$29+U135*$AC$30</f>
        <v/>
      </c>
      <c r="W135" s="6">
        <f>1/(1+EXP(-V135))</f>
        <v/>
      </c>
      <c r="X135" s="8">
        <f>-IF(C135=1,LN(W135),LN(1-W135))</f>
        <v/>
      </c>
      <c r="Y135" s="9">
        <f>IF(W135&gt;$AC$32,1,0)</f>
        <v/>
      </c>
      <c r="Z135">
        <f>IF(Y135=C135,1,0)</f>
        <v/>
      </c>
    </row>
    <row r="136">
      <c r="A136">
        <f>'3 escalar'!A139</f>
        <v/>
      </c>
      <c r="B136" s="5">
        <f>'3 escalar'!U139</f>
        <v/>
      </c>
      <c r="C136">
        <f>'3 escalar'!B139</f>
        <v/>
      </c>
      <c r="D136" s="7">
        <f>'3 escalar'!C139</f>
        <v/>
      </c>
      <c r="E136" s="7">
        <f>'3 escalar'!D139</f>
        <v/>
      </c>
      <c r="F136" s="7">
        <f>'3 escalar'!E139</f>
        <v/>
      </c>
      <c r="G136" s="7">
        <f>'3 escalar'!F139</f>
        <v/>
      </c>
      <c r="H136" s="7">
        <f>'3 escalar'!G139</f>
        <v/>
      </c>
      <c r="I136" s="7">
        <f>'3 escalar'!H139</f>
        <v/>
      </c>
      <c r="J136" s="7">
        <f>'3 escalar'!I139</f>
        <v/>
      </c>
      <c r="K136" s="7">
        <f>'3 escalar'!J139</f>
        <v/>
      </c>
      <c r="L136" s="7">
        <f>'3 escalar'!K139</f>
        <v/>
      </c>
      <c r="M136" s="7">
        <f>'3 escalar'!L139</f>
        <v/>
      </c>
      <c r="N136" s="7">
        <f>'3 escalar'!M139</f>
        <v/>
      </c>
      <c r="O136" s="7">
        <f>'3 escalar'!N139</f>
        <v/>
      </c>
      <c r="P136" s="7">
        <f>'3 escalar'!O139</f>
        <v/>
      </c>
      <c r="Q136" s="7">
        <f>'3 escalar'!P139</f>
        <v/>
      </c>
      <c r="R136" s="7">
        <f>'3 escalar'!Q139</f>
        <v/>
      </c>
      <c r="S136" s="7">
        <f>'3 escalar'!R139</f>
        <v/>
      </c>
      <c r="T136" s="7">
        <f>'3 escalar'!S139</f>
        <v/>
      </c>
      <c r="U136" s="7">
        <f>'3 escalar'!T139</f>
        <v/>
      </c>
      <c r="V136" s="6">
        <f>$AC$12+D136*$AC$13+E136*$AC$14+F136*$AC$15+G136*$AC$16+H136*$AC$17+I136*$AC$18+J136*$AC$19+K136*$AC$20+L136*$AC$21+M136*$AC$22+N136*$AC$23+O136*$AC$24+P136*$AC$25+Q136*$AC$26+R136*$AC$27+S136*$AC$28+T136*$AC$29+U136*$AC$30</f>
        <v/>
      </c>
      <c r="W136" s="6">
        <f>1/(1+EXP(-V136))</f>
        <v/>
      </c>
      <c r="X136" s="8">
        <f>-IF(C136=1,LN(W136),LN(1-W136))</f>
        <v/>
      </c>
      <c r="Y136" s="9">
        <f>IF(W136&gt;$AC$32,1,0)</f>
        <v/>
      </c>
      <c r="Z136">
        <f>IF(Y136=C136,1,0)</f>
        <v/>
      </c>
    </row>
    <row r="137">
      <c r="A137">
        <f>'3 escalar'!A140</f>
        <v/>
      </c>
      <c r="B137" s="5">
        <f>'3 escalar'!U140</f>
        <v/>
      </c>
      <c r="C137">
        <f>'3 escalar'!B140</f>
        <v/>
      </c>
      <c r="D137" s="7">
        <f>'3 escalar'!C140</f>
        <v/>
      </c>
      <c r="E137" s="7">
        <f>'3 escalar'!D140</f>
        <v/>
      </c>
      <c r="F137" s="7">
        <f>'3 escalar'!E140</f>
        <v/>
      </c>
      <c r="G137" s="7">
        <f>'3 escalar'!F140</f>
        <v/>
      </c>
      <c r="H137" s="7">
        <f>'3 escalar'!G140</f>
        <v/>
      </c>
      <c r="I137" s="7">
        <f>'3 escalar'!H140</f>
        <v/>
      </c>
      <c r="J137" s="7">
        <f>'3 escalar'!I140</f>
        <v/>
      </c>
      <c r="K137" s="7">
        <f>'3 escalar'!J140</f>
        <v/>
      </c>
      <c r="L137" s="7">
        <f>'3 escalar'!K140</f>
        <v/>
      </c>
      <c r="M137" s="7">
        <f>'3 escalar'!L140</f>
        <v/>
      </c>
      <c r="N137" s="7">
        <f>'3 escalar'!M140</f>
        <v/>
      </c>
      <c r="O137" s="7">
        <f>'3 escalar'!N140</f>
        <v/>
      </c>
      <c r="P137" s="7">
        <f>'3 escalar'!O140</f>
        <v/>
      </c>
      <c r="Q137" s="7">
        <f>'3 escalar'!P140</f>
        <v/>
      </c>
      <c r="R137" s="7">
        <f>'3 escalar'!Q140</f>
        <v/>
      </c>
      <c r="S137" s="7">
        <f>'3 escalar'!R140</f>
        <v/>
      </c>
      <c r="T137" s="7">
        <f>'3 escalar'!S140</f>
        <v/>
      </c>
      <c r="U137" s="7">
        <f>'3 escalar'!T140</f>
        <v/>
      </c>
      <c r="V137" s="6">
        <f>$AC$12+D137*$AC$13+E137*$AC$14+F137*$AC$15+G137*$AC$16+H137*$AC$17+I137*$AC$18+J137*$AC$19+K137*$AC$20+L137*$AC$21+M137*$AC$22+N137*$AC$23+O137*$AC$24+P137*$AC$25+Q137*$AC$26+R137*$AC$27+S137*$AC$28+T137*$AC$29+U137*$AC$30</f>
        <v/>
      </c>
      <c r="W137" s="6">
        <f>1/(1+EXP(-V137))</f>
        <v/>
      </c>
      <c r="X137" s="8">
        <f>-IF(C137=1,LN(W137),LN(1-W137))</f>
        <v/>
      </c>
      <c r="Y137" s="9">
        <f>IF(W137&gt;$AC$32,1,0)</f>
        <v/>
      </c>
      <c r="Z137">
        <f>IF(Y137=C137,1,0)</f>
        <v/>
      </c>
    </row>
    <row r="138">
      <c r="A138">
        <f>'3 escalar'!A141</f>
        <v/>
      </c>
      <c r="B138" s="5">
        <f>'3 escalar'!U141</f>
        <v/>
      </c>
      <c r="C138">
        <f>'3 escalar'!B141</f>
        <v/>
      </c>
      <c r="D138" s="7">
        <f>'3 escalar'!C141</f>
        <v/>
      </c>
      <c r="E138" s="7">
        <f>'3 escalar'!D141</f>
        <v/>
      </c>
      <c r="F138" s="7">
        <f>'3 escalar'!E141</f>
        <v/>
      </c>
      <c r="G138" s="7">
        <f>'3 escalar'!F141</f>
        <v/>
      </c>
      <c r="H138" s="7">
        <f>'3 escalar'!G141</f>
        <v/>
      </c>
      <c r="I138" s="7">
        <f>'3 escalar'!H141</f>
        <v/>
      </c>
      <c r="J138" s="7">
        <f>'3 escalar'!I141</f>
        <v/>
      </c>
      <c r="K138" s="7">
        <f>'3 escalar'!J141</f>
        <v/>
      </c>
      <c r="L138" s="7">
        <f>'3 escalar'!K141</f>
        <v/>
      </c>
      <c r="M138" s="7">
        <f>'3 escalar'!L141</f>
        <v/>
      </c>
      <c r="N138" s="7">
        <f>'3 escalar'!M141</f>
        <v/>
      </c>
      <c r="O138" s="7">
        <f>'3 escalar'!N141</f>
        <v/>
      </c>
      <c r="P138" s="7">
        <f>'3 escalar'!O141</f>
        <v/>
      </c>
      <c r="Q138" s="7">
        <f>'3 escalar'!P141</f>
        <v/>
      </c>
      <c r="R138" s="7">
        <f>'3 escalar'!Q141</f>
        <v/>
      </c>
      <c r="S138" s="7">
        <f>'3 escalar'!R141</f>
        <v/>
      </c>
      <c r="T138" s="7">
        <f>'3 escalar'!S141</f>
        <v/>
      </c>
      <c r="U138" s="7">
        <f>'3 escalar'!T141</f>
        <v/>
      </c>
      <c r="V138" s="6">
        <f>$AC$12+D138*$AC$13+E138*$AC$14+F138*$AC$15+G138*$AC$16+H138*$AC$17+I138*$AC$18+J138*$AC$19+K138*$AC$20+L138*$AC$21+M138*$AC$22+N138*$AC$23+O138*$AC$24+P138*$AC$25+Q138*$AC$26+R138*$AC$27+S138*$AC$28+T138*$AC$29+U138*$AC$30</f>
        <v/>
      </c>
      <c r="W138" s="6">
        <f>1/(1+EXP(-V138))</f>
        <v/>
      </c>
      <c r="X138" s="8">
        <f>-IF(C138=1,LN(W138),LN(1-W138))</f>
        <v/>
      </c>
      <c r="Y138" s="9">
        <f>IF(W138&gt;$AC$32,1,0)</f>
        <v/>
      </c>
      <c r="Z138">
        <f>IF(Y138=C138,1,0)</f>
        <v/>
      </c>
    </row>
    <row r="139">
      <c r="A139">
        <f>'3 escalar'!A142</f>
        <v/>
      </c>
      <c r="B139" s="5">
        <f>'3 escalar'!U142</f>
        <v/>
      </c>
      <c r="C139">
        <f>'3 escalar'!B142</f>
        <v/>
      </c>
      <c r="D139" s="7">
        <f>'3 escalar'!C142</f>
        <v/>
      </c>
      <c r="E139" s="7">
        <f>'3 escalar'!D142</f>
        <v/>
      </c>
      <c r="F139" s="7">
        <f>'3 escalar'!E142</f>
        <v/>
      </c>
      <c r="G139" s="7">
        <f>'3 escalar'!F142</f>
        <v/>
      </c>
      <c r="H139" s="7">
        <f>'3 escalar'!G142</f>
        <v/>
      </c>
      <c r="I139" s="7">
        <f>'3 escalar'!H142</f>
        <v/>
      </c>
      <c r="J139" s="7">
        <f>'3 escalar'!I142</f>
        <v/>
      </c>
      <c r="K139" s="7">
        <f>'3 escalar'!J142</f>
        <v/>
      </c>
      <c r="L139" s="7">
        <f>'3 escalar'!K142</f>
        <v/>
      </c>
      <c r="M139" s="7">
        <f>'3 escalar'!L142</f>
        <v/>
      </c>
      <c r="N139" s="7">
        <f>'3 escalar'!M142</f>
        <v/>
      </c>
      <c r="O139" s="7">
        <f>'3 escalar'!N142</f>
        <v/>
      </c>
      <c r="P139" s="7">
        <f>'3 escalar'!O142</f>
        <v/>
      </c>
      <c r="Q139" s="7">
        <f>'3 escalar'!P142</f>
        <v/>
      </c>
      <c r="R139" s="7">
        <f>'3 escalar'!Q142</f>
        <v/>
      </c>
      <c r="S139" s="7">
        <f>'3 escalar'!R142</f>
        <v/>
      </c>
      <c r="T139" s="7">
        <f>'3 escalar'!S142</f>
        <v/>
      </c>
      <c r="U139" s="7">
        <f>'3 escalar'!T142</f>
        <v/>
      </c>
      <c r="V139" s="6">
        <f>$AC$12+D139*$AC$13+E139*$AC$14+F139*$AC$15+G139*$AC$16+H139*$AC$17+I139*$AC$18+J139*$AC$19+K139*$AC$20+L139*$AC$21+M139*$AC$22+N139*$AC$23+O139*$AC$24+P139*$AC$25+Q139*$AC$26+R139*$AC$27+S139*$AC$28+T139*$AC$29+U139*$AC$30</f>
        <v/>
      </c>
      <c r="W139" s="6">
        <f>1/(1+EXP(-V139))</f>
        <v/>
      </c>
      <c r="X139" s="8">
        <f>-IF(C139=1,LN(W139),LN(1-W139))</f>
        <v/>
      </c>
      <c r="Y139" s="9">
        <f>IF(W139&gt;$AC$32,1,0)</f>
        <v/>
      </c>
      <c r="Z139">
        <f>IF(Y139=C139,1,0)</f>
        <v/>
      </c>
    </row>
    <row r="140">
      <c r="A140">
        <f>'3 escalar'!A143</f>
        <v/>
      </c>
      <c r="B140" s="5">
        <f>'3 escalar'!U143</f>
        <v/>
      </c>
      <c r="C140">
        <f>'3 escalar'!B143</f>
        <v/>
      </c>
      <c r="D140" s="7">
        <f>'3 escalar'!C143</f>
        <v/>
      </c>
      <c r="E140" s="7">
        <f>'3 escalar'!D143</f>
        <v/>
      </c>
      <c r="F140" s="7">
        <f>'3 escalar'!E143</f>
        <v/>
      </c>
      <c r="G140" s="7">
        <f>'3 escalar'!F143</f>
        <v/>
      </c>
      <c r="H140" s="7">
        <f>'3 escalar'!G143</f>
        <v/>
      </c>
      <c r="I140" s="7">
        <f>'3 escalar'!H143</f>
        <v/>
      </c>
      <c r="J140" s="7">
        <f>'3 escalar'!I143</f>
        <v/>
      </c>
      <c r="K140" s="7">
        <f>'3 escalar'!J143</f>
        <v/>
      </c>
      <c r="L140" s="7">
        <f>'3 escalar'!K143</f>
        <v/>
      </c>
      <c r="M140" s="7">
        <f>'3 escalar'!L143</f>
        <v/>
      </c>
      <c r="N140" s="7">
        <f>'3 escalar'!M143</f>
        <v/>
      </c>
      <c r="O140" s="7">
        <f>'3 escalar'!N143</f>
        <v/>
      </c>
      <c r="P140" s="7">
        <f>'3 escalar'!O143</f>
        <v/>
      </c>
      <c r="Q140" s="7">
        <f>'3 escalar'!P143</f>
        <v/>
      </c>
      <c r="R140" s="7">
        <f>'3 escalar'!Q143</f>
        <v/>
      </c>
      <c r="S140" s="7">
        <f>'3 escalar'!R143</f>
        <v/>
      </c>
      <c r="T140" s="7">
        <f>'3 escalar'!S143</f>
        <v/>
      </c>
      <c r="U140" s="7">
        <f>'3 escalar'!T143</f>
        <v/>
      </c>
      <c r="V140" s="6">
        <f>$AC$12+D140*$AC$13+E140*$AC$14+F140*$AC$15+G140*$AC$16+H140*$AC$17+I140*$AC$18+J140*$AC$19+K140*$AC$20+L140*$AC$21+M140*$AC$22+N140*$AC$23+O140*$AC$24+P140*$AC$25+Q140*$AC$26+R140*$AC$27+S140*$AC$28+T140*$AC$29+U140*$AC$30</f>
        <v/>
      </c>
      <c r="W140" s="6">
        <f>1/(1+EXP(-V140))</f>
        <v/>
      </c>
      <c r="X140" s="8">
        <f>-IF(C140=1,LN(W140),LN(1-W140))</f>
        <v/>
      </c>
      <c r="Y140" s="9">
        <f>IF(W140&gt;$AC$32,1,0)</f>
        <v/>
      </c>
      <c r="Z140">
        <f>IF(Y140=C140,1,0)</f>
        <v/>
      </c>
    </row>
    <row r="141">
      <c r="A141">
        <f>'3 escalar'!A144</f>
        <v/>
      </c>
      <c r="B141" s="5">
        <f>'3 escalar'!U144</f>
        <v/>
      </c>
      <c r="C141">
        <f>'3 escalar'!B144</f>
        <v/>
      </c>
      <c r="D141" s="7">
        <f>'3 escalar'!C144</f>
        <v/>
      </c>
      <c r="E141" s="7">
        <f>'3 escalar'!D144</f>
        <v/>
      </c>
      <c r="F141" s="7">
        <f>'3 escalar'!E144</f>
        <v/>
      </c>
      <c r="G141" s="7">
        <f>'3 escalar'!F144</f>
        <v/>
      </c>
      <c r="H141" s="7">
        <f>'3 escalar'!G144</f>
        <v/>
      </c>
      <c r="I141" s="7">
        <f>'3 escalar'!H144</f>
        <v/>
      </c>
      <c r="J141" s="7">
        <f>'3 escalar'!I144</f>
        <v/>
      </c>
      <c r="K141" s="7">
        <f>'3 escalar'!J144</f>
        <v/>
      </c>
      <c r="L141" s="7">
        <f>'3 escalar'!K144</f>
        <v/>
      </c>
      <c r="M141" s="7">
        <f>'3 escalar'!L144</f>
        <v/>
      </c>
      <c r="N141" s="7">
        <f>'3 escalar'!M144</f>
        <v/>
      </c>
      <c r="O141" s="7">
        <f>'3 escalar'!N144</f>
        <v/>
      </c>
      <c r="P141" s="7">
        <f>'3 escalar'!O144</f>
        <v/>
      </c>
      <c r="Q141" s="7">
        <f>'3 escalar'!P144</f>
        <v/>
      </c>
      <c r="R141" s="7">
        <f>'3 escalar'!Q144</f>
        <v/>
      </c>
      <c r="S141" s="7">
        <f>'3 escalar'!R144</f>
        <v/>
      </c>
      <c r="T141" s="7">
        <f>'3 escalar'!S144</f>
        <v/>
      </c>
      <c r="U141" s="7">
        <f>'3 escalar'!T144</f>
        <v/>
      </c>
      <c r="V141" s="6">
        <f>$AC$12+D141*$AC$13+E141*$AC$14+F141*$AC$15+G141*$AC$16+H141*$AC$17+I141*$AC$18+J141*$AC$19+K141*$AC$20+L141*$AC$21+M141*$AC$22+N141*$AC$23+O141*$AC$24+P141*$AC$25+Q141*$AC$26+R141*$AC$27+S141*$AC$28+T141*$AC$29+U141*$AC$30</f>
        <v/>
      </c>
      <c r="W141" s="6">
        <f>1/(1+EXP(-V141))</f>
        <v/>
      </c>
      <c r="X141" s="8">
        <f>-IF(C141=1,LN(W141),LN(1-W141))</f>
        <v/>
      </c>
      <c r="Y141" s="9">
        <f>IF(W141&gt;$AC$32,1,0)</f>
        <v/>
      </c>
      <c r="Z141">
        <f>IF(Y141=C141,1,0)</f>
        <v/>
      </c>
    </row>
    <row r="142">
      <c r="A142">
        <f>'3 escalar'!A145</f>
        <v/>
      </c>
      <c r="B142" s="5">
        <f>'3 escalar'!U145</f>
        <v/>
      </c>
      <c r="C142">
        <f>'3 escalar'!B145</f>
        <v/>
      </c>
      <c r="D142" s="7">
        <f>'3 escalar'!C145</f>
        <v/>
      </c>
      <c r="E142" s="7">
        <f>'3 escalar'!D145</f>
        <v/>
      </c>
      <c r="F142" s="7">
        <f>'3 escalar'!E145</f>
        <v/>
      </c>
      <c r="G142" s="7">
        <f>'3 escalar'!F145</f>
        <v/>
      </c>
      <c r="H142" s="7">
        <f>'3 escalar'!G145</f>
        <v/>
      </c>
      <c r="I142" s="7">
        <f>'3 escalar'!H145</f>
        <v/>
      </c>
      <c r="J142" s="7">
        <f>'3 escalar'!I145</f>
        <v/>
      </c>
      <c r="K142" s="7">
        <f>'3 escalar'!J145</f>
        <v/>
      </c>
      <c r="L142" s="7">
        <f>'3 escalar'!K145</f>
        <v/>
      </c>
      <c r="M142" s="7">
        <f>'3 escalar'!L145</f>
        <v/>
      </c>
      <c r="N142" s="7">
        <f>'3 escalar'!M145</f>
        <v/>
      </c>
      <c r="O142" s="7">
        <f>'3 escalar'!N145</f>
        <v/>
      </c>
      <c r="P142" s="7">
        <f>'3 escalar'!O145</f>
        <v/>
      </c>
      <c r="Q142" s="7">
        <f>'3 escalar'!P145</f>
        <v/>
      </c>
      <c r="R142" s="7">
        <f>'3 escalar'!Q145</f>
        <v/>
      </c>
      <c r="S142" s="7">
        <f>'3 escalar'!R145</f>
        <v/>
      </c>
      <c r="T142" s="7">
        <f>'3 escalar'!S145</f>
        <v/>
      </c>
      <c r="U142" s="7">
        <f>'3 escalar'!T145</f>
        <v/>
      </c>
      <c r="V142" s="6">
        <f>$AC$12+D142*$AC$13+E142*$AC$14+F142*$AC$15+G142*$AC$16+H142*$AC$17+I142*$AC$18+J142*$AC$19+K142*$AC$20+L142*$AC$21+M142*$AC$22+N142*$AC$23+O142*$AC$24+P142*$AC$25+Q142*$AC$26+R142*$AC$27+S142*$AC$28+T142*$AC$29+U142*$AC$30</f>
        <v/>
      </c>
      <c r="W142" s="6">
        <f>1/(1+EXP(-V142))</f>
        <v/>
      </c>
      <c r="X142" s="8">
        <f>-IF(C142=1,LN(W142),LN(1-W142))</f>
        <v/>
      </c>
      <c r="Y142" s="9">
        <f>IF(W142&gt;$AC$32,1,0)</f>
        <v/>
      </c>
      <c r="Z142">
        <f>IF(Y142=C142,1,0)</f>
        <v/>
      </c>
    </row>
    <row r="143">
      <c r="A143">
        <f>'3 escalar'!A146</f>
        <v/>
      </c>
      <c r="B143" s="5">
        <f>'3 escalar'!U146</f>
        <v/>
      </c>
      <c r="C143">
        <f>'3 escalar'!B146</f>
        <v/>
      </c>
      <c r="D143" s="7">
        <f>'3 escalar'!C146</f>
        <v/>
      </c>
      <c r="E143" s="7">
        <f>'3 escalar'!D146</f>
        <v/>
      </c>
      <c r="F143" s="7">
        <f>'3 escalar'!E146</f>
        <v/>
      </c>
      <c r="G143" s="7">
        <f>'3 escalar'!F146</f>
        <v/>
      </c>
      <c r="H143" s="7">
        <f>'3 escalar'!G146</f>
        <v/>
      </c>
      <c r="I143" s="7">
        <f>'3 escalar'!H146</f>
        <v/>
      </c>
      <c r="J143" s="7">
        <f>'3 escalar'!I146</f>
        <v/>
      </c>
      <c r="K143" s="7">
        <f>'3 escalar'!J146</f>
        <v/>
      </c>
      <c r="L143" s="7">
        <f>'3 escalar'!K146</f>
        <v/>
      </c>
      <c r="M143" s="7">
        <f>'3 escalar'!L146</f>
        <v/>
      </c>
      <c r="N143" s="7">
        <f>'3 escalar'!M146</f>
        <v/>
      </c>
      <c r="O143" s="7">
        <f>'3 escalar'!N146</f>
        <v/>
      </c>
      <c r="P143" s="7">
        <f>'3 escalar'!O146</f>
        <v/>
      </c>
      <c r="Q143" s="7">
        <f>'3 escalar'!P146</f>
        <v/>
      </c>
      <c r="R143" s="7">
        <f>'3 escalar'!Q146</f>
        <v/>
      </c>
      <c r="S143" s="7">
        <f>'3 escalar'!R146</f>
        <v/>
      </c>
      <c r="T143" s="7">
        <f>'3 escalar'!S146</f>
        <v/>
      </c>
      <c r="U143" s="7">
        <f>'3 escalar'!T146</f>
        <v/>
      </c>
      <c r="V143" s="6">
        <f>$AC$12+D143*$AC$13+E143*$AC$14+F143*$AC$15+G143*$AC$16+H143*$AC$17+I143*$AC$18+J143*$AC$19+K143*$AC$20+L143*$AC$21+M143*$AC$22+N143*$AC$23+O143*$AC$24+P143*$AC$25+Q143*$AC$26+R143*$AC$27+S143*$AC$28+T143*$AC$29+U143*$AC$30</f>
        <v/>
      </c>
      <c r="W143" s="6">
        <f>1/(1+EXP(-V143))</f>
        <v/>
      </c>
      <c r="X143" s="8">
        <f>-IF(C143=1,LN(W143),LN(1-W143))</f>
        <v/>
      </c>
      <c r="Y143" s="9">
        <f>IF(W143&gt;$AC$32,1,0)</f>
        <v/>
      </c>
      <c r="Z143">
        <f>IF(Y143=C143,1,0)</f>
        <v/>
      </c>
    </row>
    <row r="144">
      <c r="A144">
        <f>'3 escalar'!A147</f>
        <v/>
      </c>
      <c r="B144" s="5">
        <f>'3 escalar'!U147</f>
        <v/>
      </c>
      <c r="C144">
        <f>'3 escalar'!B147</f>
        <v/>
      </c>
      <c r="D144" s="7">
        <f>'3 escalar'!C147</f>
        <v/>
      </c>
      <c r="E144" s="7">
        <f>'3 escalar'!D147</f>
        <v/>
      </c>
      <c r="F144" s="7">
        <f>'3 escalar'!E147</f>
        <v/>
      </c>
      <c r="G144" s="7">
        <f>'3 escalar'!F147</f>
        <v/>
      </c>
      <c r="H144" s="7">
        <f>'3 escalar'!G147</f>
        <v/>
      </c>
      <c r="I144" s="7">
        <f>'3 escalar'!H147</f>
        <v/>
      </c>
      <c r="J144" s="7">
        <f>'3 escalar'!I147</f>
        <v/>
      </c>
      <c r="K144" s="7">
        <f>'3 escalar'!J147</f>
        <v/>
      </c>
      <c r="L144" s="7">
        <f>'3 escalar'!K147</f>
        <v/>
      </c>
      <c r="M144" s="7">
        <f>'3 escalar'!L147</f>
        <v/>
      </c>
      <c r="N144" s="7">
        <f>'3 escalar'!M147</f>
        <v/>
      </c>
      <c r="O144" s="7">
        <f>'3 escalar'!N147</f>
        <v/>
      </c>
      <c r="P144" s="7">
        <f>'3 escalar'!O147</f>
        <v/>
      </c>
      <c r="Q144" s="7">
        <f>'3 escalar'!P147</f>
        <v/>
      </c>
      <c r="R144" s="7">
        <f>'3 escalar'!Q147</f>
        <v/>
      </c>
      <c r="S144" s="7">
        <f>'3 escalar'!R147</f>
        <v/>
      </c>
      <c r="T144" s="7">
        <f>'3 escalar'!S147</f>
        <v/>
      </c>
      <c r="U144" s="7">
        <f>'3 escalar'!T147</f>
        <v/>
      </c>
      <c r="V144" s="6">
        <f>$AC$12+D144*$AC$13+E144*$AC$14+F144*$AC$15+G144*$AC$16+H144*$AC$17+I144*$AC$18+J144*$AC$19+K144*$AC$20+L144*$AC$21+M144*$AC$22+N144*$AC$23+O144*$AC$24+P144*$AC$25+Q144*$AC$26+R144*$AC$27+S144*$AC$28+T144*$AC$29+U144*$AC$30</f>
        <v/>
      </c>
      <c r="W144" s="6">
        <f>1/(1+EXP(-V144))</f>
        <v/>
      </c>
      <c r="X144" s="8">
        <f>-IF(C144=1,LN(W144),LN(1-W144))</f>
        <v/>
      </c>
      <c r="Y144" s="9">
        <f>IF(W144&gt;$AC$32,1,0)</f>
        <v/>
      </c>
      <c r="Z144">
        <f>IF(Y144=C144,1,0)</f>
        <v/>
      </c>
    </row>
    <row r="145">
      <c r="A145">
        <f>'3 escalar'!A148</f>
        <v/>
      </c>
      <c r="B145" s="5">
        <f>'3 escalar'!U148</f>
        <v/>
      </c>
      <c r="C145">
        <f>'3 escalar'!B148</f>
        <v/>
      </c>
      <c r="D145" s="7">
        <f>'3 escalar'!C148</f>
        <v/>
      </c>
      <c r="E145" s="7">
        <f>'3 escalar'!D148</f>
        <v/>
      </c>
      <c r="F145" s="7">
        <f>'3 escalar'!E148</f>
        <v/>
      </c>
      <c r="G145" s="7">
        <f>'3 escalar'!F148</f>
        <v/>
      </c>
      <c r="H145" s="7">
        <f>'3 escalar'!G148</f>
        <v/>
      </c>
      <c r="I145" s="7">
        <f>'3 escalar'!H148</f>
        <v/>
      </c>
      <c r="J145" s="7">
        <f>'3 escalar'!I148</f>
        <v/>
      </c>
      <c r="K145" s="7">
        <f>'3 escalar'!J148</f>
        <v/>
      </c>
      <c r="L145" s="7">
        <f>'3 escalar'!K148</f>
        <v/>
      </c>
      <c r="M145" s="7">
        <f>'3 escalar'!L148</f>
        <v/>
      </c>
      <c r="N145" s="7">
        <f>'3 escalar'!M148</f>
        <v/>
      </c>
      <c r="O145" s="7">
        <f>'3 escalar'!N148</f>
        <v/>
      </c>
      <c r="P145" s="7">
        <f>'3 escalar'!O148</f>
        <v/>
      </c>
      <c r="Q145" s="7">
        <f>'3 escalar'!P148</f>
        <v/>
      </c>
      <c r="R145" s="7">
        <f>'3 escalar'!Q148</f>
        <v/>
      </c>
      <c r="S145" s="7">
        <f>'3 escalar'!R148</f>
        <v/>
      </c>
      <c r="T145" s="7">
        <f>'3 escalar'!S148</f>
        <v/>
      </c>
      <c r="U145" s="7">
        <f>'3 escalar'!T148</f>
        <v/>
      </c>
      <c r="V145" s="6">
        <f>$AC$12+D145*$AC$13+E145*$AC$14+F145*$AC$15+G145*$AC$16+H145*$AC$17+I145*$AC$18+J145*$AC$19+K145*$AC$20+L145*$AC$21+M145*$AC$22+N145*$AC$23+O145*$AC$24+P145*$AC$25+Q145*$AC$26+R145*$AC$27+S145*$AC$28+T145*$AC$29+U145*$AC$30</f>
        <v/>
      </c>
      <c r="W145" s="6">
        <f>1/(1+EXP(-V145))</f>
        <v/>
      </c>
      <c r="X145" s="8">
        <f>-IF(C145=1,LN(W145),LN(1-W145))</f>
        <v/>
      </c>
      <c r="Y145" s="9">
        <f>IF(W145&gt;$AC$32,1,0)</f>
        <v/>
      </c>
      <c r="Z145">
        <f>IF(Y145=C145,1,0)</f>
        <v/>
      </c>
    </row>
    <row r="146">
      <c r="A146">
        <f>'3 escalar'!A149</f>
        <v/>
      </c>
      <c r="B146" s="5">
        <f>'3 escalar'!U149</f>
        <v/>
      </c>
      <c r="C146">
        <f>'3 escalar'!B149</f>
        <v/>
      </c>
      <c r="D146" s="7">
        <f>'3 escalar'!C149</f>
        <v/>
      </c>
      <c r="E146" s="7">
        <f>'3 escalar'!D149</f>
        <v/>
      </c>
      <c r="F146" s="7">
        <f>'3 escalar'!E149</f>
        <v/>
      </c>
      <c r="G146" s="7">
        <f>'3 escalar'!F149</f>
        <v/>
      </c>
      <c r="H146" s="7">
        <f>'3 escalar'!G149</f>
        <v/>
      </c>
      <c r="I146" s="7">
        <f>'3 escalar'!H149</f>
        <v/>
      </c>
      <c r="J146" s="7">
        <f>'3 escalar'!I149</f>
        <v/>
      </c>
      <c r="K146" s="7">
        <f>'3 escalar'!J149</f>
        <v/>
      </c>
      <c r="L146" s="7">
        <f>'3 escalar'!K149</f>
        <v/>
      </c>
      <c r="M146" s="7">
        <f>'3 escalar'!L149</f>
        <v/>
      </c>
      <c r="N146" s="7">
        <f>'3 escalar'!M149</f>
        <v/>
      </c>
      <c r="O146" s="7">
        <f>'3 escalar'!N149</f>
        <v/>
      </c>
      <c r="P146" s="7">
        <f>'3 escalar'!O149</f>
        <v/>
      </c>
      <c r="Q146" s="7">
        <f>'3 escalar'!P149</f>
        <v/>
      </c>
      <c r="R146" s="7">
        <f>'3 escalar'!Q149</f>
        <v/>
      </c>
      <c r="S146" s="7">
        <f>'3 escalar'!R149</f>
        <v/>
      </c>
      <c r="T146" s="7">
        <f>'3 escalar'!S149</f>
        <v/>
      </c>
      <c r="U146" s="7">
        <f>'3 escalar'!T149</f>
        <v/>
      </c>
      <c r="V146" s="6">
        <f>$AC$12+D146*$AC$13+E146*$AC$14+F146*$AC$15+G146*$AC$16+H146*$AC$17+I146*$AC$18+J146*$AC$19+K146*$AC$20+L146*$AC$21+M146*$AC$22+N146*$AC$23+O146*$AC$24+P146*$AC$25+Q146*$AC$26+R146*$AC$27+S146*$AC$28+T146*$AC$29+U146*$AC$30</f>
        <v/>
      </c>
      <c r="W146" s="6">
        <f>1/(1+EXP(-V146))</f>
        <v/>
      </c>
      <c r="X146" s="8">
        <f>-IF(C146=1,LN(W146),LN(1-W146))</f>
        <v/>
      </c>
      <c r="Y146" s="9">
        <f>IF(W146&gt;$AC$32,1,0)</f>
        <v/>
      </c>
      <c r="Z146">
        <f>IF(Y146=C146,1,0)</f>
        <v/>
      </c>
    </row>
    <row r="147">
      <c r="A147">
        <f>'3 escalar'!A150</f>
        <v/>
      </c>
      <c r="B147" s="5">
        <f>'3 escalar'!U150</f>
        <v/>
      </c>
      <c r="C147">
        <f>'3 escalar'!B150</f>
        <v/>
      </c>
      <c r="D147" s="7">
        <f>'3 escalar'!C150</f>
        <v/>
      </c>
      <c r="E147" s="7">
        <f>'3 escalar'!D150</f>
        <v/>
      </c>
      <c r="F147" s="7">
        <f>'3 escalar'!E150</f>
        <v/>
      </c>
      <c r="G147" s="7">
        <f>'3 escalar'!F150</f>
        <v/>
      </c>
      <c r="H147" s="7">
        <f>'3 escalar'!G150</f>
        <v/>
      </c>
      <c r="I147" s="7">
        <f>'3 escalar'!H150</f>
        <v/>
      </c>
      <c r="J147" s="7">
        <f>'3 escalar'!I150</f>
        <v/>
      </c>
      <c r="K147" s="7">
        <f>'3 escalar'!J150</f>
        <v/>
      </c>
      <c r="L147" s="7">
        <f>'3 escalar'!K150</f>
        <v/>
      </c>
      <c r="M147" s="7">
        <f>'3 escalar'!L150</f>
        <v/>
      </c>
      <c r="N147" s="7">
        <f>'3 escalar'!M150</f>
        <v/>
      </c>
      <c r="O147" s="7">
        <f>'3 escalar'!N150</f>
        <v/>
      </c>
      <c r="P147" s="7">
        <f>'3 escalar'!O150</f>
        <v/>
      </c>
      <c r="Q147" s="7">
        <f>'3 escalar'!P150</f>
        <v/>
      </c>
      <c r="R147" s="7">
        <f>'3 escalar'!Q150</f>
        <v/>
      </c>
      <c r="S147" s="7">
        <f>'3 escalar'!R150</f>
        <v/>
      </c>
      <c r="T147" s="7">
        <f>'3 escalar'!S150</f>
        <v/>
      </c>
      <c r="U147" s="7">
        <f>'3 escalar'!T150</f>
        <v/>
      </c>
      <c r="V147" s="6">
        <f>$AC$12+D147*$AC$13+E147*$AC$14+F147*$AC$15+G147*$AC$16+H147*$AC$17+I147*$AC$18+J147*$AC$19+K147*$AC$20+L147*$AC$21+M147*$AC$22+N147*$AC$23+O147*$AC$24+P147*$AC$25+Q147*$AC$26+R147*$AC$27+S147*$AC$28+T147*$AC$29+U147*$AC$30</f>
        <v/>
      </c>
      <c r="W147" s="6">
        <f>1/(1+EXP(-V147))</f>
        <v/>
      </c>
      <c r="X147" s="8">
        <f>-IF(C147=1,LN(W147),LN(1-W147))</f>
        <v/>
      </c>
      <c r="Y147" s="9">
        <f>IF(W147&gt;$AC$32,1,0)</f>
        <v/>
      </c>
      <c r="Z147">
        <f>IF(Y147=C147,1,0)</f>
        <v/>
      </c>
    </row>
    <row r="148">
      <c r="A148">
        <f>'3 escalar'!A151</f>
        <v/>
      </c>
      <c r="B148" s="5">
        <f>'3 escalar'!U151</f>
        <v/>
      </c>
      <c r="C148">
        <f>'3 escalar'!B151</f>
        <v/>
      </c>
      <c r="D148" s="7">
        <f>'3 escalar'!C151</f>
        <v/>
      </c>
      <c r="E148" s="7">
        <f>'3 escalar'!D151</f>
        <v/>
      </c>
      <c r="F148" s="7">
        <f>'3 escalar'!E151</f>
        <v/>
      </c>
      <c r="G148" s="7">
        <f>'3 escalar'!F151</f>
        <v/>
      </c>
      <c r="H148" s="7">
        <f>'3 escalar'!G151</f>
        <v/>
      </c>
      <c r="I148" s="7">
        <f>'3 escalar'!H151</f>
        <v/>
      </c>
      <c r="J148" s="7">
        <f>'3 escalar'!I151</f>
        <v/>
      </c>
      <c r="K148" s="7">
        <f>'3 escalar'!J151</f>
        <v/>
      </c>
      <c r="L148" s="7">
        <f>'3 escalar'!K151</f>
        <v/>
      </c>
      <c r="M148" s="7">
        <f>'3 escalar'!L151</f>
        <v/>
      </c>
      <c r="N148" s="7">
        <f>'3 escalar'!M151</f>
        <v/>
      </c>
      <c r="O148" s="7">
        <f>'3 escalar'!N151</f>
        <v/>
      </c>
      <c r="P148" s="7">
        <f>'3 escalar'!O151</f>
        <v/>
      </c>
      <c r="Q148" s="7">
        <f>'3 escalar'!P151</f>
        <v/>
      </c>
      <c r="R148" s="7">
        <f>'3 escalar'!Q151</f>
        <v/>
      </c>
      <c r="S148" s="7">
        <f>'3 escalar'!R151</f>
        <v/>
      </c>
      <c r="T148" s="7">
        <f>'3 escalar'!S151</f>
        <v/>
      </c>
      <c r="U148" s="7">
        <f>'3 escalar'!T151</f>
        <v/>
      </c>
      <c r="V148" s="6">
        <f>$AC$12+D148*$AC$13+E148*$AC$14+F148*$AC$15+G148*$AC$16+H148*$AC$17+I148*$AC$18+J148*$AC$19+K148*$AC$20+L148*$AC$21+M148*$AC$22+N148*$AC$23+O148*$AC$24+P148*$AC$25+Q148*$AC$26+R148*$AC$27+S148*$AC$28+T148*$AC$29+U148*$AC$30</f>
        <v/>
      </c>
      <c r="W148" s="6">
        <f>1/(1+EXP(-V148))</f>
        <v/>
      </c>
      <c r="X148" s="8">
        <f>-IF(C148=1,LN(W148),LN(1-W148))</f>
        <v/>
      </c>
      <c r="Y148" s="9">
        <f>IF(W148&gt;$AC$32,1,0)</f>
        <v/>
      </c>
      <c r="Z148">
        <f>IF(Y148=C148,1,0)</f>
        <v/>
      </c>
    </row>
    <row r="149">
      <c r="A149">
        <f>'3 escalar'!A152</f>
        <v/>
      </c>
      <c r="B149" s="5">
        <f>'3 escalar'!U152</f>
        <v/>
      </c>
      <c r="C149">
        <f>'3 escalar'!B152</f>
        <v/>
      </c>
      <c r="D149" s="7">
        <f>'3 escalar'!C152</f>
        <v/>
      </c>
      <c r="E149" s="7">
        <f>'3 escalar'!D152</f>
        <v/>
      </c>
      <c r="F149" s="7">
        <f>'3 escalar'!E152</f>
        <v/>
      </c>
      <c r="G149" s="7">
        <f>'3 escalar'!F152</f>
        <v/>
      </c>
      <c r="H149" s="7">
        <f>'3 escalar'!G152</f>
        <v/>
      </c>
      <c r="I149" s="7">
        <f>'3 escalar'!H152</f>
        <v/>
      </c>
      <c r="J149" s="7">
        <f>'3 escalar'!I152</f>
        <v/>
      </c>
      <c r="K149" s="7">
        <f>'3 escalar'!J152</f>
        <v/>
      </c>
      <c r="L149" s="7">
        <f>'3 escalar'!K152</f>
        <v/>
      </c>
      <c r="M149" s="7">
        <f>'3 escalar'!L152</f>
        <v/>
      </c>
      <c r="N149" s="7">
        <f>'3 escalar'!M152</f>
        <v/>
      </c>
      <c r="O149" s="7">
        <f>'3 escalar'!N152</f>
        <v/>
      </c>
      <c r="P149" s="7">
        <f>'3 escalar'!O152</f>
        <v/>
      </c>
      <c r="Q149" s="7">
        <f>'3 escalar'!P152</f>
        <v/>
      </c>
      <c r="R149" s="7">
        <f>'3 escalar'!Q152</f>
        <v/>
      </c>
      <c r="S149" s="7">
        <f>'3 escalar'!R152</f>
        <v/>
      </c>
      <c r="T149" s="7">
        <f>'3 escalar'!S152</f>
        <v/>
      </c>
      <c r="U149" s="7">
        <f>'3 escalar'!T152</f>
        <v/>
      </c>
      <c r="V149" s="6">
        <f>$AC$12+D149*$AC$13+E149*$AC$14+F149*$AC$15+G149*$AC$16+H149*$AC$17+I149*$AC$18+J149*$AC$19+K149*$AC$20+L149*$AC$21+M149*$AC$22+N149*$AC$23+O149*$AC$24+P149*$AC$25+Q149*$AC$26+R149*$AC$27+S149*$AC$28+T149*$AC$29+U149*$AC$30</f>
        <v/>
      </c>
      <c r="W149" s="6">
        <f>1/(1+EXP(-V149))</f>
        <v/>
      </c>
      <c r="X149" s="8">
        <f>-IF(C149=1,LN(W149),LN(1-W149))</f>
        <v/>
      </c>
      <c r="Y149" s="9">
        <f>IF(W149&gt;$AC$32,1,0)</f>
        <v/>
      </c>
      <c r="Z149">
        <f>IF(Y149=C149,1,0)</f>
        <v/>
      </c>
    </row>
    <row r="150">
      <c r="A150">
        <f>'3 escalar'!A153</f>
        <v/>
      </c>
      <c r="B150" s="5">
        <f>'3 escalar'!U153</f>
        <v/>
      </c>
      <c r="C150">
        <f>'3 escalar'!B153</f>
        <v/>
      </c>
      <c r="D150" s="7">
        <f>'3 escalar'!C153</f>
        <v/>
      </c>
      <c r="E150" s="7">
        <f>'3 escalar'!D153</f>
        <v/>
      </c>
      <c r="F150" s="7">
        <f>'3 escalar'!E153</f>
        <v/>
      </c>
      <c r="G150" s="7">
        <f>'3 escalar'!F153</f>
        <v/>
      </c>
      <c r="H150" s="7">
        <f>'3 escalar'!G153</f>
        <v/>
      </c>
      <c r="I150" s="7">
        <f>'3 escalar'!H153</f>
        <v/>
      </c>
      <c r="J150" s="7">
        <f>'3 escalar'!I153</f>
        <v/>
      </c>
      <c r="K150" s="7">
        <f>'3 escalar'!J153</f>
        <v/>
      </c>
      <c r="L150" s="7">
        <f>'3 escalar'!K153</f>
        <v/>
      </c>
      <c r="M150" s="7">
        <f>'3 escalar'!L153</f>
        <v/>
      </c>
      <c r="N150" s="7">
        <f>'3 escalar'!M153</f>
        <v/>
      </c>
      <c r="O150" s="7">
        <f>'3 escalar'!N153</f>
        <v/>
      </c>
      <c r="P150" s="7">
        <f>'3 escalar'!O153</f>
        <v/>
      </c>
      <c r="Q150" s="7">
        <f>'3 escalar'!P153</f>
        <v/>
      </c>
      <c r="R150" s="7">
        <f>'3 escalar'!Q153</f>
        <v/>
      </c>
      <c r="S150" s="7">
        <f>'3 escalar'!R153</f>
        <v/>
      </c>
      <c r="T150" s="7">
        <f>'3 escalar'!S153</f>
        <v/>
      </c>
      <c r="U150" s="7">
        <f>'3 escalar'!T153</f>
        <v/>
      </c>
      <c r="V150" s="6">
        <f>$AC$12+D150*$AC$13+E150*$AC$14+F150*$AC$15+G150*$AC$16+H150*$AC$17+I150*$AC$18+J150*$AC$19+K150*$AC$20+L150*$AC$21+M150*$AC$22+N150*$AC$23+O150*$AC$24+P150*$AC$25+Q150*$AC$26+R150*$AC$27+S150*$AC$28+T150*$AC$29+U150*$AC$30</f>
        <v/>
      </c>
      <c r="W150" s="6">
        <f>1/(1+EXP(-V150))</f>
        <v/>
      </c>
      <c r="X150" s="8">
        <f>-IF(C150=1,LN(W150),LN(1-W150))</f>
        <v/>
      </c>
      <c r="Y150" s="9">
        <f>IF(W150&gt;$AC$32,1,0)</f>
        <v/>
      </c>
      <c r="Z150">
        <f>IF(Y150=C150,1,0)</f>
        <v/>
      </c>
    </row>
    <row r="151">
      <c r="A151">
        <f>'3 escalar'!A154</f>
        <v/>
      </c>
      <c r="B151" s="5">
        <f>'3 escalar'!U154</f>
        <v/>
      </c>
      <c r="C151">
        <f>'3 escalar'!B154</f>
        <v/>
      </c>
      <c r="D151" s="7">
        <f>'3 escalar'!C154</f>
        <v/>
      </c>
      <c r="E151" s="7">
        <f>'3 escalar'!D154</f>
        <v/>
      </c>
      <c r="F151" s="7">
        <f>'3 escalar'!E154</f>
        <v/>
      </c>
      <c r="G151" s="7">
        <f>'3 escalar'!F154</f>
        <v/>
      </c>
      <c r="H151" s="7">
        <f>'3 escalar'!G154</f>
        <v/>
      </c>
      <c r="I151" s="7">
        <f>'3 escalar'!H154</f>
        <v/>
      </c>
      <c r="J151" s="7">
        <f>'3 escalar'!I154</f>
        <v/>
      </c>
      <c r="K151" s="7">
        <f>'3 escalar'!J154</f>
        <v/>
      </c>
      <c r="L151" s="7">
        <f>'3 escalar'!K154</f>
        <v/>
      </c>
      <c r="M151" s="7">
        <f>'3 escalar'!L154</f>
        <v/>
      </c>
      <c r="N151" s="7">
        <f>'3 escalar'!M154</f>
        <v/>
      </c>
      <c r="O151" s="7">
        <f>'3 escalar'!N154</f>
        <v/>
      </c>
      <c r="P151" s="7">
        <f>'3 escalar'!O154</f>
        <v/>
      </c>
      <c r="Q151" s="7">
        <f>'3 escalar'!P154</f>
        <v/>
      </c>
      <c r="R151" s="7">
        <f>'3 escalar'!Q154</f>
        <v/>
      </c>
      <c r="S151" s="7">
        <f>'3 escalar'!R154</f>
        <v/>
      </c>
      <c r="T151" s="7">
        <f>'3 escalar'!S154</f>
        <v/>
      </c>
      <c r="U151" s="7">
        <f>'3 escalar'!T154</f>
        <v/>
      </c>
      <c r="V151" s="6">
        <f>$AC$12+D151*$AC$13+E151*$AC$14+F151*$AC$15+G151*$AC$16+H151*$AC$17+I151*$AC$18+J151*$AC$19+K151*$AC$20+L151*$AC$21+M151*$AC$22+N151*$AC$23+O151*$AC$24+P151*$AC$25+Q151*$AC$26+R151*$AC$27+S151*$AC$28+T151*$AC$29+U151*$AC$30</f>
        <v/>
      </c>
      <c r="W151" s="6">
        <f>1/(1+EXP(-V151))</f>
        <v/>
      </c>
      <c r="X151" s="8">
        <f>-IF(C151=1,LN(W151),LN(1-W151))</f>
        <v/>
      </c>
      <c r="Y151" s="9">
        <f>IF(W151&gt;$AC$32,1,0)</f>
        <v/>
      </c>
      <c r="Z151">
        <f>IF(Y151=C151,1,0)</f>
        <v/>
      </c>
    </row>
    <row r="152">
      <c r="A152">
        <f>'3 escalar'!A155</f>
        <v/>
      </c>
      <c r="B152" s="5">
        <f>'3 escalar'!U155</f>
        <v/>
      </c>
      <c r="C152">
        <f>'3 escalar'!B155</f>
        <v/>
      </c>
      <c r="D152" s="7">
        <f>'3 escalar'!C155</f>
        <v/>
      </c>
      <c r="E152" s="7">
        <f>'3 escalar'!D155</f>
        <v/>
      </c>
      <c r="F152" s="7">
        <f>'3 escalar'!E155</f>
        <v/>
      </c>
      <c r="G152" s="7">
        <f>'3 escalar'!F155</f>
        <v/>
      </c>
      <c r="H152" s="7">
        <f>'3 escalar'!G155</f>
        <v/>
      </c>
      <c r="I152" s="7">
        <f>'3 escalar'!H155</f>
        <v/>
      </c>
      <c r="J152" s="7">
        <f>'3 escalar'!I155</f>
        <v/>
      </c>
      <c r="K152" s="7">
        <f>'3 escalar'!J155</f>
        <v/>
      </c>
      <c r="L152" s="7">
        <f>'3 escalar'!K155</f>
        <v/>
      </c>
      <c r="M152" s="7">
        <f>'3 escalar'!L155</f>
        <v/>
      </c>
      <c r="N152" s="7">
        <f>'3 escalar'!M155</f>
        <v/>
      </c>
      <c r="O152" s="7">
        <f>'3 escalar'!N155</f>
        <v/>
      </c>
      <c r="P152" s="7">
        <f>'3 escalar'!O155</f>
        <v/>
      </c>
      <c r="Q152" s="7">
        <f>'3 escalar'!P155</f>
        <v/>
      </c>
      <c r="R152" s="7">
        <f>'3 escalar'!Q155</f>
        <v/>
      </c>
      <c r="S152" s="7">
        <f>'3 escalar'!R155</f>
        <v/>
      </c>
      <c r="T152" s="7">
        <f>'3 escalar'!S155</f>
        <v/>
      </c>
      <c r="U152" s="7">
        <f>'3 escalar'!T155</f>
        <v/>
      </c>
      <c r="V152" s="6">
        <f>$AC$12+D152*$AC$13+E152*$AC$14+F152*$AC$15+G152*$AC$16+H152*$AC$17+I152*$AC$18+J152*$AC$19+K152*$AC$20+L152*$AC$21+M152*$AC$22+N152*$AC$23+O152*$AC$24+P152*$AC$25+Q152*$AC$26+R152*$AC$27+S152*$AC$28+T152*$AC$29+U152*$AC$30</f>
        <v/>
      </c>
      <c r="W152" s="6">
        <f>1/(1+EXP(-V152))</f>
        <v/>
      </c>
      <c r="X152" s="8">
        <f>-IF(C152=1,LN(W152),LN(1-W152))</f>
        <v/>
      </c>
      <c r="Y152" s="9">
        <f>IF(W152&gt;$AC$32,1,0)</f>
        <v/>
      </c>
      <c r="Z152">
        <f>IF(Y152=C152,1,0)</f>
        <v/>
      </c>
    </row>
    <row r="153">
      <c r="A153">
        <f>'3 escalar'!A156</f>
        <v/>
      </c>
      <c r="B153" s="5">
        <f>'3 escalar'!U156</f>
        <v/>
      </c>
      <c r="C153">
        <f>'3 escalar'!B156</f>
        <v/>
      </c>
      <c r="D153" s="7">
        <f>'3 escalar'!C156</f>
        <v/>
      </c>
      <c r="E153" s="7">
        <f>'3 escalar'!D156</f>
        <v/>
      </c>
      <c r="F153" s="7">
        <f>'3 escalar'!E156</f>
        <v/>
      </c>
      <c r="G153" s="7">
        <f>'3 escalar'!F156</f>
        <v/>
      </c>
      <c r="H153" s="7">
        <f>'3 escalar'!G156</f>
        <v/>
      </c>
      <c r="I153" s="7">
        <f>'3 escalar'!H156</f>
        <v/>
      </c>
      <c r="J153" s="7">
        <f>'3 escalar'!I156</f>
        <v/>
      </c>
      <c r="K153" s="7">
        <f>'3 escalar'!J156</f>
        <v/>
      </c>
      <c r="L153" s="7">
        <f>'3 escalar'!K156</f>
        <v/>
      </c>
      <c r="M153" s="7">
        <f>'3 escalar'!L156</f>
        <v/>
      </c>
      <c r="N153" s="7">
        <f>'3 escalar'!M156</f>
        <v/>
      </c>
      <c r="O153" s="7">
        <f>'3 escalar'!N156</f>
        <v/>
      </c>
      <c r="P153" s="7">
        <f>'3 escalar'!O156</f>
        <v/>
      </c>
      <c r="Q153" s="7">
        <f>'3 escalar'!P156</f>
        <v/>
      </c>
      <c r="R153" s="7">
        <f>'3 escalar'!Q156</f>
        <v/>
      </c>
      <c r="S153" s="7">
        <f>'3 escalar'!R156</f>
        <v/>
      </c>
      <c r="T153" s="7">
        <f>'3 escalar'!S156</f>
        <v/>
      </c>
      <c r="U153" s="7">
        <f>'3 escalar'!T156</f>
        <v/>
      </c>
      <c r="V153" s="6">
        <f>$AC$12+D153*$AC$13+E153*$AC$14+F153*$AC$15+G153*$AC$16+H153*$AC$17+I153*$AC$18+J153*$AC$19+K153*$AC$20+L153*$AC$21+M153*$AC$22+N153*$AC$23+O153*$AC$24+P153*$AC$25+Q153*$AC$26+R153*$AC$27+S153*$AC$28+T153*$AC$29+U153*$AC$30</f>
        <v/>
      </c>
      <c r="W153" s="6">
        <f>1/(1+EXP(-V153))</f>
        <v/>
      </c>
      <c r="X153" s="8">
        <f>-IF(C153=1,LN(W153),LN(1-W153))</f>
        <v/>
      </c>
      <c r="Y153" s="9">
        <f>IF(W153&gt;$AC$32,1,0)</f>
        <v/>
      </c>
      <c r="Z153">
        <f>IF(Y153=C153,1,0)</f>
        <v/>
      </c>
    </row>
    <row r="154">
      <c r="A154">
        <f>'3 escalar'!A157</f>
        <v/>
      </c>
      <c r="B154" s="5">
        <f>'3 escalar'!U157</f>
        <v/>
      </c>
      <c r="C154">
        <f>'3 escalar'!B157</f>
        <v/>
      </c>
      <c r="D154" s="7">
        <f>'3 escalar'!C157</f>
        <v/>
      </c>
      <c r="E154" s="7">
        <f>'3 escalar'!D157</f>
        <v/>
      </c>
      <c r="F154" s="7">
        <f>'3 escalar'!E157</f>
        <v/>
      </c>
      <c r="G154" s="7">
        <f>'3 escalar'!F157</f>
        <v/>
      </c>
      <c r="H154" s="7">
        <f>'3 escalar'!G157</f>
        <v/>
      </c>
      <c r="I154" s="7">
        <f>'3 escalar'!H157</f>
        <v/>
      </c>
      <c r="J154" s="7">
        <f>'3 escalar'!I157</f>
        <v/>
      </c>
      <c r="K154" s="7">
        <f>'3 escalar'!J157</f>
        <v/>
      </c>
      <c r="L154" s="7">
        <f>'3 escalar'!K157</f>
        <v/>
      </c>
      <c r="M154" s="7">
        <f>'3 escalar'!L157</f>
        <v/>
      </c>
      <c r="N154" s="7">
        <f>'3 escalar'!M157</f>
        <v/>
      </c>
      <c r="O154" s="7">
        <f>'3 escalar'!N157</f>
        <v/>
      </c>
      <c r="P154" s="7">
        <f>'3 escalar'!O157</f>
        <v/>
      </c>
      <c r="Q154" s="7">
        <f>'3 escalar'!P157</f>
        <v/>
      </c>
      <c r="R154" s="7">
        <f>'3 escalar'!Q157</f>
        <v/>
      </c>
      <c r="S154" s="7">
        <f>'3 escalar'!R157</f>
        <v/>
      </c>
      <c r="T154" s="7">
        <f>'3 escalar'!S157</f>
        <v/>
      </c>
      <c r="U154" s="7">
        <f>'3 escalar'!T157</f>
        <v/>
      </c>
      <c r="V154" s="6">
        <f>$AC$12+D154*$AC$13+E154*$AC$14+F154*$AC$15+G154*$AC$16+H154*$AC$17+I154*$AC$18+J154*$AC$19+K154*$AC$20+L154*$AC$21+M154*$AC$22+N154*$AC$23+O154*$AC$24+P154*$AC$25+Q154*$AC$26+R154*$AC$27+S154*$AC$28+T154*$AC$29+U154*$AC$30</f>
        <v/>
      </c>
      <c r="W154" s="6">
        <f>1/(1+EXP(-V154))</f>
        <v/>
      </c>
      <c r="X154" s="8">
        <f>-IF(C154=1,LN(W154),LN(1-W154))</f>
        <v/>
      </c>
      <c r="Y154" s="9">
        <f>IF(W154&gt;$AC$32,1,0)</f>
        <v/>
      </c>
      <c r="Z154">
        <f>IF(Y154=C154,1,0)</f>
        <v/>
      </c>
    </row>
    <row r="155">
      <c r="A155">
        <f>'3 escalar'!A158</f>
        <v/>
      </c>
      <c r="B155" s="5">
        <f>'3 escalar'!U158</f>
        <v/>
      </c>
      <c r="C155">
        <f>'3 escalar'!B158</f>
        <v/>
      </c>
      <c r="D155" s="7">
        <f>'3 escalar'!C158</f>
        <v/>
      </c>
      <c r="E155" s="7">
        <f>'3 escalar'!D158</f>
        <v/>
      </c>
      <c r="F155" s="7">
        <f>'3 escalar'!E158</f>
        <v/>
      </c>
      <c r="G155" s="7">
        <f>'3 escalar'!F158</f>
        <v/>
      </c>
      <c r="H155" s="7">
        <f>'3 escalar'!G158</f>
        <v/>
      </c>
      <c r="I155" s="7">
        <f>'3 escalar'!H158</f>
        <v/>
      </c>
      <c r="J155" s="7">
        <f>'3 escalar'!I158</f>
        <v/>
      </c>
      <c r="K155" s="7">
        <f>'3 escalar'!J158</f>
        <v/>
      </c>
      <c r="L155" s="7">
        <f>'3 escalar'!K158</f>
        <v/>
      </c>
      <c r="M155" s="7">
        <f>'3 escalar'!L158</f>
        <v/>
      </c>
      <c r="N155" s="7">
        <f>'3 escalar'!M158</f>
        <v/>
      </c>
      <c r="O155" s="7">
        <f>'3 escalar'!N158</f>
        <v/>
      </c>
      <c r="P155" s="7">
        <f>'3 escalar'!O158</f>
        <v/>
      </c>
      <c r="Q155" s="7">
        <f>'3 escalar'!P158</f>
        <v/>
      </c>
      <c r="R155" s="7">
        <f>'3 escalar'!Q158</f>
        <v/>
      </c>
      <c r="S155" s="7">
        <f>'3 escalar'!R158</f>
        <v/>
      </c>
      <c r="T155" s="7">
        <f>'3 escalar'!S158</f>
        <v/>
      </c>
      <c r="U155" s="7">
        <f>'3 escalar'!T158</f>
        <v/>
      </c>
      <c r="V155" s="6">
        <f>$AC$12+D155*$AC$13+E155*$AC$14+F155*$AC$15+G155*$AC$16+H155*$AC$17+I155*$AC$18+J155*$AC$19+K155*$AC$20+L155*$AC$21+M155*$AC$22+N155*$AC$23+O155*$AC$24+P155*$AC$25+Q155*$AC$26+R155*$AC$27+S155*$AC$28+T155*$AC$29+U155*$AC$30</f>
        <v/>
      </c>
      <c r="W155" s="6">
        <f>1/(1+EXP(-V155))</f>
        <v/>
      </c>
      <c r="X155" s="8">
        <f>-IF(C155=1,LN(W155),LN(1-W155))</f>
        <v/>
      </c>
      <c r="Y155" s="9">
        <f>IF(W155&gt;$AC$32,1,0)</f>
        <v/>
      </c>
      <c r="Z155">
        <f>IF(Y155=C155,1,0)</f>
        <v/>
      </c>
    </row>
    <row r="156">
      <c r="A156">
        <f>'3 escalar'!A159</f>
        <v/>
      </c>
      <c r="B156" s="5">
        <f>'3 escalar'!U159</f>
        <v/>
      </c>
      <c r="C156">
        <f>'3 escalar'!B159</f>
        <v/>
      </c>
      <c r="D156" s="7">
        <f>'3 escalar'!C159</f>
        <v/>
      </c>
      <c r="E156" s="7">
        <f>'3 escalar'!D159</f>
        <v/>
      </c>
      <c r="F156" s="7">
        <f>'3 escalar'!E159</f>
        <v/>
      </c>
      <c r="G156" s="7">
        <f>'3 escalar'!F159</f>
        <v/>
      </c>
      <c r="H156" s="7">
        <f>'3 escalar'!G159</f>
        <v/>
      </c>
      <c r="I156" s="7">
        <f>'3 escalar'!H159</f>
        <v/>
      </c>
      <c r="J156" s="7">
        <f>'3 escalar'!I159</f>
        <v/>
      </c>
      <c r="K156" s="7">
        <f>'3 escalar'!J159</f>
        <v/>
      </c>
      <c r="L156" s="7">
        <f>'3 escalar'!K159</f>
        <v/>
      </c>
      <c r="M156" s="7">
        <f>'3 escalar'!L159</f>
        <v/>
      </c>
      <c r="N156" s="7">
        <f>'3 escalar'!M159</f>
        <v/>
      </c>
      <c r="O156" s="7">
        <f>'3 escalar'!N159</f>
        <v/>
      </c>
      <c r="P156" s="7">
        <f>'3 escalar'!O159</f>
        <v/>
      </c>
      <c r="Q156" s="7">
        <f>'3 escalar'!P159</f>
        <v/>
      </c>
      <c r="R156" s="7">
        <f>'3 escalar'!Q159</f>
        <v/>
      </c>
      <c r="S156" s="7">
        <f>'3 escalar'!R159</f>
        <v/>
      </c>
      <c r="T156" s="7">
        <f>'3 escalar'!S159</f>
        <v/>
      </c>
      <c r="U156" s="7">
        <f>'3 escalar'!T159</f>
        <v/>
      </c>
      <c r="V156" s="6">
        <f>$AC$12+D156*$AC$13+E156*$AC$14+F156*$AC$15+G156*$AC$16+H156*$AC$17+I156*$AC$18+J156*$AC$19+K156*$AC$20+L156*$AC$21+M156*$AC$22+N156*$AC$23+O156*$AC$24+P156*$AC$25+Q156*$AC$26+R156*$AC$27+S156*$AC$28+T156*$AC$29+U156*$AC$30</f>
        <v/>
      </c>
      <c r="W156" s="6">
        <f>1/(1+EXP(-V156))</f>
        <v/>
      </c>
      <c r="X156" s="8">
        <f>-IF(C156=1,LN(W156),LN(1-W156))</f>
        <v/>
      </c>
      <c r="Y156" s="9">
        <f>IF(W156&gt;$AC$32,1,0)</f>
        <v/>
      </c>
      <c r="Z156">
        <f>IF(Y156=C156,1,0)</f>
        <v/>
      </c>
    </row>
    <row r="157">
      <c r="A157">
        <f>'3 escalar'!A160</f>
        <v/>
      </c>
      <c r="B157" s="5">
        <f>'3 escalar'!U160</f>
        <v/>
      </c>
      <c r="C157">
        <f>'3 escalar'!B160</f>
        <v/>
      </c>
      <c r="D157" s="7">
        <f>'3 escalar'!C160</f>
        <v/>
      </c>
      <c r="E157" s="7">
        <f>'3 escalar'!D160</f>
        <v/>
      </c>
      <c r="F157" s="7">
        <f>'3 escalar'!E160</f>
        <v/>
      </c>
      <c r="G157" s="7">
        <f>'3 escalar'!F160</f>
        <v/>
      </c>
      <c r="H157" s="7">
        <f>'3 escalar'!G160</f>
        <v/>
      </c>
      <c r="I157" s="7">
        <f>'3 escalar'!H160</f>
        <v/>
      </c>
      <c r="J157" s="7">
        <f>'3 escalar'!I160</f>
        <v/>
      </c>
      <c r="K157" s="7">
        <f>'3 escalar'!J160</f>
        <v/>
      </c>
      <c r="L157" s="7">
        <f>'3 escalar'!K160</f>
        <v/>
      </c>
      <c r="M157" s="7">
        <f>'3 escalar'!L160</f>
        <v/>
      </c>
      <c r="N157" s="7">
        <f>'3 escalar'!M160</f>
        <v/>
      </c>
      <c r="O157" s="7">
        <f>'3 escalar'!N160</f>
        <v/>
      </c>
      <c r="P157" s="7">
        <f>'3 escalar'!O160</f>
        <v/>
      </c>
      <c r="Q157" s="7">
        <f>'3 escalar'!P160</f>
        <v/>
      </c>
      <c r="R157" s="7">
        <f>'3 escalar'!Q160</f>
        <v/>
      </c>
      <c r="S157" s="7">
        <f>'3 escalar'!R160</f>
        <v/>
      </c>
      <c r="T157" s="7">
        <f>'3 escalar'!S160</f>
        <v/>
      </c>
      <c r="U157" s="7">
        <f>'3 escalar'!T160</f>
        <v/>
      </c>
      <c r="V157" s="6">
        <f>$AC$12+D157*$AC$13+E157*$AC$14+F157*$AC$15+G157*$AC$16+H157*$AC$17+I157*$AC$18+J157*$AC$19+K157*$AC$20+L157*$AC$21+M157*$AC$22+N157*$AC$23+O157*$AC$24+P157*$AC$25+Q157*$AC$26+R157*$AC$27+S157*$AC$28+T157*$AC$29+U157*$AC$30</f>
        <v/>
      </c>
      <c r="W157" s="6">
        <f>1/(1+EXP(-V157))</f>
        <v/>
      </c>
      <c r="X157" s="8">
        <f>-IF(C157=1,LN(W157),LN(1-W157))</f>
        <v/>
      </c>
      <c r="Y157" s="9">
        <f>IF(W157&gt;$AC$32,1,0)</f>
        <v/>
      </c>
      <c r="Z157">
        <f>IF(Y157=C157,1,0)</f>
        <v/>
      </c>
    </row>
    <row r="158">
      <c r="A158">
        <f>'3 escalar'!A161</f>
        <v/>
      </c>
      <c r="B158" s="5">
        <f>'3 escalar'!U161</f>
        <v/>
      </c>
      <c r="C158">
        <f>'3 escalar'!B161</f>
        <v/>
      </c>
      <c r="D158" s="7">
        <f>'3 escalar'!C161</f>
        <v/>
      </c>
      <c r="E158" s="7">
        <f>'3 escalar'!D161</f>
        <v/>
      </c>
      <c r="F158" s="7">
        <f>'3 escalar'!E161</f>
        <v/>
      </c>
      <c r="G158" s="7">
        <f>'3 escalar'!F161</f>
        <v/>
      </c>
      <c r="H158" s="7">
        <f>'3 escalar'!G161</f>
        <v/>
      </c>
      <c r="I158" s="7">
        <f>'3 escalar'!H161</f>
        <v/>
      </c>
      <c r="J158" s="7">
        <f>'3 escalar'!I161</f>
        <v/>
      </c>
      <c r="K158" s="7">
        <f>'3 escalar'!J161</f>
        <v/>
      </c>
      <c r="L158" s="7">
        <f>'3 escalar'!K161</f>
        <v/>
      </c>
      <c r="M158" s="7">
        <f>'3 escalar'!L161</f>
        <v/>
      </c>
      <c r="N158" s="7">
        <f>'3 escalar'!M161</f>
        <v/>
      </c>
      <c r="O158" s="7">
        <f>'3 escalar'!N161</f>
        <v/>
      </c>
      <c r="P158" s="7">
        <f>'3 escalar'!O161</f>
        <v/>
      </c>
      <c r="Q158" s="7">
        <f>'3 escalar'!P161</f>
        <v/>
      </c>
      <c r="R158" s="7">
        <f>'3 escalar'!Q161</f>
        <v/>
      </c>
      <c r="S158" s="7">
        <f>'3 escalar'!R161</f>
        <v/>
      </c>
      <c r="T158" s="7">
        <f>'3 escalar'!S161</f>
        <v/>
      </c>
      <c r="U158" s="7">
        <f>'3 escalar'!T161</f>
        <v/>
      </c>
      <c r="V158" s="6">
        <f>$AC$12+D158*$AC$13+E158*$AC$14+F158*$AC$15+G158*$AC$16+H158*$AC$17+I158*$AC$18+J158*$AC$19+K158*$AC$20+L158*$AC$21+M158*$AC$22+N158*$AC$23+O158*$AC$24+P158*$AC$25+Q158*$AC$26+R158*$AC$27+S158*$AC$28+T158*$AC$29+U158*$AC$30</f>
        <v/>
      </c>
      <c r="W158" s="6">
        <f>1/(1+EXP(-V158))</f>
        <v/>
      </c>
      <c r="X158" s="8">
        <f>-IF(C158=1,LN(W158),LN(1-W158))</f>
        <v/>
      </c>
      <c r="Y158" s="9">
        <f>IF(W158&gt;$AC$32,1,0)</f>
        <v/>
      </c>
      <c r="Z158">
        <f>IF(Y158=C158,1,0)</f>
        <v/>
      </c>
    </row>
    <row r="159">
      <c r="A159">
        <f>'3 escalar'!A162</f>
        <v/>
      </c>
      <c r="B159" s="5">
        <f>'3 escalar'!U162</f>
        <v/>
      </c>
      <c r="C159">
        <f>'3 escalar'!B162</f>
        <v/>
      </c>
      <c r="D159" s="7">
        <f>'3 escalar'!C162</f>
        <v/>
      </c>
      <c r="E159" s="7">
        <f>'3 escalar'!D162</f>
        <v/>
      </c>
      <c r="F159" s="7">
        <f>'3 escalar'!E162</f>
        <v/>
      </c>
      <c r="G159" s="7">
        <f>'3 escalar'!F162</f>
        <v/>
      </c>
      <c r="H159" s="7">
        <f>'3 escalar'!G162</f>
        <v/>
      </c>
      <c r="I159" s="7">
        <f>'3 escalar'!H162</f>
        <v/>
      </c>
      <c r="J159" s="7">
        <f>'3 escalar'!I162</f>
        <v/>
      </c>
      <c r="K159" s="7">
        <f>'3 escalar'!J162</f>
        <v/>
      </c>
      <c r="L159" s="7">
        <f>'3 escalar'!K162</f>
        <v/>
      </c>
      <c r="M159" s="7">
        <f>'3 escalar'!L162</f>
        <v/>
      </c>
      <c r="N159" s="7">
        <f>'3 escalar'!M162</f>
        <v/>
      </c>
      <c r="O159" s="7">
        <f>'3 escalar'!N162</f>
        <v/>
      </c>
      <c r="P159" s="7">
        <f>'3 escalar'!O162</f>
        <v/>
      </c>
      <c r="Q159" s="7">
        <f>'3 escalar'!P162</f>
        <v/>
      </c>
      <c r="R159" s="7">
        <f>'3 escalar'!Q162</f>
        <v/>
      </c>
      <c r="S159" s="7">
        <f>'3 escalar'!R162</f>
        <v/>
      </c>
      <c r="T159" s="7">
        <f>'3 escalar'!S162</f>
        <v/>
      </c>
      <c r="U159" s="7">
        <f>'3 escalar'!T162</f>
        <v/>
      </c>
      <c r="V159" s="6">
        <f>$AC$12+D159*$AC$13+E159*$AC$14+F159*$AC$15+G159*$AC$16+H159*$AC$17+I159*$AC$18+J159*$AC$19+K159*$AC$20+L159*$AC$21+M159*$AC$22+N159*$AC$23+O159*$AC$24+P159*$AC$25+Q159*$AC$26+R159*$AC$27+S159*$AC$28+T159*$AC$29+U159*$AC$30</f>
        <v/>
      </c>
      <c r="W159" s="6">
        <f>1/(1+EXP(-V159))</f>
        <v/>
      </c>
      <c r="X159" s="8">
        <f>-IF(C159=1,LN(W159),LN(1-W159))</f>
        <v/>
      </c>
      <c r="Y159" s="9">
        <f>IF(W159&gt;$AC$32,1,0)</f>
        <v/>
      </c>
      <c r="Z159">
        <f>IF(Y159=C159,1,0)</f>
        <v/>
      </c>
    </row>
    <row r="160">
      <c r="A160">
        <f>'3 escalar'!A163</f>
        <v/>
      </c>
      <c r="B160" s="5">
        <f>'3 escalar'!U163</f>
        <v/>
      </c>
      <c r="C160">
        <f>'3 escalar'!B163</f>
        <v/>
      </c>
      <c r="D160" s="7">
        <f>'3 escalar'!C163</f>
        <v/>
      </c>
      <c r="E160" s="7">
        <f>'3 escalar'!D163</f>
        <v/>
      </c>
      <c r="F160" s="7">
        <f>'3 escalar'!E163</f>
        <v/>
      </c>
      <c r="G160" s="7">
        <f>'3 escalar'!F163</f>
        <v/>
      </c>
      <c r="H160" s="7">
        <f>'3 escalar'!G163</f>
        <v/>
      </c>
      <c r="I160" s="7">
        <f>'3 escalar'!H163</f>
        <v/>
      </c>
      <c r="J160" s="7">
        <f>'3 escalar'!I163</f>
        <v/>
      </c>
      <c r="K160" s="7">
        <f>'3 escalar'!J163</f>
        <v/>
      </c>
      <c r="L160" s="7">
        <f>'3 escalar'!K163</f>
        <v/>
      </c>
      <c r="M160" s="7">
        <f>'3 escalar'!L163</f>
        <v/>
      </c>
      <c r="N160" s="7">
        <f>'3 escalar'!M163</f>
        <v/>
      </c>
      <c r="O160" s="7">
        <f>'3 escalar'!N163</f>
        <v/>
      </c>
      <c r="P160" s="7">
        <f>'3 escalar'!O163</f>
        <v/>
      </c>
      <c r="Q160" s="7">
        <f>'3 escalar'!P163</f>
        <v/>
      </c>
      <c r="R160" s="7">
        <f>'3 escalar'!Q163</f>
        <v/>
      </c>
      <c r="S160" s="7">
        <f>'3 escalar'!R163</f>
        <v/>
      </c>
      <c r="T160" s="7">
        <f>'3 escalar'!S163</f>
        <v/>
      </c>
      <c r="U160" s="7">
        <f>'3 escalar'!T163</f>
        <v/>
      </c>
      <c r="V160" s="6">
        <f>$AC$12+D160*$AC$13+E160*$AC$14+F160*$AC$15+G160*$AC$16+H160*$AC$17+I160*$AC$18+J160*$AC$19+K160*$AC$20+L160*$AC$21+M160*$AC$22+N160*$AC$23+O160*$AC$24+P160*$AC$25+Q160*$AC$26+R160*$AC$27+S160*$AC$28+T160*$AC$29+U160*$AC$30</f>
        <v/>
      </c>
      <c r="W160" s="6">
        <f>1/(1+EXP(-V160))</f>
        <v/>
      </c>
      <c r="X160" s="8">
        <f>-IF(C160=1,LN(W160),LN(1-W160))</f>
        <v/>
      </c>
      <c r="Y160" s="9">
        <f>IF(W160&gt;$AC$32,1,0)</f>
        <v/>
      </c>
      <c r="Z160">
        <f>IF(Y160=C160,1,0)</f>
        <v/>
      </c>
    </row>
    <row r="161">
      <c r="A161">
        <f>'3 escalar'!A164</f>
        <v/>
      </c>
      <c r="B161" s="5">
        <f>'3 escalar'!U164</f>
        <v/>
      </c>
      <c r="C161">
        <f>'3 escalar'!B164</f>
        <v/>
      </c>
      <c r="D161" s="7">
        <f>'3 escalar'!C164</f>
        <v/>
      </c>
      <c r="E161" s="7">
        <f>'3 escalar'!D164</f>
        <v/>
      </c>
      <c r="F161" s="7">
        <f>'3 escalar'!E164</f>
        <v/>
      </c>
      <c r="G161" s="7">
        <f>'3 escalar'!F164</f>
        <v/>
      </c>
      <c r="H161" s="7">
        <f>'3 escalar'!G164</f>
        <v/>
      </c>
      <c r="I161" s="7">
        <f>'3 escalar'!H164</f>
        <v/>
      </c>
      <c r="J161" s="7">
        <f>'3 escalar'!I164</f>
        <v/>
      </c>
      <c r="K161" s="7">
        <f>'3 escalar'!J164</f>
        <v/>
      </c>
      <c r="L161" s="7">
        <f>'3 escalar'!K164</f>
        <v/>
      </c>
      <c r="M161" s="7">
        <f>'3 escalar'!L164</f>
        <v/>
      </c>
      <c r="N161" s="7">
        <f>'3 escalar'!M164</f>
        <v/>
      </c>
      <c r="O161" s="7">
        <f>'3 escalar'!N164</f>
        <v/>
      </c>
      <c r="P161" s="7">
        <f>'3 escalar'!O164</f>
        <v/>
      </c>
      <c r="Q161" s="7">
        <f>'3 escalar'!P164</f>
        <v/>
      </c>
      <c r="R161" s="7">
        <f>'3 escalar'!Q164</f>
        <v/>
      </c>
      <c r="S161" s="7">
        <f>'3 escalar'!R164</f>
        <v/>
      </c>
      <c r="T161" s="7">
        <f>'3 escalar'!S164</f>
        <v/>
      </c>
      <c r="U161" s="7">
        <f>'3 escalar'!T164</f>
        <v/>
      </c>
      <c r="V161" s="6">
        <f>$AC$12+D161*$AC$13+E161*$AC$14+F161*$AC$15+G161*$AC$16+H161*$AC$17+I161*$AC$18+J161*$AC$19+K161*$AC$20+L161*$AC$21+M161*$AC$22+N161*$AC$23+O161*$AC$24+P161*$AC$25+Q161*$AC$26+R161*$AC$27+S161*$AC$28+T161*$AC$29+U161*$AC$30</f>
        <v/>
      </c>
      <c r="W161" s="6">
        <f>1/(1+EXP(-V161))</f>
        <v/>
      </c>
      <c r="X161" s="8">
        <f>-IF(C161=1,LN(W161),LN(1-W161))</f>
        <v/>
      </c>
      <c r="Y161" s="9">
        <f>IF(W161&gt;$AC$32,1,0)</f>
        <v/>
      </c>
      <c r="Z161">
        <f>IF(Y161=C161,1,0)</f>
        <v/>
      </c>
    </row>
    <row r="162">
      <c r="A162">
        <f>'3 escalar'!A165</f>
        <v/>
      </c>
      <c r="B162" s="5">
        <f>'3 escalar'!U165</f>
        <v/>
      </c>
      <c r="C162">
        <f>'3 escalar'!B165</f>
        <v/>
      </c>
      <c r="D162" s="7">
        <f>'3 escalar'!C165</f>
        <v/>
      </c>
      <c r="E162" s="7">
        <f>'3 escalar'!D165</f>
        <v/>
      </c>
      <c r="F162" s="7">
        <f>'3 escalar'!E165</f>
        <v/>
      </c>
      <c r="G162" s="7">
        <f>'3 escalar'!F165</f>
        <v/>
      </c>
      <c r="H162" s="7">
        <f>'3 escalar'!G165</f>
        <v/>
      </c>
      <c r="I162" s="7">
        <f>'3 escalar'!H165</f>
        <v/>
      </c>
      <c r="J162" s="7">
        <f>'3 escalar'!I165</f>
        <v/>
      </c>
      <c r="K162" s="7">
        <f>'3 escalar'!J165</f>
        <v/>
      </c>
      <c r="L162" s="7">
        <f>'3 escalar'!K165</f>
        <v/>
      </c>
      <c r="M162" s="7">
        <f>'3 escalar'!L165</f>
        <v/>
      </c>
      <c r="N162" s="7">
        <f>'3 escalar'!M165</f>
        <v/>
      </c>
      <c r="O162" s="7">
        <f>'3 escalar'!N165</f>
        <v/>
      </c>
      <c r="P162" s="7">
        <f>'3 escalar'!O165</f>
        <v/>
      </c>
      <c r="Q162" s="7">
        <f>'3 escalar'!P165</f>
        <v/>
      </c>
      <c r="R162" s="7">
        <f>'3 escalar'!Q165</f>
        <v/>
      </c>
      <c r="S162" s="7">
        <f>'3 escalar'!R165</f>
        <v/>
      </c>
      <c r="T162" s="7">
        <f>'3 escalar'!S165</f>
        <v/>
      </c>
      <c r="U162" s="7">
        <f>'3 escalar'!T165</f>
        <v/>
      </c>
      <c r="V162" s="6">
        <f>$AC$12+D162*$AC$13+E162*$AC$14+F162*$AC$15+G162*$AC$16+H162*$AC$17+I162*$AC$18+J162*$AC$19+K162*$AC$20+L162*$AC$21+M162*$AC$22+N162*$AC$23+O162*$AC$24+P162*$AC$25+Q162*$AC$26+R162*$AC$27+S162*$AC$28+T162*$AC$29+U162*$AC$30</f>
        <v/>
      </c>
      <c r="W162" s="6">
        <f>1/(1+EXP(-V162))</f>
        <v/>
      </c>
      <c r="X162" s="8">
        <f>-IF(C162=1,LN(W162),LN(1-W162))</f>
        <v/>
      </c>
      <c r="Y162" s="9">
        <f>IF(W162&gt;$AC$32,1,0)</f>
        <v/>
      </c>
      <c r="Z162">
        <f>IF(Y162=C162,1,0)</f>
        <v/>
      </c>
    </row>
    <row r="163">
      <c r="A163">
        <f>'3 escalar'!A166</f>
        <v/>
      </c>
      <c r="B163" s="5">
        <f>'3 escalar'!U166</f>
        <v/>
      </c>
      <c r="C163">
        <f>'3 escalar'!B166</f>
        <v/>
      </c>
      <c r="D163" s="7">
        <f>'3 escalar'!C166</f>
        <v/>
      </c>
      <c r="E163" s="7">
        <f>'3 escalar'!D166</f>
        <v/>
      </c>
      <c r="F163" s="7">
        <f>'3 escalar'!E166</f>
        <v/>
      </c>
      <c r="G163" s="7">
        <f>'3 escalar'!F166</f>
        <v/>
      </c>
      <c r="H163" s="7">
        <f>'3 escalar'!G166</f>
        <v/>
      </c>
      <c r="I163" s="7">
        <f>'3 escalar'!H166</f>
        <v/>
      </c>
      <c r="J163" s="7">
        <f>'3 escalar'!I166</f>
        <v/>
      </c>
      <c r="K163" s="7">
        <f>'3 escalar'!J166</f>
        <v/>
      </c>
      <c r="L163" s="7">
        <f>'3 escalar'!K166</f>
        <v/>
      </c>
      <c r="M163" s="7">
        <f>'3 escalar'!L166</f>
        <v/>
      </c>
      <c r="N163" s="7">
        <f>'3 escalar'!M166</f>
        <v/>
      </c>
      <c r="O163" s="7">
        <f>'3 escalar'!N166</f>
        <v/>
      </c>
      <c r="P163" s="7">
        <f>'3 escalar'!O166</f>
        <v/>
      </c>
      <c r="Q163" s="7">
        <f>'3 escalar'!P166</f>
        <v/>
      </c>
      <c r="R163" s="7">
        <f>'3 escalar'!Q166</f>
        <v/>
      </c>
      <c r="S163" s="7">
        <f>'3 escalar'!R166</f>
        <v/>
      </c>
      <c r="T163" s="7">
        <f>'3 escalar'!S166</f>
        <v/>
      </c>
      <c r="U163" s="7">
        <f>'3 escalar'!T166</f>
        <v/>
      </c>
      <c r="V163" s="6">
        <f>$AC$12+D163*$AC$13+E163*$AC$14+F163*$AC$15+G163*$AC$16+H163*$AC$17+I163*$AC$18+J163*$AC$19+K163*$AC$20+L163*$AC$21+M163*$AC$22+N163*$AC$23+O163*$AC$24+P163*$AC$25+Q163*$AC$26+R163*$AC$27+S163*$AC$28+T163*$AC$29+U163*$AC$30</f>
        <v/>
      </c>
      <c r="W163" s="6">
        <f>1/(1+EXP(-V163))</f>
        <v/>
      </c>
      <c r="X163" s="8">
        <f>-IF(C163=1,LN(W163),LN(1-W163))</f>
        <v/>
      </c>
      <c r="Y163" s="9">
        <f>IF(W163&gt;$AC$32,1,0)</f>
        <v/>
      </c>
      <c r="Z163">
        <f>IF(Y163=C163,1,0)</f>
        <v/>
      </c>
    </row>
    <row r="164">
      <c r="A164">
        <f>'3 escalar'!A167</f>
        <v/>
      </c>
      <c r="B164" s="5">
        <f>'3 escalar'!U167</f>
        <v/>
      </c>
      <c r="C164">
        <f>'3 escalar'!B167</f>
        <v/>
      </c>
      <c r="D164" s="7">
        <f>'3 escalar'!C167</f>
        <v/>
      </c>
      <c r="E164" s="7">
        <f>'3 escalar'!D167</f>
        <v/>
      </c>
      <c r="F164" s="7">
        <f>'3 escalar'!E167</f>
        <v/>
      </c>
      <c r="G164" s="7">
        <f>'3 escalar'!F167</f>
        <v/>
      </c>
      <c r="H164" s="7">
        <f>'3 escalar'!G167</f>
        <v/>
      </c>
      <c r="I164" s="7">
        <f>'3 escalar'!H167</f>
        <v/>
      </c>
      <c r="J164" s="7">
        <f>'3 escalar'!I167</f>
        <v/>
      </c>
      <c r="K164" s="7">
        <f>'3 escalar'!J167</f>
        <v/>
      </c>
      <c r="L164" s="7">
        <f>'3 escalar'!K167</f>
        <v/>
      </c>
      <c r="M164" s="7">
        <f>'3 escalar'!L167</f>
        <v/>
      </c>
      <c r="N164" s="7">
        <f>'3 escalar'!M167</f>
        <v/>
      </c>
      <c r="O164" s="7">
        <f>'3 escalar'!N167</f>
        <v/>
      </c>
      <c r="P164" s="7">
        <f>'3 escalar'!O167</f>
        <v/>
      </c>
      <c r="Q164" s="7">
        <f>'3 escalar'!P167</f>
        <v/>
      </c>
      <c r="R164" s="7">
        <f>'3 escalar'!Q167</f>
        <v/>
      </c>
      <c r="S164" s="7">
        <f>'3 escalar'!R167</f>
        <v/>
      </c>
      <c r="T164" s="7">
        <f>'3 escalar'!S167</f>
        <v/>
      </c>
      <c r="U164" s="7">
        <f>'3 escalar'!T167</f>
        <v/>
      </c>
      <c r="V164" s="6">
        <f>$AC$12+D164*$AC$13+E164*$AC$14+F164*$AC$15+G164*$AC$16+H164*$AC$17+I164*$AC$18+J164*$AC$19+K164*$AC$20+L164*$AC$21+M164*$AC$22+N164*$AC$23+O164*$AC$24+P164*$AC$25+Q164*$AC$26+R164*$AC$27+S164*$AC$28+T164*$AC$29+U164*$AC$30</f>
        <v/>
      </c>
      <c r="W164" s="6">
        <f>1/(1+EXP(-V164))</f>
        <v/>
      </c>
      <c r="X164" s="8">
        <f>-IF(C164=1,LN(W164),LN(1-W164))</f>
        <v/>
      </c>
      <c r="Y164" s="9">
        <f>IF(W164&gt;$AC$32,1,0)</f>
        <v/>
      </c>
      <c r="Z164">
        <f>IF(Y164=C164,1,0)</f>
        <v/>
      </c>
    </row>
    <row r="165">
      <c r="A165">
        <f>'3 escalar'!A168</f>
        <v/>
      </c>
      <c r="B165" s="5">
        <f>'3 escalar'!U168</f>
        <v/>
      </c>
      <c r="C165">
        <f>'3 escalar'!B168</f>
        <v/>
      </c>
      <c r="D165" s="7">
        <f>'3 escalar'!C168</f>
        <v/>
      </c>
      <c r="E165" s="7">
        <f>'3 escalar'!D168</f>
        <v/>
      </c>
      <c r="F165" s="7">
        <f>'3 escalar'!E168</f>
        <v/>
      </c>
      <c r="G165" s="7">
        <f>'3 escalar'!F168</f>
        <v/>
      </c>
      <c r="H165" s="7">
        <f>'3 escalar'!G168</f>
        <v/>
      </c>
      <c r="I165" s="7">
        <f>'3 escalar'!H168</f>
        <v/>
      </c>
      <c r="J165" s="7">
        <f>'3 escalar'!I168</f>
        <v/>
      </c>
      <c r="K165" s="7">
        <f>'3 escalar'!J168</f>
        <v/>
      </c>
      <c r="L165" s="7">
        <f>'3 escalar'!K168</f>
        <v/>
      </c>
      <c r="M165" s="7">
        <f>'3 escalar'!L168</f>
        <v/>
      </c>
      <c r="N165" s="7">
        <f>'3 escalar'!M168</f>
        <v/>
      </c>
      <c r="O165" s="7">
        <f>'3 escalar'!N168</f>
        <v/>
      </c>
      <c r="P165" s="7">
        <f>'3 escalar'!O168</f>
        <v/>
      </c>
      <c r="Q165" s="7">
        <f>'3 escalar'!P168</f>
        <v/>
      </c>
      <c r="R165" s="7">
        <f>'3 escalar'!Q168</f>
        <v/>
      </c>
      <c r="S165" s="7">
        <f>'3 escalar'!R168</f>
        <v/>
      </c>
      <c r="T165" s="7">
        <f>'3 escalar'!S168</f>
        <v/>
      </c>
      <c r="U165" s="7">
        <f>'3 escalar'!T168</f>
        <v/>
      </c>
      <c r="V165" s="6">
        <f>$AC$12+D165*$AC$13+E165*$AC$14+F165*$AC$15+G165*$AC$16+H165*$AC$17+I165*$AC$18+J165*$AC$19+K165*$AC$20+L165*$AC$21+M165*$AC$22+N165*$AC$23+O165*$AC$24+P165*$AC$25+Q165*$AC$26+R165*$AC$27+S165*$AC$28+T165*$AC$29+U165*$AC$30</f>
        <v/>
      </c>
      <c r="W165" s="6">
        <f>1/(1+EXP(-V165))</f>
        <v/>
      </c>
      <c r="X165" s="8">
        <f>-IF(C165=1,LN(W165),LN(1-W165))</f>
        <v/>
      </c>
      <c r="Y165" s="9">
        <f>IF(W165&gt;$AC$32,1,0)</f>
        <v/>
      </c>
      <c r="Z165">
        <f>IF(Y165=C165,1,0)</f>
        <v/>
      </c>
    </row>
    <row r="166">
      <c r="A166">
        <f>'3 escalar'!A169</f>
        <v/>
      </c>
      <c r="B166" s="5">
        <f>'3 escalar'!U169</f>
        <v/>
      </c>
      <c r="C166">
        <f>'3 escalar'!B169</f>
        <v/>
      </c>
      <c r="D166" s="7">
        <f>'3 escalar'!C169</f>
        <v/>
      </c>
      <c r="E166" s="7">
        <f>'3 escalar'!D169</f>
        <v/>
      </c>
      <c r="F166" s="7">
        <f>'3 escalar'!E169</f>
        <v/>
      </c>
      <c r="G166" s="7">
        <f>'3 escalar'!F169</f>
        <v/>
      </c>
      <c r="H166" s="7">
        <f>'3 escalar'!G169</f>
        <v/>
      </c>
      <c r="I166" s="7">
        <f>'3 escalar'!H169</f>
        <v/>
      </c>
      <c r="J166" s="7">
        <f>'3 escalar'!I169</f>
        <v/>
      </c>
      <c r="K166" s="7">
        <f>'3 escalar'!J169</f>
        <v/>
      </c>
      <c r="L166" s="7">
        <f>'3 escalar'!K169</f>
        <v/>
      </c>
      <c r="M166" s="7">
        <f>'3 escalar'!L169</f>
        <v/>
      </c>
      <c r="N166" s="7">
        <f>'3 escalar'!M169</f>
        <v/>
      </c>
      <c r="O166" s="7">
        <f>'3 escalar'!N169</f>
        <v/>
      </c>
      <c r="P166" s="7">
        <f>'3 escalar'!O169</f>
        <v/>
      </c>
      <c r="Q166" s="7">
        <f>'3 escalar'!P169</f>
        <v/>
      </c>
      <c r="R166" s="7">
        <f>'3 escalar'!Q169</f>
        <v/>
      </c>
      <c r="S166" s="7">
        <f>'3 escalar'!R169</f>
        <v/>
      </c>
      <c r="T166" s="7">
        <f>'3 escalar'!S169</f>
        <v/>
      </c>
      <c r="U166" s="7">
        <f>'3 escalar'!T169</f>
        <v/>
      </c>
      <c r="V166" s="6">
        <f>$AC$12+D166*$AC$13+E166*$AC$14+F166*$AC$15+G166*$AC$16+H166*$AC$17+I166*$AC$18+J166*$AC$19+K166*$AC$20+L166*$AC$21+M166*$AC$22+N166*$AC$23+O166*$AC$24+P166*$AC$25+Q166*$AC$26+R166*$AC$27+S166*$AC$28+T166*$AC$29+U166*$AC$30</f>
        <v/>
      </c>
      <c r="W166" s="6">
        <f>1/(1+EXP(-V166))</f>
        <v/>
      </c>
      <c r="X166" s="8">
        <f>-IF(C166=1,LN(W166),LN(1-W166))</f>
        <v/>
      </c>
      <c r="Y166" s="9">
        <f>IF(W166&gt;$AC$32,1,0)</f>
        <v/>
      </c>
      <c r="Z166">
        <f>IF(Y166=C166,1,0)</f>
        <v/>
      </c>
    </row>
    <row r="167">
      <c r="A167">
        <f>'3 escalar'!A170</f>
        <v/>
      </c>
      <c r="B167" s="5">
        <f>'3 escalar'!U170</f>
        <v/>
      </c>
      <c r="C167">
        <f>'3 escalar'!B170</f>
        <v/>
      </c>
      <c r="D167" s="7">
        <f>'3 escalar'!C170</f>
        <v/>
      </c>
      <c r="E167" s="7">
        <f>'3 escalar'!D170</f>
        <v/>
      </c>
      <c r="F167" s="7">
        <f>'3 escalar'!E170</f>
        <v/>
      </c>
      <c r="G167" s="7">
        <f>'3 escalar'!F170</f>
        <v/>
      </c>
      <c r="H167" s="7">
        <f>'3 escalar'!G170</f>
        <v/>
      </c>
      <c r="I167" s="7">
        <f>'3 escalar'!H170</f>
        <v/>
      </c>
      <c r="J167" s="7">
        <f>'3 escalar'!I170</f>
        <v/>
      </c>
      <c r="K167" s="7">
        <f>'3 escalar'!J170</f>
        <v/>
      </c>
      <c r="L167" s="7">
        <f>'3 escalar'!K170</f>
        <v/>
      </c>
      <c r="M167" s="7">
        <f>'3 escalar'!L170</f>
        <v/>
      </c>
      <c r="N167" s="7">
        <f>'3 escalar'!M170</f>
        <v/>
      </c>
      <c r="O167" s="7">
        <f>'3 escalar'!N170</f>
        <v/>
      </c>
      <c r="P167" s="7">
        <f>'3 escalar'!O170</f>
        <v/>
      </c>
      <c r="Q167" s="7">
        <f>'3 escalar'!P170</f>
        <v/>
      </c>
      <c r="R167" s="7">
        <f>'3 escalar'!Q170</f>
        <v/>
      </c>
      <c r="S167" s="7">
        <f>'3 escalar'!R170</f>
        <v/>
      </c>
      <c r="T167" s="7">
        <f>'3 escalar'!S170</f>
        <v/>
      </c>
      <c r="U167" s="7">
        <f>'3 escalar'!T170</f>
        <v/>
      </c>
      <c r="V167" s="6">
        <f>$AC$12+D167*$AC$13+E167*$AC$14+F167*$AC$15+G167*$AC$16+H167*$AC$17+I167*$AC$18+J167*$AC$19+K167*$AC$20+L167*$AC$21+M167*$AC$22+N167*$AC$23+O167*$AC$24+P167*$AC$25+Q167*$AC$26+R167*$AC$27+S167*$AC$28+T167*$AC$29+U167*$AC$30</f>
        <v/>
      </c>
      <c r="W167" s="6">
        <f>1/(1+EXP(-V167))</f>
        <v/>
      </c>
      <c r="X167" s="8">
        <f>-IF(C167=1,LN(W167),LN(1-W167))</f>
        <v/>
      </c>
      <c r="Y167" s="9">
        <f>IF(W167&gt;$AC$32,1,0)</f>
        <v/>
      </c>
      <c r="Z167">
        <f>IF(Y167=C167,1,0)</f>
        <v/>
      </c>
    </row>
    <row r="168">
      <c r="A168">
        <f>'3 escalar'!A171</f>
        <v/>
      </c>
      <c r="B168" s="5">
        <f>'3 escalar'!U171</f>
        <v/>
      </c>
      <c r="C168">
        <f>'3 escalar'!B171</f>
        <v/>
      </c>
      <c r="D168" s="7">
        <f>'3 escalar'!C171</f>
        <v/>
      </c>
      <c r="E168" s="7">
        <f>'3 escalar'!D171</f>
        <v/>
      </c>
      <c r="F168" s="7">
        <f>'3 escalar'!E171</f>
        <v/>
      </c>
      <c r="G168" s="7">
        <f>'3 escalar'!F171</f>
        <v/>
      </c>
      <c r="H168" s="7">
        <f>'3 escalar'!G171</f>
        <v/>
      </c>
      <c r="I168" s="7">
        <f>'3 escalar'!H171</f>
        <v/>
      </c>
      <c r="J168" s="7">
        <f>'3 escalar'!I171</f>
        <v/>
      </c>
      <c r="K168" s="7">
        <f>'3 escalar'!J171</f>
        <v/>
      </c>
      <c r="L168" s="7">
        <f>'3 escalar'!K171</f>
        <v/>
      </c>
      <c r="M168" s="7">
        <f>'3 escalar'!L171</f>
        <v/>
      </c>
      <c r="N168" s="7">
        <f>'3 escalar'!M171</f>
        <v/>
      </c>
      <c r="O168" s="7">
        <f>'3 escalar'!N171</f>
        <v/>
      </c>
      <c r="P168" s="7">
        <f>'3 escalar'!O171</f>
        <v/>
      </c>
      <c r="Q168" s="7">
        <f>'3 escalar'!P171</f>
        <v/>
      </c>
      <c r="R168" s="7">
        <f>'3 escalar'!Q171</f>
        <v/>
      </c>
      <c r="S168" s="7">
        <f>'3 escalar'!R171</f>
        <v/>
      </c>
      <c r="T168" s="7">
        <f>'3 escalar'!S171</f>
        <v/>
      </c>
      <c r="U168" s="7">
        <f>'3 escalar'!T171</f>
        <v/>
      </c>
      <c r="V168" s="6">
        <f>$AC$12+D168*$AC$13+E168*$AC$14+F168*$AC$15+G168*$AC$16+H168*$AC$17+I168*$AC$18+J168*$AC$19+K168*$AC$20+L168*$AC$21+M168*$AC$22+N168*$AC$23+O168*$AC$24+P168*$AC$25+Q168*$AC$26+R168*$AC$27+S168*$AC$28+T168*$AC$29+U168*$AC$30</f>
        <v/>
      </c>
      <c r="W168" s="6">
        <f>1/(1+EXP(-V168))</f>
        <v/>
      </c>
      <c r="X168" s="8">
        <f>-IF(C168=1,LN(W168),LN(1-W168))</f>
        <v/>
      </c>
      <c r="Y168" s="9">
        <f>IF(W168&gt;$AC$32,1,0)</f>
        <v/>
      </c>
      <c r="Z168">
        <f>IF(Y168=C168,1,0)</f>
        <v/>
      </c>
    </row>
    <row r="169">
      <c r="A169">
        <f>'3 escalar'!A172</f>
        <v/>
      </c>
      <c r="B169" s="5">
        <f>'3 escalar'!U172</f>
        <v/>
      </c>
      <c r="C169">
        <f>'3 escalar'!B172</f>
        <v/>
      </c>
      <c r="D169" s="7">
        <f>'3 escalar'!C172</f>
        <v/>
      </c>
      <c r="E169" s="7">
        <f>'3 escalar'!D172</f>
        <v/>
      </c>
      <c r="F169" s="7">
        <f>'3 escalar'!E172</f>
        <v/>
      </c>
      <c r="G169" s="7">
        <f>'3 escalar'!F172</f>
        <v/>
      </c>
      <c r="H169" s="7">
        <f>'3 escalar'!G172</f>
        <v/>
      </c>
      <c r="I169" s="7">
        <f>'3 escalar'!H172</f>
        <v/>
      </c>
      <c r="J169" s="7">
        <f>'3 escalar'!I172</f>
        <v/>
      </c>
      <c r="K169" s="7">
        <f>'3 escalar'!J172</f>
        <v/>
      </c>
      <c r="L169" s="7">
        <f>'3 escalar'!K172</f>
        <v/>
      </c>
      <c r="M169" s="7">
        <f>'3 escalar'!L172</f>
        <v/>
      </c>
      <c r="N169" s="7">
        <f>'3 escalar'!M172</f>
        <v/>
      </c>
      <c r="O169" s="7">
        <f>'3 escalar'!N172</f>
        <v/>
      </c>
      <c r="P169" s="7">
        <f>'3 escalar'!O172</f>
        <v/>
      </c>
      <c r="Q169" s="7">
        <f>'3 escalar'!P172</f>
        <v/>
      </c>
      <c r="R169" s="7">
        <f>'3 escalar'!Q172</f>
        <v/>
      </c>
      <c r="S169" s="7">
        <f>'3 escalar'!R172</f>
        <v/>
      </c>
      <c r="T169" s="7">
        <f>'3 escalar'!S172</f>
        <v/>
      </c>
      <c r="U169" s="7">
        <f>'3 escalar'!T172</f>
        <v/>
      </c>
      <c r="V169" s="6">
        <f>$AC$12+D169*$AC$13+E169*$AC$14+F169*$AC$15+G169*$AC$16+H169*$AC$17+I169*$AC$18+J169*$AC$19+K169*$AC$20+L169*$AC$21+M169*$AC$22+N169*$AC$23+O169*$AC$24+P169*$AC$25+Q169*$AC$26+R169*$AC$27+S169*$AC$28+T169*$AC$29+U169*$AC$30</f>
        <v/>
      </c>
      <c r="W169" s="6">
        <f>1/(1+EXP(-V169))</f>
        <v/>
      </c>
      <c r="X169" s="8">
        <f>-IF(C169=1,LN(W169),LN(1-W169))</f>
        <v/>
      </c>
      <c r="Y169" s="9">
        <f>IF(W169&gt;$AC$32,1,0)</f>
        <v/>
      </c>
      <c r="Z169">
        <f>IF(Y169=C169,1,0)</f>
        <v/>
      </c>
    </row>
    <row r="170">
      <c r="A170">
        <f>'3 escalar'!A173</f>
        <v/>
      </c>
      <c r="B170" s="5">
        <f>'3 escalar'!U173</f>
        <v/>
      </c>
      <c r="C170">
        <f>'3 escalar'!B173</f>
        <v/>
      </c>
      <c r="D170" s="7">
        <f>'3 escalar'!C173</f>
        <v/>
      </c>
      <c r="E170" s="7">
        <f>'3 escalar'!D173</f>
        <v/>
      </c>
      <c r="F170" s="7">
        <f>'3 escalar'!E173</f>
        <v/>
      </c>
      <c r="G170" s="7">
        <f>'3 escalar'!F173</f>
        <v/>
      </c>
      <c r="H170" s="7">
        <f>'3 escalar'!G173</f>
        <v/>
      </c>
      <c r="I170" s="7">
        <f>'3 escalar'!H173</f>
        <v/>
      </c>
      <c r="J170" s="7">
        <f>'3 escalar'!I173</f>
        <v/>
      </c>
      <c r="K170" s="7">
        <f>'3 escalar'!J173</f>
        <v/>
      </c>
      <c r="L170" s="7">
        <f>'3 escalar'!K173</f>
        <v/>
      </c>
      <c r="M170" s="7">
        <f>'3 escalar'!L173</f>
        <v/>
      </c>
      <c r="N170" s="7">
        <f>'3 escalar'!M173</f>
        <v/>
      </c>
      <c r="O170" s="7">
        <f>'3 escalar'!N173</f>
        <v/>
      </c>
      <c r="P170" s="7">
        <f>'3 escalar'!O173</f>
        <v/>
      </c>
      <c r="Q170" s="7">
        <f>'3 escalar'!P173</f>
        <v/>
      </c>
      <c r="R170" s="7">
        <f>'3 escalar'!Q173</f>
        <v/>
      </c>
      <c r="S170" s="7">
        <f>'3 escalar'!R173</f>
        <v/>
      </c>
      <c r="T170" s="7">
        <f>'3 escalar'!S173</f>
        <v/>
      </c>
      <c r="U170" s="7">
        <f>'3 escalar'!T173</f>
        <v/>
      </c>
      <c r="V170" s="6">
        <f>$AC$12+D170*$AC$13+E170*$AC$14+F170*$AC$15+G170*$AC$16+H170*$AC$17+I170*$AC$18+J170*$AC$19+K170*$AC$20+L170*$AC$21+M170*$AC$22+N170*$AC$23+O170*$AC$24+P170*$AC$25+Q170*$AC$26+R170*$AC$27+S170*$AC$28+T170*$AC$29+U170*$AC$30</f>
        <v/>
      </c>
      <c r="W170" s="6">
        <f>1/(1+EXP(-V170))</f>
        <v/>
      </c>
      <c r="X170" s="8">
        <f>-IF(C170=1,LN(W170),LN(1-W170))</f>
        <v/>
      </c>
      <c r="Y170" s="9">
        <f>IF(W170&gt;$AC$32,1,0)</f>
        <v/>
      </c>
      <c r="Z170">
        <f>IF(Y170=C170,1,0)</f>
        <v/>
      </c>
    </row>
    <row r="171">
      <c r="A171">
        <f>'3 escalar'!A174</f>
        <v/>
      </c>
      <c r="B171" s="5">
        <f>'3 escalar'!U174</f>
        <v/>
      </c>
      <c r="C171">
        <f>'3 escalar'!B174</f>
        <v/>
      </c>
      <c r="D171" s="7">
        <f>'3 escalar'!C174</f>
        <v/>
      </c>
      <c r="E171" s="7">
        <f>'3 escalar'!D174</f>
        <v/>
      </c>
      <c r="F171" s="7">
        <f>'3 escalar'!E174</f>
        <v/>
      </c>
      <c r="G171" s="7">
        <f>'3 escalar'!F174</f>
        <v/>
      </c>
      <c r="H171" s="7">
        <f>'3 escalar'!G174</f>
        <v/>
      </c>
      <c r="I171" s="7">
        <f>'3 escalar'!H174</f>
        <v/>
      </c>
      <c r="J171" s="7">
        <f>'3 escalar'!I174</f>
        <v/>
      </c>
      <c r="K171" s="7">
        <f>'3 escalar'!J174</f>
        <v/>
      </c>
      <c r="L171" s="7">
        <f>'3 escalar'!K174</f>
        <v/>
      </c>
      <c r="M171" s="7">
        <f>'3 escalar'!L174</f>
        <v/>
      </c>
      <c r="N171" s="7">
        <f>'3 escalar'!M174</f>
        <v/>
      </c>
      <c r="O171" s="7">
        <f>'3 escalar'!N174</f>
        <v/>
      </c>
      <c r="P171" s="7">
        <f>'3 escalar'!O174</f>
        <v/>
      </c>
      <c r="Q171" s="7">
        <f>'3 escalar'!P174</f>
        <v/>
      </c>
      <c r="R171" s="7">
        <f>'3 escalar'!Q174</f>
        <v/>
      </c>
      <c r="S171" s="7">
        <f>'3 escalar'!R174</f>
        <v/>
      </c>
      <c r="T171" s="7">
        <f>'3 escalar'!S174</f>
        <v/>
      </c>
      <c r="U171" s="7">
        <f>'3 escalar'!T174</f>
        <v/>
      </c>
      <c r="V171" s="6">
        <f>$AC$12+D171*$AC$13+E171*$AC$14+F171*$AC$15+G171*$AC$16+H171*$AC$17+I171*$AC$18+J171*$AC$19+K171*$AC$20+L171*$AC$21+M171*$AC$22+N171*$AC$23+O171*$AC$24+P171*$AC$25+Q171*$AC$26+R171*$AC$27+S171*$AC$28+T171*$AC$29+U171*$AC$30</f>
        <v/>
      </c>
      <c r="W171" s="6">
        <f>1/(1+EXP(-V171))</f>
        <v/>
      </c>
      <c r="X171" s="8">
        <f>-IF(C171=1,LN(W171),LN(1-W171))</f>
        <v/>
      </c>
      <c r="Y171" s="9">
        <f>IF(W171&gt;$AC$32,1,0)</f>
        <v/>
      </c>
      <c r="Z171">
        <f>IF(Y171=C171,1,0)</f>
        <v/>
      </c>
    </row>
    <row r="172">
      <c r="A172">
        <f>'3 escalar'!A175</f>
        <v/>
      </c>
      <c r="B172" s="5">
        <f>'3 escalar'!U175</f>
        <v/>
      </c>
      <c r="C172">
        <f>'3 escalar'!B175</f>
        <v/>
      </c>
      <c r="D172" s="7">
        <f>'3 escalar'!C175</f>
        <v/>
      </c>
      <c r="E172" s="7">
        <f>'3 escalar'!D175</f>
        <v/>
      </c>
      <c r="F172" s="7">
        <f>'3 escalar'!E175</f>
        <v/>
      </c>
      <c r="G172" s="7">
        <f>'3 escalar'!F175</f>
        <v/>
      </c>
      <c r="H172" s="7">
        <f>'3 escalar'!G175</f>
        <v/>
      </c>
      <c r="I172" s="7">
        <f>'3 escalar'!H175</f>
        <v/>
      </c>
      <c r="J172" s="7">
        <f>'3 escalar'!I175</f>
        <v/>
      </c>
      <c r="K172" s="7">
        <f>'3 escalar'!J175</f>
        <v/>
      </c>
      <c r="L172" s="7">
        <f>'3 escalar'!K175</f>
        <v/>
      </c>
      <c r="M172" s="7">
        <f>'3 escalar'!L175</f>
        <v/>
      </c>
      <c r="N172" s="7">
        <f>'3 escalar'!M175</f>
        <v/>
      </c>
      <c r="O172" s="7">
        <f>'3 escalar'!N175</f>
        <v/>
      </c>
      <c r="P172" s="7">
        <f>'3 escalar'!O175</f>
        <v/>
      </c>
      <c r="Q172" s="7">
        <f>'3 escalar'!P175</f>
        <v/>
      </c>
      <c r="R172" s="7">
        <f>'3 escalar'!Q175</f>
        <v/>
      </c>
      <c r="S172" s="7">
        <f>'3 escalar'!R175</f>
        <v/>
      </c>
      <c r="T172" s="7">
        <f>'3 escalar'!S175</f>
        <v/>
      </c>
      <c r="U172" s="7">
        <f>'3 escalar'!T175</f>
        <v/>
      </c>
      <c r="V172" s="6">
        <f>$AC$12+D172*$AC$13+E172*$AC$14+F172*$AC$15+G172*$AC$16+H172*$AC$17+I172*$AC$18+J172*$AC$19+K172*$AC$20+L172*$AC$21+M172*$AC$22+N172*$AC$23+O172*$AC$24+P172*$AC$25+Q172*$AC$26+R172*$AC$27+S172*$AC$28+T172*$AC$29+U172*$AC$30</f>
        <v/>
      </c>
      <c r="W172" s="6">
        <f>1/(1+EXP(-V172))</f>
        <v/>
      </c>
      <c r="X172" s="8">
        <f>-IF(C172=1,LN(W172),LN(1-W172))</f>
        <v/>
      </c>
      <c r="Y172" s="9">
        <f>IF(W172&gt;$AC$32,1,0)</f>
        <v/>
      </c>
      <c r="Z172">
        <f>IF(Y172=C172,1,0)</f>
        <v/>
      </c>
    </row>
    <row r="173">
      <c r="A173">
        <f>'3 escalar'!A176</f>
        <v/>
      </c>
      <c r="B173" s="5">
        <f>'3 escalar'!U176</f>
        <v/>
      </c>
      <c r="C173">
        <f>'3 escalar'!B176</f>
        <v/>
      </c>
      <c r="D173" s="7">
        <f>'3 escalar'!C176</f>
        <v/>
      </c>
      <c r="E173" s="7">
        <f>'3 escalar'!D176</f>
        <v/>
      </c>
      <c r="F173" s="7">
        <f>'3 escalar'!E176</f>
        <v/>
      </c>
      <c r="G173" s="7">
        <f>'3 escalar'!F176</f>
        <v/>
      </c>
      <c r="H173" s="7">
        <f>'3 escalar'!G176</f>
        <v/>
      </c>
      <c r="I173" s="7">
        <f>'3 escalar'!H176</f>
        <v/>
      </c>
      <c r="J173" s="7">
        <f>'3 escalar'!I176</f>
        <v/>
      </c>
      <c r="K173" s="7">
        <f>'3 escalar'!J176</f>
        <v/>
      </c>
      <c r="L173" s="7">
        <f>'3 escalar'!K176</f>
        <v/>
      </c>
      <c r="M173" s="7">
        <f>'3 escalar'!L176</f>
        <v/>
      </c>
      <c r="N173" s="7">
        <f>'3 escalar'!M176</f>
        <v/>
      </c>
      <c r="O173" s="7">
        <f>'3 escalar'!N176</f>
        <v/>
      </c>
      <c r="P173" s="7">
        <f>'3 escalar'!O176</f>
        <v/>
      </c>
      <c r="Q173" s="7">
        <f>'3 escalar'!P176</f>
        <v/>
      </c>
      <c r="R173" s="7">
        <f>'3 escalar'!Q176</f>
        <v/>
      </c>
      <c r="S173" s="7">
        <f>'3 escalar'!R176</f>
        <v/>
      </c>
      <c r="T173" s="7">
        <f>'3 escalar'!S176</f>
        <v/>
      </c>
      <c r="U173" s="7">
        <f>'3 escalar'!T176</f>
        <v/>
      </c>
      <c r="V173" s="6">
        <f>$AC$12+D173*$AC$13+E173*$AC$14+F173*$AC$15+G173*$AC$16+H173*$AC$17+I173*$AC$18+J173*$AC$19+K173*$AC$20+L173*$AC$21+M173*$AC$22+N173*$AC$23+O173*$AC$24+P173*$AC$25+Q173*$AC$26+R173*$AC$27+S173*$AC$28+T173*$AC$29+U173*$AC$30</f>
        <v/>
      </c>
      <c r="W173" s="6">
        <f>1/(1+EXP(-V173))</f>
        <v/>
      </c>
      <c r="X173" s="8">
        <f>-IF(C173=1,LN(W173),LN(1-W173))</f>
        <v/>
      </c>
      <c r="Y173" s="9">
        <f>IF(W173&gt;$AC$32,1,0)</f>
        <v/>
      </c>
      <c r="Z173">
        <f>IF(Y173=C173,1,0)</f>
        <v/>
      </c>
    </row>
    <row r="174">
      <c r="A174">
        <f>'3 escalar'!A177</f>
        <v/>
      </c>
      <c r="B174" s="5">
        <f>'3 escalar'!U177</f>
        <v/>
      </c>
      <c r="C174">
        <f>'3 escalar'!B177</f>
        <v/>
      </c>
      <c r="D174" s="7">
        <f>'3 escalar'!C177</f>
        <v/>
      </c>
      <c r="E174" s="7">
        <f>'3 escalar'!D177</f>
        <v/>
      </c>
      <c r="F174" s="7">
        <f>'3 escalar'!E177</f>
        <v/>
      </c>
      <c r="G174" s="7">
        <f>'3 escalar'!F177</f>
        <v/>
      </c>
      <c r="H174" s="7">
        <f>'3 escalar'!G177</f>
        <v/>
      </c>
      <c r="I174" s="7">
        <f>'3 escalar'!H177</f>
        <v/>
      </c>
      <c r="J174" s="7">
        <f>'3 escalar'!I177</f>
        <v/>
      </c>
      <c r="K174" s="7">
        <f>'3 escalar'!J177</f>
        <v/>
      </c>
      <c r="L174" s="7">
        <f>'3 escalar'!K177</f>
        <v/>
      </c>
      <c r="M174" s="7">
        <f>'3 escalar'!L177</f>
        <v/>
      </c>
      <c r="N174" s="7">
        <f>'3 escalar'!M177</f>
        <v/>
      </c>
      <c r="O174" s="7">
        <f>'3 escalar'!N177</f>
        <v/>
      </c>
      <c r="P174" s="7">
        <f>'3 escalar'!O177</f>
        <v/>
      </c>
      <c r="Q174" s="7">
        <f>'3 escalar'!P177</f>
        <v/>
      </c>
      <c r="R174" s="7">
        <f>'3 escalar'!Q177</f>
        <v/>
      </c>
      <c r="S174" s="7">
        <f>'3 escalar'!R177</f>
        <v/>
      </c>
      <c r="T174" s="7">
        <f>'3 escalar'!S177</f>
        <v/>
      </c>
      <c r="U174" s="7">
        <f>'3 escalar'!T177</f>
        <v/>
      </c>
      <c r="V174" s="6">
        <f>$AC$12+D174*$AC$13+E174*$AC$14+F174*$AC$15+G174*$AC$16+H174*$AC$17+I174*$AC$18+J174*$AC$19+K174*$AC$20+L174*$AC$21+M174*$AC$22+N174*$AC$23+O174*$AC$24+P174*$AC$25+Q174*$AC$26+R174*$AC$27+S174*$AC$28+T174*$AC$29+U174*$AC$30</f>
        <v/>
      </c>
      <c r="W174" s="6">
        <f>1/(1+EXP(-V174))</f>
        <v/>
      </c>
      <c r="X174" s="8">
        <f>-IF(C174=1,LN(W174),LN(1-W174))</f>
        <v/>
      </c>
      <c r="Y174" s="9">
        <f>IF(W174&gt;$AC$32,1,0)</f>
        <v/>
      </c>
      <c r="Z174">
        <f>IF(Y174=C174,1,0)</f>
        <v/>
      </c>
    </row>
    <row r="175">
      <c r="A175">
        <f>'3 escalar'!A178</f>
        <v/>
      </c>
      <c r="B175" s="5">
        <f>'3 escalar'!U178</f>
        <v/>
      </c>
      <c r="C175">
        <f>'3 escalar'!B178</f>
        <v/>
      </c>
      <c r="D175" s="7">
        <f>'3 escalar'!C178</f>
        <v/>
      </c>
      <c r="E175" s="7">
        <f>'3 escalar'!D178</f>
        <v/>
      </c>
      <c r="F175" s="7">
        <f>'3 escalar'!E178</f>
        <v/>
      </c>
      <c r="G175" s="7">
        <f>'3 escalar'!F178</f>
        <v/>
      </c>
      <c r="H175" s="7">
        <f>'3 escalar'!G178</f>
        <v/>
      </c>
      <c r="I175" s="7">
        <f>'3 escalar'!H178</f>
        <v/>
      </c>
      <c r="J175" s="7">
        <f>'3 escalar'!I178</f>
        <v/>
      </c>
      <c r="K175" s="7">
        <f>'3 escalar'!J178</f>
        <v/>
      </c>
      <c r="L175" s="7">
        <f>'3 escalar'!K178</f>
        <v/>
      </c>
      <c r="M175" s="7">
        <f>'3 escalar'!L178</f>
        <v/>
      </c>
      <c r="N175" s="7">
        <f>'3 escalar'!M178</f>
        <v/>
      </c>
      <c r="O175" s="7">
        <f>'3 escalar'!N178</f>
        <v/>
      </c>
      <c r="P175" s="7">
        <f>'3 escalar'!O178</f>
        <v/>
      </c>
      <c r="Q175" s="7">
        <f>'3 escalar'!P178</f>
        <v/>
      </c>
      <c r="R175" s="7">
        <f>'3 escalar'!Q178</f>
        <v/>
      </c>
      <c r="S175" s="7">
        <f>'3 escalar'!R178</f>
        <v/>
      </c>
      <c r="T175" s="7">
        <f>'3 escalar'!S178</f>
        <v/>
      </c>
      <c r="U175" s="7">
        <f>'3 escalar'!T178</f>
        <v/>
      </c>
      <c r="V175" s="6">
        <f>$AC$12+D175*$AC$13+E175*$AC$14+F175*$AC$15+G175*$AC$16+H175*$AC$17+I175*$AC$18+J175*$AC$19+K175*$AC$20+L175*$AC$21+M175*$AC$22+N175*$AC$23+O175*$AC$24+P175*$AC$25+Q175*$AC$26+R175*$AC$27+S175*$AC$28+T175*$AC$29+U175*$AC$30</f>
        <v/>
      </c>
      <c r="W175" s="6">
        <f>1/(1+EXP(-V175))</f>
        <v/>
      </c>
      <c r="X175" s="8">
        <f>-IF(C175=1,LN(W175),LN(1-W175))</f>
        <v/>
      </c>
      <c r="Y175" s="9">
        <f>IF(W175&gt;$AC$32,1,0)</f>
        <v/>
      </c>
      <c r="Z175">
        <f>IF(Y175=C175,1,0)</f>
        <v/>
      </c>
    </row>
    <row r="176">
      <c r="A176">
        <f>'3 escalar'!A179</f>
        <v/>
      </c>
      <c r="B176" s="5">
        <f>'3 escalar'!U179</f>
        <v/>
      </c>
      <c r="C176">
        <f>'3 escalar'!B179</f>
        <v/>
      </c>
      <c r="D176" s="7">
        <f>'3 escalar'!C179</f>
        <v/>
      </c>
      <c r="E176" s="7">
        <f>'3 escalar'!D179</f>
        <v/>
      </c>
      <c r="F176" s="7">
        <f>'3 escalar'!E179</f>
        <v/>
      </c>
      <c r="G176" s="7">
        <f>'3 escalar'!F179</f>
        <v/>
      </c>
      <c r="H176" s="7">
        <f>'3 escalar'!G179</f>
        <v/>
      </c>
      <c r="I176" s="7">
        <f>'3 escalar'!H179</f>
        <v/>
      </c>
      <c r="J176" s="7">
        <f>'3 escalar'!I179</f>
        <v/>
      </c>
      <c r="K176" s="7">
        <f>'3 escalar'!J179</f>
        <v/>
      </c>
      <c r="L176" s="7">
        <f>'3 escalar'!K179</f>
        <v/>
      </c>
      <c r="M176" s="7">
        <f>'3 escalar'!L179</f>
        <v/>
      </c>
      <c r="N176" s="7">
        <f>'3 escalar'!M179</f>
        <v/>
      </c>
      <c r="O176" s="7">
        <f>'3 escalar'!N179</f>
        <v/>
      </c>
      <c r="P176" s="7">
        <f>'3 escalar'!O179</f>
        <v/>
      </c>
      <c r="Q176" s="7">
        <f>'3 escalar'!P179</f>
        <v/>
      </c>
      <c r="R176" s="7">
        <f>'3 escalar'!Q179</f>
        <v/>
      </c>
      <c r="S176" s="7">
        <f>'3 escalar'!R179</f>
        <v/>
      </c>
      <c r="T176" s="7">
        <f>'3 escalar'!S179</f>
        <v/>
      </c>
      <c r="U176" s="7">
        <f>'3 escalar'!T179</f>
        <v/>
      </c>
      <c r="V176" s="6">
        <f>$AC$12+D176*$AC$13+E176*$AC$14+F176*$AC$15+G176*$AC$16+H176*$AC$17+I176*$AC$18+J176*$AC$19+K176*$AC$20+L176*$AC$21+M176*$AC$22+N176*$AC$23+O176*$AC$24+P176*$AC$25+Q176*$AC$26+R176*$AC$27+S176*$AC$28+T176*$AC$29+U176*$AC$30</f>
        <v/>
      </c>
      <c r="W176" s="6">
        <f>1/(1+EXP(-V176))</f>
        <v/>
      </c>
      <c r="X176" s="8">
        <f>-IF(C176=1,LN(W176),LN(1-W176))</f>
        <v/>
      </c>
      <c r="Y176" s="9">
        <f>IF(W176&gt;$AC$32,1,0)</f>
        <v/>
      </c>
      <c r="Z176">
        <f>IF(Y176=C176,1,0)</f>
        <v/>
      </c>
    </row>
    <row r="177">
      <c r="A177">
        <f>'3 escalar'!A180</f>
        <v/>
      </c>
      <c r="B177" s="5">
        <f>'3 escalar'!U180</f>
        <v/>
      </c>
      <c r="C177">
        <f>'3 escalar'!B180</f>
        <v/>
      </c>
      <c r="D177" s="7">
        <f>'3 escalar'!C180</f>
        <v/>
      </c>
      <c r="E177" s="7">
        <f>'3 escalar'!D180</f>
        <v/>
      </c>
      <c r="F177" s="7">
        <f>'3 escalar'!E180</f>
        <v/>
      </c>
      <c r="G177" s="7">
        <f>'3 escalar'!F180</f>
        <v/>
      </c>
      <c r="H177" s="7">
        <f>'3 escalar'!G180</f>
        <v/>
      </c>
      <c r="I177" s="7">
        <f>'3 escalar'!H180</f>
        <v/>
      </c>
      <c r="J177" s="7">
        <f>'3 escalar'!I180</f>
        <v/>
      </c>
      <c r="K177" s="7">
        <f>'3 escalar'!J180</f>
        <v/>
      </c>
      <c r="L177" s="7">
        <f>'3 escalar'!K180</f>
        <v/>
      </c>
      <c r="M177" s="7">
        <f>'3 escalar'!L180</f>
        <v/>
      </c>
      <c r="N177" s="7">
        <f>'3 escalar'!M180</f>
        <v/>
      </c>
      <c r="O177" s="7">
        <f>'3 escalar'!N180</f>
        <v/>
      </c>
      <c r="P177" s="7">
        <f>'3 escalar'!O180</f>
        <v/>
      </c>
      <c r="Q177" s="7">
        <f>'3 escalar'!P180</f>
        <v/>
      </c>
      <c r="R177" s="7">
        <f>'3 escalar'!Q180</f>
        <v/>
      </c>
      <c r="S177" s="7">
        <f>'3 escalar'!R180</f>
        <v/>
      </c>
      <c r="T177" s="7">
        <f>'3 escalar'!S180</f>
        <v/>
      </c>
      <c r="U177" s="7">
        <f>'3 escalar'!T180</f>
        <v/>
      </c>
      <c r="V177" s="6">
        <f>$AC$12+D177*$AC$13+E177*$AC$14+F177*$AC$15+G177*$AC$16+H177*$AC$17+I177*$AC$18+J177*$AC$19+K177*$AC$20+L177*$AC$21+M177*$AC$22+N177*$AC$23+O177*$AC$24+P177*$AC$25+Q177*$AC$26+R177*$AC$27+S177*$AC$28+T177*$AC$29+U177*$AC$30</f>
        <v/>
      </c>
      <c r="W177" s="6">
        <f>1/(1+EXP(-V177))</f>
        <v/>
      </c>
      <c r="X177" s="8">
        <f>-IF(C177=1,LN(W177),LN(1-W177))</f>
        <v/>
      </c>
      <c r="Y177" s="9">
        <f>IF(W177&gt;$AC$32,1,0)</f>
        <v/>
      </c>
      <c r="Z177">
        <f>IF(Y177=C177,1,0)</f>
        <v/>
      </c>
    </row>
    <row r="178">
      <c r="A178">
        <f>'3 escalar'!A181</f>
        <v/>
      </c>
      <c r="B178" s="5">
        <f>'3 escalar'!U181</f>
        <v/>
      </c>
      <c r="C178">
        <f>'3 escalar'!B181</f>
        <v/>
      </c>
      <c r="D178" s="7">
        <f>'3 escalar'!C181</f>
        <v/>
      </c>
      <c r="E178" s="7">
        <f>'3 escalar'!D181</f>
        <v/>
      </c>
      <c r="F178" s="7">
        <f>'3 escalar'!E181</f>
        <v/>
      </c>
      <c r="G178" s="7">
        <f>'3 escalar'!F181</f>
        <v/>
      </c>
      <c r="H178" s="7">
        <f>'3 escalar'!G181</f>
        <v/>
      </c>
      <c r="I178" s="7">
        <f>'3 escalar'!H181</f>
        <v/>
      </c>
      <c r="J178" s="7">
        <f>'3 escalar'!I181</f>
        <v/>
      </c>
      <c r="K178" s="7">
        <f>'3 escalar'!J181</f>
        <v/>
      </c>
      <c r="L178" s="7">
        <f>'3 escalar'!K181</f>
        <v/>
      </c>
      <c r="M178" s="7">
        <f>'3 escalar'!L181</f>
        <v/>
      </c>
      <c r="N178" s="7">
        <f>'3 escalar'!M181</f>
        <v/>
      </c>
      <c r="O178" s="7">
        <f>'3 escalar'!N181</f>
        <v/>
      </c>
      <c r="P178" s="7">
        <f>'3 escalar'!O181</f>
        <v/>
      </c>
      <c r="Q178" s="7">
        <f>'3 escalar'!P181</f>
        <v/>
      </c>
      <c r="R178" s="7">
        <f>'3 escalar'!Q181</f>
        <v/>
      </c>
      <c r="S178" s="7">
        <f>'3 escalar'!R181</f>
        <v/>
      </c>
      <c r="T178" s="7">
        <f>'3 escalar'!S181</f>
        <v/>
      </c>
      <c r="U178" s="7">
        <f>'3 escalar'!T181</f>
        <v/>
      </c>
      <c r="V178" s="6">
        <f>$AC$12+D178*$AC$13+E178*$AC$14+F178*$AC$15+G178*$AC$16+H178*$AC$17+I178*$AC$18+J178*$AC$19+K178*$AC$20+L178*$AC$21+M178*$AC$22+N178*$AC$23+O178*$AC$24+P178*$AC$25+Q178*$AC$26+R178*$AC$27+S178*$AC$28+T178*$AC$29+U178*$AC$30</f>
        <v/>
      </c>
      <c r="W178" s="6">
        <f>1/(1+EXP(-V178))</f>
        <v/>
      </c>
      <c r="X178" s="8">
        <f>-IF(C178=1,LN(W178),LN(1-W178))</f>
        <v/>
      </c>
      <c r="Y178" s="9">
        <f>IF(W178&gt;$AC$32,1,0)</f>
        <v/>
      </c>
      <c r="Z178">
        <f>IF(Y178=C178,1,0)</f>
        <v/>
      </c>
    </row>
    <row r="179">
      <c r="A179">
        <f>'3 escalar'!A182</f>
        <v/>
      </c>
      <c r="B179" s="5">
        <f>'3 escalar'!U182</f>
        <v/>
      </c>
      <c r="C179">
        <f>'3 escalar'!B182</f>
        <v/>
      </c>
      <c r="D179" s="7">
        <f>'3 escalar'!C182</f>
        <v/>
      </c>
      <c r="E179" s="7">
        <f>'3 escalar'!D182</f>
        <v/>
      </c>
      <c r="F179" s="7">
        <f>'3 escalar'!E182</f>
        <v/>
      </c>
      <c r="G179" s="7">
        <f>'3 escalar'!F182</f>
        <v/>
      </c>
      <c r="H179" s="7">
        <f>'3 escalar'!G182</f>
        <v/>
      </c>
      <c r="I179" s="7">
        <f>'3 escalar'!H182</f>
        <v/>
      </c>
      <c r="J179" s="7">
        <f>'3 escalar'!I182</f>
        <v/>
      </c>
      <c r="K179" s="7">
        <f>'3 escalar'!J182</f>
        <v/>
      </c>
      <c r="L179" s="7">
        <f>'3 escalar'!K182</f>
        <v/>
      </c>
      <c r="M179" s="7">
        <f>'3 escalar'!L182</f>
        <v/>
      </c>
      <c r="N179" s="7">
        <f>'3 escalar'!M182</f>
        <v/>
      </c>
      <c r="O179" s="7">
        <f>'3 escalar'!N182</f>
        <v/>
      </c>
      <c r="P179" s="7">
        <f>'3 escalar'!O182</f>
        <v/>
      </c>
      <c r="Q179" s="7">
        <f>'3 escalar'!P182</f>
        <v/>
      </c>
      <c r="R179" s="7">
        <f>'3 escalar'!Q182</f>
        <v/>
      </c>
      <c r="S179" s="7">
        <f>'3 escalar'!R182</f>
        <v/>
      </c>
      <c r="T179" s="7">
        <f>'3 escalar'!S182</f>
        <v/>
      </c>
      <c r="U179" s="7">
        <f>'3 escalar'!T182</f>
        <v/>
      </c>
      <c r="V179" s="6">
        <f>$AC$12+D179*$AC$13+E179*$AC$14+F179*$AC$15+G179*$AC$16+H179*$AC$17+I179*$AC$18+J179*$AC$19+K179*$AC$20+L179*$AC$21+M179*$AC$22+N179*$AC$23+O179*$AC$24+P179*$AC$25+Q179*$AC$26+R179*$AC$27+S179*$AC$28+T179*$AC$29+U179*$AC$30</f>
        <v/>
      </c>
      <c r="W179" s="6">
        <f>1/(1+EXP(-V179))</f>
        <v/>
      </c>
      <c r="X179" s="8">
        <f>-IF(C179=1,LN(W179),LN(1-W179))</f>
        <v/>
      </c>
      <c r="Y179" s="9">
        <f>IF(W179&gt;$AC$32,1,0)</f>
        <v/>
      </c>
      <c r="Z179">
        <f>IF(Y179=C179,1,0)</f>
        <v/>
      </c>
    </row>
    <row r="180">
      <c r="A180">
        <f>'3 escalar'!A183</f>
        <v/>
      </c>
      <c r="B180" s="5">
        <f>'3 escalar'!U183</f>
        <v/>
      </c>
      <c r="C180">
        <f>'3 escalar'!B183</f>
        <v/>
      </c>
      <c r="D180" s="7">
        <f>'3 escalar'!C183</f>
        <v/>
      </c>
      <c r="E180" s="7">
        <f>'3 escalar'!D183</f>
        <v/>
      </c>
      <c r="F180" s="7">
        <f>'3 escalar'!E183</f>
        <v/>
      </c>
      <c r="G180" s="7">
        <f>'3 escalar'!F183</f>
        <v/>
      </c>
      <c r="H180" s="7">
        <f>'3 escalar'!G183</f>
        <v/>
      </c>
      <c r="I180" s="7">
        <f>'3 escalar'!H183</f>
        <v/>
      </c>
      <c r="J180" s="7">
        <f>'3 escalar'!I183</f>
        <v/>
      </c>
      <c r="K180" s="7">
        <f>'3 escalar'!J183</f>
        <v/>
      </c>
      <c r="L180" s="7">
        <f>'3 escalar'!K183</f>
        <v/>
      </c>
      <c r="M180" s="7">
        <f>'3 escalar'!L183</f>
        <v/>
      </c>
      <c r="N180" s="7">
        <f>'3 escalar'!M183</f>
        <v/>
      </c>
      <c r="O180" s="7">
        <f>'3 escalar'!N183</f>
        <v/>
      </c>
      <c r="P180" s="7">
        <f>'3 escalar'!O183</f>
        <v/>
      </c>
      <c r="Q180" s="7">
        <f>'3 escalar'!P183</f>
        <v/>
      </c>
      <c r="R180" s="7">
        <f>'3 escalar'!Q183</f>
        <v/>
      </c>
      <c r="S180" s="7">
        <f>'3 escalar'!R183</f>
        <v/>
      </c>
      <c r="T180" s="7">
        <f>'3 escalar'!S183</f>
        <v/>
      </c>
      <c r="U180" s="7">
        <f>'3 escalar'!T183</f>
        <v/>
      </c>
      <c r="V180" s="6">
        <f>$AC$12+D180*$AC$13+E180*$AC$14+F180*$AC$15+G180*$AC$16+H180*$AC$17+I180*$AC$18+J180*$AC$19+K180*$AC$20+L180*$AC$21+M180*$AC$22+N180*$AC$23+O180*$AC$24+P180*$AC$25+Q180*$AC$26+R180*$AC$27+S180*$AC$28+T180*$AC$29+U180*$AC$30</f>
        <v/>
      </c>
      <c r="W180" s="6">
        <f>1/(1+EXP(-V180))</f>
        <v/>
      </c>
      <c r="X180" s="8">
        <f>-IF(C180=1,LN(W180),LN(1-W180))</f>
        <v/>
      </c>
      <c r="Y180" s="9">
        <f>IF(W180&gt;$AC$32,1,0)</f>
        <v/>
      </c>
      <c r="Z180">
        <f>IF(Y180=C180,1,0)</f>
        <v/>
      </c>
    </row>
    <row r="181">
      <c r="A181">
        <f>'3 escalar'!A184</f>
        <v/>
      </c>
      <c r="B181" s="5">
        <f>'3 escalar'!U184</f>
        <v/>
      </c>
      <c r="C181">
        <f>'3 escalar'!B184</f>
        <v/>
      </c>
      <c r="D181" s="7">
        <f>'3 escalar'!C184</f>
        <v/>
      </c>
      <c r="E181" s="7">
        <f>'3 escalar'!D184</f>
        <v/>
      </c>
      <c r="F181" s="7">
        <f>'3 escalar'!E184</f>
        <v/>
      </c>
      <c r="G181" s="7">
        <f>'3 escalar'!F184</f>
        <v/>
      </c>
      <c r="H181" s="7">
        <f>'3 escalar'!G184</f>
        <v/>
      </c>
      <c r="I181" s="7">
        <f>'3 escalar'!H184</f>
        <v/>
      </c>
      <c r="J181" s="7">
        <f>'3 escalar'!I184</f>
        <v/>
      </c>
      <c r="K181" s="7">
        <f>'3 escalar'!J184</f>
        <v/>
      </c>
      <c r="L181" s="7">
        <f>'3 escalar'!K184</f>
        <v/>
      </c>
      <c r="M181" s="7">
        <f>'3 escalar'!L184</f>
        <v/>
      </c>
      <c r="N181" s="7">
        <f>'3 escalar'!M184</f>
        <v/>
      </c>
      <c r="O181" s="7">
        <f>'3 escalar'!N184</f>
        <v/>
      </c>
      <c r="P181" s="7">
        <f>'3 escalar'!O184</f>
        <v/>
      </c>
      <c r="Q181" s="7">
        <f>'3 escalar'!P184</f>
        <v/>
      </c>
      <c r="R181" s="7">
        <f>'3 escalar'!Q184</f>
        <v/>
      </c>
      <c r="S181" s="7">
        <f>'3 escalar'!R184</f>
        <v/>
      </c>
      <c r="T181" s="7">
        <f>'3 escalar'!S184</f>
        <v/>
      </c>
      <c r="U181" s="7">
        <f>'3 escalar'!T184</f>
        <v/>
      </c>
      <c r="V181" s="6">
        <f>$AC$12+D181*$AC$13+E181*$AC$14+F181*$AC$15+G181*$AC$16+H181*$AC$17+I181*$AC$18+J181*$AC$19+K181*$AC$20+L181*$AC$21+M181*$AC$22+N181*$AC$23+O181*$AC$24+P181*$AC$25+Q181*$AC$26+R181*$AC$27+S181*$AC$28+T181*$AC$29+U181*$AC$30</f>
        <v/>
      </c>
      <c r="W181" s="6">
        <f>1/(1+EXP(-V181))</f>
        <v/>
      </c>
      <c r="X181" s="8">
        <f>-IF(C181=1,LN(W181),LN(1-W181))</f>
        <v/>
      </c>
      <c r="Y181" s="9">
        <f>IF(W181&gt;$AC$32,1,0)</f>
        <v/>
      </c>
      <c r="Z181">
        <f>IF(Y181=C181,1,0)</f>
        <v/>
      </c>
    </row>
    <row r="182">
      <c r="A182">
        <f>'3 escalar'!A185</f>
        <v/>
      </c>
      <c r="B182" s="5">
        <f>'3 escalar'!U185</f>
        <v/>
      </c>
      <c r="C182">
        <f>'3 escalar'!B185</f>
        <v/>
      </c>
      <c r="D182" s="7">
        <f>'3 escalar'!C185</f>
        <v/>
      </c>
      <c r="E182" s="7">
        <f>'3 escalar'!D185</f>
        <v/>
      </c>
      <c r="F182" s="7">
        <f>'3 escalar'!E185</f>
        <v/>
      </c>
      <c r="G182" s="7">
        <f>'3 escalar'!F185</f>
        <v/>
      </c>
      <c r="H182" s="7">
        <f>'3 escalar'!G185</f>
        <v/>
      </c>
      <c r="I182" s="7">
        <f>'3 escalar'!H185</f>
        <v/>
      </c>
      <c r="J182" s="7">
        <f>'3 escalar'!I185</f>
        <v/>
      </c>
      <c r="K182" s="7">
        <f>'3 escalar'!J185</f>
        <v/>
      </c>
      <c r="L182" s="7">
        <f>'3 escalar'!K185</f>
        <v/>
      </c>
      <c r="M182" s="7">
        <f>'3 escalar'!L185</f>
        <v/>
      </c>
      <c r="N182" s="7">
        <f>'3 escalar'!M185</f>
        <v/>
      </c>
      <c r="O182" s="7">
        <f>'3 escalar'!N185</f>
        <v/>
      </c>
      <c r="P182" s="7">
        <f>'3 escalar'!O185</f>
        <v/>
      </c>
      <c r="Q182" s="7">
        <f>'3 escalar'!P185</f>
        <v/>
      </c>
      <c r="R182" s="7">
        <f>'3 escalar'!Q185</f>
        <v/>
      </c>
      <c r="S182" s="7">
        <f>'3 escalar'!R185</f>
        <v/>
      </c>
      <c r="T182" s="7">
        <f>'3 escalar'!S185</f>
        <v/>
      </c>
      <c r="U182" s="7">
        <f>'3 escalar'!T185</f>
        <v/>
      </c>
      <c r="V182" s="6">
        <f>$AC$12+D182*$AC$13+E182*$AC$14+F182*$AC$15+G182*$AC$16+H182*$AC$17+I182*$AC$18+J182*$AC$19+K182*$AC$20+L182*$AC$21+M182*$AC$22+N182*$AC$23+O182*$AC$24+P182*$AC$25+Q182*$AC$26+R182*$AC$27+S182*$AC$28+T182*$AC$29+U182*$AC$30</f>
        <v/>
      </c>
      <c r="W182" s="6">
        <f>1/(1+EXP(-V182))</f>
        <v/>
      </c>
      <c r="X182" s="8">
        <f>-IF(C182=1,LN(W182),LN(1-W182))</f>
        <v/>
      </c>
      <c r="Y182" s="9">
        <f>IF(W182&gt;$AC$32,1,0)</f>
        <v/>
      </c>
      <c r="Z182">
        <f>IF(Y182=C182,1,0)</f>
        <v/>
      </c>
    </row>
    <row r="183">
      <c r="A183">
        <f>'3 escalar'!A186</f>
        <v/>
      </c>
      <c r="B183" s="5">
        <f>'3 escalar'!U186</f>
        <v/>
      </c>
      <c r="C183">
        <f>'3 escalar'!B186</f>
        <v/>
      </c>
      <c r="D183" s="7">
        <f>'3 escalar'!C186</f>
        <v/>
      </c>
      <c r="E183" s="7">
        <f>'3 escalar'!D186</f>
        <v/>
      </c>
      <c r="F183" s="7">
        <f>'3 escalar'!E186</f>
        <v/>
      </c>
      <c r="G183" s="7">
        <f>'3 escalar'!F186</f>
        <v/>
      </c>
      <c r="H183" s="7">
        <f>'3 escalar'!G186</f>
        <v/>
      </c>
      <c r="I183" s="7">
        <f>'3 escalar'!H186</f>
        <v/>
      </c>
      <c r="J183" s="7">
        <f>'3 escalar'!I186</f>
        <v/>
      </c>
      <c r="K183" s="7">
        <f>'3 escalar'!J186</f>
        <v/>
      </c>
      <c r="L183" s="7">
        <f>'3 escalar'!K186</f>
        <v/>
      </c>
      <c r="M183" s="7">
        <f>'3 escalar'!L186</f>
        <v/>
      </c>
      <c r="N183" s="7">
        <f>'3 escalar'!M186</f>
        <v/>
      </c>
      <c r="O183" s="7">
        <f>'3 escalar'!N186</f>
        <v/>
      </c>
      <c r="P183" s="7">
        <f>'3 escalar'!O186</f>
        <v/>
      </c>
      <c r="Q183" s="7">
        <f>'3 escalar'!P186</f>
        <v/>
      </c>
      <c r="R183" s="7">
        <f>'3 escalar'!Q186</f>
        <v/>
      </c>
      <c r="S183" s="7">
        <f>'3 escalar'!R186</f>
        <v/>
      </c>
      <c r="T183" s="7">
        <f>'3 escalar'!S186</f>
        <v/>
      </c>
      <c r="U183" s="7">
        <f>'3 escalar'!T186</f>
        <v/>
      </c>
      <c r="V183" s="6">
        <f>$AC$12+D183*$AC$13+E183*$AC$14+F183*$AC$15+G183*$AC$16+H183*$AC$17+I183*$AC$18+J183*$AC$19+K183*$AC$20+L183*$AC$21+M183*$AC$22+N183*$AC$23+O183*$AC$24+P183*$AC$25+Q183*$AC$26+R183*$AC$27+S183*$AC$28+T183*$AC$29+U183*$AC$30</f>
        <v/>
      </c>
      <c r="W183" s="6">
        <f>1/(1+EXP(-V183))</f>
        <v/>
      </c>
      <c r="X183" s="8">
        <f>-IF(C183=1,LN(W183),LN(1-W183))</f>
        <v/>
      </c>
      <c r="Y183" s="9">
        <f>IF(W183&gt;$AC$32,1,0)</f>
        <v/>
      </c>
      <c r="Z183">
        <f>IF(Y183=C183,1,0)</f>
        <v/>
      </c>
    </row>
    <row r="184">
      <c r="A184">
        <f>'3 escalar'!A187</f>
        <v/>
      </c>
      <c r="B184" s="5">
        <f>'3 escalar'!U187</f>
        <v/>
      </c>
      <c r="C184">
        <f>'3 escalar'!B187</f>
        <v/>
      </c>
      <c r="D184" s="7">
        <f>'3 escalar'!C187</f>
        <v/>
      </c>
      <c r="E184" s="7">
        <f>'3 escalar'!D187</f>
        <v/>
      </c>
      <c r="F184" s="7">
        <f>'3 escalar'!E187</f>
        <v/>
      </c>
      <c r="G184" s="7">
        <f>'3 escalar'!F187</f>
        <v/>
      </c>
      <c r="H184" s="7">
        <f>'3 escalar'!G187</f>
        <v/>
      </c>
      <c r="I184" s="7">
        <f>'3 escalar'!H187</f>
        <v/>
      </c>
      <c r="J184" s="7">
        <f>'3 escalar'!I187</f>
        <v/>
      </c>
      <c r="K184" s="7">
        <f>'3 escalar'!J187</f>
        <v/>
      </c>
      <c r="L184" s="7">
        <f>'3 escalar'!K187</f>
        <v/>
      </c>
      <c r="M184" s="7">
        <f>'3 escalar'!L187</f>
        <v/>
      </c>
      <c r="N184" s="7">
        <f>'3 escalar'!M187</f>
        <v/>
      </c>
      <c r="O184" s="7">
        <f>'3 escalar'!N187</f>
        <v/>
      </c>
      <c r="P184" s="7">
        <f>'3 escalar'!O187</f>
        <v/>
      </c>
      <c r="Q184" s="7">
        <f>'3 escalar'!P187</f>
        <v/>
      </c>
      <c r="R184" s="7">
        <f>'3 escalar'!Q187</f>
        <v/>
      </c>
      <c r="S184" s="7">
        <f>'3 escalar'!R187</f>
        <v/>
      </c>
      <c r="T184" s="7">
        <f>'3 escalar'!S187</f>
        <v/>
      </c>
      <c r="U184" s="7">
        <f>'3 escalar'!T187</f>
        <v/>
      </c>
      <c r="V184" s="6">
        <f>$AC$12+D184*$AC$13+E184*$AC$14+F184*$AC$15+G184*$AC$16+H184*$AC$17+I184*$AC$18+J184*$AC$19+K184*$AC$20+L184*$AC$21+M184*$AC$22+N184*$AC$23+O184*$AC$24+P184*$AC$25+Q184*$AC$26+R184*$AC$27+S184*$AC$28+T184*$AC$29+U184*$AC$30</f>
        <v/>
      </c>
      <c r="W184" s="6">
        <f>1/(1+EXP(-V184))</f>
        <v/>
      </c>
      <c r="X184" s="8">
        <f>-IF(C184=1,LN(W184),LN(1-W184))</f>
        <v/>
      </c>
      <c r="Y184" s="9">
        <f>IF(W184&gt;$AC$32,1,0)</f>
        <v/>
      </c>
      <c r="Z184">
        <f>IF(Y184=C184,1,0)</f>
        <v/>
      </c>
    </row>
    <row r="185">
      <c r="A185">
        <f>'3 escalar'!A188</f>
        <v/>
      </c>
      <c r="B185" s="5">
        <f>'3 escalar'!U188</f>
        <v/>
      </c>
      <c r="C185">
        <f>'3 escalar'!B188</f>
        <v/>
      </c>
      <c r="D185" s="7">
        <f>'3 escalar'!C188</f>
        <v/>
      </c>
      <c r="E185" s="7">
        <f>'3 escalar'!D188</f>
        <v/>
      </c>
      <c r="F185" s="7">
        <f>'3 escalar'!E188</f>
        <v/>
      </c>
      <c r="G185" s="7">
        <f>'3 escalar'!F188</f>
        <v/>
      </c>
      <c r="H185" s="7">
        <f>'3 escalar'!G188</f>
        <v/>
      </c>
      <c r="I185" s="7">
        <f>'3 escalar'!H188</f>
        <v/>
      </c>
      <c r="J185" s="7">
        <f>'3 escalar'!I188</f>
        <v/>
      </c>
      <c r="K185" s="7">
        <f>'3 escalar'!J188</f>
        <v/>
      </c>
      <c r="L185" s="7">
        <f>'3 escalar'!K188</f>
        <v/>
      </c>
      <c r="M185" s="7">
        <f>'3 escalar'!L188</f>
        <v/>
      </c>
      <c r="N185" s="7">
        <f>'3 escalar'!M188</f>
        <v/>
      </c>
      <c r="O185" s="7">
        <f>'3 escalar'!N188</f>
        <v/>
      </c>
      <c r="P185" s="7">
        <f>'3 escalar'!O188</f>
        <v/>
      </c>
      <c r="Q185" s="7">
        <f>'3 escalar'!P188</f>
        <v/>
      </c>
      <c r="R185" s="7">
        <f>'3 escalar'!Q188</f>
        <v/>
      </c>
      <c r="S185" s="7">
        <f>'3 escalar'!R188</f>
        <v/>
      </c>
      <c r="T185" s="7">
        <f>'3 escalar'!S188</f>
        <v/>
      </c>
      <c r="U185" s="7">
        <f>'3 escalar'!T188</f>
        <v/>
      </c>
      <c r="V185" s="6">
        <f>$AC$12+D185*$AC$13+E185*$AC$14+F185*$AC$15+G185*$AC$16+H185*$AC$17+I185*$AC$18+J185*$AC$19+K185*$AC$20+L185*$AC$21+M185*$AC$22+N185*$AC$23+O185*$AC$24+P185*$AC$25+Q185*$AC$26+R185*$AC$27+S185*$AC$28+T185*$AC$29+U185*$AC$30</f>
        <v/>
      </c>
      <c r="W185" s="6">
        <f>1/(1+EXP(-V185))</f>
        <v/>
      </c>
      <c r="X185" s="8">
        <f>-IF(C185=1,LN(W185),LN(1-W185))</f>
        <v/>
      </c>
      <c r="Y185" s="9">
        <f>IF(W185&gt;$AC$32,1,0)</f>
        <v/>
      </c>
      <c r="Z185">
        <f>IF(Y185=C185,1,0)</f>
        <v/>
      </c>
    </row>
    <row r="186">
      <c r="A186">
        <f>'3 escalar'!A189</f>
        <v/>
      </c>
      <c r="B186" s="5">
        <f>'3 escalar'!U189</f>
        <v/>
      </c>
      <c r="C186">
        <f>'3 escalar'!B189</f>
        <v/>
      </c>
      <c r="D186" s="7">
        <f>'3 escalar'!C189</f>
        <v/>
      </c>
      <c r="E186" s="7">
        <f>'3 escalar'!D189</f>
        <v/>
      </c>
      <c r="F186" s="7">
        <f>'3 escalar'!E189</f>
        <v/>
      </c>
      <c r="G186" s="7">
        <f>'3 escalar'!F189</f>
        <v/>
      </c>
      <c r="H186" s="7">
        <f>'3 escalar'!G189</f>
        <v/>
      </c>
      <c r="I186" s="7">
        <f>'3 escalar'!H189</f>
        <v/>
      </c>
      <c r="J186" s="7">
        <f>'3 escalar'!I189</f>
        <v/>
      </c>
      <c r="K186" s="7">
        <f>'3 escalar'!J189</f>
        <v/>
      </c>
      <c r="L186" s="7">
        <f>'3 escalar'!K189</f>
        <v/>
      </c>
      <c r="M186" s="7">
        <f>'3 escalar'!L189</f>
        <v/>
      </c>
      <c r="N186" s="7">
        <f>'3 escalar'!M189</f>
        <v/>
      </c>
      <c r="O186" s="7">
        <f>'3 escalar'!N189</f>
        <v/>
      </c>
      <c r="P186" s="7">
        <f>'3 escalar'!O189</f>
        <v/>
      </c>
      <c r="Q186" s="7">
        <f>'3 escalar'!P189</f>
        <v/>
      </c>
      <c r="R186" s="7">
        <f>'3 escalar'!Q189</f>
        <v/>
      </c>
      <c r="S186" s="7">
        <f>'3 escalar'!R189</f>
        <v/>
      </c>
      <c r="T186" s="7">
        <f>'3 escalar'!S189</f>
        <v/>
      </c>
      <c r="U186" s="7">
        <f>'3 escalar'!T189</f>
        <v/>
      </c>
      <c r="V186" s="6">
        <f>$AC$12+D186*$AC$13+E186*$AC$14+F186*$AC$15+G186*$AC$16+H186*$AC$17+I186*$AC$18+J186*$AC$19+K186*$AC$20+L186*$AC$21+M186*$AC$22+N186*$AC$23+O186*$AC$24+P186*$AC$25+Q186*$AC$26+R186*$AC$27+S186*$AC$28+T186*$AC$29+U186*$AC$30</f>
        <v/>
      </c>
      <c r="W186" s="6">
        <f>1/(1+EXP(-V186))</f>
        <v/>
      </c>
      <c r="X186" s="8">
        <f>-IF(C186=1,LN(W186),LN(1-W186))</f>
        <v/>
      </c>
      <c r="Y186" s="9">
        <f>IF(W186&gt;$AC$32,1,0)</f>
        <v/>
      </c>
      <c r="Z186">
        <f>IF(Y186=C186,1,0)</f>
        <v/>
      </c>
    </row>
    <row r="187">
      <c r="A187">
        <f>'3 escalar'!A190</f>
        <v/>
      </c>
      <c r="B187" s="5">
        <f>'3 escalar'!U190</f>
        <v/>
      </c>
      <c r="C187">
        <f>'3 escalar'!B190</f>
        <v/>
      </c>
      <c r="D187" s="7">
        <f>'3 escalar'!C190</f>
        <v/>
      </c>
      <c r="E187" s="7">
        <f>'3 escalar'!D190</f>
        <v/>
      </c>
      <c r="F187" s="7">
        <f>'3 escalar'!E190</f>
        <v/>
      </c>
      <c r="G187" s="7">
        <f>'3 escalar'!F190</f>
        <v/>
      </c>
      <c r="H187" s="7">
        <f>'3 escalar'!G190</f>
        <v/>
      </c>
      <c r="I187" s="7">
        <f>'3 escalar'!H190</f>
        <v/>
      </c>
      <c r="J187" s="7">
        <f>'3 escalar'!I190</f>
        <v/>
      </c>
      <c r="K187" s="7">
        <f>'3 escalar'!J190</f>
        <v/>
      </c>
      <c r="L187" s="7">
        <f>'3 escalar'!K190</f>
        <v/>
      </c>
      <c r="M187" s="7">
        <f>'3 escalar'!L190</f>
        <v/>
      </c>
      <c r="N187" s="7">
        <f>'3 escalar'!M190</f>
        <v/>
      </c>
      <c r="O187" s="7">
        <f>'3 escalar'!N190</f>
        <v/>
      </c>
      <c r="P187" s="7">
        <f>'3 escalar'!O190</f>
        <v/>
      </c>
      <c r="Q187" s="7">
        <f>'3 escalar'!P190</f>
        <v/>
      </c>
      <c r="R187" s="7">
        <f>'3 escalar'!Q190</f>
        <v/>
      </c>
      <c r="S187" s="7">
        <f>'3 escalar'!R190</f>
        <v/>
      </c>
      <c r="T187" s="7">
        <f>'3 escalar'!S190</f>
        <v/>
      </c>
      <c r="U187" s="7">
        <f>'3 escalar'!T190</f>
        <v/>
      </c>
      <c r="V187" s="6">
        <f>$AC$12+D187*$AC$13+E187*$AC$14+F187*$AC$15+G187*$AC$16+H187*$AC$17+I187*$AC$18+J187*$AC$19+K187*$AC$20+L187*$AC$21+M187*$AC$22+N187*$AC$23+O187*$AC$24+P187*$AC$25+Q187*$AC$26+R187*$AC$27+S187*$AC$28+T187*$AC$29+U187*$AC$30</f>
        <v/>
      </c>
      <c r="W187" s="6">
        <f>1/(1+EXP(-V187))</f>
        <v/>
      </c>
      <c r="X187" s="8">
        <f>-IF(C187=1,LN(W187),LN(1-W187))</f>
        <v/>
      </c>
      <c r="Y187" s="9">
        <f>IF(W187&gt;$AC$32,1,0)</f>
        <v/>
      </c>
      <c r="Z187">
        <f>IF(Y187=C187,1,0)</f>
        <v/>
      </c>
    </row>
    <row r="188">
      <c r="A188">
        <f>'3 escalar'!A191</f>
        <v/>
      </c>
      <c r="B188" s="5">
        <f>'3 escalar'!U191</f>
        <v/>
      </c>
      <c r="C188">
        <f>'3 escalar'!B191</f>
        <v/>
      </c>
      <c r="D188" s="7">
        <f>'3 escalar'!C191</f>
        <v/>
      </c>
      <c r="E188" s="7">
        <f>'3 escalar'!D191</f>
        <v/>
      </c>
      <c r="F188" s="7">
        <f>'3 escalar'!E191</f>
        <v/>
      </c>
      <c r="G188" s="7">
        <f>'3 escalar'!F191</f>
        <v/>
      </c>
      <c r="H188" s="7">
        <f>'3 escalar'!G191</f>
        <v/>
      </c>
      <c r="I188" s="7">
        <f>'3 escalar'!H191</f>
        <v/>
      </c>
      <c r="J188" s="7">
        <f>'3 escalar'!I191</f>
        <v/>
      </c>
      <c r="K188" s="7">
        <f>'3 escalar'!J191</f>
        <v/>
      </c>
      <c r="L188" s="7">
        <f>'3 escalar'!K191</f>
        <v/>
      </c>
      <c r="M188" s="7">
        <f>'3 escalar'!L191</f>
        <v/>
      </c>
      <c r="N188" s="7">
        <f>'3 escalar'!M191</f>
        <v/>
      </c>
      <c r="O188" s="7">
        <f>'3 escalar'!N191</f>
        <v/>
      </c>
      <c r="P188" s="7">
        <f>'3 escalar'!O191</f>
        <v/>
      </c>
      <c r="Q188" s="7">
        <f>'3 escalar'!P191</f>
        <v/>
      </c>
      <c r="R188" s="7">
        <f>'3 escalar'!Q191</f>
        <v/>
      </c>
      <c r="S188" s="7">
        <f>'3 escalar'!R191</f>
        <v/>
      </c>
      <c r="T188" s="7">
        <f>'3 escalar'!S191</f>
        <v/>
      </c>
      <c r="U188" s="7">
        <f>'3 escalar'!T191</f>
        <v/>
      </c>
      <c r="V188" s="6">
        <f>$AC$12+D188*$AC$13+E188*$AC$14+F188*$AC$15+G188*$AC$16+H188*$AC$17+I188*$AC$18+J188*$AC$19+K188*$AC$20+L188*$AC$21+M188*$AC$22+N188*$AC$23+O188*$AC$24+P188*$AC$25+Q188*$AC$26+R188*$AC$27+S188*$AC$28+T188*$AC$29+U188*$AC$30</f>
        <v/>
      </c>
      <c r="W188" s="6">
        <f>1/(1+EXP(-V188))</f>
        <v/>
      </c>
      <c r="X188" s="8">
        <f>-IF(C188=1,LN(W188),LN(1-W188))</f>
        <v/>
      </c>
      <c r="Y188" s="9">
        <f>IF(W188&gt;$AC$32,1,0)</f>
        <v/>
      </c>
      <c r="Z188">
        <f>IF(Y188=C188,1,0)</f>
        <v/>
      </c>
    </row>
    <row r="189">
      <c r="A189">
        <f>'3 escalar'!A192</f>
        <v/>
      </c>
      <c r="B189" s="5">
        <f>'3 escalar'!U192</f>
        <v/>
      </c>
      <c r="C189">
        <f>'3 escalar'!B192</f>
        <v/>
      </c>
      <c r="D189" s="7">
        <f>'3 escalar'!C192</f>
        <v/>
      </c>
      <c r="E189" s="7">
        <f>'3 escalar'!D192</f>
        <v/>
      </c>
      <c r="F189" s="7">
        <f>'3 escalar'!E192</f>
        <v/>
      </c>
      <c r="G189" s="7">
        <f>'3 escalar'!F192</f>
        <v/>
      </c>
      <c r="H189" s="7">
        <f>'3 escalar'!G192</f>
        <v/>
      </c>
      <c r="I189" s="7">
        <f>'3 escalar'!H192</f>
        <v/>
      </c>
      <c r="J189" s="7">
        <f>'3 escalar'!I192</f>
        <v/>
      </c>
      <c r="K189" s="7">
        <f>'3 escalar'!J192</f>
        <v/>
      </c>
      <c r="L189" s="7">
        <f>'3 escalar'!K192</f>
        <v/>
      </c>
      <c r="M189" s="7">
        <f>'3 escalar'!L192</f>
        <v/>
      </c>
      <c r="N189" s="7">
        <f>'3 escalar'!M192</f>
        <v/>
      </c>
      <c r="O189" s="7">
        <f>'3 escalar'!N192</f>
        <v/>
      </c>
      <c r="P189" s="7">
        <f>'3 escalar'!O192</f>
        <v/>
      </c>
      <c r="Q189" s="7">
        <f>'3 escalar'!P192</f>
        <v/>
      </c>
      <c r="R189" s="7">
        <f>'3 escalar'!Q192</f>
        <v/>
      </c>
      <c r="S189" s="7">
        <f>'3 escalar'!R192</f>
        <v/>
      </c>
      <c r="T189" s="7">
        <f>'3 escalar'!S192</f>
        <v/>
      </c>
      <c r="U189" s="7">
        <f>'3 escalar'!T192</f>
        <v/>
      </c>
      <c r="V189" s="6">
        <f>$AC$12+D189*$AC$13+E189*$AC$14+F189*$AC$15+G189*$AC$16+H189*$AC$17+I189*$AC$18+J189*$AC$19+K189*$AC$20+L189*$AC$21+M189*$AC$22+N189*$AC$23+O189*$AC$24+P189*$AC$25+Q189*$AC$26+R189*$AC$27+S189*$AC$28+T189*$AC$29+U189*$AC$30</f>
        <v/>
      </c>
      <c r="W189" s="6">
        <f>1/(1+EXP(-V189))</f>
        <v/>
      </c>
      <c r="X189" s="8">
        <f>-IF(C189=1,LN(W189),LN(1-W189))</f>
        <v/>
      </c>
      <c r="Y189" s="9">
        <f>IF(W189&gt;$AC$32,1,0)</f>
        <v/>
      </c>
      <c r="Z189">
        <f>IF(Y189=C189,1,0)</f>
        <v/>
      </c>
    </row>
    <row r="190">
      <c r="A190">
        <f>'3 escalar'!A193</f>
        <v/>
      </c>
      <c r="B190" s="5">
        <f>'3 escalar'!U193</f>
        <v/>
      </c>
      <c r="C190">
        <f>'3 escalar'!B193</f>
        <v/>
      </c>
      <c r="D190" s="7">
        <f>'3 escalar'!C193</f>
        <v/>
      </c>
      <c r="E190" s="7">
        <f>'3 escalar'!D193</f>
        <v/>
      </c>
      <c r="F190" s="7">
        <f>'3 escalar'!E193</f>
        <v/>
      </c>
      <c r="G190" s="7">
        <f>'3 escalar'!F193</f>
        <v/>
      </c>
      <c r="H190" s="7">
        <f>'3 escalar'!G193</f>
        <v/>
      </c>
      <c r="I190" s="7">
        <f>'3 escalar'!H193</f>
        <v/>
      </c>
      <c r="J190" s="7">
        <f>'3 escalar'!I193</f>
        <v/>
      </c>
      <c r="K190" s="7">
        <f>'3 escalar'!J193</f>
        <v/>
      </c>
      <c r="L190" s="7">
        <f>'3 escalar'!K193</f>
        <v/>
      </c>
      <c r="M190" s="7">
        <f>'3 escalar'!L193</f>
        <v/>
      </c>
      <c r="N190" s="7">
        <f>'3 escalar'!M193</f>
        <v/>
      </c>
      <c r="O190" s="7">
        <f>'3 escalar'!N193</f>
        <v/>
      </c>
      <c r="P190" s="7">
        <f>'3 escalar'!O193</f>
        <v/>
      </c>
      <c r="Q190" s="7">
        <f>'3 escalar'!P193</f>
        <v/>
      </c>
      <c r="R190" s="7">
        <f>'3 escalar'!Q193</f>
        <v/>
      </c>
      <c r="S190" s="7">
        <f>'3 escalar'!R193</f>
        <v/>
      </c>
      <c r="T190" s="7">
        <f>'3 escalar'!S193</f>
        <v/>
      </c>
      <c r="U190" s="7">
        <f>'3 escalar'!T193</f>
        <v/>
      </c>
      <c r="V190" s="6">
        <f>$AC$12+D190*$AC$13+E190*$AC$14+F190*$AC$15+G190*$AC$16+H190*$AC$17+I190*$AC$18+J190*$AC$19+K190*$AC$20+L190*$AC$21+M190*$AC$22+N190*$AC$23+O190*$AC$24+P190*$AC$25+Q190*$AC$26+R190*$AC$27+S190*$AC$28+T190*$AC$29+U190*$AC$30</f>
        <v/>
      </c>
      <c r="W190" s="6">
        <f>1/(1+EXP(-V190))</f>
        <v/>
      </c>
      <c r="X190" s="8">
        <f>-IF(C190=1,LN(W190),LN(1-W190))</f>
        <v/>
      </c>
      <c r="Y190" s="9">
        <f>IF(W190&gt;$AC$32,1,0)</f>
        <v/>
      </c>
      <c r="Z190">
        <f>IF(Y190=C190,1,0)</f>
        <v/>
      </c>
    </row>
    <row r="191">
      <c r="A191">
        <f>'3 escalar'!A194</f>
        <v/>
      </c>
      <c r="B191" s="5">
        <f>'3 escalar'!U194</f>
        <v/>
      </c>
      <c r="C191">
        <f>'3 escalar'!B194</f>
        <v/>
      </c>
      <c r="D191" s="7">
        <f>'3 escalar'!C194</f>
        <v/>
      </c>
      <c r="E191" s="7">
        <f>'3 escalar'!D194</f>
        <v/>
      </c>
      <c r="F191" s="7">
        <f>'3 escalar'!E194</f>
        <v/>
      </c>
      <c r="G191" s="7">
        <f>'3 escalar'!F194</f>
        <v/>
      </c>
      <c r="H191" s="7">
        <f>'3 escalar'!G194</f>
        <v/>
      </c>
      <c r="I191" s="7">
        <f>'3 escalar'!H194</f>
        <v/>
      </c>
      <c r="J191" s="7">
        <f>'3 escalar'!I194</f>
        <v/>
      </c>
      <c r="K191" s="7">
        <f>'3 escalar'!J194</f>
        <v/>
      </c>
      <c r="L191" s="7">
        <f>'3 escalar'!K194</f>
        <v/>
      </c>
      <c r="M191" s="7">
        <f>'3 escalar'!L194</f>
        <v/>
      </c>
      <c r="N191" s="7">
        <f>'3 escalar'!M194</f>
        <v/>
      </c>
      <c r="O191" s="7">
        <f>'3 escalar'!N194</f>
        <v/>
      </c>
      <c r="P191" s="7">
        <f>'3 escalar'!O194</f>
        <v/>
      </c>
      <c r="Q191" s="7">
        <f>'3 escalar'!P194</f>
        <v/>
      </c>
      <c r="R191" s="7">
        <f>'3 escalar'!Q194</f>
        <v/>
      </c>
      <c r="S191" s="7">
        <f>'3 escalar'!R194</f>
        <v/>
      </c>
      <c r="T191" s="7">
        <f>'3 escalar'!S194</f>
        <v/>
      </c>
      <c r="U191" s="7">
        <f>'3 escalar'!T194</f>
        <v/>
      </c>
      <c r="V191" s="6">
        <f>$AC$12+D191*$AC$13+E191*$AC$14+F191*$AC$15+G191*$AC$16+H191*$AC$17+I191*$AC$18+J191*$AC$19+K191*$AC$20+L191*$AC$21+M191*$AC$22+N191*$AC$23+O191*$AC$24+P191*$AC$25+Q191*$AC$26+R191*$AC$27+S191*$AC$28+T191*$AC$29+U191*$AC$30</f>
        <v/>
      </c>
      <c r="W191" s="6">
        <f>1/(1+EXP(-V191))</f>
        <v/>
      </c>
      <c r="X191" s="8">
        <f>-IF(C191=1,LN(W191),LN(1-W191))</f>
        <v/>
      </c>
      <c r="Y191" s="9">
        <f>IF(W191&gt;$AC$32,1,0)</f>
        <v/>
      </c>
      <c r="Z191">
        <f>IF(Y191=C191,1,0)</f>
        <v/>
      </c>
    </row>
    <row r="192">
      <c r="A192">
        <f>'3 escalar'!A195</f>
        <v/>
      </c>
      <c r="B192" s="5">
        <f>'3 escalar'!U195</f>
        <v/>
      </c>
      <c r="C192">
        <f>'3 escalar'!B195</f>
        <v/>
      </c>
      <c r="D192" s="7">
        <f>'3 escalar'!C195</f>
        <v/>
      </c>
      <c r="E192" s="7">
        <f>'3 escalar'!D195</f>
        <v/>
      </c>
      <c r="F192" s="7">
        <f>'3 escalar'!E195</f>
        <v/>
      </c>
      <c r="G192" s="7">
        <f>'3 escalar'!F195</f>
        <v/>
      </c>
      <c r="H192" s="7">
        <f>'3 escalar'!G195</f>
        <v/>
      </c>
      <c r="I192" s="7">
        <f>'3 escalar'!H195</f>
        <v/>
      </c>
      <c r="J192" s="7">
        <f>'3 escalar'!I195</f>
        <v/>
      </c>
      <c r="K192" s="7">
        <f>'3 escalar'!J195</f>
        <v/>
      </c>
      <c r="L192" s="7">
        <f>'3 escalar'!K195</f>
        <v/>
      </c>
      <c r="M192" s="7">
        <f>'3 escalar'!L195</f>
        <v/>
      </c>
      <c r="N192" s="7">
        <f>'3 escalar'!M195</f>
        <v/>
      </c>
      <c r="O192" s="7">
        <f>'3 escalar'!N195</f>
        <v/>
      </c>
      <c r="P192" s="7">
        <f>'3 escalar'!O195</f>
        <v/>
      </c>
      <c r="Q192" s="7">
        <f>'3 escalar'!P195</f>
        <v/>
      </c>
      <c r="R192" s="7">
        <f>'3 escalar'!Q195</f>
        <v/>
      </c>
      <c r="S192" s="7">
        <f>'3 escalar'!R195</f>
        <v/>
      </c>
      <c r="T192" s="7">
        <f>'3 escalar'!S195</f>
        <v/>
      </c>
      <c r="U192" s="7">
        <f>'3 escalar'!T195</f>
        <v/>
      </c>
      <c r="V192" s="6">
        <f>$AC$12+D192*$AC$13+E192*$AC$14+F192*$AC$15+G192*$AC$16+H192*$AC$17+I192*$AC$18+J192*$AC$19+K192*$AC$20+L192*$AC$21+M192*$AC$22+N192*$AC$23+O192*$AC$24+P192*$AC$25+Q192*$AC$26+R192*$AC$27+S192*$AC$28+T192*$AC$29+U192*$AC$30</f>
        <v/>
      </c>
      <c r="W192" s="6">
        <f>1/(1+EXP(-V192))</f>
        <v/>
      </c>
      <c r="X192" s="8">
        <f>-IF(C192=1,LN(W192),LN(1-W192))</f>
        <v/>
      </c>
      <c r="Y192" s="9">
        <f>IF(W192&gt;$AC$32,1,0)</f>
        <v/>
      </c>
      <c r="Z192">
        <f>IF(Y192=C192,1,0)</f>
        <v/>
      </c>
    </row>
    <row r="193">
      <c r="A193">
        <f>'3 escalar'!A196</f>
        <v/>
      </c>
      <c r="B193" s="5">
        <f>'3 escalar'!U196</f>
        <v/>
      </c>
      <c r="C193">
        <f>'3 escalar'!B196</f>
        <v/>
      </c>
      <c r="D193" s="7">
        <f>'3 escalar'!C196</f>
        <v/>
      </c>
      <c r="E193" s="7">
        <f>'3 escalar'!D196</f>
        <v/>
      </c>
      <c r="F193" s="7">
        <f>'3 escalar'!E196</f>
        <v/>
      </c>
      <c r="G193" s="7">
        <f>'3 escalar'!F196</f>
        <v/>
      </c>
      <c r="H193" s="7">
        <f>'3 escalar'!G196</f>
        <v/>
      </c>
      <c r="I193" s="7">
        <f>'3 escalar'!H196</f>
        <v/>
      </c>
      <c r="J193" s="7">
        <f>'3 escalar'!I196</f>
        <v/>
      </c>
      <c r="K193" s="7">
        <f>'3 escalar'!J196</f>
        <v/>
      </c>
      <c r="L193" s="7">
        <f>'3 escalar'!K196</f>
        <v/>
      </c>
      <c r="M193" s="7">
        <f>'3 escalar'!L196</f>
        <v/>
      </c>
      <c r="N193" s="7">
        <f>'3 escalar'!M196</f>
        <v/>
      </c>
      <c r="O193" s="7">
        <f>'3 escalar'!N196</f>
        <v/>
      </c>
      <c r="P193" s="7">
        <f>'3 escalar'!O196</f>
        <v/>
      </c>
      <c r="Q193" s="7">
        <f>'3 escalar'!P196</f>
        <v/>
      </c>
      <c r="R193" s="7">
        <f>'3 escalar'!Q196</f>
        <v/>
      </c>
      <c r="S193" s="7">
        <f>'3 escalar'!R196</f>
        <v/>
      </c>
      <c r="T193" s="7">
        <f>'3 escalar'!S196</f>
        <v/>
      </c>
      <c r="U193" s="7">
        <f>'3 escalar'!T196</f>
        <v/>
      </c>
      <c r="V193" s="6">
        <f>$AC$12+D193*$AC$13+E193*$AC$14+F193*$AC$15+G193*$AC$16+H193*$AC$17+I193*$AC$18+J193*$AC$19+K193*$AC$20+L193*$AC$21+M193*$AC$22+N193*$AC$23+O193*$AC$24+P193*$AC$25+Q193*$AC$26+R193*$AC$27+S193*$AC$28+T193*$AC$29+U193*$AC$30</f>
        <v/>
      </c>
      <c r="W193" s="6">
        <f>1/(1+EXP(-V193))</f>
        <v/>
      </c>
      <c r="X193" s="8">
        <f>-IF(C193=1,LN(W193),LN(1-W193))</f>
        <v/>
      </c>
      <c r="Y193" s="9">
        <f>IF(W193&gt;$AC$32,1,0)</f>
        <v/>
      </c>
      <c r="Z193">
        <f>IF(Y193=C193,1,0)</f>
        <v/>
      </c>
    </row>
    <row r="194">
      <c r="A194">
        <f>'3 escalar'!A197</f>
        <v/>
      </c>
      <c r="B194" s="5">
        <f>'3 escalar'!U197</f>
        <v/>
      </c>
      <c r="C194">
        <f>'3 escalar'!B197</f>
        <v/>
      </c>
      <c r="D194" s="7">
        <f>'3 escalar'!C197</f>
        <v/>
      </c>
      <c r="E194" s="7">
        <f>'3 escalar'!D197</f>
        <v/>
      </c>
      <c r="F194" s="7">
        <f>'3 escalar'!E197</f>
        <v/>
      </c>
      <c r="G194" s="7">
        <f>'3 escalar'!F197</f>
        <v/>
      </c>
      <c r="H194" s="7">
        <f>'3 escalar'!G197</f>
        <v/>
      </c>
      <c r="I194" s="7">
        <f>'3 escalar'!H197</f>
        <v/>
      </c>
      <c r="J194" s="7">
        <f>'3 escalar'!I197</f>
        <v/>
      </c>
      <c r="K194" s="7">
        <f>'3 escalar'!J197</f>
        <v/>
      </c>
      <c r="L194" s="7">
        <f>'3 escalar'!K197</f>
        <v/>
      </c>
      <c r="M194" s="7">
        <f>'3 escalar'!L197</f>
        <v/>
      </c>
      <c r="N194" s="7">
        <f>'3 escalar'!M197</f>
        <v/>
      </c>
      <c r="O194" s="7">
        <f>'3 escalar'!N197</f>
        <v/>
      </c>
      <c r="P194" s="7">
        <f>'3 escalar'!O197</f>
        <v/>
      </c>
      <c r="Q194" s="7">
        <f>'3 escalar'!P197</f>
        <v/>
      </c>
      <c r="R194" s="7">
        <f>'3 escalar'!Q197</f>
        <v/>
      </c>
      <c r="S194" s="7">
        <f>'3 escalar'!R197</f>
        <v/>
      </c>
      <c r="T194" s="7">
        <f>'3 escalar'!S197</f>
        <v/>
      </c>
      <c r="U194" s="7">
        <f>'3 escalar'!T197</f>
        <v/>
      </c>
      <c r="V194" s="6">
        <f>$AC$12+D194*$AC$13+E194*$AC$14+F194*$AC$15+G194*$AC$16+H194*$AC$17+I194*$AC$18+J194*$AC$19+K194*$AC$20+L194*$AC$21+M194*$AC$22+N194*$AC$23+O194*$AC$24+P194*$AC$25+Q194*$AC$26+R194*$AC$27+S194*$AC$28+T194*$AC$29+U194*$AC$30</f>
        <v/>
      </c>
      <c r="W194" s="6">
        <f>1/(1+EXP(-V194))</f>
        <v/>
      </c>
      <c r="X194" s="8">
        <f>-IF(C194=1,LN(W194),LN(1-W194))</f>
        <v/>
      </c>
      <c r="Y194" s="9">
        <f>IF(W194&gt;$AC$32,1,0)</f>
        <v/>
      </c>
      <c r="Z194">
        <f>IF(Y194=C194,1,0)</f>
        <v/>
      </c>
    </row>
    <row r="195">
      <c r="A195">
        <f>'3 escalar'!A198</f>
        <v/>
      </c>
      <c r="B195" s="5">
        <f>'3 escalar'!U198</f>
        <v/>
      </c>
      <c r="C195">
        <f>'3 escalar'!B198</f>
        <v/>
      </c>
      <c r="D195" s="7">
        <f>'3 escalar'!C198</f>
        <v/>
      </c>
      <c r="E195" s="7">
        <f>'3 escalar'!D198</f>
        <v/>
      </c>
      <c r="F195" s="7">
        <f>'3 escalar'!E198</f>
        <v/>
      </c>
      <c r="G195" s="7">
        <f>'3 escalar'!F198</f>
        <v/>
      </c>
      <c r="H195" s="7">
        <f>'3 escalar'!G198</f>
        <v/>
      </c>
      <c r="I195" s="7">
        <f>'3 escalar'!H198</f>
        <v/>
      </c>
      <c r="J195" s="7">
        <f>'3 escalar'!I198</f>
        <v/>
      </c>
      <c r="K195" s="7">
        <f>'3 escalar'!J198</f>
        <v/>
      </c>
      <c r="L195" s="7">
        <f>'3 escalar'!K198</f>
        <v/>
      </c>
      <c r="M195" s="7">
        <f>'3 escalar'!L198</f>
        <v/>
      </c>
      <c r="N195" s="7">
        <f>'3 escalar'!M198</f>
        <v/>
      </c>
      <c r="O195" s="7">
        <f>'3 escalar'!N198</f>
        <v/>
      </c>
      <c r="P195" s="7">
        <f>'3 escalar'!O198</f>
        <v/>
      </c>
      <c r="Q195" s="7">
        <f>'3 escalar'!P198</f>
        <v/>
      </c>
      <c r="R195" s="7">
        <f>'3 escalar'!Q198</f>
        <v/>
      </c>
      <c r="S195" s="7">
        <f>'3 escalar'!R198</f>
        <v/>
      </c>
      <c r="T195" s="7">
        <f>'3 escalar'!S198</f>
        <v/>
      </c>
      <c r="U195" s="7">
        <f>'3 escalar'!T198</f>
        <v/>
      </c>
      <c r="V195" s="6">
        <f>$AC$12+D195*$AC$13+E195*$AC$14+F195*$AC$15+G195*$AC$16+H195*$AC$17+I195*$AC$18+J195*$AC$19+K195*$AC$20+L195*$AC$21+M195*$AC$22+N195*$AC$23+O195*$AC$24+P195*$AC$25+Q195*$AC$26+R195*$AC$27+S195*$AC$28+T195*$AC$29+U195*$AC$30</f>
        <v/>
      </c>
      <c r="W195" s="6">
        <f>1/(1+EXP(-V195))</f>
        <v/>
      </c>
      <c r="X195" s="8">
        <f>-IF(C195=1,LN(W195),LN(1-W195))</f>
        <v/>
      </c>
      <c r="Y195" s="9">
        <f>IF(W195&gt;$AC$32,1,0)</f>
        <v/>
      </c>
      <c r="Z195">
        <f>IF(Y195=C195,1,0)</f>
        <v/>
      </c>
    </row>
    <row r="196">
      <c r="A196">
        <f>'3 escalar'!A199</f>
        <v/>
      </c>
      <c r="B196" s="5">
        <f>'3 escalar'!U199</f>
        <v/>
      </c>
      <c r="C196">
        <f>'3 escalar'!B199</f>
        <v/>
      </c>
      <c r="D196" s="7">
        <f>'3 escalar'!C199</f>
        <v/>
      </c>
      <c r="E196" s="7">
        <f>'3 escalar'!D199</f>
        <v/>
      </c>
      <c r="F196" s="7">
        <f>'3 escalar'!E199</f>
        <v/>
      </c>
      <c r="G196" s="7">
        <f>'3 escalar'!F199</f>
        <v/>
      </c>
      <c r="H196" s="7">
        <f>'3 escalar'!G199</f>
        <v/>
      </c>
      <c r="I196" s="7">
        <f>'3 escalar'!H199</f>
        <v/>
      </c>
      <c r="J196" s="7">
        <f>'3 escalar'!I199</f>
        <v/>
      </c>
      <c r="K196" s="7">
        <f>'3 escalar'!J199</f>
        <v/>
      </c>
      <c r="L196" s="7">
        <f>'3 escalar'!K199</f>
        <v/>
      </c>
      <c r="M196" s="7">
        <f>'3 escalar'!L199</f>
        <v/>
      </c>
      <c r="N196" s="7">
        <f>'3 escalar'!M199</f>
        <v/>
      </c>
      <c r="O196" s="7">
        <f>'3 escalar'!N199</f>
        <v/>
      </c>
      <c r="P196" s="7">
        <f>'3 escalar'!O199</f>
        <v/>
      </c>
      <c r="Q196" s="7">
        <f>'3 escalar'!P199</f>
        <v/>
      </c>
      <c r="R196" s="7">
        <f>'3 escalar'!Q199</f>
        <v/>
      </c>
      <c r="S196" s="7">
        <f>'3 escalar'!R199</f>
        <v/>
      </c>
      <c r="T196" s="7">
        <f>'3 escalar'!S199</f>
        <v/>
      </c>
      <c r="U196" s="7">
        <f>'3 escalar'!T199</f>
        <v/>
      </c>
      <c r="V196" s="6">
        <f>$AC$12+D196*$AC$13+E196*$AC$14+F196*$AC$15+G196*$AC$16+H196*$AC$17+I196*$AC$18+J196*$AC$19+K196*$AC$20+L196*$AC$21+M196*$AC$22+N196*$AC$23+O196*$AC$24+P196*$AC$25+Q196*$AC$26+R196*$AC$27+S196*$AC$28+T196*$AC$29+U196*$AC$30</f>
        <v/>
      </c>
      <c r="W196" s="6">
        <f>1/(1+EXP(-V196))</f>
        <v/>
      </c>
      <c r="X196" s="8">
        <f>-IF(C196=1,LN(W196),LN(1-W196))</f>
        <v/>
      </c>
      <c r="Y196" s="9">
        <f>IF(W196&gt;$AC$32,1,0)</f>
        <v/>
      </c>
      <c r="Z196">
        <f>IF(Y196=C196,1,0)</f>
        <v/>
      </c>
    </row>
    <row r="197">
      <c r="A197">
        <f>'3 escalar'!A200</f>
        <v/>
      </c>
      <c r="B197" s="5">
        <f>'3 escalar'!U200</f>
        <v/>
      </c>
      <c r="C197">
        <f>'3 escalar'!B200</f>
        <v/>
      </c>
      <c r="D197" s="7">
        <f>'3 escalar'!C200</f>
        <v/>
      </c>
      <c r="E197" s="7">
        <f>'3 escalar'!D200</f>
        <v/>
      </c>
      <c r="F197" s="7">
        <f>'3 escalar'!E200</f>
        <v/>
      </c>
      <c r="G197" s="7">
        <f>'3 escalar'!F200</f>
        <v/>
      </c>
      <c r="H197" s="7">
        <f>'3 escalar'!G200</f>
        <v/>
      </c>
      <c r="I197" s="7">
        <f>'3 escalar'!H200</f>
        <v/>
      </c>
      <c r="J197" s="7">
        <f>'3 escalar'!I200</f>
        <v/>
      </c>
      <c r="K197" s="7">
        <f>'3 escalar'!J200</f>
        <v/>
      </c>
      <c r="L197" s="7">
        <f>'3 escalar'!K200</f>
        <v/>
      </c>
      <c r="M197" s="7">
        <f>'3 escalar'!L200</f>
        <v/>
      </c>
      <c r="N197" s="7">
        <f>'3 escalar'!M200</f>
        <v/>
      </c>
      <c r="O197" s="7">
        <f>'3 escalar'!N200</f>
        <v/>
      </c>
      <c r="P197" s="7">
        <f>'3 escalar'!O200</f>
        <v/>
      </c>
      <c r="Q197" s="7">
        <f>'3 escalar'!P200</f>
        <v/>
      </c>
      <c r="R197" s="7">
        <f>'3 escalar'!Q200</f>
        <v/>
      </c>
      <c r="S197" s="7">
        <f>'3 escalar'!R200</f>
        <v/>
      </c>
      <c r="T197" s="7">
        <f>'3 escalar'!S200</f>
        <v/>
      </c>
      <c r="U197" s="7">
        <f>'3 escalar'!T200</f>
        <v/>
      </c>
      <c r="V197" s="6">
        <f>$AC$12+D197*$AC$13+E197*$AC$14+F197*$AC$15+G197*$AC$16+H197*$AC$17+I197*$AC$18+J197*$AC$19+K197*$AC$20+L197*$AC$21+M197*$AC$22+N197*$AC$23+O197*$AC$24+P197*$AC$25+Q197*$AC$26+R197*$AC$27+S197*$AC$28+T197*$AC$29+U197*$AC$30</f>
        <v/>
      </c>
      <c r="W197" s="6">
        <f>1/(1+EXP(-V197))</f>
        <v/>
      </c>
      <c r="X197" s="8">
        <f>-IF(C197=1,LN(W197),LN(1-W197))</f>
        <v/>
      </c>
      <c r="Y197" s="9">
        <f>IF(W197&gt;$AC$32,1,0)</f>
        <v/>
      </c>
      <c r="Z197">
        <f>IF(Y197=C197,1,0)</f>
        <v/>
      </c>
    </row>
    <row r="198">
      <c r="A198">
        <f>'3 escalar'!A201</f>
        <v/>
      </c>
      <c r="B198" s="5">
        <f>'3 escalar'!U201</f>
        <v/>
      </c>
      <c r="C198">
        <f>'3 escalar'!B201</f>
        <v/>
      </c>
      <c r="D198" s="7">
        <f>'3 escalar'!C201</f>
        <v/>
      </c>
      <c r="E198" s="7">
        <f>'3 escalar'!D201</f>
        <v/>
      </c>
      <c r="F198" s="7">
        <f>'3 escalar'!E201</f>
        <v/>
      </c>
      <c r="G198" s="7">
        <f>'3 escalar'!F201</f>
        <v/>
      </c>
      <c r="H198" s="7">
        <f>'3 escalar'!G201</f>
        <v/>
      </c>
      <c r="I198" s="7">
        <f>'3 escalar'!H201</f>
        <v/>
      </c>
      <c r="J198" s="7">
        <f>'3 escalar'!I201</f>
        <v/>
      </c>
      <c r="K198" s="7">
        <f>'3 escalar'!J201</f>
        <v/>
      </c>
      <c r="L198" s="7">
        <f>'3 escalar'!K201</f>
        <v/>
      </c>
      <c r="M198" s="7">
        <f>'3 escalar'!L201</f>
        <v/>
      </c>
      <c r="N198" s="7">
        <f>'3 escalar'!M201</f>
        <v/>
      </c>
      <c r="O198" s="7">
        <f>'3 escalar'!N201</f>
        <v/>
      </c>
      <c r="P198" s="7">
        <f>'3 escalar'!O201</f>
        <v/>
      </c>
      <c r="Q198" s="7">
        <f>'3 escalar'!P201</f>
        <v/>
      </c>
      <c r="R198" s="7">
        <f>'3 escalar'!Q201</f>
        <v/>
      </c>
      <c r="S198" s="7">
        <f>'3 escalar'!R201</f>
        <v/>
      </c>
      <c r="T198" s="7">
        <f>'3 escalar'!S201</f>
        <v/>
      </c>
      <c r="U198" s="7">
        <f>'3 escalar'!T201</f>
        <v/>
      </c>
      <c r="V198" s="6">
        <f>$AC$12+D198*$AC$13+E198*$AC$14+F198*$AC$15+G198*$AC$16+H198*$AC$17+I198*$AC$18+J198*$AC$19+K198*$AC$20+L198*$AC$21+M198*$AC$22+N198*$AC$23+O198*$AC$24+P198*$AC$25+Q198*$AC$26+R198*$AC$27+S198*$AC$28+T198*$AC$29+U198*$AC$30</f>
        <v/>
      </c>
      <c r="W198" s="6">
        <f>1/(1+EXP(-V198))</f>
        <v/>
      </c>
      <c r="X198" s="8">
        <f>-IF(C198=1,LN(W198),LN(1-W198))</f>
        <v/>
      </c>
      <c r="Y198" s="9">
        <f>IF(W198&gt;$AC$32,1,0)</f>
        <v/>
      </c>
      <c r="Z198">
        <f>IF(Y198=C198,1,0)</f>
        <v/>
      </c>
    </row>
    <row r="199">
      <c r="A199">
        <f>'3 escalar'!A202</f>
        <v/>
      </c>
      <c r="B199" s="5">
        <f>'3 escalar'!U202</f>
        <v/>
      </c>
      <c r="C199">
        <f>'3 escalar'!B202</f>
        <v/>
      </c>
      <c r="D199" s="7">
        <f>'3 escalar'!C202</f>
        <v/>
      </c>
      <c r="E199" s="7">
        <f>'3 escalar'!D202</f>
        <v/>
      </c>
      <c r="F199" s="7">
        <f>'3 escalar'!E202</f>
        <v/>
      </c>
      <c r="G199" s="7">
        <f>'3 escalar'!F202</f>
        <v/>
      </c>
      <c r="H199" s="7">
        <f>'3 escalar'!G202</f>
        <v/>
      </c>
      <c r="I199" s="7">
        <f>'3 escalar'!H202</f>
        <v/>
      </c>
      <c r="J199" s="7">
        <f>'3 escalar'!I202</f>
        <v/>
      </c>
      <c r="K199" s="7">
        <f>'3 escalar'!J202</f>
        <v/>
      </c>
      <c r="L199" s="7">
        <f>'3 escalar'!K202</f>
        <v/>
      </c>
      <c r="M199" s="7">
        <f>'3 escalar'!L202</f>
        <v/>
      </c>
      <c r="N199" s="7">
        <f>'3 escalar'!M202</f>
        <v/>
      </c>
      <c r="O199" s="7">
        <f>'3 escalar'!N202</f>
        <v/>
      </c>
      <c r="P199" s="7">
        <f>'3 escalar'!O202</f>
        <v/>
      </c>
      <c r="Q199" s="7">
        <f>'3 escalar'!P202</f>
        <v/>
      </c>
      <c r="R199" s="7">
        <f>'3 escalar'!Q202</f>
        <v/>
      </c>
      <c r="S199" s="7">
        <f>'3 escalar'!R202</f>
        <v/>
      </c>
      <c r="T199" s="7">
        <f>'3 escalar'!S202</f>
        <v/>
      </c>
      <c r="U199" s="7">
        <f>'3 escalar'!T202</f>
        <v/>
      </c>
      <c r="V199" s="6">
        <f>$AC$12+D199*$AC$13+E199*$AC$14+F199*$AC$15+G199*$AC$16+H199*$AC$17+I199*$AC$18+J199*$AC$19+K199*$AC$20+L199*$AC$21+M199*$AC$22+N199*$AC$23+O199*$AC$24+P199*$AC$25+Q199*$AC$26+R199*$AC$27+S199*$AC$28+T199*$AC$29+U199*$AC$30</f>
        <v/>
      </c>
      <c r="W199" s="6">
        <f>1/(1+EXP(-V199))</f>
        <v/>
      </c>
      <c r="X199" s="8">
        <f>-IF(C199=1,LN(W199),LN(1-W199))</f>
        <v/>
      </c>
      <c r="Y199" s="9">
        <f>IF(W199&gt;$AC$32,1,0)</f>
        <v/>
      </c>
      <c r="Z199">
        <f>IF(Y199=C199,1,0)</f>
        <v/>
      </c>
    </row>
    <row r="200">
      <c r="A200">
        <f>'3 escalar'!A203</f>
        <v/>
      </c>
      <c r="B200" s="5">
        <f>'3 escalar'!U203</f>
        <v/>
      </c>
      <c r="C200">
        <f>'3 escalar'!B203</f>
        <v/>
      </c>
      <c r="D200" s="7">
        <f>'3 escalar'!C203</f>
        <v/>
      </c>
      <c r="E200" s="7">
        <f>'3 escalar'!D203</f>
        <v/>
      </c>
      <c r="F200" s="7">
        <f>'3 escalar'!E203</f>
        <v/>
      </c>
      <c r="G200" s="7">
        <f>'3 escalar'!F203</f>
        <v/>
      </c>
      <c r="H200" s="7">
        <f>'3 escalar'!G203</f>
        <v/>
      </c>
      <c r="I200" s="7">
        <f>'3 escalar'!H203</f>
        <v/>
      </c>
      <c r="J200" s="7">
        <f>'3 escalar'!I203</f>
        <v/>
      </c>
      <c r="K200" s="7">
        <f>'3 escalar'!J203</f>
        <v/>
      </c>
      <c r="L200" s="7">
        <f>'3 escalar'!K203</f>
        <v/>
      </c>
      <c r="M200" s="7">
        <f>'3 escalar'!L203</f>
        <v/>
      </c>
      <c r="N200" s="7">
        <f>'3 escalar'!M203</f>
        <v/>
      </c>
      <c r="O200" s="7">
        <f>'3 escalar'!N203</f>
        <v/>
      </c>
      <c r="P200" s="7">
        <f>'3 escalar'!O203</f>
        <v/>
      </c>
      <c r="Q200" s="7">
        <f>'3 escalar'!P203</f>
        <v/>
      </c>
      <c r="R200" s="7">
        <f>'3 escalar'!Q203</f>
        <v/>
      </c>
      <c r="S200" s="7">
        <f>'3 escalar'!R203</f>
        <v/>
      </c>
      <c r="T200" s="7">
        <f>'3 escalar'!S203</f>
        <v/>
      </c>
      <c r="U200" s="7">
        <f>'3 escalar'!T203</f>
        <v/>
      </c>
      <c r="V200" s="6">
        <f>$AC$12+D200*$AC$13+E200*$AC$14+F200*$AC$15+G200*$AC$16+H200*$AC$17+I200*$AC$18+J200*$AC$19+K200*$AC$20+L200*$AC$21+M200*$AC$22+N200*$AC$23+O200*$AC$24+P200*$AC$25+Q200*$AC$26+R200*$AC$27+S200*$AC$28+T200*$AC$29+U200*$AC$30</f>
        <v/>
      </c>
      <c r="W200" s="6">
        <f>1/(1+EXP(-V200))</f>
        <v/>
      </c>
      <c r="X200" s="8">
        <f>-IF(C200=1,LN(W200),LN(1-W200))</f>
        <v/>
      </c>
      <c r="Y200" s="9">
        <f>IF(W200&gt;$AC$32,1,0)</f>
        <v/>
      </c>
      <c r="Z200">
        <f>IF(Y200=C200,1,0)</f>
        <v/>
      </c>
    </row>
    <row r="201">
      <c r="A201">
        <f>'3 escalar'!A204</f>
        <v/>
      </c>
      <c r="B201" s="5">
        <f>'3 escalar'!U204</f>
        <v/>
      </c>
      <c r="C201">
        <f>'3 escalar'!B204</f>
        <v/>
      </c>
      <c r="D201" s="7">
        <f>'3 escalar'!C204</f>
        <v/>
      </c>
      <c r="E201" s="7">
        <f>'3 escalar'!D204</f>
        <v/>
      </c>
      <c r="F201" s="7">
        <f>'3 escalar'!E204</f>
        <v/>
      </c>
      <c r="G201" s="7">
        <f>'3 escalar'!F204</f>
        <v/>
      </c>
      <c r="H201" s="7">
        <f>'3 escalar'!G204</f>
        <v/>
      </c>
      <c r="I201" s="7">
        <f>'3 escalar'!H204</f>
        <v/>
      </c>
      <c r="J201" s="7">
        <f>'3 escalar'!I204</f>
        <v/>
      </c>
      <c r="K201" s="7">
        <f>'3 escalar'!J204</f>
        <v/>
      </c>
      <c r="L201" s="7">
        <f>'3 escalar'!K204</f>
        <v/>
      </c>
      <c r="M201" s="7">
        <f>'3 escalar'!L204</f>
        <v/>
      </c>
      <c r="N201" s="7">
        <f>'3 escalar'!M204</f>
        <v/>
      </c>
      <c r="O201" s="7">
        <f>'3 escalar'!N204</f>
        <v/>
      </c>
      <c r="P201" s="7">
        <f>'3 escalar'!O204</f>
        <v/>
      </c>
      <c r="Q201" s="7">
        <f>'3 escalar'!P204</f>
        <v/>
      </c>
      <c r="R201" s="7">
        <f>'3 escalar'!Q204</f>
        <v/>
      </c>
      <c r="S201" s="7">
        <f>'3 escalar'!R204</f>
        <v/>
      </c>
      <c r="T201" s="7">
        <f>'3 escalar'!S204</f>
        <v/>
      </c>
      <c r="U201" s="7">
        <f>'3 escalar'!T204</f>
        <v/>
      </c>
      <c r="V201" s="6">
        <f>$AC$12+D201*$AC$13+E201*$AC$14+F201*$AC$15+G201*$AC$16+H201*$AC$17+I201*$AC$18+J201*$AC$19+K201*$AC$20+L201*$AC$21+M201*$AC$22+N201*$AC$23+O201*$AC$24+P201*$AC$25+Q201*$AC$26+R201*$AC$27+S201*$AC$28+T201*$AC$29+U201*$AC$30</f>
        <v/>
      </c>
      <c r="W201" s="6">
        <f>1/(1+EXP(-V201))</f>
        <v/>
      </c>
      <c r="X201" s="8">
        <f>-IF(C201=1,LN(W201),LN(1-W201))</f>
        <v/>
      </c>
      <c r="Y201" s="9">
        <f>IF(W201&gt;$AC$32,1,0)</f>
        <v/>
      </c>
      <c r="Z201">
        <f>IF(Y201=C201,1,0)</f>
        <v/>
      </c>
    </row>
    <row r="202">
      <c r="A202">
        <f>'3 escalar'!A205</f>
        <v/>
      </c>
      <c r="B202" s="5">
        <f>'3 escalar'!U205</f>
        <v/>
      </c>
      <c r="C202">
        <f>'3 escalar'!B205</f>
        <v/>
      </c>
      <c r="D202" s="7">
        <f>'3 escalar'!C205</f>
        <v/>
      </c>
      <c r="E202" s="7">
        <f>'3 escalar'!D205</f>
        <v/>
      </c>
      <c r="F202" s="7">
        <f>'3 escalar'!E205</f>
        <v/>
      </c>
      <c r="G202" s="7">
        <f>'3 escalar'!F205</f>
        <v/>
      </c>
      <c r="H202" s="7">
        <f>'3 escalar'!G205</f>
        <v/>
      </c>
      <c r="I202" s="7">
        <f>'3 escalar'!H205</f>
        <v/>
      </c>
      <c r="J202" s="7">
        <f>'3 escalar'!I205</f>
        <v/>
      </c>
      <c r="K202" s="7">
        <f>'3 escalar'!J205</f>
        <v/>
      </c>
      <c r="L202" s="7">
        <f>'3 escalar'!K205</f>
        <v/>
      </c>
      <c r="M202" s="7">
        <f>'3 escalar'!L205</f>
        <v/>
      </c>
      <c r="N202" s="7">
        <f>'3 escalar'!M205</f>
        <v/>
      </c>
      <c r="O202" s="7">
        <f>'3 escalar'!N205</f>
        <v/>
      </c>
      <c r="P202" s="7">
        <f>'3 escalar'!O205</f>
        <v/>
      </c>
      <c r="Q202" s="7">
        <f>'3 escalar'!P205</f>
        <v/>
      </c>
      <c r="R202" s="7">
        <f>'3 escalar'!Q205</f>
        <v/>
      </c>
      <c r="S202" s="7">
        <f>'3 escalar'!R205</f>
        <v/>
      </c>
      <c r="T202" s="7">
        <f>'3 escalar'!S205</f>
        <v/>
      </c>
      <c r="U202" s="7">
        <f>'3 escalar'!T205</f>
        <v/>
      </c>
      <c r="V202" s="6">
        <f>$AC$12+D202*$AC$13+E202*$AC$14+F202*$AC$15+G202*$AC$16+H202*$AC$17+I202*$AC$18+J202*$AC$19+K202*$AC$20+L202*$AC$21+M202*$AC$22+N202*$AC$23+O202*$AC$24+P202*$AC$25+Q202*$AC$26+R202*$AC$27+S202*$AC$28+T202*$AC$29+U202*$AC$30</f>
        <v/>
      </c>
      <c r="W202" s="6">
        <f>1/(1+EXP(-V202))</f>
        <v/>
      </c>
      <c r="X202" s="8">
        <f>-IF(C202=1,LN(W202),LN(1-W202))</f>
        <v/>
      </c>
      <c r="Y202" s="9">
        <f>IF(W202&gt;$AC$32,1,0)</f>
        <v/>
      </c>
      <c r="Z202">
        <f>IF(Y202=C202,1,0)</f>
        <v/>
      </c>
    </row>
    <row r="203">
      <c r="A203">
        <f>'3 escalar'!A206</f>
        <v/>
      </c>
      <c r="B203" s="5">
        <f>'3 escalar'!U206</f>
        <v/>
      </c>
      <c r="C203">
        <f>'3 escalar'!B206</f>
        <v/>
      </c>
      <c r="D203" s="7">
        <f>'3 escalar'!C206</f>
        <v/>
      </c>
      <c r="E203" s="7">
        <f>'3 escalar'!D206</f>
        <v/>
      </c>
      <c r="F203" s="7">
        <f>'3 escalar'!E206</f>
        <v/>
      </c>
      <c r="G203" s="7">
        <f>'3 escalar'!F206</f>
        <v/>
      </c>
      <c r="H203" s="7">
        <f>'3 escalar'!G206</f>
        <v/>
      </c>
      <c r="I203" s="7">
        <f>'3 escalar'!H206</f>
        <v/>
      </c>
      <c r="J203" s="7">
        <f>'3 escalar'!I206</f>
        <v/>
      </c>
      <c r="K203" s="7">
        <f>'3 escalar'!J206</f>
        <v/>
      </c>
      <c r="L203" s="7">
        <f>'3 escalar'!K206</f>
        <v/>
      </c>
      <c r="M203" s="7">
        <f>'3 escalar'!L206</f>
        <v/>
      </c>
      <c r="N203" s="7">
        <f>'3 escalar'!M206</f>
        <v/>
      </c>
      <c r="O203" s="7">
        <f>'3 escalar'!N206</f>
        <v/>
      </c>
      <c r="P203" s="7">
        <f>'3 escalar'!O206</f>
        <v/>
      </c>
      <c r="Q203" s="7">
        <f>'3 escalar'!P206</f>
        <v/>
      </c>
      <c r="R203" s="7">
        <f>'3 escalar'!Q206</f>
        <v/>
      </c>
      <c r="S203" s="7">
        <f>'3 escalar'!R206</f>
        <v/>
      </c>
      <c r="T203" s="7">
        <f>'3 escalar'!S206</f>
        <v/>
      </c>
      <c r="U203" s="7">
        <f>'3 escalar'!T206</f>
        <v/>
      </c>
      <c r="V203" s="6">
        <f>$AC$12+D203*$AC$13+E203*$AC$14+F203*$AC$15+G203*$AC$16+H203*$AC$17+I203*$AC$18+J203*$AC$19+K203*$AC$20+L203*$AC$21+M203*$AC$22+N203*$AC$23+O203*$AC$24+P203*$AC$25+Q203*$AC$26+R203*$AC$27+S203*$AC$28+T203*$AC$29+U203*$AC$30</f>
        <v/>
      </c>
      <c r="W203" s="6">
        <f>1/(1+EXP(-V203))</f>
        <v/>
      </c>
      <c r="X203" s="8">
        <f>-IF(C203=1,LN(W203),LN(1-W203))</f>
        <v/>
      </c>
      <c r="Y203" s="9">
        <f>IF(W203&gt;$AC$32,1,0)</f>
        <v/>
      </c>
      <c r="Z203">
        <f>IF(Y203=C203,1,0)</f>
        <v/>
      </c>
    </row>
    <row r="204">
      <c r="A204">
        <f>'3 escalar'!A207</f>
        <v/>
      </c>
      <c r="B204" s="5">
        <f>'3 escalar'!U207</f>
        <v/>
      </c>
      <c r="C204">
        <f>'3 escalar'!B207</f>
        <v/>
      </c>
      <c r="D204" s="7">
        <f>'3 escalar'!C207</f>
        <v/>
      </c>
      <c r="E204" s="7">
        <f>'3 escalar'!D207</f>
        <v/>
      </c>
      <c r="F204" s="7">
        <f>'3 escalar'!E207</f>
        <v/>
      </c>
      <c r="G204" s="7">
        <f>'3 escalar'!F207</f>
        <v/>
      </c>
      <c r="H204" s="7">
        <f>'3 escalar'!G207</f>
        <v/>
      </c>
      <c r="I204" s="7">
        <f>'3 escalar'!H207</f>
        <v/>
      </c>
      <c r="J204" s="7">
        <f>'3 escalar'!I207</f>
        <v/>
      </c>
      <c r="K204" s="7">
        <f>'3 escalar'!J207</f>
        <v/>
      </c>
      <c r="L204" s="7">
        <f>'3 escalar'!K207</f>
        <v/>
      </c>
      <c r="M204" s="7">
        <f>'3 escalar'!L207</f>
        <v/>
      </c>
      <c r="N204" s="7">
        <f>'3 escalar'!M207</f>
        <v/>
      </c>
      <c r="O204" s="7">
        <f>'3 escalar'!N207</f>
        <v/>
      </c>
      <c r="P204" s="7">
        <f>'3 escalar'!O207</f>
        <v/>
      </c>
      <c r="Q204" s="7">
        <f>'3 escalar'!P207</f>
        <v/>
      </c>
      <c r="R204" s="7">
        <f>'3 escalar'!Q207</f>
        <v/>
      </c>
      <c r="S204" s="7">
        <f>'3 escalar'!R207</f>
        <v/>
      </c>
      <c r="T204" s="7">
        <f>'3 escalar'!S207</f>
        <v/>
      </c>
      <c r="U204" s="7">
        <f>'3 escalar'!T207</f>
        <v/>
      </c>
      <c r="V204" s="6">
        <f>$AC$12+D204*$AC$13+E204*$AC$14+F204*$AC$15+G204*$AC$16+H204*$AC$17+I204*$AC$18+J204*$AC$19+K204*$AC$20+L204*$AC$21+M204*$AC$22+N204*$AC$23+O204*$AC$24+P204*$AC$25+Q204*$AC$26+R204*$AC$27+S204*$AC$28+T204*$AC$29+U204*$AC$30</f>
        <v/>
      </c>
      <c r="W204" s="6">
        <f>1/(1+EXP(-V204))</f>
        <v/>
      </c>
      <c r="X204" s="8">
        <f>-IF(C204=1,LN(W204),LN(1-W204))</f>
        <v/>
      </c>
      <c r="Y204" s="9">
        <f>IF(W204&gt;$AC$32,1,0)</f>
        <v/>
      </c>
      <c r="Z204">
        <f>IF(Y204=C204,1,0)</f>
        <v/>
      </c>
    </row>
    <row r="205">
      <c r="A205">
        <f>'3 escalar'!A208</f>
        <v/>
      </c>
      <c r="B205" s="5">
        <f>'3 escalar'!U208</f>
        <v/>
      </c>
      <c r="C205">
        <f>'3 escalar'!B208</f>
        <v/>
      </c>
      <c r="D205" s="7">
        <f>'3 escalar'!C208</f>
        <v/>
      </c>
      <c r="E205" s="7">
        <f>'3 escalar'!D208</f>
        <v/>
      </c>
      <c r="F205" s="7">
        <f>'3 escalar'!E208</f>
        <v/>
      </c>
      <c r="G205" s="7">
        <f>'3 escalar'!F208</f>
        <v/>
      </c>
      <c r="H205" s="7">
        <f>'3 escalar'!G208</f>
        <v/>
      </c>
      <c r="I205" s="7">
        <f>'3 escalar'!H208</f>
        <v/>
      </c>
      <c r="J205" s="7">
        <f>'3 escalar'!I208</f>
        <v/>
      </c>
      <c r="K205" s="7">
        <f>'3 escalar'!J208</f>
        <v/>
      </c>
      <c r="L205" s="7">
        <f>'3 escalar'!K208</f>
        <v/>
      </c>
      <c r="M205" s="7">
        <f>'3 escalar'!L208</f>
        <v/>
      </c>
      <c r="N205" s="7">
        <f>'3 escalar'!M208</f>
        <v/>
      </c>
      <c r="O205" s="7">
        <f>'3 escalar'!N208</f>
        <v/>
      </c>
      <c r="P205" s="7">
        <f>'3 escalar'!O208</f>
        <v/>
      </c>
      <c r="Q205" s="7">
        <f>'3 escalar'!P208</f>
        <v/>
      </c>
      <c r="R205" s="7">
        <f>'3 escalar'!Q208</f>
        <v/>
      </c>
      <c r="S205" s="7">
        <f>'3 escalar'!R208</f>
        <v/>
      </c>
      <c r="T205" s="7">
        <f>'3 escalar'!S208</f>
        <v/>
      </c>
      <c r="U205" s="7">
        <f>'3 escalar'!T208</f>
        <v/>
      </c>
      <c r="V205" s="6">
        <f>$AC$12+D205*$AC$13+E205*$AC$14+F205*$AC$15+G205*$AC$16+H205*$AC$17+I205*$AC$18+J205*$AC$19+K205*$AC$20+L205*$AC$21+M205*$AC$22+N205*$AC$23+O205*$AC$24+P205*$AC$25+Q205*$AC$26+R205*$AC$27+S205*$AC$28+T205*$AC$29+U205*$AC$30</f>
        <v/>
      </c>
      <c r="W205" s="6">
        <f>1/(1+EXP(-V205))</f>
        <v/>
      </c>
      <c r="X205" s="8">
        <f>-IF(C205=1,LN(W205),LN(1-W205))</f>
        <v/>
      </c>
      <c r="Y205" s="9">
        <f>IF(W205&gt;$AC$32,1,0)</f>
        <v/>
      </c>
      <c r="Z205">
        <f>IF(Y205=C205,1,0)</f>
        <v/>
      </c>
    </row>
    <row r="206">
      <c r="A206">
        <f>'3 escalar'!A209</f>
        <v/>
      </c>
      <c r="B206" s="5">
        <f>'3 escalar'!U209</f>
        <v/>
      </c>
      <c r="C206">
        <f>'3 escalar'!B209</f>
        <v/>
      </c>
      <c r="D206" s="7">
        <f>'3 escalar'!C209</f>
        <v/>
      </c>
      <c r="E206" s="7">
        <f>'3 escalar'!D209</f>
        <v/>
      </c>
      <c r="F206" s="7">
        <f>'3 escalar'!E209</f>
        <v/>
      </c>
      <c r="G206" s="7">
        <f>'3 escalar'!F209</f>
        <v/>
      </c>
      <c r="H206" s="7">
        <f>'3 escalar'!G209</f>
        <v/>
      </c>
      <c r="I206" s="7">
        <f>'3 escalar'!H209</f>
        <v/>
      </c>
      <c r="J206" s="7">
        <f>'3 escalar'!I209</f>
        <v/>
      </c>
      <c r="K206" s="7">
        <f>'3 escalar'!J209</f>
        <v/>
      </c>
      <c r="L206" s="7">
        <f>'3 escalar'!K209</f>
        <v/>
      </c>
      <c r="M206" s="7">
        <f>'3 escalar'!L209</f>
        <v/>
      </c>
      <c r="N206" s="7">
        <f>'3 escalar'!M209</f>
        <v/>
      </c>
      <c r="O206" s="7">
        <f>'3 escalar'!N209</f>
        <v/>
      </c>
      <c r="P206" s="7">
        <f>'3 escalar'!O209</f>
        <v/>
      </c>
      <c r="Q206" s="7">
        <f>'3 escalar'!P209</f>
        <v/>
      </c>
      <c r="R206" s="7">
        <f>'3 escalar'!Q209</f>
        <v/>
      </c>
      <c r="S206" s="7">
        <f>'3 escalar'!R209</f>
        <v/>
      </c>
      <c r="T206" s="7">
        <f>'3 escalar'!S209</f>
        <v/>
      </c>
      <c r="U206" s="7">
        <f>'3 escalar'!T209</f>
        <v/>
      </c>
      <c r="V206" s="6">
        <f>$AC$12+D206*$AC$13+E206*$AC$14+F206*$AC$15+G206*$AC$16+H206*$AC$17+I206*$AC$18+J206*$AC$19+K206*$AC$20+L206*$AC$21+M206*$AC$22+N206*$AC$23+O206*$AC$24+P206*$AC$25+Q206*$AC$26+R206*$AC$27+S206*$AC$28+T206*$AC$29+U206*$AC$30</f>
        <v/>
      </c>
      <c r="W206" s="6">
        <f>1/(1+EXP(-V206))</f>
        <v/>
      </c>
      <c r="X206" s="8">
        <f>-IF(C206=1,LN(W206),LN(1-W206))</f>
        <v/>
      </c>
      <c r="Y206" s="9">
        <f>IF(W206&gt;$AC$32,1,0)</f>
        <v/>
      </c>
      <c r="Z206">
        <f>IF(Y206=C206,1,0)</f>
        <v/>
      </c>
    </row>
    <row r="207">
      <c r="A207">
        <f>'3 escalar'!A210</f>
        <v/>
      </c>
      <c r="B207" s="5">
        <f>'3 escalar'!U210</f>
        <v/>
      </c>
      <c r="C207">
        <f>'3 escalar'!B210</f>
        <v/>
      </c>
      <c r="D207" s="7">
        <f>'3 escalar'!C210</f>
        <v/>
      </c>
      <c r="E207" s="7">
        <f>'3 escalar'!D210</f>
        <v/>
      </c>
      <c r="F207" s="7">
        <f>'3 escalar'!E210</f>
        <v/>
      </c>
      <c r="G207" s="7">
        <f>'3 escalar'!F210</f>
        <v/>
      </c>
      <c r="H207" s="7">
        <f>'3 escalar'!G210</f>
        <v/>
      </c>
      <c r="I207" s="7">
        <f>'3 escalar'!H210</f>
        <v/>
      </c>
      <c r="J207" s="7">
        <f>'3 escalar'!I210</f>
        <v/>
      </c>
      <c r="K207" s="7">
        <f>'3 escalar'!J210</f>
        <v/>
      </c>
      <c r="L207" s="7">
        <f>'3 escalar'!K210</f>
        <v/>
      </c>
      <c r="M207" s="7">
        <f>'3 escalar'!L210</f>
        <v/>
      </c>
      <c r="N207" s="7">
        <f>'3 escalar'!M210</f>
        <v/>
      </c>
      <c r="O207" s="7">
        <f>'3 escalar'!N210</f>
        <v/>
      </c>
      <c r="P207" s="7">
        <f>'3 escalar'!O210</f>
        <v/>
      </c>
      <c r="Q207" s="7">
        <f>'3 escalar'!P210</f>
        <v/>
      </c>
      <c r="R207" s="7">
        <f>'3 escalar'!Q210</f>
        <v/>
      </c>
      <c r="S207" s="7">
        <f>'3 escalar'!R210</f>
        <v/>
      </c>
      <c r="T207" s="7">
        <f>'3 escalar'!S210</f>
        <v/>
      </c>
      <c r="U207" s="7">
        <f>'3 escalar'!T210</f>
        <v/>
      </c>
      <c r="V207" s="6">
        <f>$AC$12+D207*$AC$13+E207*$AC$14+F207*$AC$15+G207*$AC$16+H207*$AC$17+I207*$AC$18+J207*$AC$19+K207*$AC$20+L207*$AC$21+M207*$AC$22+N207*$AC$23+O207*$AC$24+P207*$AC$25+Q207*$AC$26+R207*$AC$27+S207*$AC$28+T207*$AC$29+U207*$AC$30</f>
        <v/>
      </c>
      <c r="W207" s="6">
        <f>1/(1+EXP(-V207))</f>
        <v/>
      </c>
      <c r="X207" s="8">
        <f>-IF(C207=1,LN(W207),LN(1-W207))</f>
        <v/>
      </c>
      <c r="Y207" s="9">
        <f>IF(W207&gt;$AC$32,1,0)</f>
        <v/>
      </c>
      <c r="Z207">
        <f>IF(Y207=C207,1,0)</f>
        <v/>
      </c>
    </row>
    <row r="208">
      <c r="A208">
        <f>'3 escalar'!A211</f>
        <v/>
      </c>
      <c r="B208" s="5">
        <f>'3 escalar'!U211</f>
        <v/>
      </c>
      <c r="C208">
        <f>'3 escalar'!B211</f>
        <v/>
      </c>
      <c r="D208" s="7">
        <f>'3 escalar'!C211</f>
        <v/>
      </c>
      <c r="E208" s="7">
        <f>'3 escalar'!D211</f>
        <v/>
      </c>
      <c r="F208" s="7">
        <f>'3 escalar'!E211</f>
        <v/>
      </c>
      <c r="G208" s="7">
        <f>'3 escalar'!F211</f>
        <v/>
      </c>
      <c r="H208" s="7">
        <f>'3 escalar'!G211</f>
        <v/>
      </c>
      <c r="I208" s="7">
        <f>'3 escalar'!H211</f>
        <v/>
      </c>
      <c r="J208" s="7">
        <f>'3 escalar'!I211</f>
        <v/>
      </c>
      <c r="K208" s="7">
        <f>'3 escalar'!J211</f>
        <v/>
      </c>
      <c r="L208" s="7">
        <f>'3 escalar'!K211</f>
        <v/>
      </c>
      <c r="M208" s="7">
        <f>'3 escalar'!L211</f>
        <v/>
      </c>
      <c r="N208" s="7">
        <f>'3 escalar'!M211</f>
        <v/>
      </c>
      <c r="O208" s="7">
        <f>'3 escalar'!N211</f>
        <v/>
      </c>
      <c r="P208" s="7">
        <f>'3 escalar'!O211</f>
        <v/>
      </c>
      <c r="Q208" s="7">
        <f>'3 escalar'!P211</f>
        <v/>
      </c>
      <c r="R208" s="7">
        <f>'3 escalar'!Q211</f>
        <v/>
      </c>
      <c r="S208" s="7">
        <f>'3 escalar'!R211</f>
        <v/>
      </c>
      <c r="T208" s="7">
        <f>'3 escalar'!S211</f>
        <v/>
      </c>
      <c r="U208" s="7">
        <f>'3 escalar'!T211</f>
        <v/>
      </c>
      <c r="V208" s="6">
        <f>$AC$12+D208*$AC$13+E208*$AC$14+F208*$AC$15+G208*$AC$16+H208*$AC$17+I208*$AC$18+J208*$AC$19+K208*$AC$20+L208*$AC$21+M208*$AC$22+N208*$AC$23+O208*$AC$24+P208*$AC$25+Q208*$AC$26+R208*$AC$27+S208*$AC$28+T208*$AC$29+U208*$AC$30</f>
        <v/>
      </c>
      <c r="W208" s="6">
        <f>1/(1+EXP(-V208))</f>
        <v/>
      </c>
      <c r="X208" s="8">
        <f>-IF(C208=1,LN(W208),LN(1-W208))</f>
        <v/>
      </c>
      <c r="Y208" s="9">
        <f>IF(W208&gt;$AC$32,1,0)</f>
        <v/>
      </c>
      <c r="Z208">
        <f>IF(Y208=C208,1,0)</f>
        <v/>
      </c>
    </row>
    <row r="209">
      <c r="A209">
        <f>'3 escalar'!A212</f>
        <v/>
      </c>
      <c r="B209" s="5">
        <f>'3 escalar'!U212</f>
        <v/>
      </c>
      <c r="C209">
        <f>'3 escalar'!B212</f>
        <v/>
      </c>
      <c r="D209" s="7">
        <f>'3 escalar'!C212</f>
        <v/>
      </c>
      <c r="E209" s="7">
        <f>'3 escalar'!D212</f>
        <v/>
      </c>
      <c r="F209" s="7">
        <f>'3 escalar'!E212</f>
        <v/>
      </c>
      <c r="G209" s="7">
        <f>'3 escalar'!F212</f>
        <v/>
      </c>
      <c r="H209" s="7">
        <f>'3 escalar'!G212</f>
        <v/>
      </c>
      <c r="I209" s="7">
        <f>'3 escalar'!H212</f>
        <v/>
      </c>
      <c r="J209" s="7">
        <f>'3 escalar'!I212</f>
        <v/>
      </c>
      <c r="K209" s="7">
        <f>'3 escalar'!J212</f>
        <v/>
      </c>
      <c r="L209" s="7">
        <f>'3 escalar'!K212</f>
        <v/>
      </c>
      <c r="M209" s="7">
        <f>'3 escalar'!L212</f>
        <v/>
      </c>
      <c r="N209" s="7">
        <f>'3 escalar'!M212</f>
        <v/>
      </c>
      <c r="O209" s="7">
        <f>'3 escalar'!N212</f>
        <v/>
      </c>
      <c r="P209" s="7">
        <f>'3 escalar'!O212</f>
        <v/>
      </c>
      <c r="Q209" s="7">
        <f>'3 escalar'!P212</f>
        <v/>
      </c>
      <c r="R209" s="7">
        <f>'3 escalar'!Q212</f>
        <v/>
      </c>
      <c r="S209" s="7">
        <f>'3 escalar'!R212</f>
        <v/>
      </c>
      <c r="T209" s="7">
        <f>'3 escalar'!S212</f>
        <v/>
      </c>
      <c r="U209" s="7">
        <f>'3 escalar'!T212</f>
        <v/>
      </c>
      <c r="V209" s="6">
        <f>$AC$12+D209*$AC$13+E209*$AC$14+F209*$AC$15+G209*$AC$16+H209*$AC$17+I209*$AC$18+J209*$AC$19+K209*$AC$20+L209*$AC$21+M209*$AC$22+N209*$AC$23+O209*$AC$24+P209*$AC$25+Q209*$AC$26+R209*$AC$27+S209*$AC$28+T209*$AC$29+U209*$AC$30</f>
        <v/>
      </c>
      <c r="W209" s="6">
        <f>1/(1+EXP(-V209))</f>
        <v/>
      </c>
      <c r="X209" s="8">
        <f>-IF(C209=1,LN(W209),LN(1-W209))</f>
        <v/>
      </c>
      <c r="Y209" s="9">
        <f>IF(W209&gt;$AC$32,1,0)</f>
        <v/>
      </c>
      <c r="Z209">
        <f>IF(Y209=C209,1,0)</f>
        <v/>
      </c>
    </row>
    <row r="210">
      <c r="A210">
        <f>'3 escalar'!A213</f>
        <v/>
      </c>
      <c r="B210" s="5">
        <f>'3 escalar'!U213</f>
        <v/>
      </c>
      <c r="C210">
        <f>'3 escalar'!B213</f>
        <v/>
      </c>
      <c r="D210" s="7">
        <f>'3 escalar'!C213</f>
        <v/>
      </c>
      <c r="E210" s="7">
        <f>'3 escalar'!D213</f>
        <v/>
      </c>
      <c r="F210" s="7">
        <f>'3 escalar'!E213</f>
        <v/>
      </c>
      <c r="G210" s="7">
        <f>'3 escalar'!F213</f>
        <v/>
      </c>
      <c r="H210" s="7">
        <f>'3 escalar'!G213</f>
        <v/>
      </c>
      <c r="I210" s="7">
        <f>'3 escalar'!H213</f>
        <v/>
      </c>
      <c r="J210" s="7">
        <f>'3 escalar'!I213</f>
        <v/>
      </c>
      <c r="K210" s="7">
        <f>'3 escalar'!J213</f>
        <v/>
      </c>
      <c r="L210" s="7">
        <f>'3 escalar'!K213</f>
        <v/>
      </c>
      <c r="M210" s="7">
        <f>'3 escalar'!L213</f>
        <v/>
      </c>
      <c r="N210" s="7">
        <f>'3 escalar'!M213</f>
        <v/>
      </c>
      <c r="O210" s="7">
        <f>'3 escalar'!N213</f>
        <v/>
      </c>
      <c r="P210" s="7">
        <f>'3 escalar'!O213</f>
        <v/>
      </c>
      <c r="Q210" s="7">
        <f>'3 escalar'!P213</f>
        <v/>
      </c>
      <c r="R210" s="7">
        <f>'3 escalar'!Q213</f>
        <v/>
      </c>
      <c r="S210" s="7">
        <f>'3 escalar'!R213</f>
        <v/>
      </c>
      <c r="T210" s="7">
        <f>'3 escalar'!S213</f>
        <v/>
      </c>
      <c r="U210" s="7">
        <f>'3 escalar'!T213</f>
        <v/>
      </c>
      <c r="V210" s="6">
        <f>$AC$12+D210*$AC$13+E210*$AC$14+F210*$AC$15+G210*$AC$16+H210*$AC$17+I210*$AC$18+J210*$AC$19+K210*$AC$20+L210*$AC$21+M210*$AC$22+N210*$AC$23+O210*$AC$24+P210*$AC$25+Q210*$AC$26+R210*$AC$27+S210*$AC$28+T210*$AC$29+U210*$AC$30</f>
        <v/>
      </c>
      <c r="W210" s="6">
        <f>1/(1+EXP(-V210))</f>
        <v/>
      </c>
      <c r="X210" s="8">
        <f>-IF(C210=1,LN(W210),LN(1-W210))</f>
        <v/>
      </c>
      <c r="Y210" s="9">
        <f>IF(W210&gt;$AC$32,1,0)</f>
        <v/>
      </c>
      <c r="Z210">
        <f>IF(Y210=C210,1,0)</f>
        <v/>
      </c>
    </row>
    <row r="211">
      <c r="A211">
        <f>'3 escalar'!A214</f>
        <v/>
      </c>
      <c r="B211" s="5">
        <f>'3 escalar'!U214</f>
        <v/>
      </c>
      <c r="C211">
        <f>'3 escalar'!B214</f>
        <v/>
      </c>
      <c r="D211" s="7">
        <f>'3 escalar'!C214</f>
        <v/>
      </c>
      <c r="E211" s="7">
        <f>'3 escalar'!D214</f>
        <v/>
      </c>
      <c r="F211" s="7">
        <f>'3 escalar'!E214</f>
        <v/>
      </c>
      <c r="G211" s="7">
        <f>'3 escalar'!F214</f>
        <v/>
      </c>
      <c r="H211" s="7">
        <f>'3 escalar'!G214</f>
        <v/>
      </c>
      <c r="I211" s="7">
        <f>'3 escalar'!H214</f>
        <v/>
      </c>
      <c r="J211" s="7">
        <f>'3 escalar'!I214</f>
        <v/>
      </c>
      <c r="K211" s="7">
        <f>'3 escalar'!J214</f>
        <v/>
      </c>
      <c r="L211" s="7">
        <f>'3 escalar'!K214</f>
        <v/>
      </c>
      <c r="M211" s="7">
        <f>'3 escalar'!L214</f>
        <v/>
      </c>
      <c r="N211" s="7">
        <f>'3 escalar'!M214</f>
        <v/>
      </c>
      <c r="O211" s="7">
        <f>'3 escalar'!N214</f>
        <v/>
      </c>
      <c r="P211" s="7">
        <f>'3 escalar'!O214</f>
        <v/>
      </c>
      <c r="Q211" s="7">
        <f>'3 escalar'!P214</f>
        <v/>
      </c>
      <c r="R211" s="7">
        <f>'3 escalar'!Q214</f>
        <v/>
      </c>
      <c r="S211" s="7">
        <f>'3 escalar'!R214</f>
        <v/>
      </c>
      <c r="T211" s="7">
        <f>'3 escalar'!S214</f>
        <v/>
      </c>
      <c r="U211" s="7">
        <f>'3 escalar'!T214</f>
        <v/>
      </c>
      <c r="V211" s="6">
        <f>$AC$12+D211*$AC$13+E211*$AC$14+F211*$AC$15+G211*$AC$16+H211*$AC$17+I211*$AC$18+J211*$AC$19+K211*$AC$20+L211*$AC$21+M211*$AC$22+N211*$AC$23+O211*$AC$24+P211*$AC$25+Q211*$AC$26+R211*$AC$27+S211*$AC$28+T211*$AC$29+U211*$AC$30</f>
        <v/>
      </c>
      <c r="W211" s="6">
        <f>1/(1+EXP(-V211))</f>
        <v/>
      </c>
      <c r="X211" s="8">
        <f>-IF(C211=1,LN(W211),LN(1-W211))</f>
        <v/>
      </c>
      <c r="Y211" s="9">
        <f>IF(W211&gt;$AC$32,1,0)</f>
        <v/>
      </c>
      <c r="Z211">
        <f>IF(Y211=C211,1,0)</f>
        <v/>
      </c>
    </row>
    <row r="212">
      <c r="A212">
        <f>'3 escalar'!A215</f>
        <v/>
      </c>
      <c r="B212" s="5">
        <f>'3 escalar'!U215</f>
        <v/>
      </c>
      <c r="C212">
        <f>'3 escalar'!B215</f>
        <v/>
      </c>
      <c r="D212" s="7">
        <f>'3 escalar'!C215</f>
        <v/>
      </c>
      <c r="E212" s="7">
        <f>'3 escalar'!D215</f>
        <v/>
      </c>
      <c r="F212" s="7">
        <f>'3 escalar'!E215</f>
        <v/>
      </c>
      <c r="G212" s="7">
        <f>'3 escalar'!F215</f>
        <v/>
      </c>
      <c r="H212" s="7">
        <f>'3 escalar'!G215</f>
        <v/>
      </c>
      <c r="I212" s="7">
        <f>'3 escalar'!H215</f>
        <v/>
      </c>
      <c r="J212" s="7">
        <f>'3 escalar'!I215</f>
        <v/>
      </c>
      <c r="K212" s="7">
        <f>'3 escalar'!J215</f>
        <v/>
      </c>
      <c r="L212" s="7">
        <f>'3 escalar'!K215</f>
        <v/>
      </c>
      <c r="M212" s="7">
        <f>'3 escalar'!L215</f>
        <v/>
      </c>
      <c r="N212" s="7">
        <f>'3 escalar'!M215</f>
        <v/>
      </c>
      <c r="O212" s="7">
        <f>'3 escalar'!N215</f>
        <v/>
      </c>
      <c r="P212" s="7">
        <f>'3 escalar'!O215</f>
        <v/>
      </c>
      <c r="Q212" s="7">
        <f>'3 escalar'!P215</f>
        <v/>
      </c>
      <c r="R212" s="7">
        <f>'3 escalar'!Q215</f>
        <v/>
      </c>
      <c r="S212" s="7">
        <f>'3 escalar'!R215</f>
        <v/>
      </c>
      <c r="T212" s="7">
        <f>'3 escalar'!S215</f>
        <v/>
      </c>
      <c r="U212" s="7">
        <f>'3 escalar'!T215</f>
        <v/>
      </c>
      <c r="V212" s="6">
        <f>$AC$12+D212*$AC$13+E212*$AC$14+F212*$AC$15+G212*$AC$16+H212*$AC$17+I212*$AC$18+J212*$AC$19+K212*$AC$20+L212*$AC$21+M212*$AC$22+N212*$AC$23+O212*$AC$24+P212*$AC$25+Q212*$AC$26+R212*$AC$27+S212*$AC$28+T212*$AC$29+U212*$AC$30</f>
        <v/>
      </c>
      <c r="W212" s="6">
        <f>1/(1+EXP(-V212))</f>
        <v/>
      </c>
      <c r="X212" s="8">
        <f>-IF(C212=1,LN(W212),LN(1-W212))</f>
        <v/>
      </c>
      <c r="Y212" s="9">
        <f>IF(W212&gt;$AC$32,1,0)</f>
        <v/>
      </c>
      <c r="Z212">
        <f>IF(Y212=C212,1,0)</f>
        <v/>
      </c>
    </row>
    <row r="213">
      <c r="A213">
        <f>'3 escalar'!A216</f>
        <v/>
      </c>
      <c r="B213" s="5">
        <f>'3 escalar'!U216</f>
        <v/>
      </c>
      <c r="C213">
        <f>'3 escalar'!B216</f>
        <v/>
      </c>
      <c r="D213" s="7">
        <f>'3 escalar'!C216</f>
        <v/>
      </c>
      <c r="E213" s="7">
        <f>'3 escalar'!D216</f>
        <v/>
      </c>
      <c r="F213" s="7">
        <f>'3 escalar'!E216</f>
        <v/>
      </c>
      <c r="G213" s="7">
        <f>'3 escalar'!F216</f>
        <v/>
      </c>
      <c r="H213" s="7">
        <f>'3 escalar'!G216</f>
        <v/>
      </c>
      <c r="I213" s="7">
        <f>'3 escalar'!H216</f>
        <v/>
      </c>
      <c r="J213" s="7">
        <f>'3 escalar'!I216</f>
        <v/>
      </c>
      <c r="K213" s="7">
        <f>'3 escalar'!J216</f>
        <v/>
      </c>
      <c r="L213" s="7">
        <f>'3 escalar'!K216</f>
        <v/>
      </c>
      <c r="M213" s="7">
        <f>'3 escalar'!L216</f>
        <v/>
      </c>
      <c r="N213" s="7">
        <f>'3 escalar'!M216</f>
        <v/>
      </c>
      <c r="O213" s="7">
        <f>'3 escalar'!N216</f>
        <v/>
      </c>
      <c r="P213" s="7">
        <f>'3 escalar'!O216</f>
        <v/>
      </c>
      <c r="Q213" s="7">
        <f>'3 escalar'!P216</f>
        <v/>
      </c>
      <c r="R213" s="7">
        <f>'3 escalar'!Q216</f>
        <v/>
      </c>
      <c r="S213" s="7">
        <f>'3 escalar'!R216</f>
        <v/>
      </c>
      <c r="T213" s="7">
        <f>'3 escalar'!S216</f>
        <v/>
      </c>
      <c r="U213" s="7">
        <f>'3 escalar'!T216</f>
        <v/>
      </c>
      <c r="V213" s="6">
        <f>$AC$12+D213*$AC$13+E213*$AC$14+F213*$AC$15+G213*$AC$16+H213*$AC$17+I213*$AC$18+J213*$AC$19+K213*$AC$20+L213*$AC$21+M213*$AC$22+N213*$AC$23+O213*$AC$24+P213*$AC$25+Q213*$AC$26+R213*$AC$27+S213*$AC$28+T213*$AC$29+U213*$AC$30</f>
        <v/>
      </c>
      <c r="W213" s="6">
        <f>1/(1+EXP(-V213))</f>
        <v/>
      </c>
      <c r="X213" s="8">
        <f>-IF(C213=1,LN(W213),LN(1-W213))</f>
        <v/>
      </c>
      <c r="Y213" s="9">
        <f>IF(W213&gt;$AC$32,1,0)</f>
        <v/>
      </c>
      <c r="Z213">
        <f>IF(Y213=C213,1,0)</f>
        <v/>
      </c>
    </row>
    <row r="214">
      <c r="A214">
        <f>'3 escalar'!A217</f>
        <v/>
      </c>
      <c r="B214" s="5">
        <f>'3 escalar'!U217</f>
        <v/>
      </c>
      <c r="C214">
        <f>'3 escalar'!B217</f>
        <v/>
      </c>
      <c r="D214" s="7">
        <f>'3 escalar'!C217</f>
        <v/>
      </c>
      <c r="E214" s="7">
        <f>'3 escalar'!D217</f>
        <v/>
      </c>
      <c r="F214" s="7">
        <f>'3 escalar'!E217</f>
        <v/>
      </c>
      <c r="G214" s="7">
        <f>'3 escalar'!F217</f>
        <v/>
      </c>
      <c r="H214" s="7">
        <f>'3 escalar'!G217</f>
        <v/>
      </c>
      <c r="I214" s="7">
        <f>'3 escalar'!H217</f>
        <v/>
      </c>
      <c r="J214" s="7">
        <f>'3 escalar'!I217</f>
        <v/>
      </c>
      <c r="K214" s="7">
        <f>'3 escalar'!J217</f>
        <v/>
      </c>
      <c r="L214" s="7">
        <f>'3 escalar'!K217</f>
        <v/>
      </c>
      <c r="M214" s="7">
        <f>'3 escalar'!L217</f>
        <v/>
      </c>
      <c r="N214" s="7">
        <f>'3 escalar'!M217</f>
        <v/>
      </c>
      <c r="O214" s="7">
        <f>'3 escalar'!N217</f>
        <v/>
      </c>
      <c r="P214" s="7">
        <f>'3 escalar'!O217</f>
        <v/>
      </c>
      <c r="Q214" s="7">
        <f>'3 escalar'!P217</f>
        <v/>
      </c>
      <c r="R214" s="7">
        <f>'3 escalar'!Q217</f>
        <v/>
      </c>
      <c r="S214" s="7">
        <f>'3 escalar'!R217</f>
        <v/>
      </c>
      <c r="T214" s="7">
        <f>'3 escalar'!S217</f>
        <v/>
      </c>
      <c r="U214" s="7">
        <f>'3 escalar'!T217</f>
        <v/>
      </c>
      <c r="V214" s="6">
        <f>$AC$12+D214*$AC$13+E214*$AC$14+F214*$AC$15+G214*$AC$16+H214*$AC$17+I214*$AC$18+J214*$AC$19+K214*$AC$20+L214*$AC$21+M214*$AC$22+N214*$AC$23+O214*$AC$24+P214*$AC$25+Q214*$AC$26+R214*$AC$27+S214*$AC$28+T214*$AC$29+U214*$AC$30</f>
        <v/>
      </c>
      <c r="W214" s="6">
        <f>1/(1+EXP(-V214))</f>
        <v/>
      </c>
      <c r="X214" s="8">
        <f>-IF(C214=1,LN(W214),LN(1-W214))</f>
        <v/>
      </c>
      <c r="Y214" s="9">
        <f>IF(W214&gt;$AC$32,1,0)</f>
        <v/>
      </c>
      <c r="Z214">
        <f>IF(Y214=C214,1,0)</f>
        <v/>
      </c>
    </row>
    <row r="215">
      <c r="A215">
        <f>'3 escalar'!A218</f>
        <v/>
      </c>
      <c r="B215" s="5">
        <f>'3 escalar'!U218</f>
        <v/>
      </c>
      <c r="C215">
        <f>'3 escalar'!B218</f>
        <v/>
      </c>
      <c r="D215" s="7">
        <f>'3 escalar'!C218</f>
        <v/>
      </c>
      <c r="E215" s="7">
        <f>'3 escalar'!D218</f>
        <v/>
      </c>
      <c r="F215" s="7">
        <f>'3 escalar'!E218</f>
        <v/>
      </c>
      <c r="G215" s="7">
        <f>'3 escalar'!F218</f>
        <v/>
      </c>
      <c r="H215" s="7">
        <f>'3 escalar'!G218</f>
        <v/>
      </c>
      <c r="I215" s="7">
        <f>'3 escalar'!H218</f>
        <v/>
      </c>
      <c r="J215" s="7">
        <f>'3 escalar'!I218</f>
        <v/>
      </c>
      <c r="K215" s="7">
        <f>'3 escalar'!J218</f>
        <v/>
      </c>
      <c r="L215" s="7">
        <f>'3 escalar'!K218</f>
        <v/>
      </c>
      <c r="M215" s="7">
        <f>'3 escalar'!L218</f>
        <v/>
      </c>
      <c r="N215" s="7">
        <f>'3 escalar'!M218</f>
        <v/>
      </c>
      <c r="O215" s="7">
        <f>'3 escalar'!N218</f>
        <v/>
      </c>
      <c r="P215" s="7">
        <f>'3 escalar'!O218</f>
        <v/>
      </c>
      <c r="Q215" s="7">
        <f>'3 escalar'!P218</f>
        <v/>
      </c>
      <c r="R215" s="7">
        <f>'3 escalar'!Q218</f>
        <v/>
      </c>
      <c r="S215" s="7">
        <f>'3 escalar'!R218</f>
        <v/>
      </c>
      <c r="T215" s="7">
        <f>'3 escalar'!S218</f>
        <v/>
      </c>
      <c r="U215" s="7">
        <f>'3 escalar'!T218</f>
        <v/>
      </c>
      <c r="V215" s="6">
        <f>$AC$12+D215*$AC$13+E215*$AC$14+F215*$AC$15+G215*$AC$16+H215*$AC$17+I215*$AC$18+J215*$AC$19+K215*$AC$20+L215*$AC$21+M215*$AC$22+N215*$AC$23+O215*$AC$24+P215*$AC$25+Q215*$AC$26+R215*$AC$27+S215*$AC$28+T215*$AC$29+U215*$AC$30</f>
        <v/>
      </c>
      <c r="W215" s="6">
        <f>1/(1+EXP(-V215))</f>
        <v/>
      </c>
      <c r="X215" s="8">
        <f>-IF(C215=1,LN(W215),LN(1-W215))</f>
        <v/>
      </c>
      <c r="Y215" s="9">
        <f>IF(W215&gt;$AC$32,1,0)</f>
        <v/>
      </c>
      <c r="Z215">
        <f>IF(Y215=C215,1,0)</f>
        <v/>
      </c>
    </row>
    <row r="216">
      <c r="A216">
        <f>'3 escalar'!A219</f>
        <v/>
      </c>
      <c r="B216" s="5">
        <f>'3 escalar'!U219</f>
        <v/>
      </c>
      <c r="C216">
        <f>'3 escalar'!B219</f>
        <v/>
      </c>
      <c r="D216" s="7">
        <f>'3 escalar'!C219</f>
        <v/>
      </c>
      <c r="E216" s="7">
        <f>'3 escalar'!D219</f>
        <v/>
      </c>
      <c r="F216" s="7">
        <f>'3 escalar'!E219</f>
        <v/>
      </c>
      <c r="G216" s="7">
        <f>'3 escalar'!F219</f>
        <v/>
      </c>
      <c r="H216" s="7">
        <f>'3 escalar'!G219</f>
        <v/>
      </c>
      <c r="I216" s="7">
        <f>'3 escalar'!H219</f>
        <v/>
      </c>
      <c r="J216" s="7">
        <f>'3 escalar'!I219</f>
        <v/>
      </c>
      <c r="K216" s="7">
        <f>'3 escalar'!J219</f>
        <v/>
      </c>
      <c r="L216" s="7">
        <f>'3 escalar'!K219</f>
        <v/>
      </c>
      <c r="M216" s="7">
        <f>'3 escalar'!L219</f>
        <v/>
      </c>
      <c r="N216" s="7">
        <f>'3 escalar'!M219</f>
        <v/>
      </c>
      <c r="O216" s="7">
        <f>'3 escalar'!N219</f>
        <v/>
      </c>
      <c r="P216" s="7">
        <f>'3 escalar'!O219</f>
        <v/>
      </c>
      <c r="Q216" s="7">
        <f>'3 escalar'!P219</f>
        <v/>
      </c>
      <c r="R216" s="7">
        <f>'3 escalar'!Q219</f>
        <v/>
      </c>
      <c r="S216" s="7">
        <f>'3 escalar'!R219</f>
        <v/>
      </c>
      <c r="T216" s="7">
        <f>'3 escalar'!S219</f>
        <v/>
      </c>
      <c r="U216" s="7">
        <f>'3 escalar'!T219</f>
        <v/>
      </c>
      <c r="V216" s="6">
        <f>$AC$12+D216*$AC$13+E216*$AC$14+F216*$AC$15+G216*$AC$16+H216*$AC$17+I216*$AC$18+J216*$AC$19+K216*$AC$20+L216*$AC$21+M216*$AC$22+N216*$AC$23+O216*$AC$24+P216*$AC$25+Q216*$AC$26+R216*$AC$27+S216*$AC$28+T216*$AC$29+U216*$AC$30</f>
        <v/>
      </c>
      <c r="W216" s="6">
        <f>1/(1+EXP(-V216))</f>
        <v/>
      </c>
      <c r="X216" s="8">
        <f>-IF(C216=1,LN(W216),LN(1-W216))</f>
        <v/>
      </c>
      <c r="Y216" s="9">
        <f>IF(W216&gt;$AC$32,1,0)</f>
        <v/>
      </c>
      <c r="Z216">
        <f>IF(Y216=C216,1,0)</f>
        <v/>
      </c>
    </row>
    <row r="217">
      <c r="A217">
        <f>'3 escalar'!A220</f>
        <v/>
      </c>
      <c r="B217" s="5">
        <f>'3 escalar'!U220</f>
        <v/>
      </c>
      <c r="C217">
        <f>'3 escalar'!B220</f>
        <v/>
      </c>
      <c r="D217" s="7">
        <f>'3 escalar'!C220</f>
        <v/>
      </c>
      <c r="E217" s="7">
        <f>'3 escalar'!D220</f>
        <v/>
      </c>
      <c r="F217" s="7">
        <f>'3 escalar'!E220</f>
        <v/>
      </c>
      <c r="G217" s="7">
        <f>'3 escalar'!F220</f>
        <v/>
      </c>
      <c r="H217" s="7">
        <f>'3 escalar'!G220</f>
        <v/>
      </c>
      <c r="I217" s="7">
        <f>'3 escalar'!H220</f>
        <v/>
      </c>
      <c r="J217" s="7">
        <f>'3 escalar'!I220</f>
        <v/>
      </c>
      <c r="K217" s="7">
        <f>'3 escalar'!J220</f>
        <v/>
      </c>
      <c r="L217" s="7">
        <f>'3 escalar'!K220</f>
        <v/>
      </c>
      <c r="M217" s="7">
        <f>'3 escalar'!L220</f>
        <v/>
      </c>
      <c r="N217" s="7">
        <f>'3 escalar'!M220</f>
        <v/>
      </c>
      <c r="O217" s="7">
        <f>'3 escalar'!N220</f>
        <v/>
      </c>
      <c r="P217" s="7">
        <f>'3 escalar'!O220</f>
        <v/>
      </c>
      <c r="Q217" s="7">
        <f>'3 escalar'!P220</f>
        <v/>
      </c>
      <c r="R217" s="7">
        <f>'3 escalar'!Q220</f>
        <v/>
      </c>
      <c r="S217" s="7">
        <f>'3 escalar'!R220</f>
        <v/>
      </c>
      <c r="T217" s="7">
        <f>'3 escalar'!S220</f>
        <v/>
      </c>
      <c r="U217" s="7">
        <f>'3 escalar'!T220</f>
        <v/>
      </c>
      <c r="V217" s="6">
        <f>$AC$12+D217*$AC$13+E217*$AC$14+F217*$AC$15+G217*$AC$16+H217*$AC$17+I217*$AC$18+J217*$AC$19+K217*$AC$20+L217*$AC$21+M217*$AC$22+N217*$AC$23+O217*$AC$24+P217*$AC$25+Q217*$AC$26+R217*$AC$27+S217*$AC$28+T217*$AC$29+U217*$AC$30</f>
        <v/>
      </c>
      <c r="W217" s="6">
        <f>1/(1+EXP(-V217))</f>
        <v/>
      </c>
      <c r="X217" s="8">
        <f>-IF(C217=1,LN(W217),LN(1-W217))</f>
        <v/>
      </c>
      <c r="Y217" s="9">
        <f>IF(W217&gt;$AC$32,1,0)</f>
        <v/>
      </c>
      <c r="Z217">
        <f>IF(Y217=C217,1,0)</f>
        <v/>
      </c>
    </row>
    <row r="218">
      <c r="A218">
        <f>'3 escalar'!A221</f>
        <v/>
      </c>
      <c r="B218" s="5">
        <f>'3 escalar'!U221</f>
        <v/>
      </c>
      <c r="C218">
        <f>'3 escalar'!B221</f>
        <v/>
      </c>
      <c r="D218" s="7">
        <f>'3 escalar'!C221</f>
        <v/>
      </c>
      <c r="E218" s="7">
        <f>'3 escalar'!D221</f>
        <v/>
      </c>
      <c r="F218" s="7">
        <f>'3 escalar'!E221</f>
        <v/>
      </c>
      <c r="G218" s="7">
        <f>'3 escalar'!F221</f>
        <v/>
      </c>
      <c r="H218" s="7">
        <f>'3 escalar'!G221</f>
        <v/>
      </c>
      <c r="I218" s="7">
        <f>'3 escalar'!H221</f>
        <v/>
      </c>
      <c r="J218" s="7">
        <f>'3 escalar'!I221</f>
        <v/>
      </c>
      <c r="K218" s="7">
        <f>'3 escalar'!J221</f>
        <v/>
      </c>
      <c r="L218" s="7">
        <f>'3 escalar'!K221</f>
        <v/>
      </c>
      <c r="M218" s="7">
        <f>'3 escalar'!L221</f>
        <v/>
      </c>
      <c r="N218" s="7">
        <f>'3 escalar'!M221</f>
        <v/>
      </c>
      <c r="O218" s="7">
        <f>'3 escalar'!N221</f>
        <v/>
      </c>
      <c r="P218" s="7">
        <f>'3 escalar'!O221</f>
        <v/>
      </c>
      <c r="Q218" s="7">
        <f>'3 escalar'!P221</f>
        <v/>
      </c>
      <c r="R218" s="7">
        <f>'3 escalar'!Q221</f>
        <v/>
      </c>
      <c r="S218" s="7">
        <f>'3 escalar'!R221</f>
        <v/>
      </c>
      <c r="T218" s="7">
        <f>'3 escalar'!S221</f>
        <v/>
      </c>
      <c r="U218" s="7">
        <f>'3 escalar'!T221</f>
        <v/>
      </c>
      <c r="V218" s="6">
        <f>$AC$12+D218*$AC$13+E218*$AC$14+F218*$AC$15+G218*$AC$16+H218*$AC$17+I218*$AC$18+J218*$AC$19+K218*$AC$20+L218*$AC$21+M218*$AC$22+N218*$AC$23+O218*$AC$24+P218*$AC$25+Q218*$AC$26+R218*$AC$27+S218*$AC$28+T218*$AC$29+U218*$AC$30</f>
        <v/>
      </c>
      <c r="W218" s="6">
        <f>1/(1+EXP(-V218))</f>
        <v/>
      </c>
      <c r="X218" s="8">
        <f>-IF(C218=1,LN(W218),LN(1-W218))</f>
        <v/>
      </c>
      <c r="Y218" s="9">
        <f>IF(W218&gt;$AC$32,1,0)</f>
        <v/>
      </c>
      <c r="Z218">
        <f>IF(Y218=C218,1,0)</f>
        <v/>
      </c>
    </row>
    <row r="219">
      <c r="A219">
        <f>'3 escalar'!A222</f>
        <v/>
      </c>
      <c r="B219" s="5">
        <f>'3 escalar'!U222</f>
        <v/>
      </c>
      <c r="C219">
        <f>'3 escalar'!B222</f>
        <v/>
      </c>
      <c r="D219" s="7">
        <f>'3 escalar'!C222</f>
        <v/>
      </c>
      <c r="E219" s="7">
        <f>'3 escalar'!D222</f>
        <v/>
      </c>
      <c r="F219" s="7">
        <f>'3 escalar'!E222</f>
        <v/>
      </c>
      <c r="G219" s="7">
        <f>'3 escalar'!F222</f>
        <v/>
      </c>
      <c r="H219" s="7">
        <f>'3 escalar'!G222</f>
        <v/>
      </c>
      <c r="I219" s="7">
        <f>'3 escalar'!H222</f>
        <v/>
      </c>
      <c r="J219" s="7">
        <f>'3 escalar'!I222</f>
        <v/>
      </c>
      <c r="K219" s="7">
        <f>'3 escalar'!J222</f>
        <v/>
      </c>
      <c r="L219" s="7">
        <f>'3 escalar'!K222</f>
        <v/>
      </c>
      <c r="M219" s="7">
        <f>'3 escalar'!L222</f>
        <v/>
      </c>
      <c r="N219" s="7">
        <f>'3 escalar'!M222</f>
        <v/>
      </c>
      <c r="O219" s="7">
        <f>'3 escalar'!N222</f>
        <v/>
      </c>
      <c r="P219" s="7">
        <f>'3 escalar'!O222</f>
        <v/>
      </c>
      <c r="Q219" s="7">
        <f>'3 escalar'!P222</f>
        <v/>
      </c>
      <c r="R219" s="7">
        <f>'3 escalar'!Q222</f>
        <v/>
      </c>
      <c r="S219" s="7">
        <f>'3 escalar'!R222</f>
        <v/>
      </c>
      <c r="T219" s="7">
        <f>'3 escalar'!S222</f>
        <v/>
      </c>
      <c r="U219" s="7">
        <f>'3 escalar'!T222</f>
        <v/>
      </c>
      <c r="V219" s="6">
        <f>$AC$12+D219*$AC$13+E219*$AC$14+F219*$AC$15+G219*$AC$16+H219*$AC$17+I219*$AC$18+J219*$AC$19+K219*$AC$20+L219*$AC$21+M219*$AC$22+N219*$AC$23+O219*$AC$24+P219*$AC$25+Q219*$AC$26+R219*$AC$27+S219*$AC$28+T219*$AC$29+U219*$AC$30</f>
        <v/>
      </c>
      <c r="W219" s="6">
        <f>1/(1+EXP(-V219))</f>
        <v/>
      </c>
      <c r="X219" s="8">
        <f>-IF(C219=1,LN(W219),LN(1-W219))</f>
        <v/>
      </c>
      <c r="Y219" s="9">
        <f>IF(W219&gt;$AC$32,1,0)</f>
        <v/>
      </c>
      <c r="Z219">
        <f>IF(Y219=C219,1,0)</f>
        <v/>
      </c>
    </row>
    <row r="220">
      <c r="A220">
        <f>'3 escalar'!A223</f>
        <v/>
      </c>
      <c r="B220" s="5">
        <f>'3 escalar'!U223</f>
        <v/>
      </c>
      <c r="C220">
        <f>'3 escalar'!B223</f>
        <v/>
      </c>
      <c r="D220" s="7">
        <f>'3 escalar'!C223</f>
        <v/>
      </c>
      <c r="E220" s="7">
        <f>'3 escalar'!D223</f>
        <v/>
      </c>
      <c r="F220" s="7">
        <f>'3 escalar'!E223</f>
        <v/>
      </c>
      <c r="G220" s="7">
        <f>'3 escalar'!F223</f>
        <v/>
      </c>
      <c r="H220" s="7">
        <f>'3 escalar'!G223</f>
        <v/>
      </c>
      <c r="I220" s="7">
        <f>'3 escalar'!H223</f>
        <v/>
      </c>
      <c r="J220" s="7">
        <f>'3 escalar'!I223</f>
        <v/>
      </c>
      <c r="K220" s="7">
        <f>'3 escalar'!J223</f>
        <v/>
      </c>
      <c r="L220" s="7">
        <f>'3 escalar'!K223</f>
        <v/>
      </c>
      <c r="M220" s="7">
        <f>'3 escalar'!L223</f>
        <v/>
      </c>
      <c r="N220" s="7">
        <f>'3 escalar'!M223</f>
        <v/>
      </c>
      <c r="O220" s="7">
        <f>'3 escalar'!N223</f>
        <v/>
      </c>
      <c r="P220" s="7">
        <f>'3 escalar'!O223</f>
        <v/>
      </c>
      <c r="Q220" s="7">
        <f>'3 escalar'!P223</f>
        <v/>
      </c>
      <c r="R220" s="7">
        <f>'3 escalar'!Q223</f>
        <v/>
      </c>
      <c r="S220" s="7">
        <f>'3 escalar'!R223</f>
        <v/>
      </c>
      <c r="T220" s="7">
        <f>'3 escalar'!S223</f>
        <v/>
      </c>
      <c r="U220" s="7">
        <f>'3 escalar'!T223</f>
        <v/>
      </c>
      <c r="V220" s="6">
        <f>$AC$12+D220*$AC$13+E220*$AC$14+F220*$AC$15+G220*$AC$16+H220*$AC$17+I220*$AC$18+J220*$AC$19+K220*$AC$20+L220*$AC$21+M220*$AC$22+N220*$AC$23+O220*$AC$24+P220*$AC$25+Q220*$AC$26+R220*$AC$27+S220*$AC$28+T220*$AC$29+U220*$AC$30</f>
        <v/>
      </c>
      <c r="W220" s="6">
        <f>1/(1+EXP(-V220))</f>
        <v/>
      </c>
      <c r="X220" s="8">
        <f>-IF(C220=1,LN(W220),LN(1-W220))</f>
        <v/>
      </c>
      <c r="Y220" s="9">
        <f>IF(W220&gt;$AC$32,1,0)</f>
        <v/>
      </c>
      <c r="Z220">
        <f>IF(Y220=C220,1,0)</f>
        <v/>
      </c>
    </row>
    <row r="221">
      <c r="A221">
        <f>'3 escalar'!A224</f>
        <v/>
      </c>
      <c r="B221" s="5">
        <f>'3 escalar'!U224</f>
        <v/>
      </c>
      <c r="C221">
        <f>'3 escalar'!B224</f>
        <v/>
      </c>
      <c r="D221" s="7">
        <f>'3 escalar'!C224</f>
        <v/>
      </c>
      <c r="E221" s="7">
        <f>'3 escalar'!D224</f>
        <v/>
      </c>
      <c r="F221" s="7">
        <f>'3 escalar'!E224</f>
        <v/>
      </c>
      <c r="G221" s="7">
        <f>'3 escalar'!F224</f>
        <v/>
      </c>
      <c r="H221" s="7">
        <f>'3 escalar'!G224</f>
        <v/>
      </c>
      <c r="I221" s="7">
        <f>'3 escalar'!H224</f>
        <v/>
      </c>
      <c r="J221" s="7">
        <f>'3 escalar'!I224</f>
        <v/>
      </c>
      <c r="K221" s="7">
        <f>'3 escalar'!J224</f>
        <v/>
      </c>
      <c r="L221" s="7">
        <f>'3 escalar'!K224</f>
        <v/>
      </c>
      <c r="M221" s="7">
        <f>'3 escalar'!L224</f>
        <v/>
      </c>
      <c r="N221" s="7">
        <f>'3 escalar'!M224</f>
        <v/>
      </c>
      <c r="O221" s="7">
        <f>'3 escalar'!N224</f>
        <v/>
      </c>
      <c r="P221" s="7">
        <f>'3 escalar'!O224</f>
        <v/>
      </c>
      <c r="Q221" s="7">
        <f>'3 escalar'!P224</f>
        <v/>
      </c>
      <c r="R221" s="7">
        <f>'3 escalar'!Q224</f>
        <v/>
      </c>
      <c r="S221" s="7">
        <f>'3 escalar'!R224</f>
        <v/>
      </c>
      <c r="T221" s="7">
        <f>'3 escalar'!S224</f>
        <v/>
      </c>
      <c r="U221" s="7">
        <f>'3 escalar'!T224</f>
        <v/>
      </c>
      <c r="V221" s="6">
        <f>$AC$12+D221*$AC$13+E221*$AC$14+F221*$AC$15+G221*$AC$16+H221*$AC$17+I221*$AC$18+J221*$AC$19+K221*$AC$20+L221*$AC$21+M221*$AC$22+N221*$AC$23+O221*$AC$24+P221*$AC$25+Q221*$AC$26+R221*$AC$27+S221*$AC$28+T221*$AC$29+U221*$AC$30</f>
        <v/>
      </c>
      <c r="W221" s="6">
        <f>1/(1+EXP(-V221))</f>
        <v/>
      </c>
      <c r="X221" s="8">
        <f>-IF(C221=1,LN(W221),LN(1-W221))</f>
        <v/>
      </c>
      <c r="Y221" s="9">
        <f>IF(W221&gt;$AC$32,1,0)</f>
        <v/>
      </c>
      <c r="Z221">
        <f>IF(Y221=C221,1,0)</f>
        <v/>
      </c>
    </row>
    <row r="222">
      <c r="A222">
        <f>'3 escalar'!A225</f>
        <v/>
      </c>
      <c r="B222" s="5">
        <f>'3 escalar'!U225</f>
        <v/>
      </c>
      <c r="C222">
        <f>'3 escalar'!B225</f>
        <v/>
      </c>
      <c r="D222" s="7">
        <f>'3 escalar'!C225</f>
        <v/>
      </c>
      <c r="E222" s="7">
        <f>'3 escalar'!D225</f>
        <v/>
      </c>
      <c r="F222" s="7">
        <f>'3 escalar'!E225</f>
        <v/>
      </c>
      <c r="G222" s="7">
        <f>'3 escalar'!F225</f>
        <v/>
      </c>
      <c r="H222" s="7">
        <f>'3 escalar'!G225</f>
        <v/>
      </c>
      <c r="I222" s="7">
        <f>'3 escalar'!H225</f>
        <v/>
      </c>
      <c r="J222" s="7">
        <f>'3 escalar'!I225</f>
        <v/>
      </c>
      <c r="K222" s="7">
        <f>'3 escalar'!J225</f>
        <v/>
      </c>
      <c r="L222" s="7">
        <f>'3 escalar'!K225</f>
        <v/>
      </c>
      <c r="M222" s="7">
        <f>'3 escalar'!L225</f>
        <v/>
      </c>
      <c r="N222" s="7">
        <f>'3 escalar'!M225</f>
        <v/>
      </c>
      <c r="O222" s="7">
        <f>'3 escalar'!N225</f>
        <v/>
      </c>
      <c r="P222" s="7">
        <f>'3 escalar'!O225</f>
        <v/>
      </c>
      <c r="Q222" s="7">
        <f>'3 escalar'!P225</f>
        <v/>
      </c>
      <c r="R222" s="7">
        <f>'3 escalar'!Q225</f>
        <v/>
      </c>
      <c r="S222" s="7">
        <f>'3 escalar'!R225</f>
        <v/>
      </c>
      <c r="T222" s="7">
        <f>'3 escalar'!S225</f>
        <v/>
      </c>
      <c r="U222" s="7">
        <f>'3 escalar'!T225</f>
        <v/>
      </c>
      <c r="V222" s="6">
        <f>$AC$12+D222*$AC$13+E222*$AC$14+F222*$AC$15+G222*$AC$16+H222*$AC$17+I222*$AC$18+J222*$AC$19+K222*$AC$20+L222*$AC$21+M222*$AC$22+N222*$AC$23+O222*$AC$24+P222*$AC$25+Q222*$AC$26+R222*$AC$27+S222*$AC$28+T222*$AC$29+U222*$AC$30</f>
        <v/>
      </c>
      <c r="W222" s="6">
        <f>1/(1+EXP(-V222))</f>
        <v/>
      </c>
      <c r="X222" s="8">
        <f>-IF(C222=1,LN(W222),LN(1-W222))</f>
        <v/>
      </c>
      <c r="Y222" s="9">
        <f>IF(W222&gt;$AC$32,1,0)</f>
        <v/>
      </c>
      <c r="Z222">
        <f>IF(Y222=C222,1,0)</f>
        <v/>
      </c>
    </row>
    <row r="223">
      <c r="A223">
        <f>'3 escalar'!A226</f>
        <v/>
      </c>
      <c r="B223" s="5">
        <f>'3 escalar'!U226</f>
        <v/>
      </c>
      <c r="C223">
        <f>'3 escalar'!B226</f>
        <v/>
      </c>
      <c r="D223" s="7">
        <f>'3 escalar'!C226</f>
        <v/>
      </c>
      <c r="E223" s="7">
        <f>'3 escalar'!D226</f>
        <v/>
      </c>
      <c r="F223" s="7">
        <f>'3 escalar'!E226</f>
        <v/>
      </c>
      <c r="G223" s="7">
        <f>'3 escalar'!F226</f>
        <v/>
      </c>
      <c r="H223" s="7">
        <f>'3 escalar'!G226</f>
        <v/>
      </c>
      <c r="I223" s="7">
        <f>'3 escalar'!H226</f>
        <v/>
      </c>
      <c r="J223" s="7">
        <f>'3 escalar'!I226</f>
        <v/>
      </c>
      <c r="K223" s="7">
        <f>'3 escalar'!J226</f>
        <v/>
      </c>
      <c r="L223" s="7">
        <f>'3 escalar'!K226</f>
        <v/>
      </c>
      <c r="M223" s="7">
        <f>'3 escalar'!L226</f>
        <v/>
      </c>
      <c r="N223" s="7">
        <f>'3 escalar'!M226</f>
        <v/>
      </c>
      <c r="O223" s="7">
        <f>'3 escalar'!N226</f>
        <v/>
      </c>
      <c r="P223" s="7">
        <f>'3 escalar'!O226</f>
        <v/>
      </c>
      <c r="Q223" s="7">
        <f>'3 escalar'!P226</f>
        <v/>
      </c>
      <c r="R223" s="7">
        <f>'3 escalar'!Q226</f>
        <v/>
      </c>
      <c r="S223" s="7">
        <f>'3 escalar'!R226</f>
        <v/>
      </c>
      <c r="T223" s="7">
        <f>'3 escalar'!S226</f>
        <v/>
      </c>
      <c r="U223" s="7">
        <f>'3 escalar'!T226</f>
        <v/>
      </c>
      <c r="V223" s="6">
        <f>$AC$12+D223*$AC$13+E223*$AC$14+F223*$AC$15+G223*$AC$16+H223*$AC$17+I223*$AC$18+J223*$AC$19+K223*$AC$20+L223*$AC$21+M223*$AC$22+N223*$AC$23+O223*$AC$24+P223*$AC$25+Q223*$AC$26+R223*$AC$27+S223*$AC$28+T223*$AC$29+U223*$AC$30</f>
        <v/>
      </c>
      <c r="W223" s="6">
        <f>1/(1+EXP(-V223))</f>
        <v/>
      </c>
      <c r="X223" s="8">
        <f>-IF(C223=1,LN(W223),LN(1-W223))</f>
        <v/>
      </c>
      <c r="Y223" s="9">
        <f>IF(W223&gt;$AC$32,1,0)</f>
        <v/>
      </c>
      <c r="Z223">
        <f>IF(Y223=C223,1,0)</f>
        <v/>
      </c>
    </row>
    <row r="224">
      <c r="A224">
        <f>'3 escalar'!A227</f>
        <v/>
      </c>
      <c r="B224" s="5">
        <f>'3 escalar'!U227</f>
        <v/>
      </c>
      <c r="C224">
        <f>'3 escalar'!B227</f>
        <v/>
      </c>
      <c r="D224" s="7">
        <f>'3 escalar'!C227</f>
        <v/>
      </c>
      <c r="E224" s="7">
        <f>'3 escalar'!D227</f>
        <v/>
      </c>
      <c r="F224" s="7">
        <f>'3 escalar'!E227</f>
        <v/>
      </c>
      <c r="G224" s="7">
        <f>'3 escalar'!F227</f>
        <v/>
      </c>
      <c r="H224" s="7">
        <f>'3 escalar'!G227</f>
        <v/>
      </c>
      <c r="I224" s="7">
        <f>'3 escalar'!H227</f>
        <v/>
      </c>
      <c r="J224" s="7">
        <f>'3 escalar'!I227</f>
        <v/>
      </c>
      <c r="K224" s="7">
        <f>'3 escalar'!J227</f>
        <v/>
      </c>
      <c r="L224" s="7">
        <f>'3 escalar'!K227</f>
        <v/>
      </c>
      <c r="M224" s="7">
        <f>'3 escalar'!L227</f>
        <v/>
      </c>
      <c r="N224" s="7">
        <f>'3 escalar'!M227</f>
        <v/>
      </c>
      <c r="O224" s="7">
        <f>'3 escalar'!N227</f>
        <v/>
      </c>
      <c r="P224" s="7">
        <f>'3 escalar'!O227</f>
        <v/>
      </c>
      <c r="Q224" s="7">
        <f>'3 escalar'!P227</f>
        <v/>
      </c>
      <c r="R224" s="7">
        <f>'3 escalar'!Q227</f>
        <v/>
      </c>
      <c r="S224" s="7">
        <f>'3 escalar'!R227</f>
        <v/>
      </c>
      <c r="T224" s="7">
        <f>'3 escalar'!S227</f>
        <v/>
      </c>
      <c r="U224" s="7">
        <f>'3 escalar'!T227</f>
        <v/>
      </c>
      <c r="V224" s="6">
        <f>$AC$12+D224*$AC$13+E224*$AC$14+F224*$AC$15+G224*$AC$16+H224*$AC$17+I224*$AC$18+J224*$AC$19+K224*$AC$20+L224*$AC$21+M224*$AC$22+N224*$AC$23+O224*$AC$24+P224*$AC$25+Q224*$AC$26+R224*$AC$27+S224*$AC$28+T224*$AC$29+U224*$AC$30</f>
        <v/>
      </c>
      <c r="W224" s="6">
        <f>1/(1+EXP(-V224))</f>
        <v/>
      </c>
      <c r="X224" s="8">
        <f>-IF(C224=1,LN(W224),LN(1-W224))</f>
        <v/>
      </c>
      <c r="Y224" s="9">
        <f>IF(W224&gt;$AC$32,1,0)</f>
        <v/>
      </c>
      <c r="Z224">
        <f>IF(Y224=C224,1,0)</f>
        <v/>
      </c>
    </row>
    <row r="225">
      <c r="A225">
        <f>'3 escalar'!A228</f>
        <v/>
      </c>
      <c r="B225" s="5">
        <f>'3 escalar'!U228</f>
        <v/>
      </c>
      <c r="C225">
        <f>'3 escalar'!B228</f>
        <v/>
      </c>
      <c r="D225" s="7">
        <f>'3 escalar'!C228</f>
        <v/>
      </c>
      <c r="E225" s="7">
        <f>'3 escalar'!D228</f>
        <v/>
      </c>
      <c r="F225" s="7">
        <f>'3 escalar'!E228</f>
        <v/>
      </c>
      <c r="G225" s="7">
        <f>'3 escalar'!F228</f>
        <v/>
      </c>
      <c r="H225" s="7">
        <f>'3 escalar'!G228</f>
        <v/>
      </c>
      <c r="I225" s="7">
        <f>'3 escalar'!H228</f>
        <v/>
      </c>
      <c r="J225" s="7">
        <f>'3 escalar'!I228</f>
        <v/>
      </c>
      <c r="K225" s="7">
        <f>'3 escalar'!J228</f>
        <v/>
      </c>
      <c r="L225" s="7">
        <f>'3 escalar'!K228</f>
        <v/>
      </c>
      <c r="M225" s="7">
        <f>'3 escalar'!L228</f>
        <v/>
      </c>
      <c r="N225" s="7">
        <f>'3 escalar'!M228</f>
        <v/>
      </c>
      <c r="O225" s="7">
        <f>'3 escalar'!N228</f>
        <v/>
      </c>
      <c r="P225" s="7">
        <f>'3 escalar'!O228</f>
        <v/>
      </c>
      <c r="Q225" s="7">
        <f>'3 escalar'!P228</f>
        <v/>
      </c>
      <c r="R225" s="7">
        <f>'3 escalar'!Q228</f>
        <v/>
      </c>
      <c r="S225" s="7">
        <f>'3 escalar'!R228</f>
        <v/>
      </c>
      <c r="T225" s="7">
        <f>'3 escalar'!S228</f>
        <v/>
      </c>
      <c r="U225" s="7">
        <f>'3 escalar'!T228</f>
        <v/>
      </c>
      <c r="V225" s="6">
        <f>$AC$12+D225*$AC$13+E225*$AC$14+F225*$AC$15+G225*$AC$16+H225*$AC$17+I225*$AC$18+J225*$AC$19+K225*$AC$20+L225*$AC$21+M225*$AC$22+N225*$AC$23+O225*$AC$24+P225*$AC$25+Q225*$AC$26+R225*$AC$27+S225*$AC$28+T225*$AC$29+U225*$AC$30</f>
        <v/>
      </c>
      <c r="W225" s="6">
        <f>1/(1+EXP(-V225))</f>
        <v/>
      </c>
      <c r="X225" s="8">
        <f>-IF(C225=1,LN(W225),LN(1-W225))</f>
        <v/>
      </c>
      <c r="Y225" s="9">
        <f>IF(W225&gt;$AC$32,1,0)</f>
        <v/>
      </c>
      <c r="Z225">
        <f>IF(Y225=C225,1,0)</f>
        <v/>
      </c>
    </row>
    <row r="226">
      <c r="A226">
        <f>'3 escalar'!A229</f>
        <v/>
      </c>
      <c r="B226" s="5">
        <f>'3 escalar'!U229</f>
        <v/>
      </c>
      <c r="C226">
        <f>'3 escalar'!B229</f>
        <v/>
      </c>
      <c r="D226" s="7">
        <f>'3 escalar'!C229</f>
        <v/>
      </c>
      <c r="E226" s="7">
        <f>'3 escalar'!D229</f>
        <v/>
      </c>
      <c r="F226" s="7">
        <f>'3 escalar'!E229</f>
        <v/>
      </c>
      <c r="G226" s="7">
        <f>'3 escalar'!F229</f>
        <v/>
      </c>
      <c r="H226" s="7">
        <f>'3 escalar'!G229</f>
        <v/>
      </c>
      <c r="I226" s="7">
        <f>'3 escalar'!H229</f>
        <v/>
      </c>
      <c r="J226" s="7">
        <f>'3 escalar'!I229</f>
        <v/>
      </c>
      <c r="K226" s="7">
        <f>'3 escalar'!J229</f>
        <v/>
      </c>
      <c r="L226" s="7">
        <f>'3 escalar'!K229</f>
        <v/>
      </c>
      <c r="M226" s="7">
        <f>'3 escalar'!L229</f>
        <v/>
      </c>
      <c r="N226" s="7">
        <f>'3 escalar'!M229</f>
        <v/>
      </c>
      <c r="O226" s="7">
        <f>'3 escalar'!N229</f>
        <v/>
      </c>
      <c r="P226" s="7">
        <f>'3 escalar'!O229</f>
        <v/>
      </c>
      <c r="Q226" s="7">
        <f>'3 escalar'!P229</f>
        <v/>
      </c>
      <c r="R226" s="7">
        <f>'3 escalar'!Q229</f>
        <v/>
      </c>
      <c r="S226" s="7">
        <f>'3 escalar'!R229</f>
        <v/>
      </c>
      <c r="T226" s="7">
        <f>'3 escalar'!S229</f>
        <v/>
      </c>
      <c r="U226" s="7">
        <f>'3 escalar'!T229</f>
        <v/>
      </c>
      <c r="V226" s="6">
        <f>$AC$12+D226*$AC$13+E226*$AC$14+F226*$AC$15+G226*$AC$16+H226*$AC$17+I226*$AC$18+J226*$AC$19+K226*$AC$20+L226*$AC$21+M226*$AC$22+N226*$AC$23+O226*$AC$24+P226*$AC$25+Q226*$AC$26+R226*$AC$27+S226*$AC$28+T226*$AC$29+U226*$AC$30</f>
        <v/>
      </c>
      <c r="W226" s="6">
        <f>1/(1+EXP(-V226))</f>
        <v/>
      </c>
      <c r="X226" s="8">
        <f>-IF(C226=1,LN(W226),LN(1-W226))</f>
        <v/>
      </c>
      <c r="Y226" s="9">
        <f>IF(W226&gt;$AC$32,1,0)</f>
        <v/>
      </c>
      <c r="Z226">
        <f>IF(Y226=C226,1,0)</f>
        <v/>
      </c>
    </row>
    <row r="227">
      <c r="A227">
        <f>'3 escalar'!A230</f>
        <v/>
      </c>
      <c r="B227" s="5">
        <f>'3 escalar'!U230</f>
        <v/>
      </c>
      <c r="C227">
        <f>'3 escalar'!B230</f>
        <v/>
      </c>
      <c r="D227" s="7">
        <f>'3 escalar'!C230</f>
        <v/>
      </c>
      <c r="E227" s="7">
        <f>'3 escalar'!D230</f>
        <v/>
      </c>
      <c r="F227" s="7">
        <f>'3 escalar'!E230</f>
        <v/>
      </c>
      <c r="G227" s="7">
        <f>'3 escalar'!F230</f>
        <v/>
      </c>
      <c r="H227" s="7">
        <f>'3 escalar'!G230</f>
        <v/>
      </c>
      <c r="I227" s="7">
        <f>'3 escalar'!H230</f>
        <v/>
      </c>
      <c r="J227" s="7">
        <f>'3 escalar'!I230</f>
        <v/>
      </c>
      <c r="K227" s="7">
        <f>'3 escalar'!J230</f>
        <v/>
      </c>
      <c r="L227" s="7">
        <f>'3 escalar'!K230</f>
        <v/>
      </c>
      <c r="M227" s="7">
        <f>'3 escalar'!L230</f>
        <v/>
      </c>
      <c r="N227" s="7">
        <f>'3 escalar'!M230</f>
        <v/>
      </c>
      <c r="O227" s="7">
        <f>'3 escalar'!N230</f>
        <v/>
      </c>
      <c r="P227" s="7">
        <f>'3 escalar'!O230</f>
        <v/>
      </c>
      <c r="Q227" s="7">
        <f>'3 escalar'!P230</f>
        <v/>
      </c>
      <c r="R227" s="7">
        <f>'3 escalar'!Q230</f>
        <v/>
      </c>
      <c r="S227" s="7">
        <f>'3 escalar'!R230</f>
        <v/>
      </c>
      <c r="T227" s="7">
        <f>'3 escalar'!S230</f>
        <v/>
      </c>
      <c r="U227" s="7">
        <f>'3 escalar'!T230</f>
        <v/>
      </c>
      <c r="V227" s="6">
        <f>$AC$12+D227*$AC$13+E227*$AC$14+F227*$AC$15+G227*$AC$16+H227*$AC$17+I227*$AC$18+J227*$AC$19+K227*$AC$20+L227*$AC$21+M227*$AC$22+N227*$AC$23+O227*$AC$24+P227*$AC$25+Q227*$AC$26+R227*$AC$27+S227*$AC$28+T227*$AC$29+U227*$AC$30</f>
        <v/>
      </c>
      <c r="W227" s="6">
        <f>1/(1+EXP(-V227))</f>
        <v/>
      </c>
      <c r="X227" s="8">
        <f>-IF(C227=1,LN(W227),LN(1-W227))</f>
        <v/>
      </c>
      <c r="Y227" s="9">
        <f>IF(W227&gt;$AC$32,1,0)</f>
        <v/>
      </c>
      <c r="Z227">
        <f>IF(Y227=C227,1,0)</f>
        <v/>
      </c>
    </row>
    <row r="228">
      <c r="A228">
        <f>'3 escalar'!A231</f>
        <v/>
      </c>
      <c r="B228" s="5">
        <f>'3 escalar'!U231</f>
        <v/>
      </c>
      <c r="C228">
        <f>'3 escalar'!B231</f>
        <v/>
      </c>
      <c r="D228" s="7">
        <f>'3 escalar'!C231</f>
        <v/>
      </c>
      <c r="E228" s="7">
        <f>'3 escalar'!D231</f>
        <v/>
      </c>
      <c r="F228" s="7">
        <f>'3 escalar'!E231</f>
        <v/>
      </c>
      <c r="G228" s="7">
        <f>'3 escalar'!F231</f>
        <v/>
      </c>
      <c r="H228" s="7">
        <f>'3 escalar'!G231</f>
        <v/>
      </c>
      <c r="I228" s="7">
        <f>'3 escalar'!H231</f>
        <v/>
      </c>
      <c r="J228" s="7">
        <f>'3 escalar'!I231</f>
        <v/>
      </c>
      <c r="K228" s="7">
        <f>'3 escalar'!J231</f>
        <v/>
      </c>
      <c r="L228" s="7">
        <f>'3 escalar'!K231</f>
        <v/>
      </c>
      <c r="M228" s="7">
        <f>'3 escalar'!L231</f>
        <v/>
      </c>
      <c r="N228" s="7">
        <f>'3 escalar'!M231</f>
        <v/>
      </c>
      <c r="O228" s="7">
        <f>'3 escalar'!N231</f>
        <v/>
      </c>
      <c r="P228" s="7">
        <f>'3 escalar'!O231</f>
        <v/>
      </c>
      <c r="Q228" s="7">
        <f>'3 escalar'!P231</f>
        <v/>
      </c>
      <c r="R228" s="7">
        <f>'3 escalar'!Q231</f>
        <v/>
      </c>
      <c r="S228" s="7">
        <f>'3 escalar'!R231</f>
        <v/>
      </c>
      <c r="T228" s="7">
        <f>'3 escalar'!S231</f>
        <v/>
      </c>
      <c r="U228" s="7">
        <f>'3 escalar'!T231</f>
        <v/>
      </c>
      <c r="V228" s="6">
        <f>$AC$12+D228*$AC$13+E228*$AC$14+F228*$AC$15+G228*$AC$16+H228*$AC$17+I228*$AC$18+J228*$AC$19+K228*$AC$20+L228*$AC$21+M228*$AC$22+N228*$AC$23+O228*$AC$24+P228*$AC$25+Q228*$AC$26+R228*$AC$27+S228*$AC$28+T228*$AC$29+U228*$AC$30</f>
        <v/>
      </c>
      <c r="W228" s="6">
        <f>1/(1+EXP(-V228))</f>
        <v/>
      </c>
      <c r="X228" s="8">
        <f>-IF(C228=1,LN(W228),LN(1-W228))</f>
        <v/>
      </c>
      <c r="Y228" s="9">
        <f>IF(W228&gt;$AC$32,1,0)</f>
        <v/>
      </c>
      <c r="Z228">
        <f>IF(Y228=C228,1,0)</f>
        <v/>
      </c>
    </row>
    <row r="229">
      <c r="A229">
        <f>'3 escalar'!A232</f>
        <v/>
      </c>
      <c r="B229" s="5">
        <f>'3 escalar'!U232</f>
        <v/>
      </c>
      <c r="C229">
        <f>'3 escalar'!B232</f>
        <v/>
      </c>
      <c r="D229" s="7">
        <f>'3 escalar'!C232</f>
        <v/>
      </c>
      <c r="E229" s="7">
        <f>'3 escalar'!D232</f>
        <v/>
      </c>
      <c r="F229" s="7">
        <f>'3 escalar'!E232</f>
        <v/>
      </c>
      <c r="G229" s="7">
        <f>'3 escalar'!F232</f>
        <v/>
      </c>
      <c r="H229" s="7">
        <f>'3 escalar'!G232</f>
        <v/>
      </c>
      <c r="I229" s="7">
        <f>'3 escalar'!H232</f>
        <v/>
      </c>
      <c r="J229" s="7">
        <f>'3 escalar'!I232</f>
        <v/>
      </c>
      <c r="K229" s="7">
        <f>'3 escalar'!J232</f>
        <v/>
      </c>
      <c r="L229" s="7">
        <f>'3 escalar'!K232</f>
        <v/>
      </c>
      <c r="M229" s="7">
        <f>'3 escalar'!L232</f>
        <v/>
      </c>
      <c r="N229" s="7">
        <f>'3 escalar'!M232</f>
        <v/>
      </c>
      <c r="O229" s="7">
        <f>'3 escalar'!N232</f>
        <v/>
      </c>
      <c r="P229" s="7">
        <f>'3 escalar'!O232</f>
        <v/>
      </c>
      <c r="Q229" s="7">
        <f>'3 escalar'!P232</f>
        <v/>
      </c>
      <c r="R229" s="7">
        <f>'3 escalar'!Q232</f>
        <v/>
      </c>
      <c r="S229" s="7">
        <f>'3 escalar'!R232</f>
        <v/>
      </c>
      <c r="T229" s="7">
        <f>'3 escalar'!S232</f>
        <v/>
      </c>
      <c r="U229" s="7">
        <f>'3 escalar'!T232</f>
        <v/>
      </c>
      <c r="V229" s="6">
        <f>$AC$12+D229*$AC$13+E229*$AC$14+F229*$AC$15+G229*$AC$16+H229*$AC$17+I229*$AC$18+J229*$AC$19+K229*$AC$20+L229*$AC$21+M229*$AC$22+N229*$AC$23+O229*$AC$24+P229*$AC$25+Q229*$AC$26+R229*$AC$27+S229*$AC$28+T229*$AC$29+U229*$AC$30</f>
        <v/>
      </c>
      <c r="W229" s="6">
        <f>1/(1+EXP(-V229))</f>
        <v/>
      </c>
      <c r="X229" s="8">
        <f>-IF(C229=1,LN(W229),LN(1-W229))</f>
        <v/>
      </c>
      <c r="Y229" s="9">
        <f>IF(W229&gt;$AC$32,1,0)</f>
        <v/>
      </c>
      <c r="Z229">
        <f>IF(Y229=C229,1,0)</f>
        <v/>
      </c>
    </row>
    <row r="230">
      <c r="A230">
        <f>'3 escalar'!A233</f>
        <v/>
      </c>
      <c r="B230" s="5">
        <f>'3 escalar'!U233</f>
        <v/>
      </c>
      <c r="C230">
        <f>'3 escalar'!B233</f>
        <v/>
      </c>
      <c r="D230" s="7">
        <f>'3 escalar'!C233</f>
        <v/>
      </c>
      <c r="E230" s="7">
        <f>'3 escalar'!D233</f>
        <v/>
      </c>
      <c r="F230" s="7">
        <f>'3 escalar'!E233</f>
        <v/>
      </c>
      <c r="G230" s="7">
        <f>'3 escalar'!F233</f>
        <v/>
      </c>
      <c r="H230" s="7">
        <f>'3 escalar'!G233</f>
        <v/>
      </c>
      <c r="I230" s="7">
        <f>'3 escalar'!H233</f>
        <v/>
      </c>
      <c r="J230" s="7">
        <f>'3 escalar'!I233</f>
        <v/>
      </c>
      <c r="K230" s="7">
        <f>'3 escalar'!J233</f>
        <v/>
      </c>
      <c r="L230" s="7">
        <f>'3 escalar'!K233</f>
        <v/>
      </c>
      <c r="M230" s="7">
        <f>'3 escalar'!L233</f>
        <v/>
      </c>
      <c r="N230" s="7">
        <f>'3 escalar'!M233</f>
        <v/>
      </c>
      <c r="O230" s="7">
        <f>'3 escalar'!N233</f>
        <v/>
      </c>
      <c r="P230" s="7">
        <f>'3 escalar'!O233</f>
        <v/>
      </c>
      <c r="Q230" s="7">
        <f>'3 escalar'!P233</f>
        <v/>
      </c>
      <c r="R230" s="7">
        <f>'3 escalar'!Q233</f>
        <v/>
      </c>
      <c r="S230" s="7">
        <f>'3 escalar'!R233</f>
        <v/>
      </c>
      <c r="T230" s="7">
        <f>'3 escalar'!S233</f>
        <v/>
      </c>
      <c r="U230" s="7">
        <f>'3 escalar'!T233</f>
        <v/>
      </c>
      <c r="V230" s="6">
        <f>$AC$12+D230*$AC$13+E230*$AC$14+F230*$AC$15+G230*$AC$16+H230*$AC$17+I230*$AC$18+J230*$AC$19+K230*$AC$20+L230*$AC$21+M230*$AC$22+N230*$AC$23+O230*$AC$24+P230*$AC$25+Q230*$AC$26+R230*$AC$27+S230*$AC$28+T230*$AC$29+U230*$AC$30</f>
        <v/>
      </c>
      <c r="W230" s="6">
        <f>1/(1+EXP(-V230))</f>
        <v/>
      </c>
      <c r="X230" s="8">
        <f>-IF(C230=1,LN(W230),LN(1-W230))</f>
        <v/>
      </c>
      <c r="Y230" s="9">
        <f>IF(W230&gt;$AC$32,1,0)</f>
        <v/>
      </c>
      <c r="Z230">
        <f>IF(Y230=C230,1,0)</f>
        <v/>
      </c>
    </row>
    <row r="231">
      <c r="A231">
        <f>'3 escalar'!A234</f>
        <v/>
      </c>
      <c r="B231" s="5">
        <f>'3 escalar'!U234</f>
        <v/>
      </c>
      <c r="C231">
        <f>'3 escalar'!B234</f>
        <v/>
      </c>
      <c r="D231" s="7">
        <f>'3 escalar'!C234</f>
        <v/>
      </c>
      <c r="E231" s="7">
        <f>'3 escalar'!D234</f>
        <v/>
      </c>
      <c r="F231" s="7">
        <f>'3 escalar'!E234</f>
        <v/>
      </c>
      <c r="G231" s="7">
        <f>'3 escalar'!F234</f>
        <v/>
      </c>
      <c r="H231" s="7">
        <f>'3 escalar'!G234</f>
        <v/>
      </c>
      <c r="I231" s="7">
        <f>'3 escalar'!H234</f>
        <v/>
      </c>
      <c r="J231" s="7">
        <f>'3 escalar'!I234</f>
        <v/>
      </c>
      <c r="K231" s="7">
        <f>'3 escalar'!J234</f>
        <v/>
      </c>
      <c r="L231" s="7">
        <f>'3 escalar'!K234</f>
        <v/>
      </c>
      <c r="M231" s="7">
        <f>'3 escalar'!L234</f>
        <v/>
      </c>
      <c r="N231" s="7">
        <f>'3 escalar'!M234</f>
        <v/>
      </c>
      <c r="O231" s="7">
        <f>'3 escalar'!N234</f>
        <v/>
      </c>
      <c r="P231" s="7">
        <f>'3 escalar'!O234</f>
        <v/>
      </c>
      <c r="Q231" s="7">
        <f>'3 escalar'!P234</f>
        <v/>
      </c>
      <c r="R231" s="7">
        <f>'3 escalar'!Q234</f>
        <v/>
      </c>
      <c r="S231" s="7">
        <f>'3 escalar'!R234</f>
        <v/>
      </c>
      <c r="T231" s="7">
        <f>'3 escalar'!S234</f>
        <v/>
      </c>
      <c r="U231" s="7">
        <f>'3 escalar'!T234</f>
        <v/>
      </c>
      <c r="V231" s="6">
        <f>$AC$12+D231*$AC$13+E231*$AC$14+F231*$AC$15+G231*$AC$16+H231*$AC$17+I231*$AC$18+J231*$AC$19+K231*$AC$20+L231*$AC$21+M231*$AC$22+N231*$AC$23+O231*$AC$24+P231*$AC$25+Q231*$AC$26+R231*$AC$27+S231*$AC$28+T231*$AC$29+U231*$AC$30</f>
        <v/>
      </c>
      <c r="W231" s="6">
        <f>1/(1+EXP(-V231))</f>
        <v/>
      </c>
      <c r="X231" s="8">
        <f>-IF(C231=1,LN(W231),LN(1-W231))</f>
        <v/>
      </c>
      <c r="Y231" s="9">
        <f>IF(W231&gt;$AC$32,1,0)</f>
        <v/>
      </c>
      <c r="Z231">
        <f>IF(Y231=C231,1,0)</f>
        <v/>
      </c>
    </row>
    <row r="232">
      <c r="A232">
        <f>'3 escalar'!A235</f>
        <v/>
      </c>
      <c r="B232" s="5">
        <f>'3 escalar'!U235</f>
        <v/>
      </c>
      <c r="C232">
        <f>'3 escalar'!B235</f>
        <v/>
      </c>
      <c r="D232" s="7">
        <f>'3 escalar'!C235</f>
        <v/>
      </c>
      <c r="E232" s="7">
        <f>'3 escalar'!D235</f>
        <v/>
      </c>
      <c r="F232" s="7">
        <f>'3 escalar'!E235</f>
        <v/>
      </c>
      <c r="G232" s="7">
        <f>'3 escalar'!F235</f>
        <v/>
      </c>
      <c r="H232" s="7">
        <f>'3 escalar'!G235</f>
        <v/>
      </c>
      <c r="I232" s="7">
        <f>'3 escalar'!H235</f>
        <v/>
      </c>
      <c r="J232" s="7">
        <f>'3 escalar'!I235</f>
        <v/>
      </c>
      <c r="K232" s="7">
        <f>'3 escalar'!J235</f>
        <v/>
      </c>
      <c r="L232" s="7">
        <f>'3 escalar'!K235</f>
        <v/>
      </c>
      <c r="M232" s="7">
        <f>'3 escalar'!L235</f>
        <v/>
      </c>
      <c r="N232" s="7">
        <f>'3 escalar'!M235</f>
        <v/>
      </c>
      <c r="O232" s="7">
        <f>'3 escalar'!N235</f>
        <v/>
      </c>
      <c r="P232" s="7">
        <f>'3 escalar'!O235</f>
        <v/>
      </c>
      <c r="Q232" s="7">
        <f>'3 escalar'!P235</f>
        <v/>
      </c>
      <c r="R232" s="7">
        <f>'3 escalar'!Q235</f>
        <v/>
      </c>
      <c r="S232" s="7">
        <f>'3 escalar'!R235</f>
        <v/>
      </c>
      <c r="T232" s="7">
        <f>'3 escalar'!S235</f>
        <v/>
      </c>
      <c r="U232" s="7">
        <f>'3 escalar'!T235</f>
        <v/>
      </c>
      <c r="V232" s="6">
        <f>$AC$12+D232*$AC$13+E232*$AC$14+F232*$AC$15+G232*$AC$16+H232*$AC$17+I232*$AC$18+J232*$AC$19+K232*$AC$20+L232*$AC$21+M232*$AC$22+N232*$AC$23+O232*$AC$24+P232*$AC$25+Q232*$AC$26+R232*$AC$27+S232*$AC$28+T232*$AC$29+U232*$AC$30</f>
        <v/>
      </c>
      <c r="W232" s="6">
        <f>1/(1+EXP(-V232))</f>
        <v/>
      </c>
      <c r="X232" s="8">
        <f>-IF(C232=1,LN(W232),LN(1-W232))</f>
        <v/>
      </c>
      <c r="Y232" s="9">
        <f>IF(W232&gt;$AC$32,1,0)</f>
        <v/>
      </c>
      <c r="Z232">
        <f>IF(Y232=C232,1,0)</f>
        <v/>
      </c>
    </row>
    <row r="233">
      <c r="A233">
        <f>'3 escalar'!A236</f>
        <v/>
      </c>
      <c r="B233" s="5">
        <f>'3 escalar'!U236</f>
        <v/>
      </c>
      <c r="C233">
        <f>'3 escalar'!B236</f>
        <v/>
      </c>
      <c r="D233" s="7">
        <f>'3 escalar'!C236</f>
        <v/>
      </c>
      <c r="E233" s="7">
        <f>'3 escalar'!D236</f>
        <v/>
      </c>
      <c r="F233" s="7">
        <f>'3 escalar'!E236</f>
        <v/>
      </c>
      <c r="G233" s="7">
        <f>'3 escalar'!F236</f>
        <v/>
      </c>
      <c r="H233" s="7">
        <f>'3 escalar'!G236</f>
        <v/>
      </c>
      <c r="I233" s="7">
        <f>'3 escalar'!H236</f>
        <v/>
      </c>
      <c r="J233" s="7">
        <f>'3 escalar'!I236</f>
        <v/>
      </c>
      <c r="K233" s="7">
        <f>'3 escalar'!J236</f>
        <v/>
      </c>
      <c r="L233" s="7">
        <f>'3 escalar'!K236</f>
        <v/>
      </c>
      <c r="M233" s="7">
        <f>'3 escalar'!L236</f>
        <v/>
      </c>
      <c r="N233" s="7">
        <f>'3 escalar'!M236</f>
        <v/>
      </c>
      <c r="O233" s="7">
        <f>'3 escalar'!N236</f>
        <v/>
      </c>
      <c r="P233" s="7">
        <f>'3 escalar'!O236</f>
        <v/>
      </c>
      <c r="Q233" s="7">
        <f>'3 escalar'!P236</f>
        <v/>
      </c>
      <c r="R233" s="7">
        <f>'3 escalar'!Q236</f>
        <v/>
      </c>
      <c r="S233" s="7">
        <f>'3 escalar'!R236</f>
        <v/>
      </c>
      <c r="T233" s="7">
        <f>'3 escalar'!S236</f>
        <v/>
      </c>
      <c r="U233" s="7">
        <f>'3 escalar'!T236</f>
        <v/>
      </c>
      <c r="V233" s="6">
        <f>$AC$12+D233*$AC$13+E233*$AC$14+F233*$AC$15+G233*$AC$16+H233*$AC$17+I233*$AC$18+J233*$AC$19+K233*$AC$20+L233*$AC$21+M233*$AC$22+N233*$AC$23+O233*$AC$24+P233*$AC$25+Q233*$AC$26+R233*$AC$27+S233*$AC$28+T233*$AC$29+U233*$AC$30</f>
        <v/>
      </c>
      <c r="W233" s="6">
        <f>1/(1+EXP(-V233))</f>
        <v/>
      </c>
      <c r="X233" s="8">
        <f>-IF(C233=1,LN(W233),LN(1-W233))</f>
        <v/>
      </c>
      <c r="Y233" s="9">
        <f>IF(W233&gt;$AC$32,1,0)</f>
        <v/>
      </c>
      <c r="Z233">
        <f>IF(Y233=C233,1,0)</f>
        <v/>
      </c>
    </row>
    <row r="234">
      <c r="A234">
        <f>'3 escalar'!A237</f>
        <v/>
      </c>
      <c r="B234" s="5">
        <f>'3 escalar'!U237</f>
        <v/>
      </c>
      <c r="C234">
        <f>'3 escalar'!B237</f>
        <v/>
      </c>
      <c r="D234" s="7">
        <f>'3 escalar'!C237</f>
        <v/>
      </c>
      <c r="E234" s="7">
        <f>'3 escalar'!D237</f>
        <v/>
      </c>
      <c r="F234" s="7">
        <f>'3 escalar'!E237</f>
        <v/>
      </c>
      <c r="G234" s="7">
        <f>'3 escalar'!F237</f>
        <v/>
      </c>
      <c r="H234" s="7">
        <f>'3 escalar'!G237</f>
        <v/>
      </c>
      <c r="I234" s="7">
        <f>'3 escalar'!H237</f>
        <v/>
      </c>
      <c r="J234" s="7">
        <f>'3 escalar'!I237</f>
        <v/>
      </c>
      <c r="K234" s="7">
        <f>'3 escalar'!J237</f>
        <v/>
      </c>
      <c r="L234" s="7">
        <f>'3 escalar'!K237</f>
        <v/>
      </c>
      <c r="M234" s="7">
        <f>'3 escalar'!L237</f>
        <v/>
      </c>
      <c r="N234" s="7">
        <f>'3 escalar'!M237</f>
        <v/>
      </c>
      <c r="O234" s="7">
        <f>'3 escalar'!N237</f>
        <v/>
      </c>
      <c r="P234" s="7">
        <f>'3 escalar'!O237</f>
        <v/>
      </c>
      <c r="Q234" s="7">
        <f>'3 escalar'!P237</f>
        <v/>
      </c>
      <c r="R234" s="7">
        <f>'3 escalar'!Q237</f>
        <v/>
      </c>
      <c r="S234" s="7">
        <f>'3 escalar'!R237</f>
        <v/>
      </c>
      <c r="T234" s="7">
        <f>'3 escalar'!S237</f>
        <v/>
      </c>
      <c r="U234" s="7">
        <f>'3 escalar'!T237</f>
        <v/>
      </c>
      <c r="V234" s="6">
        <f>$AC$12+D234*$AC$13+E234*$AC$14+F234*$AC$15+G234*$AC$16+H234*$AC$17+I234*$AC$18+J234*$AC$19+K234*$AC$20+L234*$AC$21+M234*$AC$22+N234*$AC$23+O234*$AC$24+P234*$AC$25+Q234*$AC$26+R234*$AC$27+S234*$AC$28+T234*$AC$29+U234*$AC$30</f>
        <v/>
      </c>
      <c r="W234" s="6">
        <f>1/(1+EXP(-V234))</f>
        <v/>
      </c>
      <c r="X234" s="8">
        <f>-IF(C234=1,LN(W234),LN(1-W234))</f>
        <v/>
      </c>
      <c r="Y234" s="9">
        <f>IF(W234&gt;$AC$32,1,0)</f>
        <v/>
      </c>
      <c r="Z234">
        <f>IF(Y234=C234,1,0)</f>
        <v/>
      </c>
    </row>
    <row r="235">
      <c r="A235">
        <f>'3 escalar'!A238</f>
        <v/>
      </c>
      <c r="B235" s="5">
        <f>'3 escalar'!U238</f>
        <v/>
      </c>
      <c r="C235">
        <f>'3 escalar'!B238</f>
        <v/>
      </c>
      <c r="D235" s="7">
        <f>'3 escalar'!C238</f>
        <v/>
      </c>
      <c r="E235" s="7">
        <f>'3 escalar'!D238</f>
        <v/>
      </c>
      <c r="F235" s="7">
        <f>'3 escalar'!E238</f>
        <v/>
      </c>
      <c r="G235" s="7">
        <f>'3 escalar'!F238</f>
        <v/>
      </c>
      <c r="H235" s="7">
        <f>'3 escalar'!G238</f>
        <v/>
      </c>
      <c r="I235" s="7">
        <f>'3 escalar'!H238</f>
        <v/>
      </c>
      <c r="J235" s="7">
        <f>'3 escalar'!I238</f>
        <v/>
      </c>
      <c r="K235" s="7">
        <f>'3 escalar'!J238</f>
        <v/>
      </c>
      <c r="L235" s="7">
        <f>'3 escalar'!K238</f>
        <v/>
      </c>
      <c r="M235" s="7">
        <f>'3 escalar'!L238</f>
        <v/>
      </c>
      <c r="N235" s="7">
        <f>'3 escalar'!M238</f>
        <v/>
      </c>
      <c r="O235" s="7">
        <f>'3 escalar'!N238</f>
        <v/>
      </c>
      <c r="P235" s="7">
        <f>'3 escalar'!O238</f>
        <v/>
      </c>
      <c r="Q235" s="7">
        <f>'3 escalar'!P238</f>
        <v/>
      </c>
      <c r="R235" s="7">
        <f>'3 escalar'!Q238</f>
        <v/>
      </c>
      <c r="S235" s="7">
        <f>'3 escalar'!R238</f>
        <v/>
      </c>
      <c r="T235" s="7">
        <f>'3 escalar'!S238</f>
        <v/>
      </c>
      <c r="U235" s="7">
        <f>'3 escalar'!T238</f>
        <v/>
      </c>
      <c r="V235" s="6">
        <f>$AC$12+D235*$AC$13+E235*$AC$14+F235*$AC$15+G235*$AC$16+H235*$AC$17+I235*$AC$18+J235*$AC$19+K235*$AC$20+L235*$AC$21+M235*$AC$22+N235*$AC$23+O235*$AC$24+P235*$AC$25+Q235*$AC$26+R235*$AC$27+S235*$AC$28+T235*$AC$29+U235*$AC$30</f>
        <v/>
      </c>
      <c r="W235" s="6">
        <f>1/(1+EXP(-V235))</f>
        <v/>
      </c>
      <c r="X235" s="8">
        <f>-IF(C235=1,LN(W235),LN(1-W235))</f>
        <v/>
      </c>
      <c r="Y235" s="9">
        <f>IF(W235&gt;$AC$32,1,0)</f>
        <v/>
      </c>
      <c r="Z235">
        <f>IF(Y235=C235,1,0)</f>
        <v/>
      </c>
    </row>
    <row r="236">
      <c r="A236">
        <f>'3 escalar'!A239</f>
        <v/>
      </c>
      <c r="B236" s="5">
        <f>'3 escalar'!U239</f>
        <v/>
      </c>
      <c r="C236">
        <f>'3 escalar'!B239</f>
        <v/>
      </c>
      <c r="D236" s="7">
        <f>'3 escalar'!C239</f>
        <v/>
      </c>
      <c r="E236" s="7">
        <f>'3 escalar'!D239</f>
        <v/>
      </c>
      <c r="F236" s="7">
        <f>'3 escalar'!E239</f>
        <v/>
      </c>
      <c r="G236" s="7">
        <f>'3 escalar'!F239</f>
        <v/>
      </c>
      <c r="H236" s="7">
        <f>'3 escalar'!G239</f>
        <v/>
      </c>
      <c r="I236" s="7">
        <f>'3 escalar'!H239</f>
        <v/>
      </c>
      <c r="J236" s="7">
        <f>'3 escalar'!I239</f>
        <v/>
      </c>
      <c r="K236" s="7">
        <f>'3 escalar'!J239</f>
        <v/>
      </c>
      <c r="L236" s="7">
        <f>'3 escalar'!K239</f>
        <v/>
      </c>
      <c r="M236" s="7">
        <f>'3 escalar'!L239</f>
        <v/>
      </c>
      <c r="N236" s="7">
        <f>'3 escalar'!M239</f>
        <v/>
      </c>
      <c r="O236" s="7">
        <f>'3 escalar'!N239</f>
        <v/>
      </c>
      <c r="P236" s="7">
        <f>'3 escalar'!O239</f>
        <v/>
      </c>
      <c r="Q236" s="7">
        <f>'3 escalar'!P239</f>
        <v/>
      </c>
      <c r="R236" s="7">
        <f>'3 escalar'!Q239</f>
        <v/>
      </c>
      <c r="S236" s="7">
        <f>'3 escalar'!R239</f>
        <v/>
      </c>
      <c r="T236" s="7">
        <f>'3 escalar'!S239</f>
        <v/>
      </c>
      <c r="U236" s="7">
        <f>'3 escalar'!T239</f>
        <v/>
      </c>
      <c r="V236" s="6">
        <f>$AC$12+D236*$AC$13+E236*$AC$14+F236*$AC$15+G236*$AC$16+H236*$AC$17+I236*$AC$18+J236*$AC$19+K236*$AC$20+L236*$AC$21+M236*$AC$22+N236*$AC$23+O236*$AC$24+P236*$AC$25+Q236*$AC$26+R236*$AC$27+S236*$AC$28+T236*$AC$29+U236*$AC$30</f>
        <v/>
      </c>
      <c r="W236" s="6">
        <f>1/(1+EXP(-V236))</f>
        <v/>
      </c>
      <c r="X236" s="8">
        <f>-IF(C236=1,LN(W236),LN(1-W236))</f>
        <v/>
      </c>
      <c r="Y236" s="9">
        <f>IF(W236&gt;$AC$32,1,0)</f>
        <v/>
      </c>
      <c r="Z236">
        <f>IF(Y236=C236,1,0)</f>
        <v/>
      </c>
    </row>
    <row r="237">
      <c r="A237">
        <f>'3 escalar'!A240</f>
        <v/>
      </c>
      <c r="B237" s="5">
        <f>'3 escalar'!U240</f>
        <v/>
      </c>
      <c r="C237">
        <f>'3 escalar'!B240</f>
        <v/>
      </c>
      <c r="D237" s="7">
        <f>'3 escalar'!C240</f>
        <v/>
      </c>
      <c r="E237" s="7">
        <f>'3 escalar'!D240</f>
        <v/>
      </c>
      <c r="F237" s="7">
        <f>'3 escalar'!E240</f>
        <v/>
      </c>
      <c r="G237" s="7">
        <f>'3 escalar'!F240</f>
        <v/>
      </c>
      <c r="H237" s="7">
        <f>'3 escalar'!G240</f>
        <v/>
      </c>
      <c r="I237" s="7">
        <f>'3 escalar'!H240</f>
        <v/>
      </c>
      <c r="J237" s="7">
        <f>'3 escalar'!I240</f>
        <v/>
      </c>
      <c r="K237" s="7">
        <f>'3 escalar'!J240</f>
        <v/>
      </c>
      <c r="L237" s="7">
        <f>'3 escalar'!K240</f>
        <v/>
      </c>
      <c r="M237" s="7">
        <f>'3 escalar'!L240</f>
        <v/>
      </c>
      <c r="N237" s="7">
        <f>'3 escalar'!M240</f>
        <v/>
      </c>
      <c r="O237" s="7">
        <f>'3 escalar'!N240</f>
        <v/>
      </c>
      <c r="P237" s="7">
        <f>'3 escalar'!O240</f>
        <v/>
      </c>
      <c r="Q237" s="7">
        <f>'3 escalar'!P240</f>
        <v/>
      </c>
      <c r="R237" s="7">
        <f>'3 escalar'!Q240</f>
        <v/>
      </c>
      <c r="S237" s="7">
        <f>'3 escalar'!R240</f>
        <v/>
      </c>
      <c r="T237" s="7">
        <f>'3 escalar'!S240</f>
        <v/>
      </c>
      <c r="U237" s="7">
        <f>'3 escalar'!T240</f>
        <v/>
      </c>
      <c r="V237" s="6">
        <f>$AC$12+D237*$AC$13+E237*$AC$14+F237*$AC$15+G237*$AC$16+H237*$AC$17+I237*$AC$18+J237*$AC$19+K237*$AC$20+L237*$AC$21+M237*$AC$22+N237*$AC$23+O237*$AC$24+P237*$AC$25+Q237*$AC$26+R237*$AC$27+S237*$AC$28+T237*$AC$29+U237*$AC$30</f>
        <v/>
      </c>
      <c r="W237" s="6">
        <f>1/(1+EXP(-V237))</f>
        <v/>
      </c>
      <c r="X237" s="8">
        <f>-IF(C237=1,LN(W237),LN(1-W237))</f>
        <v/>
      </c>
      <c r="Y237" s="9">
        <f>IF(W237&gt;$AC$32,1,0)</f>
        <v/>
      </c>
      <c r="Z237">
        <f>IF(Y237=C237,1,0)</f>
        <v/>
      </c>
    </row>
    <row r="238">
      <c r="A238">
        <f>'3 escalar'!A241</f>
        <v/>
      </c>
      <c r="B238" s="5">
        <f>'3 escalar'!U241</f>
        <v/>
      </c>
      <c r="C238">
        <f>'3 escalar'!B241</f>
        <v/>
      </c>
      <c r="D238" s="7">
        <f>'3 escalar'!C241</f>
        <v/>
      </c>
      <c r="E238" s="7">
        <f>'3 escalar'!D241</f>
        <v/>
      </c>
      <c r="F238" s="7">
        <f>'3 escalar'!E241</f>
        <v/>
      </c>
      <c r="G238" s="7">
        <f>'3 escalar'!F241</f>
        <v/>
      </c>
      <c r="H238" s="7">
        <f>'3 escalar'!G241</f>
        <v/>
      </c>
      <c r="I238" s="7">
        <f>'3 escalar'!H241</f>
        <v/>
      </c>
      <c r="J238" s="7">
        <f>'3 escalar'!I241</f>
        <v/>
      </c>
      <c r="K238" s="7">
        <f>'3 escalar'!J241</f>
        <v/>
      </c>
      <c r="L238" s="7">
        <f>'3 escalar'!K241</f>
        <v/>
      </c>
      <c r="M238" s="7">
        <f>'3 escalar'!L241</f>
        <v/>
      </c>
      <c r="N238" s="7">
        <f>'3 escalar'!M241</f>
        <v/>
      </c>
      <c r="O238" s="7">
        <f>'3 escalar'!N241</f>
        <v/>
      </c>
      <c r="P238" s="7">
        <f>'3 escalar'!O241</f>
        <v/>
      </c>
      <c r="Q238" s="7">
        <f>'3 escalar'!P241</f>
        <v/>
      </c>
      <c r="R238" s="7">
        <f>'3 escalar'!Q241</f>
        <v/>
      </c>
      <c r="S238" s="7">
        <f>'3 escalar'!R241</f>
        <v/>
      </c>
      <c r="T238" s="7">
        <f>'3 escalar'!S241</f>
        <v/>
      </c>
      <c r="U238" s="7">
        <f>'3 escalar'!T241</f>
        <v/>
      </c>
      <c r="V238" s="6">
        <f>$AC$12+D238*$AC$13+E238*$AC$14+F238*$AC$15+G238*$AC$16+H238*$AC$17+I238*$AC$18+J238*$AC$19+K238*$AC$20+L238*$AC$21+M238*$AC$22+N238*$AC$23+O238*$AC$24+P238*$AC$25+Q238*$AC$26+R238*$AC$27+S238*$AC$28+T238*$AC$29+U238*$AC$30</f>
        <v/>
      </c>
      <c r="W238" s="6">
        <f>1/(1+EXP(-V238))</f>
        <v/>
      </c>
      <c r="X238" s="8">
        <f>-IF(C238=1,LN(W238),LN(1-W238))</f>
        <v/>
      </c>
      <c r="Y238" s="9">
        <f>IF(W238&gt;$AC$32,1,0)</f>
        <v/>
      </c>
      <c r="Z238">
        <f>IF(Y238=C238,1,0)</f>
        <v/>
      </c>
    </row>
    <row r="239">
      <c r="A239">
        <f>'3 escalar'!A242</f>
        <v/>
      </c>
      <c r="B239" s="5">
        <f>'3 escalar'!U242</f>
        <v/>
      </c>
      <c r="C239">
        <f>'3 escalar'!B242</f>
        <v/>
      </c>
      <c r="D239" s="7">
        <f>'3 escalar'!C242</f>
        <v/>
      </c>
      <c r="E239" s="7">
        <f>'3 escalar'!D242</f>
        <v/>
      </c>
      <c r="F239" s="7">
        <f>'3 escalar'!E242</f>
        <v/>
      </c>
      <c r="G239" s="7">
        <f>'3 escalar'!F242</f>
        <v/>
      </c>
      <c r="H239" s="7">
        <f>'3 escalar'!G242</f>
        <v/>
      </c>
      <c r="I239" s="7">
        <f>'3 escalar'!H242</f>
        <v/>
      </c>
      <c r="J239" s="7">
        <f>'3 escalar'!I242</f>
        <v/>
      </c>
      <c r="K239" s="7">
        <f>'3 escalar'!J242</f>
        <v/>
      </c>
      <c r="L239" s="7">
        <f>'3 escalar'!K242</f>
        <v/>
      </c>
      <c r="M239" s="7">
        <f>'3 escalar'!L242</f>
        <v/>
      </c>
      <c r="N239" s="7">
        <f>'3 escalar'!M242</f>
        <v/>
      </c>
      <c r="O239" s="7">
        <f>'3 escalar'!N242</f>
        <v/>
      </c>
      <c r="P239" s="7">
        <f>'3 escalar'!O242</f>
        <v/>
      </c>
      <c r="Q239" s="7">
        <f>'3 escalar'!P242</f>
        <v/>
      </c>
      <c r="R239" s="7">
        <f>'3 escalar'!Q242</f>
        <v/>
      </c>
      <c r="S239" s="7">
        <f>'3 escalar'!R242</f>
        <v/>
      </c>
      <c r="T239" s="7">
        <f>'3 escalar'!S242</f>
        <v/>
      </c>
      <c r="U239" s="7">
        <f>'3 escalar'!T242</f>
        <v/>
      </c>
      <c r="V239" s="6">
        <f>$AC$12+D239*$AC$13+E239*$AC$14+F239*$AC$15+G239*$AC$16+H239*$AC$17+I239*$AC$18+J239*$AC$19+K239*$AC$20+L239*$AC$21+M239*$AC$22+N239*$AC$23+O239*$AC$24+P239*$AC$25+Q239*$AC$26+R239*$AC$27+S239*$AC$28+T239*$AC$29+U239*$AC$30</f>
        <v/>
      </c>
      <c r="W239" s="6">
        <f>1/(1+EXP(-V239))</f>
        <v/>
      </c>
      <c r="X239" s="8">
        <f>-IF(C239=1,LN(W239),LN(1-W239))</f>
        <v/>
      </c>
      <c r="Y239" s="9">
        <f>IF(W239&gt;$AC$32,1,0)</f>
        <v/>
      </c>
      <c r="Z239">
        <f>IF(Y239=C239,1,0)</f>
        <v/>
      </c>
    </row>
    <row r="240">
      <c r="A240">
        <f>'3 escalar'!A243</f>
        <v/>
      </c>
      <c r="B240" s="5">
        <f>'3 escalar'!U243</f>
        <v/>
      </c>
      <c r="C240">
        <f>'3 escalar'!B243</f>
        <v/>
      </c>
      <c r="D240" s="7">
        <f>'3 escalar'!C243</f>
        <v/>
      </c>
      <c r="E240" s="7">
        <f>'3 escalar'!D243</f>
        <v/>
      </c>
      <c r="F240" s="7">
        <f>'3 escalar'!E243</f>
        <v/>
      </c>
      <c r="G240" s="7">
        <f>'3 escalar'!F243</f>
        <v/>
      </c>
      <c r="H240" s="7">
        <f>'3 escalar'!G243</f>
        <v/>
      </c>
      <c r="I240" s="7">
        <f>'3 escalar'!H243</f>
        <v/>
      </c>
      <c r="J240" s="7">
        <f>'3 escalar'!I243</f>
        <v/>
      </c>
      <c r="K240" s="7">
        <f>'3 escalar'!J243</f>
        <v/>
      </c>
      <c r="L240" s="7">
        <f>'3 escalar'!K243</f>
        <v/>
      </c>
      <c r="M240" s="7">
        <f>'3 escalar'!L243</f>
        <v/>
      </c>
      <c r="N240" s="7">
        <f>'3 escalar'!M243</f>
        <v/>
      </c>
      <c r="O240" s="7">
        <f>'3 escalar'!N243</f>
        <v/>
      </c>
      <c r="P240" s="7">
        <f>'3 escalar'!O243</f>
        <v/>
      </c>
      <c r="Q240" s="7">
        <f>'3 escalar'!P243</f>
        <v/>
      </c>
      <c r="R240" s="7">
        <f>'3 escalar'!Q243</f>
        <v/>
      </c>
      <c r="S240" s="7">
        <f>'3 escalar'!R243</f>
        <v/>
      </c>
      <c r="T240" s="7">
        <f>'3 escalar'!S243</f>
        <v/>
      </c>
      <c r="U240" s="7">
        <f>'3 escalar'!T243</f>
        <v/>
      </c>
      <c r="V240" s="6">
        <f>$AC$12+D240*$AC$13+E240*$AC$14+F240*$AC$15+G240*$AC$16+H240*$AC$17+I240*$AC$18+J240*$AC$19+K240*$AC$20+L240*$AC$21+M240*$AC$22+N240*$AC$23+O240*$AC$24+P240*$AC$25+Q240*$AC$26+R240*$AC$27+S240*$AC$28+T240*$AC$29+U240*$AC$30</f>
        <v/>
      </c>
      <c r="W240" s="6">
        <f>1/(1+EXP(-V240))</f>
        <v/>
      </c>
      <c r="X240" s="8">
        <f>-IF(C240=1,LN(W240),LN(1-W240))</f>
        <v/>
      </c>
      <c r="Y240" s="9">
        <f>IF(W240&gt;$AC$32,1,0)</f>
        <v/>
      </c>
      <c r="Z240">
        <f>IF(Y240=C240,1,0)</f>
        <v/>
      </c>
    </row>
    <row r="241">
      <c r="A241">
        <f>'3 escalar'!A244</f>
        <v/>
      </c>
      <c r="B241" s="5">
        <f>'3 escalar'!U244</f>
        <v/>
      </c>
      <c r="C241">
        <f>'3 escalar'!B244</f>
        <v/>
      </c>
      <c r="D241" s="7">
        <f>'3 escalar'!C244</f>
        <v/>
      </c>
      <c r="E241" s="7">
        <f>'3 escalar'!D244</f>
        <v/>
      </c>
      <c r="F241" s="7">
        <f>'3 escalar'!E244</f>
        <v/>
      </c>
      <c r="G241" s="7">
        <f>'3 escalar'!F244</f>
        <v/>
      </c>
      <c r="H241" s="7">
        <f>'3 escalar'!G244</f>
        <v/>
      </c>
      <c r="I241" s="7">
        <f>'3 escalar'!H244</f>
        <v/>
      </c>
      <c r="J241" s="7">
        <f>'3 escalar'!I244</f>
        <v/>
      </c>
      <c r="K241" s="7">
        <f>'3 escalar'!J244</f>
        <v/>
      </c>
      <c r="L241" s="7">
        <f>'3 escalar'!K244</f>
        <v/>
      </c>
      <c r="M241" s="7">
        <f>'3 escalar'!L244</f>
        <v/>
      </c>
      <c r="N241" s="7">
        <f>'3 escalar'!M244</f>
        <v/>
      </c>
      <c r="O241" s="7">
        <f>'3 escalar'!N244</f>
        <v/>
      </c>
      <c r="P241" s="7">
        <f>'3 escalar'!O244</f>
        <v/>
      </c>
      <c r="Q241" s="7">
        <f>'3 escalar'!P244</f>
        <v/>
      </c>
      <c r="R241" s="7">
        <f>'3 escalar'!Q244</f>
        <v/>
      </c>
      <c r="S241" s="7">
        <f>'3 escalar'!R244</f>
        <v/>
      </c>
      <c r="T241" s="7">
        <f>'3 escalar'!S244</f>
        <v/>
      </c>
      <c r="U241" s="7">
        <f>'3 escalar'!T244</f>
        <v/>
      </c>
      <c r="V241" s="6">
        <f>$AC$12+D241*$AC$13+E241*$AC$14+F241*$AC$15+G241*$AC$16+H241*$AC$17+I241*$AC$18+J241*$AC$19+K241*$AC$20+L241*$AC$21+M241*$AC$22+N241*$AC$23+O241*$AC$24+P241*$AC$25+Q241*$AC$26+R241*$AC$27+S241*$AC$28+T241*$AC$29+U241*$AC$30</f>
        <v/>
      </c>
      <c r="W241" s="6">
        <f>1/(1+EXP(-V241))</f>
        <v/>
      </c>
      <c r="X241" s="8">
        <f>-IF(C241=1,LN(W241),LN(1-W241))</f>
        <v/>
      </c>
      <c r="Y241" s="9">
        <f>IF(W241&gt;$AC$32,1,0)</f>
        <v/>
      </c>
      <c r="Z241">
        <f>IF(Y241=C241,1,0)</f>
        <v/>
      </c>
    </row>
    <row r="242">
      <c r="A242">
        <f>'3 escalar'!A245</f>
        <v/>
      </c>
      <c r="B242" s="5">
        <f>'3 escalar'!U245</f>
        <v/>
      </c>
      <c r="C242">
        <f>'3 escalar'!B245</f>
        <v/>
      </c>
      <c r="D242" s="7">
        <f>'3 escalar'!C245</f>
        <v/>
      </c>
      <c r="E242" s="7">
        <f>'3 escalar'!D245</f>
        <v/>
      </c>
      <c r="F242" s="7">
        <f>'3 escalar'!E245</f>
        <v/>
      </c>
      <c r="G242" s="7">
        <f>'3 escalar'!F245</f>
        <v/>
      </c>
      <c r="H242" s="7">
        <f>'3 escalar'!G245</f>
        <v/>
      </c>
      <c r="I242" s="7">
        <f>'3 escalar'!H245</f>
        <v/>
      </c>
      <c r="J242" s="7">
        <f>'3 escalar'!I245</f>
        <v/>
      </c>
      <c r="K242" s="7">
        <f>'3 escalar'!J245</f>
        <v/>
      </c>
      <c r="L242" s="7">
        <f>'3 escalar'!K245</f>
        <v/>
      </c>
      <c r="M242" s="7">
        <f>'3 escalar'!L245</f>
        <v/>
      </c>
      <c r="N242" s="7">
        <f>'3 escalar'!M245</f>
        <v/>
      </c>
      <c r="O242" s="7">
        <f>'3 escalar'!N245</f>
        <v/>
      </c>
      <c r="P242" s="7">
        <f>'3 escalar'!O245</f>
        <v/>
      </c>
      <c r="Q242" s="7">
        <f>'3 escalar'!P245</f>
        <v/>
      </c>
      <c r="R242" s="7">
        <f>'3 escalar'!Q245</f>
        <v/>
      </c>
      <c r="S242" s="7">
        <f>'3 escalar'!R245</f>
        <v/>
      </c>
      <c r="T242" s="7">
        <f>'3 escalar'!S245</f>
        <v/>
      </c>
      <c r="U242" s="7">
        <f>'3 escalar'!T245</f>
        <v/>
      </c>
      <c r="V242" s="6">
        <f>$AC$12+D242*$AC$13+E242*$AC$14+F242*$AC$15+G242*$AC$16+H242*$AC$17+I242*$AC$18+J242*$AC$19+K242*$AC$20+L242*$AC$21+M242*$AC$22+N242*$AC$23+O242*$AC$24+P242*$AC$25+Q242*$AC$26+R242*$AC$27+S242*$AC$28+T242*$AC$29+U242*$AC$30</f>
        <v/>
      </c>
      <c r="W242" s="6">
        <f>1/(1+EXP(-V242))</f>
        <v/>
      </c>
      <c r="X242" s="8">
        <f>-IF(C242=1,LN(W242),LN(1-W242))</f>
        <v/>
      </c>
      <c r="Y242" s="9">
        <f>IF(W242&gt;$AC$32,1,0)</f>
        <v/>
      </c>
      <c r="Z242">
        <f>IF(Y242=C242,1,0)</f>
        <v/>
      </c>
    </row>
    <row r="243">
      <c r="A243">
        <f>'3 escalar'!A246</f>
        <v/>
      </c>
      <c r="B243" s="5">
        <f>'3 escalar'!U246</f>
        <v/>
      </c>
      <c r="C243">
        <f>'3 escalar'!B246</f>
        <v/>
      </c>
      <c r="D243" s="7">
        <f>'3 escalar'!C246</f>
        <v/>
      </c>
      <c r="E243" s="7">
        <f>'3 escalar'!D246</f>
        <v/>
      </c>
      <c r="F243" s="7">
        <f>'3 escalar'!E246</f>
        <v/>
      </c>
      <c r="G243" s="7">
        <f>'3 escalar'!F246</f>
        <v/>
      </c>
      <c r="H243" s="7">
        <f>'3 escalar'!G246</f>
        <v/>
      </c>
      <c r="I243" s="7">
        <f>'3 escalar'!H246</f>
        <v/>
      </c>
      <c r="J243" s="7">
        <f>'3 escalar'!I246</f>
        <v/>
      </c>
      <c r="K243" s="7">
        <f>'3 escalar'!J246</f>
        <v/>
      </c>
      <c r="L243" s="7">
        <f>'3 escalar'!K246</f>
        <v/>
      </c>
      <c r="M243" s="7">
        <f>'3 escalar'!L246</f>
        <v/>
      </c>
      <c r="N243" s="7">
        <f>'3 escalar'!M246</f>
        <v/>
      </c>
      <c r="O243" s="7">
        <f>'3 escalar'!N246</f>
        <v/>
      </c>
      <c r="P243" s="7">
        <f>'3 escalar'!O246</f>
        <v/>
      </c>
      <c r="Q243" s="7">
        <f>'3 escalar'!P246</f>
        <v/>
      </c>
      <c r="R243" s="7">
        <f>'3 escalar'!Q246</f>
        <v/>
      </c>
      <c r="S243" s="7">
        <f>'3 escalar'!R246</f>
        <v/>
      </c>
      <c r="T243" s="7">
        <f>'3 escalar'!S246</f>
        <v/>
      </c>
      <c r="U243" s="7">
        <f>'3 escalar'!T246</f>
        <v/>
      </c>
      <c r="V243" s="6">
        <f>$AC$12+D243*$AC$13+E243*$AC$14+F243*$AC$15+G243*$AC$16+H243*$AC$17+I243*$AC$18+J243*$AC$19+K243*$AC$20+L243*$AC$21+M243*$AC$22+N243*$AC$23+O243*$AC$24+P243*$AC$25+Q243*$AC$26+R243*$AC$27+S243*$AC$28+T243*$AC$29+U243*$AC$30</f>
        <v/>
      </c>
      <c r="W243" s="6">
        <f>1/(1+EXP(-V243))</f>
        <v/>
      </c>
      <c r="X243" s="8">
        <f>-IF(C243=1,LN(W243),LN(1-W243))</f>
        <v/>
      </c>
      <c r="Y243" s="9">
        <f>IF(W243&gt;$AC$32,1,0)</f>
        <v/>
      </c>
      <c r="Z243">
        <f>IF(Y243=C243,1,0)</f>
        <v/>
      </c>
    </row>
    <row r="244">
      <c r="A244">
        <f>'3 escalar'!A247</f>
        <v/>
      </c>
      <c r="B244" s="5">
        <f>'3 escalar'!U247</f>
        <v/>
      </c>
      <c r="C244">
        <f>'3 escalar'!B247</f>
        <v/>
      </c>
      <c r="D244" s="7">
        <f>'3 escalar'!C247</f>
        <v/>
      </c>
      <c r="E244" s="7">
        <f>'3 escalar'!D247</f>
        <v/>
      </c>
      <c r="F244" s="7">
        <f>'3 escalar'!E247</f>
        <v/>
      </c>
      <c r="G244" s="7">
        <f>'3 escalar'!F247</f>
        <v/>
      </c>
      <c r="H244" s="7">
        <f>'3 escalar'!G247</f>
        <v/>
      </c>
      <c r="I244" s="7">
        <f>'3 escalar'!H247</f>
        <v/>
      </c>
      <c r="J244" s="7">
        <f>'3 escalar'!I247</f>
        <v/>
      </c>
      <c r="K244" s="7">
        <f>'3 escalar'!J247</f>
        <v/>
      </c>
      <c r="L244" s="7">
        <f>'3 escalar'!K247</f>
        <v/>
      </c>
      <c r="M244" s="7">
        <f>'3 escalar'!L247</f>
        <v/>
      </c>
      <c r="N244" s="7">
        <f>'3 escalar'!M247</f>
        <v/>
      </c>
      <c r="O244" s="7">
        <f>'3 escalar'!N247</f>
        <v/>
      </c>
      <c r="P244" s="7">
        <f>'3 escalar'!O247</f>
        <v/>
      </c>
      <c r="Q244" s="7">
        <f>'3 escalar'!P247</f>
        <v/>
      </c>
      <c r="R244" s="7">
        <f>'3 escalar'!Q247</f>
        <v/>
      </c>
      <c r="S244" s="7">
        <f>'3 escalar'!R247</f>
        <v/>
      </c>
      <c r="T244" s="7">
        <f>'3 escalar'!S247</f>
        <v/>
      </c>
      <c r="U244" s="7">
        <f>'3 escalar'!T247</f>
        <v/>
      </c>
      <c r="V244" s="6">
        <f>$AC$12+D244*$AC$13+E244*$AC$14+F244*$AC$15+G244*$AC$16+H244*$AC$17+I244*$AC$18+J244*$AC$19+K244*$AC$20+L244*$AC$21+M244*$AC$22+N244*$AC$23+O244*$AC$24+P244*$AC$25+Q244*$AC$26+R244*$AC$27+S244*$AC$28+T244*$AC$29+U244*$AC$30</f>
        <v/>
      </c>
      <c r="W244" s="6">
        <f>1/(1+EXP(-V244))</f>
        <v/>
      </c>
      <c r="X244" s="8">
        <f>-IF(C244=1,LN(W244),LN(1-W244))</f>
        <v/>
      </c>
      <c r="Y244" s="9">
        <f>IF(W244&gt;$AC$32,1,0)</f>
        <v/>
      </c>
      <c r="Z244">
        <f>IF(Y244=C244,1,0)</f>
        <v/>
      </c>
    </row>
    <row r="245">
      <c r="A245">
        <f>'3 escalar'!A248</f>
        <v/>
      </c>
      <c r="B245" s="5">
        <f>'3 escalar'!U248</f>
        <v/>
      </c>
      <c r="C245">
        <f>'3 escalar'!B248</f>
        <v/>
      </c>
      <c r="D245" s="7">
        <f>'3 escalar'!C248</f>
        <v/>
      </c>
      <c r="E245" s="7">
        <f>'3 escalar'!D248</f>
        <v/>
      </c>
      <c r="F245" s="7">
        <f>'3 escalar'!E248</f>
        <v/>
      </c>
      <c r="G245" s="7">
        <f>'3 escalar'!F248</f>
        <v/>
      </c>
      <c r="H245" s="7">
        <f>'3 escalar'!G248</f>
        <v/>
      </c>
      <c r="I245" s="7">
        <f>'3 escalar'!H248</f>
        <v/>
      </c>
      <c r="J245" s="7">
        <f>'3 escalar'!I248</f>
        <v/>
      </c>
      <c r="K245" s="7">
        <f>'3 escalar'!J248</f>
        <v/>
      </c>
      <c r="L245" s="7">
        <f>'3 escalar'!K248</f>
        <v/>
      </c>
      <c r="M245" s="7">
        <f>'3 escalar'!L248</f>
        <v/>
      </c>
      <c r="N245" s="7">
        <f>'3 escalar'!M248</f>
        <v/>
      </c>
      <c r="O245" s="7">
        <f>'3 escalar'!N248</f>
        <v/>
      </c>
      <c r="P245" s="7">
        <f>'3 escalar'!O248</f>
        <v/>
      </c>
      <c r="Q245" s="7">
        <f>'3 escalar'!P248</f>
        <v/>
      </c>
      <c r="R245" s="7">
        <f>'3 escalar'!Q248</f>
        <v/>
      </c>
      <c r="S245" s="7">
        <f>'3 escalar'!R248</f>
        <v/>
      </c>
      <c r="T245" s="7">
        <f>'3 escalar'!S248</f>
        <v/>
      </c>
      <c r="U245" s="7">
        <f>'3 escalar'!T248</f>
        <v/>
      </c>
      <c r="V245" s="6">
        <f>$AC$12+D245*$AC$13+E245*$AC$14+F245*$AC$15+G245*$AC$16+H245*$AC$17+I245*$AC$18+J245*$AC$19+K245*$AC$20+L245*$AC$21+M245*$AC$22+N245*$AC$23+O245*$AC$24+P245*$AC$25+Q245*$AC$26+R245*$AC$27+S245*$AC$28+T245*$AC$29+U245*$AC$30</f>
        <v/>
      </c>
      <c r="W245" s="6">
        <f>1/(1+EXP(-V245))</f>
        <v/>
      </c>
      <c r="X245" s="8">
        <f>-IF(C245=1,LN(W245),LN(1-W245))</f>
        <v/>
      </c>
      <c r="Y245" s="9">
        <f>IF(W245&gt;$AC$32,1,0)</f>
        <v/>
      </c>
      <c r="Z245">
        <f>IF(Y245=C245,1,0)</f>
        <v/>
      </c>
    </row>
    <row r="246">
      <c r="A246">
        <f>'3 escalar'!A249</f>
        <v/>
      </c>
      <c r="B246" s="5">
        <f>'3 escalar'!U249</f>
        <v/>
      </c>
      <c r="C246">
        <f>'3 escalar'!B249</f>
        <v/>
      </c>
      <c r="D246" s="7">
        <f>'3 escalar'!C249</f>
        <v/>
      </c>
      <c r="E246" s="7">
        <f>'3 escalar'!D249</f>
        <v/>
      </c>
      <c r="F246" s="7">
        <f>'3 escalar'!E249</f>
        <v/>
      </c>
      <c r="G246" s="7">
        <f>'3 escalar'!F249</f>
        <v/>
      </c>
      <c r="H246" s="7">
        <f>'3 escalar'!G249</f>
        <v/>
      </c>
      <c r="I246" s="7">
        <f>'3 escalar'!H249</f>
        <v/>
      </c>
      <c r="J246" s="7">
        <f>'3 escalar'!I249</f>
        <v/>
      </c>
      <c r="K246" s="7">
        <f>'3 escalar'!J249</f>
        <v/>
      </c>
      <c r="L246" s="7">
        <f>'3 escalar'!K249</f>
        <v/>
      </c>
      <c r="M246" s="7">
        <f>'3 escalar'!L249</f>
        <v/>
      </c>
      <c r="N246" s="7">
        <f>'3 escalar'!M249</f>
        <v/>
      </c>
      <c r="O246" s="7">
        <f>'3 escalar'!N249</f>
        <v/>
      </c>
      <c r="P246" s="7">
        <f>'3 escalar'!O249</f>
        <v/>
      </c>
      <c r="Q246" s="7">
        <f>'3 escalar'!P249</f>
        <v/>
      </c>
      <c r="R246" s="7">
        <f>'3 escalar'!Q249</f>
        <v/>
      </c>
      <c r="S246" s="7">
        <f>'3 escalar'!R249</f>
        <v/>
      </c>
      <c r="T246" s="7">
        <f>'3 escalar'!S249</f>
        <v/>
      </c>
      <c r="U246" s="7">
        <f>'3 escalar'!T249</f>
        <v/>
      </c>
      <c r="V246" s="6">
        <f>$AC$12+D246*$AC$13+E246*$AC$14+F246*$AC$15+G246*$AC$16+H246*$AC$17+I246*$AC$18+J246*$AC$19+K246*$AC$20+L246*$AC$21+M246*$AC$22+N246*$AC$23+O246*$AC$24+P246*$AC$25+Q246*$AC$26+R246*$AC$27+S246*$AC$28+T246*$AC$29+U246*$AC$30</f>
        <v/>
      </c>
      <c r="W246" s="6">
        <f>1/(1+EXP(-V246))</f>
        <v/>
      </c>
      <c r="X246" s="8">
        <f>-IF(C246=1,LN(W246),LN(1-W246))</f>
        <v/>
      </c>
      <c r="Y246" s="9">
        <f>IF(W246&gt;$AC$32,1,0)</f>
        <v/>
      </c>
      <c r="Z246">
        <f>IF(Y246=C246,1,0)</f>
        <v/>
      </c>
    </row>
    <row r="247">
      <c r="A247">
        <f>'3 escalar'!A250</f>
        <v/>
      </c>
      <c r="B247" s="5">
        <f>'3 escalar'!U250</f>
        <v/>
      </c>
      <c r="C247">
        <f>'3 escalar'!B250</f>
        <v/>
      </c>
      <c r="D247" s="7">
        <f>'3 escalar'!C250</f>
        <v/>
      </c>
      <c r="E247" s="7">
        <f>'3 escalar'!D250</f>
        <v/>
      </c>
      <c r="F247" s="7">
        <f>'3 escalar'!E250</f>
        <v/>
      </c>
      <c r="G247" s="7">
        <f>'3 escalar'!F250</f>
        <v/>
      </c>
      <c r="H247" s="7">
        <f>'3 escalar'!G250</f>
        <v/>
      </c>
      <c r="I247" s="7">
        <f>'3 escalar'!H250</f>
        <v/>
      </c>
      <c r="J247" s="7">
        <f>'3 escalar'!I250</f>
        <v/>
      </c>
      <c r="K247" s="7">
        <f>'3 escalar'!J250</f>
        <v/>
      </c>
      <c r="L247" s="7">
        <f>'3 escalar'!K250</f>
        <v/>
      </c>
      <c r="M247" s="7">
        <f>'3 escalar'!L250</f>
        <v/>
      </c>
      <c r="N247" s="7">
        <f>'3 escalar'!M250</f>
        <v/>
      </c>
      <c r="O247" s="7">
        <f>'3 escalar'!N250</f>
        <v/>
      </c>
      <c r="P247" s="7">
        <f>'3 escalar'!O250</f>
        <v/>
      </c>
      <c r="Q247" s="7">
        <f>'3 escalar'!P250</f>
        <v/>
      </c>
      <c r="R247" s="7">
        <f>'3 escalar'!Q250</f>
        <v/>
      </c>
      <c r="S247" s="7">
        <f>'3 escalar'!R250</f>
        <v/>
      </c>
      <c r="T247" s="7">
        <f>'3 escalar'!S250</f>
        <v/>
      </c>
      <c r="U247" s="7">
        <f>'3 escalar'!T250</f>
        <v/>
      </c>
      <c r="V247" s="6">
        <f>$AC$12+D247*$AC$13+E247*$AC$14+F247*$AC$15+G247*$AC$16+H247*$AC$17+I247*$AC$18+J247*$AC$19+K247*$AC$20+L247*$AC$21+M247*$AC$22+N247*$AC$23+O247*$AC$24+P247*$AC$25+Q247*$AC$26+R247*$AC$27+S247*$AC$28+T247*$AC$29+U247*$AC$30</f>
        <v/>
      </c>
      <c r="W247" s="6">
        <f>1/(1+EXP(-V247))</f>
        <v/>
      </c>
      <c r="X247" s="8">
        <f>-IF(C247=1,LN(W247),LN(1-W247))</f>
        <v/>
      </c>
      <c r="Y247" s="9">
        <f>IF(W247&gt;$AC$32,1,0)</f>
        <v/>
      </c>
      <c r="Z247">
        <f>IF(Y247=C247,1,0)</f>
        <v/>
      </c>
    </row>
    <row r="248">
      <c r="A248">
        <f>'3 escalar'!A251</f>
        <v/>
      </c>
      <c r="B248" s="5">
        <f>'3 escalar'!U251</f>
        <v/>
      </c>
      <c r="C248">
        <f>'3 escalar'!B251</f>
        <v/>
      </c>
      <c r="D248" s="7">
        <f>'3 escalar'!C251</f>
        <v/>
      </c>
      <c r="E248" s="7">
        <f>'3 escalar'!D251</f>
        <v/>
      </c>
      <c r="F248" s="7">
        <f>'3 escalar'!E251</f>
        <v/>
      </c>
      <c r="G248" s="7">
        <f>'3 escalar'!F251</f>
        <v/>
      </c>
      <c r="H248" s="7">
        <f>'3 escalar'!G251</f>
        <v/>
      </c>
      <c r="I248" s="7">
        <f>'3 escalar'!H251</f>
        <v/>
      </c>
      <c r="J248" s="7">
        <f>'3 escalar'!I251</f>
        <v/>
      </c>
      <c r="K248" s="7">
        <f>'3 escalar'!J251</f>
        <v/>
      </c>
      <c r="L248" s="7">
        <f>'3 escalar'!K251</f>
        <v/>
      </c>
      <c r="M248" s="7">
        <f>'3 escalar'!L251</f>
        <v/>
      </c>
      <c r="N248" s="7">
        <f>'3 escalar'!M251</f>
        <v/>
      </c>
      <c r="O248" s="7">
        <f>'3 escalar'!N251</f>
        <v/>
      </c>
      <c r="P248" s="7">
        <f>'3 escalar'!O251</f>
        <v/>
      </c>
      <c r="Q248" s="7">
        <f>'3 escalar'!P251</f>
        <v/>
      </c>
      <c r="R248" s="7">
        <f>'3 escalar'!Q251</f>
        <v/>
      </c>
      <c r="S248" s="7">
        <f>'3 escalar'!R251</f>
        <v/>
      </c>
      <c r="T248" s="7">
        <f>'3 escalar'!S251</f>
        <v/>
      </c>
      <c r="U248" s="7">
        <f>'3 escalar'!T251</f>
        <v/>
      </c>
      <c r="V248" s="6">
        <f>$AC$12+D248*$AC$13+E248*$AC$14+F248*$AC$15+G248*$AC$16+H248*$AC$17+I248*$AC$18+J248*$AC$19+K248*$AC$20+L248*$AC$21+M248*$AC$22+N248*$AC$23+O248*$AC$24+P248*$AC$25+Q248*$AC$26+R248*$AC$27+S248*$AC$28+T248*$AC$29+U248*$AC$30</f>
        <v/>
      </c>
      <c r="W248" s="6">
        <f>1/(1+EXP(-V248))</f>
        <v/>
      </c>
      <c r="X248" s="8">
        <f>-IF(C248=1,LN(W248),LN(1-W248))</f>
        <v/>
      </c>
      <c r="Y248" s="9">
        <f>IF(W248&gt;$AC$32,1,0)</f>
        <v/>
      </c>
      <c r="Z248">
        <f>IF(Y248=C248,1,0)</f>
        <v/>
      </c>
    </row>
    <row r="249">
      <c r="A249">
        <f>'3 escalar'!A252</f>
        <v/>
      </c>
      <c r="B249" s="5">
        <f>'3 escalar'!U252</f>
        <v/>
      </c>
      <c r="C249">
        <f>'3 escalar'!B252</f>
        <v/>
      </c>
      <c r="D249" s="7">
        <f>'3 escalar'!C252</f>
        <v/>
      </c>
      <c r="E249" s="7">
        <f>'3 escalar'!D252</f>
        <v/>
      </c>
      <c r="F249" s="7">
        <f>'3 escalar'!E252</f>
        <v/>
      </c>
      <c r="G249" s="7">
        <f>'3 escalar'!F252</f>
        <v/>
      </c>
      <c r="H249" s="7">
        <f>'3 escalar'!G252</f>
        <v/>
      </c>
      <c r="I249" s="7">
        <f>'3 escalar'!H252</f>
        <v/>
      </c>
      <c r="J249" s="7">
        <f>'3 escalar'!I252</f>
        <v/>
      </c>
      <c r="K249" s="7">
        <f>'3 escalar'!J252</f>
        <v/>
      </c>
      <c r="L249" s="7">
        <f>'3 escalar'!K252</f>
        <v/>
      </c>
      <c r="M249" s="7">
        <f>'3 escalar'!L252</f>
        <v/>
      </c>
      <c r="N249" s="7">
        <f>'3 escalar'!M252</f>
        <v/>
      </c>
      <c r="O249" s="7">
        <f>'3 escalar'!N252</f>
        <v/>
      </c>
      <c r="P249" s="7">
        <f>'3 escalar'!O252</f>
        <v/>
      </c>
      <c r="Q249" s="7">
        <f>'3 escalar'!P252</f>
        <v/>
      </c>
      <c r="R249" s="7">
        <f>'3 escalar'!Q252</f>
        <v/>
      </c>
      <c r="S249" s="7">
        <f>'3 escalar'!R252</f>
        <v/>
      </c>
      <c r="T249" s="7">
        <f>'3 escalar'!S252</f>
        <v/>
      </c>
      <c r="U249" s="7">
        <f>'3 escalar'!T252</f>
        <v/>
      </c>
      <c r="V249" s="6">
        <f>$AC$12+D249*$AC$13+E249*$AC$14+F249*$AC$15+G249*$AC$16+H249*$AC$17+I249*$AC$18+J249*$AC$19+K249*$AC$20+L249*$AC$21+M249*$AC$22+N249*$AC$23+O249*$AC$24+P249*$AC$25+Q249*$AC$26+R249*$AC$27+S249*$AC$28+T249*$AC$29+U249*$AC$30</f>
        <v/>
      </c>
      <c r="W249" s="6">
        <f>1/(1+EXP(-V249))</f>
        <v/>
      </c>
      <c r="X249" s="8">
        <f>-IF(C249=1,LN(W249),LN(1-W249))</f>
        <v/>
      </c>
      <c r="Y249" s="9">
        <f>IF(W249&gt;$AC$32,1,0)</f>
        <v/>
      </c>
      <c r="Z249">
        <f>IF(Y249=C249,1,0)</f>
        <v/>
      </c>
    </row>
    <row r="250">
      <c r="A250">
        <f>'3 escalar'!A253</f>
        <v/>
      </c>
      <c r="B250" s="5">
        <f>'3 escalar'!U253</f>
        <v/>
      </c>
      <c r="C250">
        <f>'3 escalar'!B253</f>
        <v/>
      </c>
      <c r="D250" s="7">
        <f>'3 escalar'!C253</f>
        <v/>
      </c>
      <c r="E250" s="7">
        <f>'3 escalar'!D253</f>
        <v/>
      </c>
      <c r="F250" s="7">
        <f>'3 escalar'!E253</f>
        <v/>
      </c>
      <c r="G250" s="7">
        <f>'3 escalar'!F253</f>
        <v/>
      </c>
      <c r="H250" s="7">
        <f>'3 escalar'!G253</f>
        <v/>
      </c>
      <c r="I250" s="7">
        <f>'3 escalar'!H253</f>
        <v/>
      </c>
      <c r="J250" s="7">
        <f>'3 escalar'!I253</f>
        <v/>
      </c>
      <c r="K250" s="7">
        <f>'3 escalar'!J253</f>
        <v/>
      </c>
      <c r="L250" s="7">
        <f>'3 escalar'!K253</f>
        <v/>
      </c>
      <c r="M250" s="7">
        <f>'3 escalar'!L253</f>
        <v/>
      </c>
      <c r="N250" s="7">
        <f>'3 escalar'!M253</f>
        <v/>
      </c>
      <c r="O250" s="7">
        <f>'3 escalar'!N253</f>
        <v/>
      </c>
      <c r="P250" s="7">
        <f>'3 escalar'!O253</f>
        <v/>
      </c>
      <c r="Q250" s="7">
        <f>'3 escalar'!P253</f>
        <v/>
      </c>
      <c r="R250" s="7">
        <f>'3 escalar'!Q253</f>
        <v/>
      </c>
      <c r="S250" s="7">
        <f>'3 escalar'!R253</f>
        <v/>
      </c>
      <c r="T250" s="7">
        <f>'3 escalar'!S253</f>
        <v/>
      </c>
      <c r="U250" s="7">
        <f>'3 escalar'!T253</f>
        <v/>
      </c>
      <c r="V250" s="6">
        <f>$AC$12+D250*$AC$13+E250*$AC$14+F250*$AC$15+G250*$AC$16+H250*$AC$17+I250*$AC$18+J250*$AC$19+K250*$AC$20+L250*$AC$21+M250*$AC$22+N250*$AC$23+O250*$AC$24+P250*$AC$25+Q250*$AC$26+R250*$AC$27+S250*$AC$28+T250*$AC$29+U250*$AC$30</f>
        <v/>
      </c>
      <c r="W250" s="6">
        <f>1/(1+EXP(-V250))</f>
        <v/>
      </c>
      <c r="X250" s="8">
        <f>-IF(C250=1,LN(W250),LN(1-W250))</f>
        <v/>
      </c>
      <c r="Y250" s="9">
        <f>IF(W250&gt;$AC$32,1,0)</f>
        <v/>
      </c>
      <c r="Z250">
        <f>IF(Y250=C250,1,0)</f>
        <v/>
      </c>
    </row>
    <row r="251">
      <c r="A251">
        <f>'3 escalar'!A254</f>
        <v/>
      </c>
      <c r="B251" s="5">
        <f>'3 escalar'!U254</f>
        <v/>
      </c>
      <c r="C251">
        <f>'3 escalar'!B254</f>
        <v/>
      </c>
      <c r="D251" s="7">
        <f>'3 escalar'!C254</f>
        <v/>
      </c>
      <c r="E251" s="7">
        <f>'3 escalar'!D254</f>
        <v/>
      </c>
      <c r="F251" s="7">
        <f>'3 escalar'!E254</f>
        <v/>
      </c>
      <c r="G251" s="7">
        <f>'3 escalar'!F254</f>
        <v/>
      </c>
      <c r="H251" s="7">
        <f>'3 escalar'!G254</f>
        <v/>
      </c>
      <c r="I251" s="7">
        <f>'3 escalar'!H254</f>
        <v/>
      </c>
      <c r="J251" s="7">
        <f>'3 escalar'!I254</f>
        <v/>
      </c>
      <c r="K251" s="7">
        <f>'3 escalar'!J254</f>
        <v/>
      </c>
      <c r="L251" s="7">
        <f>'3 escalar'!K254</f>
        <v/>
      </c>
      <c r="M251" s="7">
        <f>'3 escalar'!L254</f>
        <v/>
      </c>
      <c r="N251" s="7">
        <f>'3 escalar'!M254</f>
        <v/>
      </c>
      <c r="O251" s="7">
        <f>'3 escalar'!N254</f>
        <v/>
      </c>
      <c r="P251" s="7">
        <f>'3 escalar'!O254</f>
        <v/>
      </c>
      <c r="Q251" s="7">
        <f>'3 escalar'!P254</f>
        <v/>
      </c>
      <c r="R251" s="7">
        <f>'3 escalar'!Q254</f>
        <v/>
      </c>
      <c r="S251" s="7">
        <f>'3 escalar'!R254</f>
        <v/>
      </c>
      <c r="T251" s="7">
        <f>'3 escalar'!S254</f>
        <v/>
      </c>
      <c r="U251" s="7">
        <f>'3 escalar'!T254</f>
        <v/>
      </c>
      <c r="V251" s="6">
        <f>$AC$12+D251*$AC$13+E251*$AC$14+F251*$AC$15+G251*$AC$16+H251*$AC$17+I251*$AC$18+J251*$AC$19+K251*$AC$20+L251*$AC$21+M251*$AC$22+N251*$AC$23+O251*$AC$24+P251*$AC$25+Q251*$AC$26+R251*$AC$27+S251*$AC$28+T251*$AC$29+U251*$AC$30</f>
        <v/>
      </c>
      <c r="W251" s="6">
        <f>1/(1+EXP(-V251))</f>
        <v/>
      </c>
      <c r="X251" s="8">
        <f>-IF(C251=1,LN(W251),LN(1-W251))</f>
        <v/>
      </c>
      <c r="Y251" s="9">
        <f>IF(W251&gt;$AC$32,1,0)</f>
        <v/>
      </c>
      <c r="Z251">
        <f>IF(Y251=C251,1,0)</f>
        <v/>
      </c>
    </row>
    <row r="252">
      <c r="A252">
        <f>'3 escalar'!A255</f>
        <v/>
      </c>
      <c r="B252" s="5">
        <f>'3 escalar'!U255</f>
        <v/>
      </c>
      <c r="C252">
        <f>'3 escalar'!B255</f>
        <v/>
      </c>
      <c r="D252" s="7">
        <f>'3 escalar'!C255</f>
        <v/>
      </c>
      <c r="E252" s="7">
        <f>'3 escalar'!D255</f>
        <v/>
      </c>
      <c r="F252" s="7">
        <f>'3 escalar'!E255</f>
        <v/>
      </c>
      <c r="G252" s="7">
        <f>'3 escalar'!F255</f>
        <v/>
      </c>
      <c r="H252" s="7">
        <f>'3 escalar'!G255</f>
        <v/>
      </c>
      <c r="I252" s="7">
        <f>'3 escalar'!H255</f>
        <v/>
      </c>
      <c r="J252" s="7">
        <f>'3 escalar'!I255</f>
        <v/>
      </c>
      <c r="K252" s="7">
        <f>'3 escalar'!J255</f>
        <v/>
      </c>
      <c r="L252" s="7">
        <f>'3 escalar'!K255</f>
        <v/>
      </c>
      <c r="M252" s="7">
        <f>'3 escalar'!L255</f>
        <v/>
      </c>
      <c r="N252" s="7">
        <f>'3 escalar'!M255</f>
        <v/>
      </c>
      <c r="O252" s="7">
        <f>'3 escalar'!N255</f>
        <v/>
      </c>
      <c r="P252" s="7">
        <f>'3 escalar'!O255</f>
        <v/>
      </c>
      <c r="Q252" s="7">
        <f>'3 escalar'!P255</f>
        <v/>
      </c>
      <c r="R252" s="7">
        <f>'3 escalar'!Q255</f>
        <v/>
      </c>
      <c r="S252" s="7">
        <f>'3 escalar'!R255</f>
        <v/>
      </c>
      <c r="T252" s="7">
        <f>'3 escalar'!S255</f>
        <v/>
      </c>
      <c r="U252" s="7">
        <f>'3 escalar'!T255</f>
        <v/>
      </c>
      <c r="V252" s="6">
        <f>$AC$12+D252*$AC$13+E252*$AC$14+F252*$AC$15+G252*$AC$16+H252*$AC$17+I252*$AC$18+J252*$AC$19+K252*$AC$20+L252*$AC$21+M252*$AC$22+N252*$AC$23+O252*$AC$24+P252*$AC$25+Q252*$AC$26+R252*$AC$27+S252*$AC$28+T252*$AC$29+U252*$AC$30</f>
        <v/>
      </c>
      <c r="W252" s="6">
        <f>1/(1+EXP(-V252))</f>
        <v/>
      </c>
      <c r="X252" s="8">
        <f>-IF(C252=1,LN(W252),LN(1-W252))</f>
        <v/>
      </c>
      <c r="Y252" s="9">
        <f>IF(W252&gt;$AC$32,1,0)</f>
        <v/>
      </c>
      <c r="Z252">
        <f>IF(Y252=C252,1,0)</f>
        <v/>
      </c>
    </row>
    <row r="253">
      <c r="A253">
        <f>'3 escalar'!A256</f>
        <v/>
      </c>
      <c r="B253" s="5">
        <f>'3 escalar'!U256</f>
        <v/>
      </c>
      <c r="C253">
        <f>'3 escalar'!B256</f>
        <v/>
      </c>
      <c r="D253" s="7">
        <f>'3 escalar'!C256</f>
        <v/>
      </c>
      <c r="E253" s="7">
        <f>'3 escalar'!D256</f>
        <v/>
      </c>
      <c r="F253" s="7">
        <f>'3 escalar'!E256</f>
        <v/>
      </c>
      <c r="G253" s="7">
        <f>'3 escalar'!F256</f>
        <v/>
      </c>
      <c r="H253" s="7">
        <f>'3 escalar'!G256</f>
        <v/>
      </c>
      <c r="I253" s="7">
        <f>'3 escalar'!H256</f>
        <v/>
      </c>
      <c r="J253" s="7">
        <f>'3 escalar'!I256</f>
        <v/>
      </c>
      <c r="K253" s="7">
        <f>'3 escalar'!J256</f>
        <v/>
      </c>
      <c r="L253" s="7">
        <f>'3 escalar'!K256</f>
        <v/>
      </c>
      <c r="M253" s="7">
        <f>'3 escalar'!L256</f>
        <v/>
      </c>
      <c r="N253" s="7">
        <f>'3 escalar'!M256</f>
        <v/>
      </c>
      <c r="O253" s="7">
        <f>'3 escalar'!N256</f>
        <v/>
      </c>
      <c r="P253" s="7">
        <f>'3 escalar'!O256</f>
        <v/>
      </c>
      <c r="Q253" s="7">
        <f>'3 escalar'!P256</f>
        <v/>
      </c>
      <c r="R253" s="7">
        <f>'3 escalar'!Q256</f>
        <v/>
      </c>
      <c r="S253" s="7">
        <f>'3 escalar'!R256</f>
        <v/>
      </c>
      <c r="T253" s="7">
        <f>'3 escalar'!S256</f>
        <v/>
      </c>
      <c r="U253" s="7">
        <f>'3 escalar'!T256</f>
        <v/>
      </c>
      <c r="V253" s="6">
        <f>$AC$12+D253*$AC$13+E253*$AC$14+F253*$AC$15+G253*$AC$16+H253*$AC$17+I253*$AC$18+J253*$AC$19+K253*$AC$20+L253*$AC$21+M253*$AC$22+N253*$AC$23+O253*$AC$24+P253*$AC$25+Q253*$AC$26+R253*$AC$27+S253*$AC$28+T253*$AC$29+U253*$AC$30</f>
        <v/>
      </c>
      <c r="W253" s="6">
        <f>1/(1+EXP(-V253))</f>
        <v/>
      </c>
      <c r="X253" s="8">
        <f>-IF(C253=1,LN(W253),LN(1-W253))</f>
        <v/>
      </c>
      <c r="Y253" s="9">
        <f>IF(W253&gt;$AC$32,1,0)</f>
        <v/>
      </c>
      <c r="Z253">
        <f>IF(Y253=C253,1,0)</f>
        <v/>
      </c>
    </row>
    <row r="254">
      <c r="A254">
        <f>'3 escalar'!A257</f>
        <v/>
      </c>
      <c r="B254" s="5">
        <f>'3 escalar'!U257</f>
        <v/>
      </c>
      <c r="C254">
        <f>'3 escalar'!B257</f>
        <v/>
      </c>
      <c r="D254" s="7">
        <f>'3 escalar'!C257</f>
        <v/>
      </c>
      <c r="E254" s="7">
        <f>'3 escalar'!D257</f>
        <v/>
      </c>
      <c r="F254" s="7">
        <f>'3 escalar'!E257</f>
        <v/>
      </c>
      <c r="G254" s="7">
        <f>'3 escalar'!F257</f>
        <v/>
      </c>
      <c r="H254" s="7">
        <f>'3 escalar'!G257</f>
        <v/>
      </c>
      <c r="I254" s="7">
        <f>'3 escalar'!H257</f>
        <v/>
      </c>
      <c r="J254" s="7">
        <f>'3 escalar'!I257</f>
        <v/>
      </c>
      <c r="K254" s="7">
        <f>'3 escalar'!J257</f>
        <v/>
      </c>
      <c r="L254" s="7">
        <f>'3 escalar'!K257</f>
        <v/>
      </c>
      <c r="M254" s="7">
        <f>'3 escalar'!L257</f>
        <v/>
      </c>
      <c r="N254" s="7">
        <f>'3 escalar'!M257</f>
        <v/>
      </c>
      <c r="O254" s="7">
        <f>'3 escalar'!N257</f>
        <v/>
      </c>
      <c r="P254" s="7">
        <f>'3 escalar'!O257</f>
        <v/>
      </c>
      <c r="Q254" s="7">
        <f>'3 escalar'!P257</f>
        <v/>
      </c>
      <c r="R254" s="7">
        <f>'3 escalar'!Q257</f>
        <v/>
      </c>
      <c r="S254" s="7">
        <f>'3 escalar'!R257</f>
        <v/>
      </c>
      <c r="T254" s="7">
        <f>'3 escalar'!S257</f>
        <v/>
      </c>
      <c r="U254" s="7">
        <f>'3 escalar'!T257</f>
        <v/>
      </c>
      <c r="V254" s="6">
        <f>$AC$12+D254*$AC$13+E254*$AC$14+F254*$AC$15+G254*$AC$16+H254*$AC$17+I254*$AC$18+J254*$AC$19+K254*$AC$20+L254*$AC$21+M254*$AC$22+N254*$AC$23+O254*$AC$24+P254*$AC$25+Q254*$AC$26+R254*$AC$27+S254*$AC$28+T254*$AC$29+U254*$AC$30</f>
        <v/>
      </c>
      <c r="W254" s="6">
        <f>1/(1+EXP(-V254))</f>
        <v/>
      </c>
      <c r="X254" s="8">
        <f>-IF(C254=1,LN(W254),LN(1-W254))</f>
        <v/>
      </c>
      <c r="Y254" s="9">
        <f>IF(W254&gt;$AC$32,1,0)</f>
        <v/>
      </c>
      <c r="Z254">
        <f>IF(Y254=C254,1,0)</f>
        <v/>
      </c>
    </row>
    <row r="255">
      <c r="A255">
        <f>'3 escalar'!A258</f>
        <v/>
      </c>
      <c r="B255" s="5">
        <f>'3 escalar'!U258</f>
        <v/>
      </c>
      <c r="C255">
        <f>'3 escalar'!B258</f>
        <v/>
      </c>
      <c r="D255" s="7">
        <f>'3 escalar'!C258</f>
        <v/>
      </c>
      <c r="E255" s="7">
        <f>'3 escalar'!D258</f>
        <v/>
      </c>
      <c r="F255" s="7">
        <f>'3 escalar'!E258</f>
        <v/>
      </c>
      <c r="G255" s="7">
        <f>'3 escalar'!F258</f>
        <v/>
      </c>
      <c r="H255" s="7">
        <f>'3 escalar'!G258</f>
        <v/>
      </c>
      <c r="I255" s="7">
        <f>'3 escalar'!H258</f>
        <v/>
      </c>
      <c r="J255" s="7">
        <f>'3 escalar'!I258</f>
        <v/>
      </c>
      <c r="K255" s="7">
        <f>'3 escalar'!J258</f>
        <v/>
      </c>
      <c r="L255" s="7">
        <f>'3 escalar'!K258</f>
        <v/>
      </c>
      <c r="M255" s="7">
        <f>'3 escalar'!L258</f>
        <v/>
      </c>
      <c r="N255" s="7">
        <f>'3 escalar'!M258</f>
        <v/>
      </c>
      <c r="O255" s="7">
        <f>'3 escalar'!N258</f>
        <v/>
      </c>
      <c r="P255" s="7">
        <f>'3 escalar'!O258</f>
        <v/>
      </c>
      <c r="Q255" s="7">
        <f>'3 escalar'!P258</f>
        <v/>
      </c>
      <c r="R255" s="7">
        <f>'3 escalar'!Q258</f>
        <v/>
      </c>
      <c r="S255" s="7">
        <f>'3 escalar'!R258</f>
        <v/>
      </c>
      <c r="T255" s="7">
        <f>'3 escalar'!S258</f>
        <v/>
      </c>
      <c r="U255" s="7">
        <f>'3 escalar'!T258</f>
        <v/>
      </c>
      <c r="V255" s="6">
        <f>$AC$12+D255*$AC$13+E255*$AC$14+F255*$AC$15+G255*$AC$16+H255*$AC$17+I255*$AC$18+J255*$AC$19+K255*$AC$20+L255*$AC$21+M255*$AC$22+N255*$AC$23+O255*$AC$24+P255*$AC$25+Q255*$AC$26+R255*$AC$27+S255*$AC$28+T255*$AC$29+U255*$AC$30</f>
        <v/>
      </c>
      <c r="W255" s="6">
        <f>1/(1+EXP(-V255))</f>
        <v/>
      </c>
      <c r="X255" s="8">
        <f>-IF(C255=1,LN(W255),LN(1-W255))</f>
        <v/>
      </c>
      <c r="Y255" s="9">
        <f>IF(W255&gt;$AC$32,1,0)</f>
        <v/>
      </c>
      <c r="Z255">
        <f>IF(Y255=C255,1,0)</f>
        <v/>
      </c>
    </row>
    <row r="256">
      <c r="A256">
        <f>'3 escalar'!A259</f>
        <v/>
      </c>
      <c r="B256" s="5">
        <f>'3 escalar'!U259</f>
        <v/>
      </c>
      <c r="C256">
        <f>'3 escalar'!B259</f>
        <v/>
      </c>
      <c r="D256" s="7">
        <f>'3 escalar'!C259</f>
        <v/>
      </c>
      <c r="E256" s="7">
        <f>'3 escalar'!D259</f>
        <v/>
      </c>
      <c r="F256" s="7">
        <f>'3 escalar'!E259</f>
        <v/>
      </c>
      <c r="G256" s="7">
        <f>'3 escalar'!F259</f>
        <v/>
      </c>
      <c r="H256" s="7">
        <f>'3 escalar'!G259</f>
        <v/>
      </c>
      <c r="I256" s="7">
        <f>'3 escalar'!H259</f>
        <v/>
      </c>
      <c r="J256" s="7">
        <f>'3 escalar'!I259</f>
        <v/>
      </c>
      <c r="K256" s="7">
        <f>'3 escalar'!J259</f>
        <v/>
      </c>
      <c r="L256" s="7">
        <f>'3 escalar'!K259</f>
        <v/>
      </c>
      <c r="M256" s="7">
        <f>'3 escalar'!L259</f>
        <v/>
      </c>
      <c r="N256" s="7">
        <f>'3 escalar'!M259</f>
        <v/>
      </c>
      <c r="O256" s="7">
        <f>'3 escalar'!N259</f>
        <v/>
      </c>
      <c r="P256" s="7">
        <f>'3 escalar'!O259</f>
        <v/>
      </c>
      <c r="Q256" s="7">
        <f>'3 escalar'!P259</f>
        <v/>
      </c>
      <c r="R256" s="7">
        <f>'3 escalar'!Q259</f>
        <v/>
      </c>
      <c r="S256" s="7">
        <f>'3 escalar'!R259</f>
        <v/>
      </c>
      <c r="T256" s="7">
        <f>'3 escalar'!S259</f>
        <v/>
      </c>
      <c r="U256" s="7">
        <f>'3 escalar'!T259</f>
        <v/>
      </c>
      <c r="V256" s="6">
        <f>$AC$12+D256*$AC$13+E256*$AC$14+F256*$AC$15+G256*$AC$16+H256*$AC$17+I256*$AC$18+J256*$AC$19+K256*$AC$20+L256*$AC$21+M256*$AC$22+N256*$AC$23+O256*$AC$24+P256*$AC$25+Q256*$AC$26+R256*$AC$27+S256*$AC$28+T256*$AC$29+U256*$AC$30</f>
        <v/>
      </c>
      <c r="W256" s="6">
        <f>1/(1+EXP(-V256))</f>
        <v/>
      </c>
      <c r="X256" s="8">
        <f>-IF(C256=1,LN(W256),LN(1-W256))</f>
        <v/>
      </c>
      <c r="Y256" s="9">
        <f>IF(W256&gt;$AC$32,1,0)</f>
        <v/>
      </c>
      <c r="Z256">
        <f>IF(Y256=C256,1,0)</f>
        <v/>
      </c>
    </row>
    <row r="257">
      <c r="A257">
        <f>'3 escalar'!A260</f>
        <v/>
      </c>
      <c r="B257" s="5">
        <f>'3 escalar'!U260</f>
        <v/>
      </c>
      <c r="C257">
        <f>'3 escalar'!B260</f>
        <v/>
      </c>
      <c r="D257" s="7">
        <f>'3 escalar'!C260</f>
        <v/>
      </c>
      <c r="E257" s="7">
        <f>'3 escalar'!D260</f>
        <v/>
      </c>
      <c r="F257" s="7">
        <f>'3 escalar'!E260</f>
        <v/>
      </c>
      <c r="G257" s="7">
        <f>'3 escalar'!F260</f>
        <v/>
      </c>
      <c r="H257" s="7">
        <f>'3 escalar'!G260</f>
        <v/>
      </c>
      <c r="I257" s="7">
        <f>'3 escalar'!H260</f>
        <v/>
      </c>
      <c r="J257" s="7">
        <f>'3 escalar'!I260</f>
        <v/>
      </c>
      <c r="K257" s="7">
        <f>'3 escalar'!J260</f>
        <v/>
      </c>
      <c r="L257" s="7">
        <f>'3 escalar'!K260</f>
        <v/>
      </c>
      <c r="M257" s="7">
        <f>'3 escalar'!L260</f>
        <v/>
      </c>
      <c r="N257" s="7">
        <f>'3 escalar'!M260</f>
        <v/>
      </c>
      <c r="O257" s="7">
        <f>'3 escalar'!N260</f>
        <v/>
      </c>
      <c r="P257" s="7">
        <f>'3 escalar'!O260</f>
        <v/>
      </c>
      <c r="Q257" s="7">
        <f>'3 escalar'!P260</f>
        <v/>
      </c>
      <c r="R257" s="7">
        <f>'3 escalar'!Q260</f>
        <v/>
      </c>
      <c r="S257" s="7">
        <f>'3 escalar'!R260</f>
        <v/>
      </c>
      <c r="T257" s="7">
        <f>'3 escalar'!S260</f>
        <v/>
      </c>
      <c r="U257" s="7">
        <f>'3 escalar'!T260</f>
        <v/>
      </c>
      <c r="V257" s="6">
        <f>$AC$12+D257*$AC$13+E257*$AC$14+F257*$AC$15+G257*$AC$16+H257*$AC$17+I257*$AC$18+J257*$AC$19+K257*$AC$20+L257*$AC$21+M257*$AC$22+N257*$AC$23+O257*$AC$24+P257*$AC$25+Q257*$AC$26+R257*$AC$27+S257*$AC$28+T257*$AC$29+U257*$AC$30</f>
        <v/>
      </c>
      <c r="W257" s="6">
        <f>1/(1+EXP(-V257))</f>
        <v/>
      </c>
      <c r="X257" s="8">
        <f>-IF(C257=1,LN(W257),LN(1-W257))</f>
        <v/>
      </c>
      <c r="Y257" s="9">
        <f>IF(W257&gt;$AC$32,1,0)</f>
        <v/>
      </c>
      <c r="Z257">
        <f>IF(Y257=C257,1,0)</f>
        <v/>
      </c>
    </row>
    <row r="258">
      <c r="A258">
        <f>'3 escalar'!A261</f>
        <v/>
      </c>
      <c r="B258" s="5">
        <f>'3 escalar'!U261</f>
        <v/>
      </c>
      <c r="C258">
        <f>'3 escalar'!B261</f>
        <v/>
      </c>
      <c r="D258" s="7">
        <f>'3 escalar'!C261</f>
        <v/>
      </c>
      <c r="E258" s="7">
        <f>'3 escalar'!D261</f>
        <v/>
      </c>
      <c r="F258" s="7">
        <f>'3 escalar'!E261</f>
        <v/>
      </c>
      <c r="G258" s="7">
        <f>'3 escalar'!F261</f>
        <v/>
      </c>
      <c r="H258" s="7">
        <f>'3 escalar'!G261</f>
        <v/>
      </c>
      <c r="I258" s="7">
        <f>'3 escalar'!H261</f>
        <v/>
      </c>
      <c r="J258" s="7">
        <f>'3 escalar'!I261</f>
        <v/>
      </c>
      <c r="K258" s="7">
        <f>'3 escalar'!J261</f>
        <v/>
      </c>
      <c r="L258" s="7">
        <f>'3 escalar'!K261</f>
        <v/>
      </c>
      <c r="M258" s="7">
        <f>'3 escalar'!L261</f>
        <v/>
      </c>
      <c r="N258" s="7">
        <f>'3 escalar'!M261</f>
        <v/>
      </c>
      <c r="O258" s="7">
        <f>'3 escalar'!N261</f>
        <v/>
      </c>
      <c r="P258" s="7">
        <f>'3 escalar'!O261</f>
        <v/>
      </c>
      <c r="Q258" s="7">
        <f>'3 escalar'!P261</f>
        <v/>
      </c>
      <c r="R258" s="7">
        <f>'3 escalar'!Q261</f>
        <v/>
      </c>
      <c r="S258" s="7">
        <f>'3 escalar'!R261</f>
        <v/>
      </c>
      <c r="T258" s="7">
        <f>'3 escalar'!S261</f>
        <v/>
      </c>
      <c r="U258" s="7">
        <f>'3 escalar'!T261</f>
        <v/>
      </c>
      <c r="V258" s="6">
        <f>$AC$12+D258*$AC$13+E258*$AC$14+F258*$AC$15+G258*$AC$16+H258*$AC$17+I258*$AC$18+J258*$AC$19+K258*$AC$20+L258*$AC$21+M258*$AC$22+N258*$AC$23+O258*$AC$24+P258*$AC$25+Q258*$AC$26+R258*$AC$27+S258*$AC$28+T258*$AC$29+U258*$AC$30</f>
        <v/>
      </c>
      <c r="W258" s="6">
        <f>1/(1+EXP(-V258))</f>
        <v/>
      </c>
      <c r="X258" s="8">
        <f>-IF(C258=1,LN(W258),LN(1-W258))</f>
        <v/>
      </c>
      <c r="Y258" s="9">
        <f>IF(W258&gt;$AC$32,1,0)</f>
        <v/>
      </c>
      <c r="Z258">
        <f>IF(Y258=C258,1,0)</f>
        <v/>
      </c>
    </row>
    <row r="259">
      <c r="A259">
        <f>'3 escalar'!A262</f>
        <v/>
      </c>
      <c r="B259" s="5">
        <f>'3 escalar'!U262</f>
        <v/>
      </c>
      <c r="C259">
        <f>'3 escalar'!B262</f>
        <v/>
      </c>
      <c r="D259" s="7">
        <f>'3 escalar'!C262</f>
        <v/>
      </c>
      <c r="E259" s="7">
        <f>'3 escalar'!D262</f>
        <v/>
      </c>
      <c r="F259" s="7">
        <f>'3 escalar'!E262</f>
        <v/>
      </c>
      <c r="G259" s="7">
        <f>'3 escalar'!F262</f>
        <v/>
      </c>
      <c r="H259" s="7">
        <f>'3 escalar'!G262</f>
        <v/>
      </c>
      <c r="I259" s="7">
        <f>'3 escalar'!H262</f>
        <v/>
      </c>
      <c r="J259" s="7">
        <f>'3 escalar'!I262</f>
        <v/>
      </c>
      <c r="K259" s="7">
        <f>'3 escalar'!J262</f>
        <v/>
      </c>
      <c r="L259" s="7">
        <f>'3 escalar'!K262</f>
        <v/>
      </c>
      <c r="M259" s="7">
        <f>'3 escalar'!L262</f>
        <v/>
      </c>
      <c r="N259" s="7">
        <f>'3 escalar'!M262</f>
        <v/>
      </c>
      <c r="O259" s="7">
        <f>'3 escalar'!N262</f>
        <v/>
      </c>
      <c r="P259" s="7">
        <f>'3 escalar'!O262</f>
        <v/>
      </c>
      <c r="Q259" s="7">
        <f>'3 escalar'!P262</f>
        <v/>
      </c>
      <c r="R259" s="7">
        <f>'3 escalar'!Q262</f>
        <v/>
      </c>
      <c r="S259" s="7">
        <f>'3 escalar'!R262</f>
        <v/>
      </c>
      <c r="T259" s="7">
        <f>'3 escalar'!S262</f>
        <v/>
      </c>
      <c r="U259" s="7">
        <f>'3 escalar'!T262</f>
        <v/>
      </c>
      <c r="V259" s="6">
        <f>$AC$12+D259*$AC$13+E259*$AC$14+F259*$AC$15+G259*$AC$16+H259*$AC$17+I259*$AC$18+J259*$AC$19+K259*$AC$20+L259*$AC$21+M259*$AC$22+N259*$AC$23+O259*$AC$24+P259*$AC$25+Q259*$AC$26+R259*$AC$27+S259*$AC$28+T259*$AC$29+U259*$AC$30</f>
        <v/>
      </c>
      <c r="W259" s="6">
        <f>1/(1+EXP(-V259))</f>
        <v/>
      </c>
      <c r="X259" s="8">
        <f>-IF(C259=1,LN(W259),LN(1-W259))</f>
        <v/>
      </c>
      <c r="Y259" s="9">
        <f>IF(W259&gt;$AC$32,1,0)</f>
        <v/>
      </c>
      <c r="Z259">
        <f>IF(Y259=C259,1,0)</f>
        <v/>
      </c>
    </row>
    <row r="260">
      <c r="A260">
        <f>'3 escalar'!A263</f>
        <v/>
      </c>
      <c r="B260" s="5">
        <f>'3 escalar'!U263</f>
        <v/>
      </c>
      <c r="C260">
        <f>'3 escalar'!B263</f>
        <v/>
      </c>
      <c r="D260" s="7">
        <f>'3 escalar'!C263</f>
        <v/>
      </c>
      <c r="E260" s="7">
        <f>'3 escalar'!D263</f>
        <v/>
      </c>
      <c r="F260" s="7">
        <f>'3 escalar'!E263</f>
        <v/>
      </c>
      <c r="G260" s="7">
        <f>'3 escalar'!F263</f>
        <v/>
      </c>
      <c r="H260" s="7">
        <f>'3 escalar'!G263</f>
        <v/>
      </c>
      <c r="I260" s="7">
        <f>'3 escalar'!H263</f>
        <v/>
      </c>
      <c r="J260" s="7">
        <f>'3 escalar'!I263</f>
        <v/>
      </c>
      <c r="K260" s="7">
        <f>'3 escalar'!J263</f>
        <v/>
      </c>
      <c r="L260" s="7">
        <f>'3 escalar'!K263</f>
        <v/>
      </c>
      <c r="M260" s="7">
        <f>'3 escalar'!L263</f>
        <v/>
      </c>
      <c r="N260" s="7">
        <f>'3 escalar'!M263</f>
        <v/>
      </c>
      <c r="O260" s="7">
        <f>'3 escalar'!N263</f>
        <v/>
      </c>
      <c r="P260" s="7">
        <f>'3 escalar'!O263</f>
        <v/>
      </c>
      <c r="Q260" s="7">
        <f>'3 escalar'!P263</f>
        <v/>
      </c>
      <c r="R260" s="7">
        <f>'3 escalar'!Q263</f>
        <v/>
      </c>
      <c r="S260" s="7">
        <f>'3 escalar'!R263</f>
        <v/>
      </c>
      <c r="T260" s="7">
        <f>'3 escalar'!S263</f>
        <v/>
      </c>
      <c r="U260" s="7">
        <f>'3 escalar'!T263</f>
        <v/>
      </c>
      <c r="V260" s="6">
        <f>$AC$12+D260*$AC$13+E260*$AC$14+F260*$AC$15+G260*$AC$16+H260*$AC$17+I260*$AC$18+J260*$AC$19+K260*$AC$20+L260*$AC$21+M260*$AC$22+N260*$AC$23+O260*$AC$24+P260*$AC$25+Q260*$AC$26+R260*$AC$27+S260*$AC$28+T260*$AC$29+U260*$AC$30</f>
        <v/>
      </c>
      <c r="W260" s="6">
        <f>1/(1+EXP(-V260))</f>
        <v/>
      </c>
      <c r="X260" s="8">
        <f>-IF(C260=1,LN(W260),LN(1-W260))</f>
        <v/>
      </c>
      <c r="Y260" s="9">
        <f>IF(W260&gt;$AC$32,1,0)</f>
        <v/>
      </c>
      <c r="Z260">
        <f>IF(Y260=C260,1,0)</f>
        <v/>
      </c>
    </row>
    <row r="261">
      <c r="A261">
        <f>'3 escalar'!A264</f>
        <v/>
      </c>
      <c r="B261" s="5">
        <f>'3 escalar'!U264</f>
        <v/>
      </c>
      <c r="C261">
        <f>'3 escalar'!B264</f>
        <v/>
      </c>
      <c r="D261" s="7">
        <f>'3 escalar'!C264</f>
        <v/>
      </c>
      <c r="E261" s="7">
        <f>'3 escalar'!D264</f>
        <v/>
      </c>
      <c r="F261" s="7">
        <f>'3 escalar'!E264</f>
        <v/>
      </c>
      <c r="G261" s="7">
        <f>'3 escalar'!F264</f>
        <v/>
      </c>
      <c r="H261" s="7">
        <f>'3 escalar'!G264</f>
        <v/>
      </c>
      <c r="I261" s="7">
        <f>'3 escalar'!H264</f>
        <v/>
      </c>
      <c r="J261" s="7">
        <f>'3 escalar'!I264</f>
        <v/>
      </c>
      <c r="K261" s="7">
        <f>'3 escalar'!J264</f>
        <v/>
      </c>
      <c r="L261" s="7">
        <f>'3 escalar'!K264</f>
        <v/>
      </c>
      <c r="M261" s="7">
        <f>'3 escalar'!L264</f>
        <v/>
      </c>
      <c r="N261" s="7">
        <f>'3 escalar'!M264</f>
        <v/>
      </c>
      <c r="O261" s="7">
        <f>'3 escalar'!N264</f>
        <v/>
      </c>
      <c r="P261" s="7">
        <f>'3 escalar'!O264</f>
        <v/>
      </c>
      <c r="Q261" s="7">
        <f>'3 escalar'!P264</f>
        <v/>
      </c>
      <c r="R261" s="7">
        <f>'3 escalar'!Q264</f>
        <v/>
      </c>
      <c r="S261" s="7">
        <f>'3 escalar'!R264</f>
        <v/>
      </c>
      <c r="T261" s="7">
        <f>'3 escalar'!S264</f>
        <v/>
      </c>
      <c r="U261" s="7">
        <f>'3 escalar'!T264</f>
        <v/>
      </c>
      <c r="V261" s="6">
        <f>$AC$12+D261*$AC$13+E261*$AC$14+F261*$AC$15+G261*$AC$16+H261*$AC$17+I261*$AC$18+J261*$AC$19+K261*$AC$20+L261*$AC$21+M261*$AC$22+N261*$AC$23+O261*$AC$24+P261*$AC$25+Q261*$AC$26+R261*$AC$27+S261*$AC$28+T261*$AC$29+U261*$AC$30</f>
        <v/>
      </c>
      <c r="W261" s="6">
        <f>1/(1+EXP(-V261))</f>
        <v/>
      </c>
      <c r="X261" s="8">
        <f>-IF(C261=1,LN(W261),LN(1-W261))</f>
        <v/>
      </c>
      <c r="Y261" s="9">
        <f>IF(W261&gt;$AC$32,1,0)</f>
        <v/>
      </c>
      <c r="Z261">
        <f>IF(Y261=C261,1,0)</f>
        <v/>
      </c>
    </row>
    <row r="262">
      <c r="A262">
        <f>'3 escalar'!A265</f>
        <v/>
      </c>
      <c r="B262" s="5">
        <f>'3 escalar'!U265</f>
        <v/>
      </c>
      <c r="C262">
        <f>'3 escalar'!B265</f>
        <v/>
      </c>
      <c r="D262" s="7">
        <f>'3 escalar'!C265</f>
        <v/>
      </c>
      <c r="E262" s="7">
        <f>'3 escalar'!D265</f>
        <v/>
      </c>
      <c r="F262" s="7">
        <f>'3 escalar'!E265</f>
        <v/>
      </c>
      <c r="G262" s="7">
        <f>'3 escalar'!F265</f>
        <v/>
      </c>
      <c r="H262" s="7">
        <f>'3 escalar'!G265</f>
        <v/>
      </c>
      <c r="I262" s="7">
        <f>'3 escalar'!H265</f>
        <v/>
      </c>
      <c r="J262" s="7">
        <f>'3 escalar'!I265</f>
        <v/>
      </c>
      <c r="K262" s="7">
        <f>'3 escalar'!J265</f>
        <v/>
      </c>
      <c r="L262" s="7">
        <f>'3 escalar'!K265</f>
        <v/>
      </c>
      <c r="M262" s="7">
        <f>'3 escalar'!L265</f>
        <v/>
      </c>
      <c r="N262" s="7">
        <f>'3 escalar'!M265</f>
        <v/>
      </c>
      <c r="O262" s="7">
        <f>'3 escalar'!N265</f>
        <v/>
      </c>
      <c r="P262" s="7">
        <f>'3 escalar'!O265</f>
        <v/>
      </c>
      <c r="Q262" s="7">
        <f>'3 escalar'!P265</f>
        <v/>
      </c>
      <c r="R262" s="7">
        <f>'3 escalar'!Q265</f>
        <v/>
      </c>
      <c r="S262" s="7">
        <f>'3 escalar'!R265</f>
        <v/>
      </c>
      <c r="T262" s="7">
        <f>'3 escalar'!S265</f>
        <v/>
      </c>
      <c r="U262" s="7">
        <f>'3 escalar'!T265</f>
        <v/>
      </c>
      <c r="V262" s="6">
        <f>$AC$12+D262*$AC$13+E262*$AC$14+F262*$AC$15+G262*$AC$16+H262*$AC$17+I262*$AC$18+J262*$AC$19+K262*$AC$20+L262*$AC$21+M262*$AC$22+N262*$AC$23+O262*$AC$24+P262*$AC$25+Q262*$AC$26+R262*$AC$27+S262*$AC$28+T262*$AC$29+U262*$AC$30</f>
        <v/>
      </c>
      <c r="W262" s="6">
        <f>1/(1+EXP(-V262))</f>
        <v/>
      </c>
      <c r="X262" s="8">
        <f>-IF(C262=1,LN(W262),LN(1-W262))</f>
        <v/>
      </c>
      <c r="Y262" s="9">
        <f>IF(W262&gt;$AC$32,1,0)</f>
        <v/>
      </c>
      <c r="Z262">
        <f>IF(Y262=C262,1,0)</f>
        <v/>
      </c>
    </row>
    <row r="263">
      <c r="A263">
        <f>'3 escalar'!A266</f>
        <v/>
      </c>
      <c r="B263" s="5">
        <f>'3 escalar'!U266</f>
        <v/>
      </c>
      <c r="C263">
        <f>'3 escalar'!B266</f>
        <v/>
      </c>
      <c r="D263" s="7">
        <f>'3 escalar'!C266</f>
        <v/>
      </c>
      <c r="E263" s="7">
        <f>'3 escalar'!D266</f>
        <v/>
      </c>
      <c r="F263" s="7">
        <f>'3 escalar'!E266</f>
        <v/>
      </c>
      <c r="G263" s="7">
        <f>'3 escalar'!F266</f>
        <v/>
      </c>
      <c r="H263" s="7">
        <f>'3 escalar'!G266</f>
        <v/>
      </c>
      <c r="I263" s="7">
        <f>'3 escalar'!H266</f>
        <v/>
      </c>
      <c r="J263" s="7">
        <f>'3 escalar'!I266</f>
        <v/>
      </c>
      <c r="K263" s="7">
        <f>'3 escalar'!J266</f>
        <v/>
      </c>
      <c r="L263" s="7">
        <f>'3 escalar'!K266</f>
        <v/>
      </c>
      <c r="M263" s="7">
        <f>'3 escalar'!L266</f>
        <v/>
      </c>
      <c r="N263" s="7">
        <f>'3 escalar'!M266</f>
        <v/>
      </c>
      <c r="O263" s="7">
        <f>'3 escalar'!N266</f>
        <v/>
      </c>
      <c r="P263" s="7">
        <f>'3 escalar'!O266</f>
        <v/>
      </c>
      <c r="Q263" s="7">
        <f>'3 escalar'!P266</f>
        <v/>
      </c>
      <c r="R263" s="7">
        <f>'3 escalar'!Q266</f>
        <v/>
      </c>
      <c r="S263" s="7">
        <f>'3 escalar'!R266</f>
        <v/>
      </c>
      <c r="T263" s="7">
        <f>'3 escalar'!S266</f>
        <v/>
      </c>
      <c r="U263" s="7">
        <f>'3 escalar'!T266</f>
        <v/>
      </c>
      <c r="V263" s="6">
        <f>$AC$12+D263*$AC$13+E263*$AC$14+F263*$AC$15+G263*$AC$16+H263*$AC$17+I263*$AC$18+J263*$AC$19+K263*$AC$20+L263*$AC$21+M263*$AC$22+N263*$AC$23+O263*$AC$24+P263*$AC$25+Q263*$AC$26+R263*$AC$27+S263*$AC$28+T263*$AC$29+U263*$AC$30</f>
        <v/>
      </c>
      <c r="W263" s="6">
        <f>1/(1+EXP(-V263))</f>
        <v/>
      </c>
      <c r="X263" s="8">
        <f>-IF(C263=1,LN(W263),LN(1-W263))</f>
        <v/>
      </c>
      <c r="Y263" s="9">
        <f>IF(W263&gt;$AC$32,1,0)</f>
        <v/>
      </c>
      <c r="Z263">
        <f>IF(Y263=C263,1,0)</f>
        <v/>
      </c>
    </row>
    <row r="264">
      <c r="A264">
        <f>'3 escalar'!A267</f>
        <v/>
      </c>
      <c r="B264" s="5">
        <f>'3 escalar'!U267</f>
        <v/>
      </c>
      <c r="C264">
        <f>'3 escalar'!B267</f>
        <v/>
      </c>
      <c r="D264" s="7">
        <f>'3 escalar'!C267</f>
        <v/>
      </c>
      <c r="E264" s="7">
        <f>'3 escalar'!D267</f>
        <v/>
      </c>
      <c r="F264" s="7">
        <f>'3 escalar'!E267</f>
        <v/>
      </c>
      <c r="G264" s="7">
        <f>'3 escalar'!F267</f>
        <v/>
      </c>
      <c r="H264" s="7">
        <f>'3 escalar'!G267</f>
        <v/>
      </c>
      <c r="I264" s="7">
        <f>'3 escalar'!H267</f>
        <v/>
      </c>
      <c r="J264" s="7">
        <f>'3 escalar'!I267</f>
        <v/>
      </c>
      <c r="K264" s="7">
        <f>'3 escalar'!J267</f>
        <v/>
      </c>
      <c r="L264" s="7">
        <f>'3 escalar'!K267</f>
        <v/>
      </c>
      <c r="M264" s="7">
        <f>'3 escalar'!L267</f>
        <v/>
      </c>
      <c r="N264" s="7">
        <f>'3 escalar'!M267</f>
        <v/>
      </c>
      <c r="O264" s="7">
        <f>'3 escalar'!N267</f>
        <v/>
      </c>
      <c r="P264" s="7">
        <f>'3 escalar'!O267</f>
        <v/>
      </c>
      <c r="Q264" s="7">
        <f>'3 escalar'!P267</f>
        <v/>
      </c>
      <c r="R264" s="7">
        <f>'3 escalar'!Q267</f>
        <v/>
      </c>
      <c r="S264" s="7">
        <f>'3 escalar'!R267</f>
        <v/>
      </c>
      <c r="T264" s="7">
        <f>'3 escalar'!S267</f>
        <v/>
      </c>
      <c r="U264" s="7">
        <f>'3 escalar'!T267</f>
        <v/>
      </c>
      <c r="V264" s="6">
        <f>$AC$12+D264*$AC$13+E264*$AC$14+F264*$AC$15+G264*$AC$16+H264*$AC$17+I264*$AC$18+J264*$AC$19+K264*$AC$20+L264*$AC$21+M264*$AC$22+N264*$AC$23+O264*$AC$24+P264*$AC$25+Q264*$AC$26+R264*$AC$27+S264*$AC$28+T264*$AC$29+U264*$AC$30</f>
        <v/>
      </c>
      <c r="W264" s="6">
        <f>1/(1+EXP(-V264))</f>
        <v/>
      </c>
      <c r="X264" s="8">
        <f>-IF(C264=1,LN(W264),LN(1-W264))</f>
        <v/>
      </c>
      <c r="Y264" s="9">
        <f>IF(W264&gt;$AC$32,1,0)</f>
        <v/>
      </c>
      <c r="Z264">
        <f>IF(Y264=C264,1,0)</f>
        <v/>
      </c>
    </row>
    <row r="265">
      <c r="A265">
        <f>'3 escalar'!A268</f>
        <v/>
      </c>
      <c r="B265" s="5">
        <f>'3 escalar'!U268</f>
        <v/>
      </c>
      <c r="C265">
        <f>'3 escalar'!B268</f>
        <v/>
      </c>
      <c r="D265" s="7">
        <f>'3 escalar'!C268</f>
        <v/>
      </c>
      <c r="E265" s="7">
        <f>'3 escalar'!D268</f>
        <v/>
      </c>
      <c r="F265" s="7">
        <f>'3 escalar'!E268</f>
        <v/>
      </c>
      <c r="G265" s="7">
        <f>'3 escalar'!F268</f>
        <v/>
      </c>
      <c r="H265" s="7">
        <f>'3 escalar'!G268</f>
        <v/>
      </c>
      <c r="I265" s="7">
        <f>'3 escalar'!H268</f>
        <v/>
      </c>
      <c r="J265" s="7">
        <f>'3 escalar'!I268</f>
        <v/>
      </c>
      <c r="K265" s="7">
        <f>'3 escalar'!J268</f>
        <v/>
      </c>
      <c r="L265" s="7">
        <f>'3 escalar'!K268</f>
        <v/>
      </c>
      <c r="M265" s="7">
        <f>'3 escalar'!L268</f>
        <v/>
      </c>
      <c r="N265" s="7">
        <f>'3 escalar'!M268</f>
        <v/>
      </c>
      <c r="O265" s="7">
        <f>'3 escalar'!N268</f>
        <v/>
      </c>
      <c r="P265" s="7">
        <f>'3 escalar'!O268</f>
        <v/>
      </c>
      <c r="Q265" s="7">
        <f>'3 escalar'!P268</f>
        <v/>
      </c>
      <c r="R265" s="7">
        <f>'3 escalar'!Q268</f>
        <v/>
      </c>
      <c r="S265" s="7">
        <f>'3 escalar'!R268</f>
        <v/>
      </c>
      <c r="T265" s="7">
        <f>'3 escalar'!S268</f>
        <v/>
      </c>
      <c r="U265" s="7">
        <f>'3 escalar'!T268</f>
        <v/>
      </c>
      <c r="V265" s="6">
        <f>$AC$12+D265*$AC$13+E265*$AC$14+F265*$AC$15+G265*$AC$16+H265*$AC$17+I265*$AC$18+J265*$AC$19+K265*$AC$20+L265*$AC$21+M265*$AC$22+N265*$AC$23+O265*$AC$24+P265*$AC$25+Q265*$AC$26+R265*$AC$27+S265*$AC$28+T265*$AC$29+U265*$AC$30</f>
        <v/>
      </c>
      <c r="W265" s="6">
        <f>1/(1+EXP(-V265))</f>
        <v/>
      </c>
      <c r="X265" s="8">
        <f>-IF(C265=1,LN(W265),LN(1-W265))</f>
        <v/>
      </c>
      <c r="Y265" s="9">
        <f>IF(W265&gt;$AC$32,1,0)</f>
        <v/>
      </c>
      <c r="Z265">
        <f>IF(Y265=C265,1,0)</f>
        <v/>
      </c>
    </row>
    <row r="266">
      <c r="A266">
        <f>'3 escalar'!A269</f>
        <v/>
      </c>
      <c r="B266" s="5">
        <f>'3 escalar'!U269</f>
        <v/>
      </c>
      <c r="C266">
        <f>'3 escalar'!B269</f>
        <v/>
      </c>
      <c r="D266" s="7">
        <f>'3 escalar'!C269</f>
        <v/>
      </c>
      <c r="E266" s="7">
        <f>'3 escalar'!D269</f>
        <v/>
      </c>
      <c r="F266" s="7">
        <f>'3 escalar'!E269</f>
        <v/>
      </c>
      <c r="G266" s="7">
        <f>'3 escalar'!F269</f>
        <v/>
      </c>
      <c r="H266" s="7">
        <f>'3 escalar'!G269</f>
        <v/>
      </c>
      <c r="I266" s="7">
        <f>'3 escalar'!H269</f>
        <v/>
      </c>
      <c r="J266" s="7">
        <f>'3 escalar'!I269</f>
        <v/>
      </c>
      <c r="K266" s="7">
        <f>'3 escalar'!J269</f>
        <v/>
      </c>
      <c r="L266" s="7">
        <f>'3 escalar'!K269</f>
        <v/>
      </c>
      <c r="M266" s="7">
        <f>'3 escalar'!L269</f>
        <v/>
      </c>
      <c r="N266" s="7">
        <f>'3 escalar'!M269</f>
        <v/>
      </c>
      <c r="O266" s="7">
        <f>'3 escalar'!N269</f>
        <v/>
      </c>
      <c r="P266" s="7">
        <f>'3 escalar'!O269</f>
        <v/>
      </c>
      <c r="Q266" s="7">
        <f>'3 escalar'!P269</f>
        <v/>
      </c>
      <c r="R266" s="7">
        <f>'3 escalar'!Q269</f>
        <v/>
      </c>
      <c r="S266" s="7">
        <f>'3 escalar'!R269</f>
        <v/>
      </c>
      <c r="T266" s="7">
        <f>'3 escalar'!S269</f>
        <v/>
      </c>
      <c r="U266" s="7">
        <f>'3 escalar'!T269</f>
        <v/>
      </c>
      <c r="V266" s="6">
        <f>$AC$12+D266*$AC$13+E266*$AC$14+F266*$AC$15+G266*$AC$16+H266*$AC$17+I266*$AC$18+J266*$AC$19+K266*$AC$20+L266*$AC$21+M266*$AC$22+N266*$AC$23+O266*$AC$24+P266*$AC$25+Q266*$AC$26+R266*$AC$27+S266*$AC$28+T266*$AC$29+U266*$AC$30</f>
        <v/>
      </c>
      <c r="W266" s="6">
        <f>1/(1+EXP(-V266))</f>
        <v/>
      </c>
      <c r="X266" s="8">
        <f>-IF(C266=1,LN(W266),LN(1-W266))</f>
        <v/>
      </c>
      <c r="Y266" s="9">
        <f>IF(W266&gt;$AC$32,1,0)</f>
        <v/>
      </c>
      <c r="Z266">
        <f>IF(Y266=C266,1,0)</f>
        <v/>
      </c>
    </row>
    <row r="267">
      <c r="A267">
        <f>'3 escalar'!A270</f>
        <v/>
      </c>
      <c r="B267" s="5">
        <f>'3 escalar'!U270</f>
        <v/>
      </c>
      <c r="C267">
        <f>'3 escalar'!B270</f>
        <v/>
      </c>
      <c r="D267" s="7">
        <f>'3 escalar'!C270</f>
        <v/>
      </c>
      <c r="E267" s="7">
        <f>'3 escalar'!D270</f>
        <v/>
      </c>
      <c r="F267" s="7">
        <f>'3 escalar'!E270</f>
        <v/>
      </c>
      <c r="G267" s="7">
        <f>'3 escalar'!F270</f>
        <v/>
      </c>
      <c r="H267" s="7">
        <f>'3 escalar'!G270</f>
        <v/>
      </c>
      <c r="I267" s="7">
        <f>'3 escalar'!H270</f>
        <v/>
      </c>
      <c r="J267" s="7">
        <f>'3 escalar'!I270</f>
        <v/>
      </c>
      <c r="K267" s="7">
        <f>'3 escalar'!J270</f>
        <v/>
      </c>
      <c r="L267" s="7">
        <f>'3 escalar'!K270</f>
        <v/>
      </c>
      <c r="M267" s="7">
        <f>'3 escalar'!L270</f>
        <v/>
      </c>
      <c r="N267" s="7">
        <f>'3 escalar'!M270</f>
        <v/>
      </c>
      <c r="O267" s="7">
        <f>'3 escalar'!N270</f>
        <v/>
      </c>
      <c r="P267" s="7">
        <f>'3 escalar'!O270</f>
        <v/>
      </c>
      <c r="Q267" s="7">
        <f>'3 escalar'!P270</f>
        <v/>
      </c>
      <c r="R267" s="7">
        <f>'3 escalar'!Q270</f>
        <v/>
      </c>
      <c r="S267" s="7">
        <f>'3 escalar'!R270</f>
        <v/>
      </c>
      <c r="T267" s="7">
        <f>'3 escalar'!S270</f>
        <v/>
      </c>
      <c r="U267" s="7">
        <f>'3 escalar'!T270</f>
        <v/>
      </c>
      <c r="V267" s="6">
        <f>$AC$12+D267*$AC$13+E267*$AC$14+F267*$AC$15+G267*$AC$16+H267*$AC$17+I267*$AC$18+J267*$AC$19+K267*$AC$20+L267*$AC$21+M267*$AC$22+N267*$AC$23+O267*$AC$24+P267*$AC$25+Q267*$AC$26+R267*$AC$27+S267*$AC$28+T267*$AC$29+U267*$AC$30</f>
        <v/>
      </c>
      <c r="W267" s="6">
        <f>1/(1+EXP(-V267))</f>
        <v/>
      </c>
      <c r="X267" s="8">
        <f>-IF(C267=1,LN(W267),LN(1-W267))</f>
        <v/>
      </c>
      <c r="Y267" s="9">
        <f>IF(W267&gt;$AC$32,1,0)</f>
        <v/>
      </c>
      <c r="Z267">
        <f>IF(Y267=C267,1,0)</f>
        <v/>
      </c>
    </row>
    <row r="268">
      <c r="A268">
        <f>'3 escalar'!A271</f>
        <v/>
      </c>
      <c r="B268" s="5">
        <f>'3 escalar'!U271</f>
        <v/>
      </c>
      <c r="C268">
        <f>'3 escalar'!B271</f>
        <v/>
      </c>
      <c r="D268" s="7">
        <f>'3 escalar'!C271</f>
        <v/>
      </c>
      <c r="E268" s="7">
        <f>'3 escalar'!D271</f>
        <v/>
      </c>
      <c r="F268" s="7">
        <f>'3 escalar'!E271</f>
        <v/>
      </c>
      <c r="G268" s="7">
        <f>'3 escalar'!F271</f>
        <v/>
      </c>
      <c r="H268" s="7">
        <f>'3 escalar'!G271</f>
        <v/>
      </c>
      <c r="I268" s="7">
        <f>'3 escalar'!H271</f>
        <v/>
      </c>
      <c r="J268" s="7">
        <f>'3 escalar'!I271</f>
        <v/>
      </c>
      <c r="K268" s="7">
        <f>'3 escalar'!J271</f>
        <v/>
      </c>
      <c r="L268" s="7">
        <f>'3 escalar'!K271</f>
        <v/>
      </c>
      <c r="M268" s="7">
        <f>'3 escalar'!L271</f>
        <v/>
      </c>
      <c r="N268" s="7">
        <f>'3 escalar'!M271</f>
        <v/>
      </c>
      <c r="O268" s="7">
        <f>'3 escalar'!N271</f>
        <v/>
      </c>
      <c r="P268" s="7">
        <f>'3 escalar'!O271</f>
        <v/>
      </c>
      <c r="Q268" s="7">
        <f>'3 escalar'!P271</f>
        <v/>
      </c>
      <c r="R268" s="7">
        <f>'3 escalar'!Q271</f>
        <v/>
      </c>
      <c r="S268" s="7">
        <f>'3 escalar'!R271</f>
        <v/>
      </c>
      <c r="T268" s="7">
        <f>'3 escalar'!S271</f>
        <v/>
      </c>
      <c r="U268" s="7">
        <f>'3 escalar'!T271</f>
        <v/>
      </c>
      <c r="V268" s="6">
        <f>$AC$12+D268*$AC$13+E268*$AC$14+F268*$AC$15+G268*$AC$16+H268*$AC$17+I268*$AC$18+J268*$AC$19+K268*$AC$20+L268*$AC$21+M268*$AC$22+N268*$AC$23+O268*$AC$24+P268*$AC$25+Q268*$AC$26+R268*$AC$27+S268*$AC$28+T268*$AC$29+U268*$AC$30</f>
        <v/>
      </c>
      <c r="W268" s="6">
        <f>1/(1+EXP(-V268))</f>
        <v/>
      </c>
      <c r="X268" s="8">
        <f>-IF(C268=1,LN(W268),LN(1-W268))</f>
        <v/>
      </c>
      <c r="Y268" s="9">
        <f>IF(W268&gt;$AC$32,1,0)</f>
        <v/>
      </c>
      <c r="Z268">
        <f>IF(Y268=C268,1,0)</f>
        <v/>
      </c>
    </row>
    <row r="269">
      <c r="A269">
        <f>'3 escalar'!A272</f>
        <v/>
      </c>
      <c r="B269" s="5">
        <f>'3 escalar'!U272</f>
        <v/>
      </c>
      <c r="C269">
        <f>'3 escalar'!B272</f>
        <v/>
      </c>
      <c r="D269" s="7">
        <f>'3 escalar'!C272</f>
        <v/>
      </c>
      <c r="E269" s="7">
        <f>'3 escalar'!D272</f>
        <v/>
      </c>
      <c r="F269" s="7">
        <f>'3 escalar'!E272</f>
        <v/>
      </c>
      <c r="G269" s="7">
        <f>'3 escalar'!F272</f>
        <v/>
      </c>
      <c r="H269" s="7">
        <f>'3 escalar'!G272</f>
        <v/>
      </c>
      <c r="I269" s="7">
        <f>'3 escalar'!H272</f>
        <v/>
      </c>
      <c r="J269" s="7">
        <f>'3 escalar'!I272</f>
        <v/>
      </c>
      <c r="K269" s="7">
        <f>'3 escalar'!J272</f>
        <v/>
      </c>
      <c r="L269" s="7">
        <f>'3 escalar'!K272</f>
        <v/>
      </c>
      <c r="M269" s="7">
        <f>'3 escalar'!L272</f>
        <v/>
      </c>
      <c r="N269" s="7">
        <f>'3 escalar'!M272</f>
        <v/>
      </c>
      <c r="O269" s="7">
        <f>'3 escalar'!N272</f>
        <v/>
      </c>
      <c r="P269" s="7">
        <f>'3 escalar'!O272</f>
        <v/>
      </c>
      <c r="Q269" s="7">
        <f>'3 escalar'!P272</f>
        <v/>
      </c>
      <c r="R269" s="7">
        <f>'3 escalar'!Q272</f>
        <v/>
      </c>
      <c r="S269" s="7">
        <f>'3 escalar'!R272</f>
        <v/>
      </c>
      <c r="T269" s="7">
        <f>'3 escalar'!S272</f>
        <v/>
      </c>
      <c r="U269" s="7">
        <f>'3 escalar'!T272</f>
        <v/>
      </c>
      <c r="V269" s="6">
        <f>$AC$12+D269*$AC$13+E269*$AC$14+F269*$AC$15+G269*$AC$16+H269*$AC$17+I269*$AC$18+J269*$AC$19+K269*$AC$20+L269*$AC$21+M269*$AC$22+N269*$AC$23+O269*$AC$24+P269*$AC$25+Q269*$AC$26+R269*$AC$27+S269*$AC$28+T269*$AC$29+U269*$AC$30</f>
        <v/>
      </c>
      <c r="W269" s="6">
        <f>1/(1+EXP(-V269))</f>
        <v/>
      </c>
      <c r="X269" s="8">
        <f>-IF(C269=1,LN(W269),LN(1-W269))</f>
        <v/>
      </c>
      <c r="Y269" s="9">
        <f>IF(W269&gt;$AC$32,1,0)</f>
        <v/>
      </c>
      <c r="Z269">
        <f>IF(Y269=C269,1,0)</f>
        <v/>
      </c>
    </row>
    <row r="270">
      <c r="A270">
        <f>'3 escalar'!A273</f>
        <v/>
      </c>
      <c r="B270" s="5">
        <f>'3 escalar'!U273</f>
        <v/>
      </c>
      <c r="C270">
        <f>'3 escalar'!B273</f>
        <v/>
      </c>
      <c r="D270" s="7">
        <f>'3 escalar'!C273</f>
        <v/>
      </c>
      <c r="E270" s="7">
        <f>'3 escalar'!D273</f>
        <v/>
      </c>
      <c r="F270" s="7">
        <f>'3 escalar'!E273</f>
        <v/>
      </c>
      <c r="G270" s="7">
        <f>'3 escalar'!F273</f>
        <v/>
      </c>
      <c r="H270" s="7">
        <f>'3 escalar'!G273</f>
        <v/>
      </c>
      <c r="I270" s="7">
        <f>'3 escalar'!H273</f>
        <v/>
      </c>
      <c r="J270" s="7">
        <f>'3 escalar'!I273</f>
        <v/>
      </c>
      <c r="K270" s="7">
        <f>'3 escalar'!J273</f>
        <v/>
      </c>
      <c r="L270" s="7">
        <f>'3 escalar'!K273</f>
        <v/>
      </c>
      <c r="M270" s="7">
        <f>'3 escalar'!L273</f>
        <v/>
      </c>
      <c r="N270" s="7">
        <f>'3 escalar'!M273</f>
        <v/>
      </c>
      <c r="O270" s="7">
        <f>'3 escalar'!N273</f>
        <v/>
      </c>
      <c r="P270" s="7">
        <f>'3 escalar'!O273</f>
        <v/>
      </c>
      <c r="Q270" s="7">
        <f>'3 escalar'!P273</f>
        <v/>
      </c>
      <c r="R270" s="7">
        <f>'3 escalar'!Q273</f>
        <v/>
      </c>
      <c r="S270" s="7">
        <f>'3 escalar'!R273</f>
        <v/>
      </c>
      <c r="T270" s="7">
        <f>'3 escalar'!S273</f>
        <v/>
      </c>
      <c r="U270" s="7">
        <f>'3 escalar'!T273</f>
        <v/>
      </c>
      <c r="V270" s="6">
        <f>$AC$12+D270*$AC$13+E270*$AC$14+F270*$AC$15+G270*$AC$16+H270*$AC$17+I270*$AC$18+J270*$AC$19+K270*$AC$20+L270*$AC$21+M270*$AC$22+N270*$AC$23+O270*$AC$24+P270*$AC$25+Q270*$AC$26+R270*$AC$27+S270*$AC$28+T270*$AC$29+U270*$AC$30</f>
        <v/>
      </c>
      <c r="W270" s="6">
        <f>1/(1+EXP(-V270))</f>
        <v/>
      </c>
      <c r="X270" s="8">
        <f>-IF(C270=1,LN(W270),LN(1-W270))</f>
        <v/>
      </c>
      <c r="Y270" s="9">
        <f>IF(W270&gt;$AC$32,1,0)</f>
        <v/>
      </c>
      <c r="Z270">
        <f>IF(Y270=C270,1,0)</f>
        <v/>
      </c>
    </row>
    <row r="271">
      <c r="A271">
        <f>'3 escalar'!A274</f>
        <v/>
      </c>
      <c r="B271" s="5">
        <f>'3 escalar'!U274</f>
        <v/>
      </c>
      <c r="C271">
        <f>'3 escalar'!B274</f>
        <v/>
      </c>
      <c r="D271" s="7">
        <f>'3 escalar'!C274</f>
        <v/>
      </c>
      <c r="E271" s="7">
        <f>'3 escalar'!D274</f>
        <v/>
      </c>
      <c r="F271" s="7">
        <f>'3 escalar'!E274</f>
        <v/>
      </c>
      <c r="G271" s="7">
        <f>'3 escalar'!F274</f>
        <v/>
      </c>
      <c r="H271" s="7">
        <f>'3 escalar'!G274</f>
        <v/>
      </c>
      <c r="I271" s="7">
        <f>'3 escalar'!H274</f>
        <v/>
      </c>
      <c r="J271" s="7">
        <f>'3 escalar'!I274</f>
        <v/>
      </c>
      <c r="K271" s="7">
        <f>'3 escalar'!J274</f>
        <v/>
      </c>
      <c r="L271" s="7">
        <f>'3 escalar'!K274</f>
        <v/>
      </c>
      <c r="M271" s="7">
        <f>'3 escalar'!L274</f>
        <v/>
      </c>
      <c r="N271" s="7">
        <f>'3 escalar'!M274</f>
        <v/>
      </c>
      <c r="O271" s="7">
        <f>'3 escalar'!N274</f>
        <v/>
      </c>
      <c r="P271" s="7">
        <f>'3 escalar'!O274</f>
        <v/>
      </c>
      <c r="Q271" s="7">
        <f>'3 escalar'!P274</f>
        <v/>
      </c>
      <c r="R271" s="7">
        <f>'3 escalar'!Q274</f>
        <v/>
      </c>
      <c r="S271" s="7">
        <f>'3 escalar'!R274</f>
        <v/>
      </c>
      <c r="T271" s="7">
        <f>'3 escalar'!S274</f>
        <v/>
      </c>
      <c r="U271" s="7">
        <f>'3 escalar'!T274</f>
        <v/>
      </c>
      <c r="V271" s="6">
        <f>$AC$12+D271*$AC$13+E271*$AC$14+F271*$AC$15+G271*$AC$16+H271*$AC$17+I271*$AC$18+J271*$AC$19+K271*$AC$20+L271*$AC$21+M271*$AC$22+N271*$AC$23+O271*$AC$24+P271*$AC$25+Q271*$AC$26+R271*$AC$27+S271*$AC$28+T271*$AC$29+U271*$AC$30</f>
        <v/>
      </c>
      <c r="W271" s="6">
        <f>1/(1+EXP(-V271))</f>
        <v/>
      </c>
      <c r="X271" s="8">
        <f>-IF(C271=1,LN(W271),LN(1-W271))</f>
        <v/>
      </c>
      <c r="Y271" s="9">
        <f>IF(W271&gt;$AC$32,1,0)</f>
        <v/>
      </c>
      <c r="Z271">
        <f>IF(Y271=C271,1,0)</f>
        <v/>
      </c>
    </row>
    <row r="272">
      <c r="A272">
        <f>'3 escalar'!A275</f>
        <v/>
      </c>
      <c r="B272" s="5">
        <f>'3 escalar'!U275</f>
        <v/>
      </c>
      <c r="C272">
        <f>'3 escalar'!B275</f>
        <v/>
      </c>
      <c r="D272" s="7">
        <f>'3 escalar'!C275</f>
        <v/>
      </c>
      <c r="E272" s="7">
        <f>'3 escalar'!D275</f>
        <v/>
      </c>
      <c r="F272" s="7">
        <f>'3 escalar'!E275</f>
        <v/>
      </c>
      <c r="G272" s="7">
        <f>'3 escalar'!F275</f>
        <v/>
      </c>
      <c r="H272" s="7">
        <f>'3 escalar'!G275</f>
        <v/>
      </c>
      <c r="I272" s="7">
        <f>'3 escalar'!H275</f>
        <v/>
      </c>
      <c r="J272" s="7">
        <f>'3 escalar'!I275</f>
        <v/>
      </c>
      <c r="K272" s="7">
        <f>'3 escalar'!J275</f>
        <v/>
      </c>
      <c r="L272" s="7">
        <f>'3 escalar'!K275</f>
        <v/>
      </c>
      <c r="M272" s="7">
        <f>'3 escalar'!L275</f>
        <v/>
      </c>
      <c r="N272" s="7">
        <f>'3 escalar'!M275</f>
        <v/>
      </c>
      <c r="O272" s="7">
        <f>'3 escalar'!N275</f>
        <v/>
      </c>
      <c r="P272" s="7">
        <f>'3 escalar'!O275</f>
        <v/>
      </c>
      <c r="Q272" s="7">
        <f>'3 escalar'!P275</f>
        <v/>
      </c>
      <c r="R272" s="7">
        <f>'3 escalar'!Q275</f>
        <v/>
      </c>
      <c r="S272" s="7">
        <f>'3 escalar'!R275</f>
        <v/>
      </c>
      <c r="T272" s="7">
        <f>'3 escalar'!S275</f>
        <v/>
      </c>
      <c r="U272" s="7">
        <f>'3 escalar'!T275</f>
        <v/>
      </c>
      <c r="V272" s="6">
        <f>$AC$12+D272*$AC$13+E272*$AC$14+F272*$AC$15+G272*$AC$16+H272*$AC$17+I272*$AC$18+J272*$AC$19+K272*$AC$20+L272*$AC$21+M272*$AC$22+N272*$AC$23+O272*$AC$24+P272*$AC$25+Q272*$AC$26+R272*$AC$27+S272*$AC$28+T272*$AC$29+U272*$AC$30</f>
        <v/>
      </c>
      <c r="W272" s="6">
        <f>1/(1+EXP(-V272))</f>
        <v/>
      </c>
      <c r="X272" s="8">
        <f>-IF(C272=1,LN(W272),LN(1-W272))</f>
        <v/>
      </c>
      <c r="Y272" s="9">
        <f>IF(W272&gt;$AC$32,1,0)</f>
        <v/>
      </c>
      <c r="Z272">
        <f>IF(Y272=C272,1,0)</f>
        <v/>
      </c>
    </row>
    <row r="273">
      <c r="A273">
        <f>'3 escalar'!A276</f>
        <v/>
      </c>
      <c r="B273" s="5">
        <f>'3 escalar'!U276</f>
        <v/>
      </c>
      <c r="C273">
        <f>'3 escalar'!B276</f>
        <v/>
      </c>
      <c r="D273" s="7">
        <f>'3 escalar'!C276</f>
        <v/>
      </c>
      <c r="E273" s="7">
        <f>'3 escalar'!D276</f>
        <v/>
      </c>
      <c r="F273" s="7">
        <f>'3 escalar'!E276</f>
        <v/>
      </c>
      <c r="G273" s="7">
        <f>'3 escalar'!F276</f>
        <v/>
      </c>
      <c r="H273" s="7">
        <f>'3 escalar'!G276</f>
        <v/>
      </c>
      <c r="I273" s="7">
        <f>'3 escalar'!H276</f>
        <v/>
      </c>
      <c r="J273" s="7">
        <f>'3 escalar'!I276</f>
        <v/>
      </c>
      <c r="K273" s="7">
        <f>'3 escalar'!J276</f>
        <v/>
      </c>
      <c r="L273" s="7">
        <f>'3 escalar'!K276</f>
        <v/>
      </c>
      <c r="M273" s="7">
        <f>'3 escalar'!L276</f>
        <v/>
      </c>
      <c r="N273" s="7">
        <f>'3 escalar'!M276</f>
        <v/>
      </c>
      <c r="O273" s="7">
        <f>'3 escalar'!N276</f>
        <v/>
      </c>
      <c r="P273" s="7">
        <f>'3 escalar'!O276</f>
        <v/>
      </c>
      <c r="Q273" s="7">
        <f>'3 escalar'!P276</f>
        <v/>
      </c>
      <c r="R273" s="7">
        <f>'3 escalar'!Q276</f>
        <v/>
      </c>
      <c r="S273" s="7">
        <f>'3 escalar'!R276</f>
        <v/>
      </c>
      <c r="T273" s="7">
        <f>'3 escalar'!S276</f>
        <v/>
      </c>
      <c r="U273" s="7">
        <f>'3 escalar'!T276</f>
        <v/>
      </c>
      <c r="V273" s="6">
        <f>$AC$12+D273*$AC$13+E273*$AC$14+F273*$AC$15+G273*$AC$16+H273*$AC$17+I273*$AC$18+J273*$AC$19+K273*$AC$20+L273*$AC$21+M273*$AC$22+N273*$AC$23+O273*$AC$24+P273*$AC$25+Q273*$AC$26+R273*$AC$27+S273*$AC$28+T273*$AC$29+U273*$AC$30</f>
        <v/>
      </c>
      <c r="W273" s="6">
        <f>1/(1+EXP(-V273))</f>
        <v/>
      </c>
      <c r="X273" s="8">
        <f>-IF(C273=1,LN(W273),LN(1-W273))</f>
        <v/>
      </c>
      <c r="Y273" s="9">
        <f>IF(W273&gt;$AC$32,1,0)</f>
        <v/>
      </c>
      <c r="Z273">
        <f>IF(Y273=C273,1,0)</f>
        <v/>
      </c>
    </row>
    <row r="274">
      <c r="A274">
        <f>'3 escalar'!A277</f>
        <v/>
      </c>
      <c r="B274" s="5">
        <f>'3 escalar'!U277</f>
        <v/>
      </c>
      <c r="C274">
        <f>'3 escalar'!B277</f>
        <v/>
      </c>
      <c r="D274" s="7">
        <f>'3 escalar'!C277</f>
        <v/>
      </c>
      <c r="E274" s="7">
        <f>'3 escalar'!D277</f>
        <v/>
      </c>
      <c r="F274" s="7">
        <f>'3 escalar'!E277</f>
        <v/>
      </c>
      <c r="G274" s="7">
        <f>'3 escalar'!F277</f>
        <v/>
      </c>
      <c r="H274" s="7">
        <f>'3 escalar'!G277</f>
        <v/>
      </c>
      <c r="I274" s="7">
        <f>'3 escalar'!H277</f>
        <v/>
      </c>
      <c r="J274" s="7">
        <f>'3 escalar'!I277</f>
        <v/>
      </c>
      <c r="K274" s="7">
        <f>'3 escalar'!J277</f>
        <v/>
      </c>
      <c r="L274" s="7">
        <f>'3 escalar'!K277</f>
        <v/>
      </c>
      <c r="M274" s="7">
        <f>'3 escalar'!L277</f>
        <v/>
      </c>
      <c r="N274" s="7">
        <f>'3 escalar'!M277</f>
        <v/>
      </c>
      <c r="O274" s="7">
        <f>'3 escalar'!N277</f>
        <v/>
      </c>
      <c r="P274" s="7">
        <f>'3 escalar'!O277</f>
        <v/>
      </c>
      <c r="Q274" s="7">
        <f>'3 escalar'!P277</f>
        <v/>
      </c>
      <c r="R274" s="7">
        <f>'3 escalar'!Q277</f>
        <v/>
      </c>
      <c r="S274" s="7">
        <f>'3 escalar'!R277</f>
        <v/>
      </c>
      <c r="T274" s="7">
        <f>'3 escalar'!S277</f>
        <v/>
      </c>
      <c r="U274" s="7">
        <f>'3 escalar'!T277</f>
        <v/>
      </c>
      <c r="V274" s="6">
        <f>$AC$12+D274*$AC$13+E274*$AC$14+F274*$AC$15+G274*$AC$16+H274*$AC$17+I274*$AC$18+J274*$AC$19+K274*$AC$20+L274*$AC$21+M274*$AC$22+N274*$AC$23+O274*$AC$24+P274*$AC$25+Q274*$AC$26+R274*$AC$27+S274*$AC$28+T274*$AC$29+U274*$AC$30</f>
        <v/>
      </c>
      <c r="W274" s="6">
        <f>1/(1+EXP(-V274))</f>
        <v/>
      </c>
      <c r="X274" s="8">
        <f>-IF(C274=1,LN(W274),LN(1-W274))</f>
        <v/>
      </c>
      <c r="Y274" s="9">
        <f>IF(W274&gt;$AC$32,1,0)</f>
        <v/>
      </c>
      <c r="Z274">
        <f>IF(Y274=C274,1,0)</f>
        <v/>
      </c>
    </row>
    <row r="275">
      <c r="A275">
        <f>'3 escalar'!A278</f>
        <v/>
      </c>
      <c r="B275" s="5">
        <f>'3 escalar'!U278</f>
        <v/>
      </c>
      <c r="C275">
        <f>'3 escalar'!B278</f>
        <v/>
      </c>
      <c r="D275" s="7">
        <f>'3 escalar'!C278</f>
        <v/>
      </c>
      <c r="E275" s="7">
        <f>'3 escalar'!D278</f>
        <v/>
      </c>
      <c r="F275" s="7">
        <f>'3 escalar'!E278</f>
        <v/>
      </c>
      <c r="G275" s="7">
        <f>'3 escalar'!F278</f>
        <v/>
      </c>
      <c r="H275" s="7">
        <f>'3 escalar'!G278</f>
        <v/>
      </c>
      <c r="I275" s="7">
        <f>'3 escalar'!H278</f>
        <v/>
      </c>
      <c r="J275" s="7">
        <f>'3 escalar'!I278</f>
        <v/>
      </c>
      <c r="K275" s="7">
        <f>'3 escalar'!J278</f>
        <v/>
      </c>
      <c r="L275" s="7">
        <f>'3 escalar'!K278</f>
        <v/>
      </c>
      <c r="M275" s="7">
        <f>'3 escalar'!L278</f>
        <v/>
      </c>
      <c r="N275" s="7">
        <f>'3 escalar'!M278</f>
        <v/>
      </c>
      <c r="O275" s="7">
        <f>'3 escalar'!N278</f>
        <v/>
      </c>
      <c r="P275" s="7">
        <f>'3 escalar'!O278</f>
        <v/>
      </c>
      <c r="Q275" s="7">
        <f>'3 escalar'!P278</f>
        <v/>
      </c>
      <c r="R275" s="7">
        <f>'3 escalar'!Q278</f>
        <v/>
      </c>
      <c r="S275" s="7">
        <f>'3 escalar'!R278</f>
        <v/>
      </c>
      <c r="T275" s="7">
        <f>'3 escalar'!S278</f>
        <v/>
      </c>
      <c r="U275" s="7">
        <f>'3 escalar'!T278</f>
        <v/>
      </c>
      <c r="V275" s="6">
        <f>$AC$12+D275*$AC$13+E275*$AC$14+F275*$AC$15+G275*$AC$16+H275*$AC$17+I275*$AC$18+J275*$AC$19+K275*$AC$20+L275*$AC$21+M275*$AC$22+N275*$AC$23+O275*$AC$24+P275*$AC$25+Q275*$AC$26+R275*$AC$27+S275*$AC$28+T275*$AC$29+U275*$AC$30</f>
        <v/>
      </c>
      <c r="W275" s="6">
        <f>1/(1+EXP(-V275))</f>
        <v/>
      </c>
      <c r="X275" s="8">
        <f>-IF(C275=1,LN(W275),LN(1-W275))</f>
        <v/>
      </c>
      <c r="Y275" s="9">
        <f>IF(W275&gt;$AC$32,1,0)</f>
        <v/>
      </c>
      <c r="Z275">
        <f>IF(Y275=C275,1,0)</f>
        <v/>
      </c>
    </row>
    <row r="276">
      <c r="A276">
        <f>'3 escalar'!A279</f>
        <v/>
      </c>
      <c r="B276" s="5">
        <f>'3 escalar'!U279</f>
        <v/>
      </c>
      <c r="C276">
        <f>'3 escalar'!B279</f>
        <v/>
      </c>
      <c r="D276" s="7">
        <f>'3 escalar'!C279</f>
        <v/>
      </c>
      <c r="E276" s="7">
        <f>'3 escalar'!D279</f>
        <v/>
      </c>
      <c r="F276" s="7">
        <f>'3 escalar'!E279</f>
        <v/>
      </c>
      <c r="G276" s="7">
        <f>'3 escalar'!F279</f>
        <v/>
      </c>
      <c r="H276" s="7">
        <f>'3 escalar'!G279</f>
        <v/>
      </c>
      <c r="I276" s="7">
        <f>'3 escalar'!H279</f>
        <v/>
      </c>
      <c r="J276" s="7">
        <f>'3 escalar'!I279</f>
        <v/>
      </c>
      <c r="K276" s="7">
        <f>'3 escalar'!J279</f>
        <v/>
      </c>
      <c r="L276" s="7">
        <f>'3 escalar'!K279</f>
        <v/>
      </c>
      <c r="M276" s="7">
        <f>'3 escalar'!L279</f>
        <v/>
      </c>
      <c r="N276" s="7">
        <f>'3 escalar'!M279</f>
        <v/>
      </c>
      <c r="O276" s="7">
        <f>'3 escalar'!N279</f>
        <v/>
      </c>
      <c r="P276" s="7">
        <f>'3 escalar'!O279</f>
        <v/>
      </c>
      <c r="Q276" s="7">
        <f>'3 escalar'!P279</f>
        <v/>
      </c>
      <c r="R276" s="7">
        <f>'3 escalar'!Q279</f>
        <v/>
      </c>
      <c r="S276" s="7">
        <f>'3 escalar'!R279</f>
        <v/>
      </c>
      <c r="T276" s="7">
        <f>'3 escalar'!S279</f>
        <v/>
      </c>
      <c r="U276" s="7">
        <f>'3 escalar'!T279</f>
        <v/>
      </c>
      <c r="V276" s="6">
        <f>$AC$12+D276*$AC$13+E276*$AC$14+F276*$AC$15+G276*$AC$16+H276*$AC$17+I276*$AC$18+J276*$AC$19+K276*$AC$20+L276*$AC$21+M276*$AC$22+N276*$AC$23+O276*$AC$24+P276*$AC$25+Q276*$AC$26+R276*$AC$27+S276*$AC$28+T276*$AC$29+U276*$AC$30</f>
        <v/>
      </c>
      <c r="W276" s="6">
        <f>1/(1+EXP(-V276))</f>
        <v/>
      </c>
      <c r="X276" s="8">
        <f>-IF(C276=1,LN(W276),LN(1-W276))</f>
        <v/>
      </c>
      <c r="Y276" s="9">
        <f>IF(W276&gt;$AC$32,1,0)</f>
        <v/>
      </c>
      <c r="Z276">
        <f>IF(Y276=C276,1,0)</f>
        <v/>
      </c>
    </row>
    <row r="277">
      <c r="A277">
        <f>'3 escalar'!A280</f>
        <v/>
      </c>
      <c r="B277" s="5">
        <f>'3 escalar'!U280</f>
        <v/>
      </c>
      <c r="C277">
        <f>'3 escalar'!B280</f>
        <v/>
      </c>
      <c r="D277" s="7">
        <f>'3 escalar'!C280</f>
        <v/>
      </c>
      <c r="E277" s="7">
        <f>'3 escalar'!D280</f>
        <v/>
      </c>
      <c r="F277" s="7">
        <f>'3 escalar'!E280</f>
        <v/>
      </c>
      <c r="G277" s="7">
        <f>'3 escalar'!F280</f>
        <v/>
      </c>
      <c r="H277" s="7">
        <f>'3 escalar'!G280</f>
        <v/>
      </c>
      <c r="I277" s="7">
        <f>'3 escalar'!H280</f>
        <v/>
      </c>
      <c r="J277" s="7">
        <f>'3 escalar'!I280</f>
        <v/>
      </c>
      <c r="K277" s="7">
        <f>'3 escalar'!J280</f>
        <v/>
      </c>
      <c r="L277" s="7">
        <f>'3 escalar'!K280</f>
        <v/>
      </c>
      <c r="M277" s="7">
        <f>'3 escalar'!L280</f>
        <v/>
      </c>
      <c r="N277" s="7">
        <f>'3 escalar'!M280</f>
        <v/>
      </c>
      <c r="O277" s="7">
        <f>'3 escalar'!N280</f>
        <v/>
      </c>
      <c r="P277" s="7">
        <f>'3 escalar'!O280</f>
        <v/>
      </c>
      <c r="Q277" s="7">
        <f>'3 escalar'!P280</f>
        <v/>
      </c>
      <c r="R277" s="7">
        <f>'3 escalar'!Q280</f>
        <v/>
      </c>
      <c r="S277" s="7">
        <f>'3 escalar'!R280</f>
        <v/>
      </c>
      <c r="T277" s="7">
        <f>'3 escalar'!S280</f>
        <v/>
      </c>
      <c r="U277" s="7">
        <f>'3 escalar'!T280</f>
        <v/>
      </c>
      <c r="V277" s="6">
        <f>$AC$12+D277*$AC$13+E277*$AC$14+F277*$AC$15+G277*$AC$16+H277*$AC$17+I277*$AC$18+J277*$AC$19+K277*$AC$20+L277*$AC$21+M277*$AC$22+N277*$AC$23+O277*$AC$24+P277*$AC$25+Q277*$AC$26+R277*$AC$27+S277*$AC$28+T277*$AC$29+U277*$AC$30</f>
        <v/>
      </c>
      <c r="W277" s="6">
        <f>1/(1+EXP(-V277))</f>
        <v/>
      </c>
      <c r="X277" s="8">
        <f>-IF(C277=1,LN(W277),LN(1-W277))</f>
        <v/>
      </c>
      <c r="Y277" s="9">
        <f>IF(W277&gt;$AC$32,1,0)</f>
        <v/>
      </c>
      <c r="Z277">
        <f>IF(Y277=C277,1,0)</f>
        <v/>
      </c>
    </row>
    <row r="278">
      <c r="A278">
        <f>'3 escalar'!A281</f>
        <v/>
      </c>
      <c r="B278" s="5">
        <f>'3 escalar'!U281</f>
        <v/>
      </c>
      <c r="C278">
        <f>'3 escalar'!B281</f>
        <v/>
      </c>
      <c r="D278" s="7">
        <f>'3 escalar'!C281</f>
        <v/>
      </c>
      <c r="E278" s="7">
        <f>'3 escalar'!D281</f>
        <v/>
      </c>
      <c r="F278" s="7">
        <f>'3 escalar'!E281</f>
        <v/>
      </c>
      <c r="G278" s="7">
        <f>'3 escalar'!F281</f>
        <v/>
      </c>
      <c r="H278" s="7">
        <f>'3 escalar'!G281</f>
        <v/>
      </c>
      <c r="I278" s="7">
        <f>'3 escalar'!H281</f>
        <v/>
      </c>
      <c r="J278" s="7">
        <f>'3 escalar'!I281</f>
        <v/>
      </c>
      <c r="K278" s="7">
        <f>'3 escalar'!J281</f>
        <v/>
      </c>
      <c r="L278" s="7">
        <f>'3 escalar'!K281</f>
        <v/>
      </c>
      <c r="M278" s="7">
        <f>'3 escalar'!L281</f>
        <v/>
      </c>
      <c r="N278" s="7">
        <f>'3 escalar'!M281</f>
        <v/>
      </c>
      <c r="O278" s="7">
        <f>'3 escalar'!N281</f>
        <v/>
      </c>
      <c r="P278" s="7">
        <f>'3 escalar'!O281</f>
        <v/>
      </c>
      <c r="Q278" s="7">
        <f>'3 escalar'!P281</f>
        <v/>
      </c>
      <c r="R278" s="7">
        <f>'3 escalar'!Q281</f>
        <v/>
      </c>
      <c r="S278" s="7">
        <f>'3 escalar'!R281</f>
        <v/>
      </c>
      <c r="T278" s="7">
        <f>'3 escalar'!S281</f>
        <v/>
      </c>
      <c r="U278" s="7">
        <f>'3 escalar'!T281</f>
        <v/>
      </c>
      <c r="V278" s="6">
        <f>$AC$12+D278*$AC$13+E278*$AC$14+F278*$AC$15+G278*$AC$16+H278*$AC$17+I278*$AC$18+J278*$AC$19+K278*$AC$20+L278*$AC$21+M278*$AC$22+N278*$AC$23+O278*$AC$24+P278*$AC$25+Q278*$AC$26+R278*$AC$27+S278*$AC$28+T278*$AC$29+U278*$AC$30</f>
        <v/>
      </c>
      <c r="W278" s="6">
        <f>1/(1+EXP(-V278))</f>
        <v/>
      </c>
      <c r="X278" s="8">
        <f>-IF(C278=1,LN(W278),LN(1-W278))</f>
        <v/>
      </c>
      <c r="Y278" s="9">
        <f>IF(W278&gt;$AC$32,1,0)</f>
        <v/>
      </c>
      <c r="Z278">
        <f>IF(Y278=C278,1,0)</f>
        <v/>
      </c>
    </row>
    <row r="279">
      <c r="A279">
        <f>'3 escalar'!A282</f>
        <v/>
      </c>
      <c r="B279" s="5">
        <f>'3 escalar'!U282</f>
        <v/>
      </c>
      <c r="C279">
        <f>'3 escalar'!B282</f>
        <v/>
      </c>
      <c r="D279" s="7">
        <f>'3 escalar'!C282</f>
        <v/>
      </c>
      <c r="E279" s="7">
        <f>'3 escalar'!D282</f>
        <v/>
      </c>
      <c r="F279" s="7">
        <f>'3 escalar'!E282</f>
        <v/>
      </c>
      <c r="G279" s="7">
        <f>'3 escalar'!F282</f>
        <v/>
      </c>
      <c r="H279" s="7">
        <f>'3 escalar'!G282</f>
        <v/>
      </c>
      <c r="I279" s="7">
        <f>'3 escalar'!H282</f>
        <v/>
      </c>
      <c r="J279" s="7">
        <f>'3 escalar'!I282</f>
        <v/>
      </c>
      <c r="K279" s="7">
        <f>'3 escalar'!J282</f>
        <v/>
      </c>
      <c r="L279" s="7">
        <f>'3 escalar'!K282</f>
        <v/>
      </c>
      <c r="M279" s="7">
        <f>'3 escalar'!L282</f>
        <v/>
      </c>
      <c r="N279" s="7">
        <f>'3 escalar'!M282</f>
        <v/>
      </c>
      <c r="O279" s="7">
        <f>'3 escalar'!N282</f>
        <v/>
      </c>
      <c r="P279" s="7">
        <f>'3 escalar'!O282</f>
        <v/>
      </c>
      <c r="Q279" s="7">
        <f>'3 escalar'!P282</f>
        <v/>
      </c>
      <c r="R279" s="7">
        <f>'3 escalar'!Q282</f>
        <v/>
      </c>
      <c r="S279" s="7">
        <f>'3 escalar'!R282</f>
        <v/>
      </c>
      <c r="T279" s="7">
        <f>'3 escalar'!S282</f>
        <v/>
      </c>
      <c r="U279" s="7">
        <f>'3 escalar'!T282</f>
        <v/>
      </c>
      <c r="V279" s="6">
        <f>$AC$12+D279*$AC$13+E279*$AC$14+F279*$AC$15+G279*$AC$16+H279*$AC$17+I279*$AC$18+J279*$AC$19+K279*$AC$20+L279*$AC$21+M279*$AC$22+N279*$AC$23+O279*$AC$24+P279*$AC$25+Q279*$AC$26+R279*$AC$27+S279*$AC$28+T279*$AC$29+U279*$AC$30</f>
        <v/>
      </c>
      <c r="W279" s="6">
        <f>1/(1+EXP(-V279))</f>
        <v/>
      </c>
      <c r="X279" s="8">
        <f>-IF(C279=1,LN(W279),LN(1-W279))</f>
        <v/>
      </c>
      <c r="Y279" s="9">
        <f>IF(W279&gt;$AC$32,1,0)</f>
        <v/>
      </c>
      <c r="Z279">
        <f>IF(Y279=C279,1,0)</f>
        <v/>
      </c>
    </row>
    <row r="280">
      <c r="A280">
        <f>'3 escalar'!A283</f>
        <v/>
      </c>
      <c r="B280" s="5">
        <f>'3 escalar'!U283</f>
        <v/>
      </c>
      <c r="C280">
        <f>'3 escalar'!B283</f>
        <v/>
      </c>
      <c r="D280" s="7">
        <f>'3 escalar'!C283</f>
        <v/>
      </c>
      <c r="E280" s="7">
        <f>'3 escalar'!D283</f>
        <v/>
      </c>
      <c r="F280" s="7">
        <f>'3 escalar'!E283</f>
        <v/>
      </c>
      <c r="G280" s="7">
        <f>'3 escalar'!F283</f>
        <v/>
      </c>
      <c r="H280" s="7">
        <f>'3 escalar'!G283</f>
        <v/>
      </c>
      <c r="I280" s="7">
        <f>'3 escalar'!H283</f>
        <v/>
      </c>
      <c r="J280" s="7">
        <f>'3 escalar'!I283</f>
        <v/>
      </c>
      <c r="K280" s="7">
        <f>'3 escalar'!J283</f>
        <v/>
      </c>
      <c r="L280" s="7">
        <f>'3 escalar'!K283</f>
        <v/>
      </c>
      <c r="M280" s="7">
        <f>'3 escalar'!L283</f>
        <v/>
      </c>
      <c r="N280" s="7">
        <f>'3 escalar'!M283</f>
        <v/>
      </c>
      <c r="O280" s="7">
        <f>'3 escalar'!N283</f>
        <v/>
      </c>
      <c r="P280" s="7">
        <f>'3 escalar'!O283</f>
        <v/>
      </c>
      <c r="Q280" s="7">
        <f>'3 escalar'!P283</f>
        <v/>
      </c>
      <c r="R280" s="7">
        <f>'3 escalar'!Q283</f>
        <v/>
      </c>
      <c r="S280" s="7">
        <f>'3 escalar'!R283</f>
        <v/>
      </c>
      <c r="T280" s="7">
        <f>'3 escalar'!S283</f>
        <v/>
      </c>
      <c r="U280" s="7">
        <f>'3 escalar'!T283</f>
        <v/>
      </c>
      <c r="V280" s="6">
        <f>$AC$12+D280*$AC$13+E280*$AC$14+F280*$AC$15+G280*$AC$16+H280*$AC$17+I280*$AC$18+J280*$AC$19+K280*$AC$20+L280*$AC$21+M280*$AC$22+N280*$AC$23+O280*$AC$24+P280*$AC$25+Q280*$AC$26+R280*$AC$27+S280*$AC$28+T280*$AC$29+U280*$AC$30</f>
        <v/>
      </c>
      <c r="W280" s="6">
        <f>1/(1+EXP(-V280))</f>
        <v/>
      </c>
      <c r="X280" s="8">
        <f>-IF(C280=1,LN(W280),LN(1-W280))</f>
        <v/>
      </c>
      <c r="Y280" s="9">
        <f>IF(W280&gt;$AC$32,1,0)</f>
        <v/>
      </c>
      <c r="Z280">
        <f>IF(Y280=C280,1,0)</f>
        <v/>
      </c>
    </row>
    <row r="281">
      <c r="A281">
        <f>'3 escalar'!A284</f>
        <v/>
      </c>
      <c r="B281" s="5">
        <f>'3 escalar'!U284</f>
        <v/>
      </c>
      <c r="C281">
        <f>'3 escalar'!B284</f>
        <v/>
      </c>
      <c r="D281" s="7">
        <f>'3 escalar'!C284</f>
        <v/>
      </c>
      <c r="E281" s="7">
        <f>'3 escalar'!D284</f>
        <v/>
      </c>
      <c r="F281" s="7">
        <f>'3 escalar'!E284</f>
        <v/>
      </c>
      <c r="G281" s="7">
        <f>'3 escalar'!F284</f>
        <v/>
      </c>
      <c r="H281" s="7">
        <f>'3 escalar'!G284</f>
        <v/>
      </c>
      <c r="I281" s="7">
        <f>'3 escalar'!H284</f>
        <v/>
      </c>
      <c r="J281" s="7">
        <f>'3 escalar'!I284</f>
        <v/>
      </c>
      <c r="K281" s="7">
        <f>'3 escalar'!J284</f>
        <v/>
      </c>
      <c r="L281" s="7">
        <f>'3 escalar'!K284</f>
        <v/>
      </c>
      <c r="M281" s="7">
        <f>'3 escalar'!L284</f>
        <v/>
      </c>
      <c r="N281" s="7">
        <f>'3 escalar'!M284</f>
        <v/>
      </c>
      <c r="O281" s="7">
        <f>'3 escalar'!N284</f>
        <v/>
      </c>
      <c r="P281" s="7">
        <f>'3 escalar'!O284</f>
        <v/>
      </c>
      <c r="Q281" s="7">
        <f>'3 escalar'!P284</f>
        <v/>
      </c>
      <c r="R281" s="7">
        <f>'3 escalar'!Q284</f>
        <v/>
      </c>
      <c r="S281" s="7">
        <f>'3 escalar'!R284</f>
        <v/>
      </c>
      <c r="T281" s="7">
        <f>'3 escalar'!S284</f>
        <v/>
      </c>
      <c r="U281" s="7">
        <f>'3 escalar'!T284</f>
        <v/>
      </c>
      <c r="V281" s="6">
        <f>$AC$12+D281*$AC$13+E281*$AC$14+F281*$AC$15+G281*$AC$16+H281*$AC$17+I281*$AC$18+J281*$AC$19+K281*$AC$20+L281*$AC$21+M281*$AC$22+N281*$AC$23+O281*$AC$24+P281*$AC$25+Q281*$AC$26+R281*$AC$27+S281*$AC$28+T281*$AC$29+U281*$AC$30</f>
        <v/>
      </c>
      <c r="W281" s="6">
        <f>1/(1+EXP(-V281))</f>
        <v/>
      </c>
      <c r="X281" s="8">
        <f>-IF(C281=1,LN(W281),LN(1-W281))</f>
        <v/>
      </c>
      <c r="Y281" s="9">
        <f>IF(W281&gt;$AC$32,1,0)</f>
        <v/>
      </c>
      <c r="Z281">
        <f>IF(Y281=C281,1,0)</f>
        <v/>
      </c>
    </row>
    <row r="282">
      <c r="A282">
        <f>'3 escalar'!A285</f>
        <v/>
      </c>
      <c r="B282" s="5">
        <f>'3 escalar'!U285</f>
        <v/>
      </c>
      <c r="C282">
        <f>'3 escalar'!B285</f>
        <v/>
      </c>
      <c r="D282" s="7">
        <f>'3 escalar'!C285</f>
        <v/>
      </c>
      <c r="E282" s="7">
        <f>'3 escalar'!D285</f>
        <v/>
      </c>
      <c r="F282" s="7">
        <f>'3 escalar'!E285</f>
        <v/>
      </c>
      <c r="G282" s="7">
        <f>'3 escalar'!F285</f>
        <v/>
      </c>
      <c r="H282" s="7">
        <f>'3 escalar'!G285</f>
        <v/>
      </c>
      <c r="I282" s="7">
        <f>'3 escalar'!H285</f>
        <v/>
      </c>
      <c r="J282" s="7">
        <f>'3 escalar'!I285</f>
        <v/>
      </c>
      <c r="K282" s="7">
        <f>'3 escalar'!J285</f>
        <v/>
      </c>
      <c r="L282" s="7">
        <f>'3 escalar'!K285</f>
        <v/>
      </c>
      <c r="M282" s="7">
        <f>'3 escalar'!L285</f>
        <v/>
      </c>
      <c r="N282" s="7">
        <f>'3 escalar'!M285</f>
        <v/>
      </c>
      <c r="O282" s="7">
        <f>'3 escalar'!N285</f>
        <v/>
      </c>
      <c r="P282" s="7">
        <f>'3 escalar'!O285</f>
        <v/>
      </c>
      <c r="Q282" s="7">
        <f>'3 escalar'!P285</f>
        <v/>
      </c>
      <c r="R282" s="7">
        <f>'3 escalar'!Q285</f>
        <v/>
      </c>
      <c r="S282" s="7">
        <f>'3 escalar'!R285</f>
        <v/>
      </c>
      <c r="T282" s="7">
        <f>'3 escalar'!S285</f>
        <v/>
      </c>
      <c r="U282" s="7">
        <f>'3 escalar'!T285</f>
        <v/>
      </c>
      <c r="V282" s="6">
        <f>$AC$12+D282*$AC$13+E282*$AC$14+F282*$AC$15+G282*$AC$16+H282*$AC$17+I282*$AC$18+J282*$AC$19+K282*$AC$20+L282*$AC$21+M282*$AC$22+N282*$AC$23+O282*$AC$24+P282*$AC$25+Q282*$AC$26+R282*$AC$27+S282*$AC$28+T282*$AC$29+U282*$AC$30</f>
        <v/>
      </c>
      <c r="W282" s="6">
        <f>1/(1+EXP(-V282))</f>
        <v/>
      </c>
      <c r="X282" s="8">
        <f>-IF(C282=1,LN(W282),LN(1-W282))</f>
        <v/>
      </c>
      <c r="Y282" s="9">
        <f>IF(W282&gt;$AC$32,1,0)</f>
        <v/>
      </c>
      <c r="Z282">
        <f>IF(Y282=C282,1,0)</f>
        <v/>
      </c>
    </row>
    <row r="283">
      <c r="A283">
        <f>'3 escalar'!A286</f>
        <v/>
      </c>
      <c r="B283" s="5">
        <f>'3 escalar'!U286</f>
        <v/>
      </c>
      <c r="C283">
        <f>'3 escalar'!B286</f>
        <v/>
      </c>
      <c r="D283" s="7">
        <f>'3 escalar'!C286</f>
        <v/>
      </c>
      <c r="E283" s="7">
        <f>'3 escalar'!D286</f>
        <v/>
      </c>
      <c r="F283" s="7">
        <f>'3 escalar'!E286</f>
        <v/>
      </c>
      <c r="G283" s="7">
        <f>'3 escalar'!F286</f>
        <v/>
      </c>
      <c r="H283" s="7">
        <f>'3 escalar'!G286</f>
        <v/>
      </c>
      <c r="I283" s="7">
        <f>'3 escalar'!H286</f>
        <v/>
      </c>
      <c r="J283" s="7">
        <f>'3 escalar'!I286</f>
        <v/>
      </c>
      <c r="K283" s="7">
        <f>'3 escalar'!J286</f>
        <v/>
      </c>
      <c r="L283" s="7">
        <f>'3 escalar'!K286</f>
        <v/>
      </c>
      <c r="M283" s="7">
        <f>'3 escalar'!L286</f>
        <v/>
      </c>
      <c r="N283" s="7">
        <f>'3 escalar'!M286</f>
        <v/>
      </c>
      <c r="O283" s="7">
        <f>'3 escalar'!N286</f>
        <v/>
      </c>
      <c r="P283" s="7">
        <f>'3 escalar'!O286</f>
        <v/>
      </c>
      <c r="Q283" s="7">
        <f>'3 escalar'!P286</f>
        <v/>
      </c>
      <c r="R283" s="7">
        <f>'3 escalar'!Q286</f>
        <v/>
      </c>
      <c r="S283" s="7">
        <f>'3 escalar'!R286</f>
        <v/>
      </c>
      <c r="T283" s="7">
        <f>'3 escalar'!S286</f>
        <v/>
      </c>
      <c r="U283" s="7">
        <f>'3 escalar'!T286</f>
        <v/>
      </c>
      <c r="V283" s="6">
        <f>$AC$12+D283*$AC$13+E283*$AC$14+F283*$AC$15+G283*$AC$16+H283*$AC$17+I283*$AC$18+J283*$AC$19+K283*$AC$20+L283*$AC$21+M283*$AC$22+N283*$AC$23+O283*$AC$24+P283*$AC$25+Q283*$AC$26+R283*$AC$27+S283*$AC$28+T283*$AC$29+U283*$AC$30</f>
        <v/>
      </c>
      <c r="W283" s="6">
        <f>1/(1+EXP(-V283))</f>
        <v/>
      </c>
      <c r="X283" s="8">
        <f>-IF(C283=1,LN(W283),LN(1-W283))</f>
        <v/>
      </c>
      <c r="Y283" s="9">
        <f>IF(W283&gt;$AC$32,1,0)</f>
        <v/>
      </c>
      <c r="Z283">
        <f>IF(Y283=C283,1,0)</f>
        <v/>
      </c>
    </row>
    <row r="284">
      <c r="A284">
        <f>'3 escalar'!A287</f>
        <v/>
      </c>
      <c r="B284" s="5">
        <f>'3 escalar'!U287</f>
        <v/>
      </c>
      <c r="C284">
        <f>'3 escalar'!B287</f>
        <v/>
      </c>
      <c r="D284" s="7">
        <f>'3 escalar'!C287</f>
        <v/>
      </c>
      <c r="E284" s="7">
        <f>'3 escalar'!D287</f>
        <v/>
      </c>
      <c r="F284" s="7">
        <f>'3 escalar'!E287</f>
        <v/>
      </c>
      <c r="G284" s="7">
        <f>'3 escalar'!F287</f>
        <v/>
      </c>
      <c r="H284" s="7">
        <f>'3 escalar'!G287</f>
        <v/>
      </c>
      <c r="I284" s="7">
        <f>'3 escalar'!H287</f>
        <v/>
      </c>
      <c r="J284" s="7">
        <f>'3 escalar'!I287</f>
        <v/>
      </c>
      <c r="K284" s="7">
        <f>'3 escalar'!J287</f>
        <v/>
      </c>
      <c r="L284" s="7">
        <f>'3 escalar'!K287</f>
        <v/>
      </c>
      <c r="M284" s="7">
        <f>'3 escalar'!L287</f>
        <v/>
      </c>
      <c r="N284" s="7">
        <f>'3 escalar'!M287</f>
        <v/>
      </c>
      <c r="O284" s="7">
        <f>'3 escalar'!N287</f>
        <v/>
      </c>
      <c r="P284" s="7">
        <f>'3 escalar'!O287</f>
        <v/>
      </c>
      <c r="Q284" s="7">
        <f>'3 escalar'!P287</f>
        <v/>
      </c>
      <c r="R284" s="7">
        <f>'3 escalar'!Q287</f>
        <v/>
      </c>
      <c r="S284" s="7">
        <f>'3 escalar'!R287</f>
        <v/>
      </c>
      <c r="T284" s="7">
        <f>'3 escalar'!S287</f>
        <v/>
      </c>
      <c r="U284" s="7">
        <f>'3 escalar'!T287</f>
        <v/>
      </c>
      <c r="V284" s="6">
        <f>$AC$12+D284*$AC$13+E284*$AC$14+F284*$AC$15+G284*$AC$16+H284*$AC$17+I284*$AC$18+J284*$AC$19+K284*$AC$20+L284*$AC$21+M284*$AC$22+N284*$AC$23+O284*$AC$24+P284*$AC$25+Q284*$AC$26+R284*$AC$27+S284*$AC$28+T284*$AC$29+U284*$AC$30</f>
        <v/>
      </c>
      <c r="W284" s="6">
        <f>1/(1+EXP(-V284))</f>
        <v/>
      </c>
      <c r="X284" s="8">
        <f>-IF(C284=1,LN(W284),LN(1-W284))</f>
        <v/>
      </c>
      <c r="Y284" s="9">
        <f>IF(W284&gt;$AC$32,1,0)</f>
        <v/>
      </c>
      <c r="Z284">
        <f>IF(Y284=C284,1,0)</f>
        <v/>
      </c>
    </row>
    <row r="285">
      <c r="A285">
        <f>'3 escalar'!A288</f>
        <v/>
      </c>
      <c r="B285" s="5">
        <f>'3 escalar'!U288</f>
        <v/>
      </c>
      <c r="C285">
        <f>'3 escalar'!B288</f>
        <v/>
      </c>
      <c r="D285" s="7">
        <f>'3 escalar'!C288</f>
        <v/>
      </c>
      <c r="E285" s="7">
        <f>'3 escalar'!D288</f>
        <v/>
      </c>
      <c r="F285" s="7">
        <f>'3 escalar'!E288</f>
        <v/>
      </c>
      <c r="G285" s="7">
        <f>'3 escalar'!F288</f>
        <v/>
      </c>
      <c r="H285" s="7">
        <f>'3 escalar'!G288</f>
        <v/>
      </c>
      <c r="I285" s="7">
        <f>'3 escalar'!H288</f>
        <v/>
      </c>
      <c r="J285" s="7">
        <f>'3 escalar'!I288</f>
        <v/>
      </c>
      <c r="K285" s="7">
        <f>'3 escalar'!J288</f>
        <v/>
      </c>
      <c r="L285" s="7">
        <f>'3 escalar'!K288</f>
        <v/>
      </c>
      <c r="M285" s="7">
        <f>'3 escalar'!L288</f>
        <v/>
      </c>
      <c r="N285" s="7">
        <f>'3 escalar'!M288</f>
        <v/>
      </c>
      <c r="O285" s="7">
        <f>'3 escalar'!N288</f>
        <v/>
      </c>
      <c r="P285" s="7">
        <f>'3 escalar'!O288</f>
        <v/>
      </c>
      <c r="Q285" s="7">
        <f>'3 escalar'!P288</f>
        <v/>
      </c>
      <c r="R285" s="7">
        <f>'3 escalar'!Q288</f>
        <v/>
      </c>
      <c r="S285" s="7">
        <f>'3 escalar'!R288</f>
        <v/>
      </c>
      <c r="T285" s="7">
        <f>'3 escalar'!S288</f>
        <v/>
      </c>
      <c r="U285" s="7">
        <f>'3 escalar'!T288</f>
        <v/>
      </c>
      <c r="V285" s="6">
        <f>$AC$12+D285*$AC$13+E285*$AC$14+F285*$AC$15+G285*$AC$16+H285*$AC$17+I285*$AC$18+J285*$AC$19+K285*$AC$20+L285*$AC$21+M285*$AC$22+N285*$AC$23+O285*$AC$24+P285*$AC$25+Q285*$AC$26+R285*$AC$27+S285*$AC$28+T285*$AC$29+U285*$AC$30</f>
        <v/>
      </c>
      <c r="W285" s="6">
        <f>1/(1+EXP(-V285))</f>
        <v/>
      </c>
      <c r="X285" s="8">
        <f>-IF(C285=1,LN(W285),LN(1-W285))</f>
        <v/>
      </c>
      <c r="Y285" s="9">
        <f>IF(W285&gt;$AC$32,1,0)</f>
        <v/>
      </c>
      <c r="Z285">
        <f>IF(Y285=C285,1,0)</f>
        <v/>
      </c>
    </row>
    <row r="286">
      <c r="A286">
        <f>'3 escalar'!A289</f>
        <v/>
      </c>
      <c r="B286" s="5">
        <f>'3 escalar'!U289</f>
        <v/>
      </c>
      <c r="C286">
        <f>'3 escalar'!B289</f>
        <v/>
      </c>
      <c r="D286" s="7">
        <f>'3 escalar'!C289</f>
        <v/>
      </c>
      <c r="E286" s="7">
        <f>'3 escalar'!D289</f>
        <v/>
      </c>
      <c r="F286" s="7">
        <f>'3 escalar'!E289</f>
        <v/>
      </c>
      <c r="G286" s="7">
        <f>'3 escalar'!F289</f>
        <v/>
      </c>
      <c r="H286" s="7">
        <f>'3 escalar'!G289</f>
        <v/>
      </c>
      <c r="I286" s="7">
        <f>'3 escalar'!H289</f>
        <v/>
      </c>
      <c r="J286" s="7">
        <f>'3 escalar'!I289</f>
        <v/>
      </c>
      <c r="K286" s="7">
        <f>'3 escalar'!J289</f>
        <v/>
      </c>
      <c r="L286" s="7">
        <f>'3 escalar'!K289</f>
        <v/>
      </c>
      <c r="M286" s="7">
        <f>'3 escalar'!L289</f>
        <v/>
      </c>
      <c r="N286" s="7">
        <f>'3 escalar'!M289</f>
        <v/>
      </c>
      <c r="O286" s="7">
        <f>'3 escalar'!N289</f>
        <v/>
      </c>
      <c r="P286" s="7">
        <f>'3 escalar'!O289</f>
        <v/>
      </c>
      <c r="Q286" s="7">
        <f>'3 escalar'!P289</f>
        <v/>
      </c>
      <c r="R286" s="7">
        <f>'3 escalar'!Q289</f>
        <v/>
      </c>
      <c r="S286" s="7">
        <f>'3 escalar'!R289</f>
        <v/>
      </c>
      <c r="T286" s="7">
        <f>'3 escalar'!S289</f>
        <v/>
      </c>
      <c r="U286" s="7">
        <f>'3 escalar'!T289</f>
        <v/>
      </c>
      <c r="V286" s="6">
        <f>$AC$12+D286*$AC$13+E286*$AC$14+F286*$AC$15+G286*$AC$16+H286*$AC$17+I286*$AC$18+J286*$AC$19+K286*$AC$20+L286*$AC$21+M286*$AC$22+N286*$AC$23+O286*$AC$24+P286*$AC$25+Q286*$AC$26+R286*$AC$27+S286*$AC$28+T286*$AC$29+U286*$AC$30</f>
        <v/>
      </c>
      <c r="W286" s="6">
        <f>1/(1+EXP(-V286))</f>
        <v/>
      </c>
      <c r="X286" s="8">
        <f>-IF(C286=1,LN(W286),LN(1-W286))</f>
        <v/>
      </c>
      <c r="Y286" s="9">
        <f>IF(W286&gt;$AC$32,1,0)</f>
        <v/>
      </c>
      <c r="Z286">
        <f>IF(Y286=C286,1,0)</f>
        <v/>
      </c>
    </row>
    <row r="287">
      <c r="A287">
        <f>'3 escalar'!A290</f>
        <v/>
      </c>
      <c r="B287" s="5">
        <f>'3 escalar'!U290</f>
        <v/>
      </c>
      <c r="C287">
        <f>'3 escalar'!B290</f>
        <v/>
      </c>
      <c r="D287" s="7">
        <f>'3 escalar'!C290</f>
        <v/>
      </c>
      <c r="E287" s="7">
        <f>'3 escalar'!D290</f>
        <v/>
      </c>
      <c r="F287" s="7">
        <f>'3 escalar'!E290</f>
        <v/>
      </c>
      <c r="G287" s="7">
        <f>'3 escalar'!F290</f>
        <v/>
      </c>
      <c r="H287" s="7">
        <f>'3 escalar'!G290</f>
        <v/>
      </c>
      <c r="I287" s="7">
        <f>'3 escalar'!H290</f>
        <v/>
      </c>
      <c r="J287" s="7">
        <f>'3 escalar'!I290</f>
        <v/>
      </c>
      <c r="K287" s="7">
        <f>'3 escalar'!J290</f>
        <v/>
      </c>
      <c r="L287" s="7">
        <f>'3 escalar'!K290</f>
        <v/>
      </c>
      <c r="M287" s="7">
        <f>'3 escalar'!L290</f>
        <v/>
      </c>
      <c r="N287" s="7">
        <f>'3 escalar'!M290</f>
        <v/>
      </c>
      <c r="O287" s="7">
        <f>'3 escalar'!N290</f>
        <v/>
      </c>
      <c r="P287" s="7">
        <f>'3 escalar'!O290</f>
        <v/>
      </c>
      <c r="Q287" s="7">
        <f>'3 escalar'!P290</f>
        <v/>
      </c>
      <c r="R287" s="7">
        <f>'3 escalar'!Q290</f>
        <v/>
      </c>
      <c r="S287" s="7">
        <f>'3 escalar'!R290</f>
        <v/>
      </c>
      <c r="T287" s="7">
        <f>'3 escalar'!S290</f>
        <v/>
      </c>
      <c r="U287" s="7">
        <f>'3 escalar'!T290</f>
        <v/>
      </c>
      <c r="V287" s="6">
        <f>$AC$12+D287*$AC$13+E287*$AC$14+F287*$AC$15+G287*$AC$16+H287*$AC$17+I287*$AC$18+J287*$AC$19+K287*$AC$20+L287*$AC$21+M287*$AC$22+N287*$AC$23+O287*$AC$24+P287*$AC$25+Q287*$AC$26+R287*$AC$27+S287*$AC$28+T287*$AC$29+U287*$AC$30</f>
        <v/>
      </c>
      <c r="W287" s="6">
        <f>1/(1+EXP(-V287))</f>
        <v/>
      </c>
      <c r="X287" s="8">
        <f>-IF(C287=1,LN(W287),LN(1-W287))</f>
        <v/>
      </c>
      <c r="Y287" s="9">
        <f>IF(W287&gt;$AC$32,1,0)</f>
        <v/>
      </c>
      <c r="Z287">
        <f>IF(Y287=C287,1,0)</f>
        <v/>
      </c>
    </row>
    <row r="288">
      <c r="A288">
        <f>'3 escalar'!A291</f>
        <v/>
      </c>
      <c r="B288" s="5">
        <f>'3 escalar'!U291</f>
        <v/>
      </c>
      <c r="C288">
        <f>'3 escalar'!B291</f>
        <v/>
      </c>
      <c r="D288" s="7">
        <f>'3 escalar'!C291</f>
        <v/>
      </c>
      <c r="E288" s="7">
        <f>'3 escalar'!D291</f>
        <v/>
      </c>
      <c r="F288" s="7">
        <f>'3 escalar'!E291</f>
        <v/>
      </c>
      <c r="G288" s="7">
        <f>'3 escalar'!F291</f>
        <v/>
      </c>
      <c r="H288" s="7">
        <f>'3 escalar'!G291</f>
        <v/>
      </c>
      <c r="I288" s="7">
        <f>'3 escalar'!H291</f>
        <v/>
      </c>
      <c r="J288" s="7">
        <f>'3 escalar'!I291</f>
        <v/>
      </c>
      <c r="K288" s="7">
        <f>'3 escalar'!J291</f>
        <v/>
      </c>
      <c r="L288" s="7">
        <f>'3 escalar'!K291</f>
        <v/>
      </c>
      <c r="M288" s="7">
        <f>'3 escalar'!L291</f>
        <v/>
      </c>
      <c r="N288" s="7">
        <f>'3 escalar'!M291</f>
        <v/>
      </c>
      <c r="O288" s="7">
        <f>'3 escalar'!N291</f>
        <v/>
      </c>
      <c r="P288" s="7">
        <f>'3 escalar'!O291</f>
        <v/>
      </c>
      <c r="Q288" s="7">
        <f>'3 escalar'!P291</f>
        <v/>
      </c>
      <c r="R288" s="7">
        <f>'3 escalar'!Q291</f>
        <v/>
      </c>
      <c r="S288" s="7">
        <f>'3 escalar'!R291</f>
        <v/>
      </c>
      <c r="T288" s="7">
        <f>'3 escalar'!S291</f>
        <v/>
      </c>
      <c r="U288" s="7">
        <f>'3 escalar'!T291</f>
        <v/>
      </c>
      <c r="V288" s="6">
        <f>$AC$12+D288*$AC$13+E288*$AC$14+F288*$AC$15+G288*$AC$16+H288*$AC$17+I288*$AC$18+J288*$AC$19+K288*$AC$20+L288*$AC$21+M288*$AC$22+N288*$AC$23+O288*$AC$24+P288*$AC$25+Q288*$AC$26+R288*$AC$27+S288*$AC$28+T288*$AC$29+U288*$AC$30</f>
        <v/>
      </c>
      <c r="W288" s="6">
        <f>1/(1+EXP(-V288))</f>
        <v/>
      </c>
      <c r="X288" s="8">
        <f>-IF(C288=1,LN(W288),LN(1-W288))</f>
        <v/>
      </c>
      <c r="Y288" s="9">
        <f>IF(W288&gt;$AC$32,1,0)</f>
        <v/>
      </c>
      <c r="Z288">
        <f>IF(Y288=C288,1,0)</f>
        <v/>
      </c>
    </row>
    <row r="289">
      <c r="A289">
        <f>'3 escalar'!A292</f>
        <v/>
      </c>
      <c r="B289" s="5">
        <f>'3 escalar'!U292</f>
        <v/>
      </c>
      <c r="C289">
        <f>'3 escalar'!B292</f>
        <v/>
      </c>
      <c r="D289" s="7">
        <f>'3 escalar'!C292</f>
        <v/>
      </c>
      <c r="E289" s="7">
        <f>'3 escalar'!D292</f>
        <v/>
      </c>
      <c r="F289" s="7">
        <f>'3 escalar'!E292</f>
        <v/>
      </c>
      <c r="G289" s="7">
        <f>'3 escalar'!F292</f>
        <v/>
      </c>
      <c r="H289" s="7">
        <f>'3 escalar'!G292</f>
        <v/>
      </c>
      <c r="I289" s="7">
        <f>'3 escalar'!H292</f>
        <v/>
      </c>
      <c r="J289" s="7">
        <f>'3 escalar'!I292</f>
        <v/>
      </c>
      <c r="K289" s="7">
        <f>'3 escalar'!J292</f>
        <v/>
      </c>
      <c r="L289" s="7">
        <f>'3 escalar'!K292</f>
        <v/>
      </c>
      <c r="M289" s="7">
        <f>'3 escalar'!L292</f>
        <v/>
      </c>
      <c r="N289" s="7">
        <f>'3 escalar'!M292</f>
        <v/>
      </c>
      <c r="O289" s="7">
        <f>'3 escalar'!N292</f>
        <v/>
      </c>
      <c r="P289" s="7">
        <f>'3 escalar'!O292</f>
        <v/>
      </c>
      <c r="Q289" s="7">
        <f>'3 escalar'!P292</f>
        <v/>
      </c>
      <c r="R289" s="7">
        <f>'3 escalar'!Q292</f>
        <v/>
      </c>
      <c r="S289" s="7">
        <f>'3 escalar'!R292</f>
        <v/>
      </c>
      <c r="T289" s="7">
        <f>'3 escalar'!S292</f>
        <v/>
      </c>
      <c r="U289" s="7">
        <f>'3 escalar'!T292</f>
        <v/>
      </c>
      <c r="V289" s="6">
        <f>$AC$12+D289*$AC$13+E289*$AC$14+F289*$AC$15+G289*$AC$16+H289*$AC$17+I289*$AC$18+J289*$AC$19+K289*$AC$20+L289*$AC$21+M289*$AC$22+N289*$AC$23+O289*$AC$24+P289*$AC$25+Q289*$AC$26+R289*$AC$27+S289*$AC$28+T289*$AC$29+U289*$AC$30</f>
        <v/>
      </c>
      <c r="W289" s="6">
        <f>1/(1+EXP(-V289))</f>
        <v/>
      </c>
      <c r="X289" s="8">
        <f>-IF(C289=1,LN(W289),LN(1-W289))</f>
        <v/>
      </c>
      <c r="Y289" s="9">
        <f>IF(W289&gt;$AC$32,1,0)</f>
        <v/>
      </c>
      <c r="Z289">
        <f>IF(Y289=C289,1,0)</f>
        <v/>
      </c>
    </row>
    <row r="290">
      <c r="A290">
        <f>'3 escalar'!A293</f>
        <v/>
      </c>
      <c r="B290" s="5">
        <f>'3 escalar'!U293</f>
        <v/>
      </c>
      <c r="C290">
        <f>'3 escalar'!B293</f>
        <v/>
      </c>
      <c r="D290" s="7">
        <f>'3 escalar'!C293</f>
        <v/>
      </c>
      <c r="E290" s="7">
        <f>'3 escalar'!D293</f>
        <v/>
      </c>
      <c r="F290" s="7">
        <f>'3 escalar'!E293</f>
        <v/>
      </c>
      <c r="G290" s="7">
        <f>'3 escalar'!F293</f>
        <v/>
      </c>
      <c r="H290" s="7">
        <f>'3 escalar'!G293</f>
        <v/>
      </c>
      <c r="I290" s="7">
        <f>'3 escalar'!H293</f>
        <v/>
      </c>
      <c r="J290" s="7">
        <f>'3 escalar'!I293</f>
        <v/>
      </c>
      <c r="K290" s="7">
        <f>'3 escalar'!J293</f>
        <v/>
      </c>
      <c r="L290" s="7">
        <f>'3 escalar'!K293</f>
        <v/>
      </c>
      <c r="M290" s="7">
        <f>'3 escalar'!L293</f>
        <v/>
      </c>
      <c r="N290" s="7">
        <f>'3 escalar'!M293</f>
        <v/>
      </c>
      <c r="O290" s="7">
        <f>'3 escalar'!N293</f>
        <v/>
      </c>
      <c r="P290" s="7">
        <f>'3 escalar'!O293</f>
        <v/>
      </c>
      <c r="Q290" s="7">
        <f>'3 escalar'!P293</f>
        <v/>
      </c>
      <c r="R290" s="7">
        <f>'3 escalar'!Q293</f>
        <v/>
      </c>
      <c r="S290" s="7">
        <f>'3 escalar'!R293</f>
        <v/>
      </c>
      <c r="T290" s="7">
        <f>'3 escalar'!S293</f>
        <v/>
      </c>
      <c r="U290" s="7">
        <f>'3 escalar'!T293</f>
        <v/>
      </c>
      <c r="V290" s="6">
        <f>$AC$12+D290*$AC$13+E290*$AC$14+F290*$AC$15+G290*$AC$16+H290*$AC$17+I290*$AC$18+J290*$AC$19+K290*$AC$20+L290*$AC$21+M290*$AC$22+N290*$AC$23+O290*$AC$24+P290*$AC$25+Q290*$AC$26+R290*$AC$27+S290*$AC$28+T290*$AC$29+U290*$AC$30</f>
        <v/>
      </c>
      <c r="W290" s="6">
        <f>1/(1+EXP(-V290))</f>
        <v/>
      </c>
      <c r="X290" s="8">
        <f>-IF(C290=1,LN(W290),LN(1-W290))</f>
        <v/>
      </c>
      <c r="Y290" s="9">
        <f>IF(W290&gt;$AC$32,1,0)</f>
        <v/>
      </c>
      <c r="Z290">
        <f>IF(Y290=C290,1,0)</f>
        <v/>
      </c>
    </row>
    <row r="291">
      <c r="A291">
        <f>'3 escalar'!A294</f>
        <v/>
      </c>
      <c r="B291" s="5">
        <f>'3 escalar'!U294</f>
        <v/>
      </c>
      <c r="C291">
        <f>'3 escalar'!B294</f>
        <v/>
      </c>
      <c r="D291" s="7">
        <f>'3 escalar'!C294</f>
        <v/>
      </c>
      <c r="E291" s="7">
        <f>'3 escalar'!D294</f>
        <v/>
      </c>
      <c r="F291" s="7">
        <f>'3 escalar'!E294</f>
        <v/>
      </c>
      <c r="G291" s="7">
        <f>'3 escalar'!F294</f>
        <v/>
      </c>
      <c r="H291" s="7">
        <f>'3 escalar'!G294</f>
        <v/>
      </c>
      <c r="I291" s="7">
        <f>'3 escalar'!H294</f>
        <v/>
      </c>
      <c r="J291" s="7">
        <f>'3 escalar'!I294</f>
        <v/>
      </c>
      <c r="K291" s="7">
        <f>'3 escalar'!J294</f>
        <v/>
      </c>
      <c r="L291" s="7">
        <f>'3 escalar'!K294</f>
        <v/>
      </c>
      <c r="M291" s="7">
        <f>'3 escalar'!L294</f>
        <v/>
      </c>
      <c r="N291" s="7">
        <f>'3 escalar'!M294</f>
        <v/>
      </c>
      <c r="O291" s="7">
        <f>'3 escalar'!N294</f>
        <v/>
      </c>
      <c r="P291" s="7">
        <f>'3 escalar'!O294</f>
        <v/>
      </c>
      <c r="Q291" s="7">
        <f>'3 escalar'!P294</f>
        <v/>
      </c>
      <c r="R291" s="7">
        <f>'3 escalar'!Q294</f>
        <v/>
      </c>
      <c r="S291" s="7">
        <f>'3 escalar'!R294</f>
        <v/>
      </c>
      <c r="T291" s="7">
        <f>'3 escalar'!S294</f>
        <v/>
      </c>
      <c r="U291" s="7">
        <f>'3 escalar'!T294</f>
        <v/>
      </c>
      <c r="V291" s="6">
        <f>$AC$12+D291*$AC$13+E291*$AC$14+F291*$AC$15+G291*$AC$16+H291*$AC$17+I291*$AC$18+J291*$AC$19+K291*$AC$20+L291*$AC$21+M291*$AC$22+N291*$AC$23+O291*$AC$24+P291*$AC$25+Q291*$AC$26+R291*$AC$27+S291*$AC$28+T291*$AC$29+U291*$AC$30</f>
        <v/>
      </c>
      <c r="W291" s="6">
        <f>1/(1+EXP(-V291))</f>
        <v/>
      </c>
      <c r="X291" s="8">
        <f>-IF(C291=1,LN(W291),LN(1-W291))</f>
        <v/>
      </c>
      <c r="Y291" s="9">
        <f>IF(W291&gt;$AC$32,1,0)</f>
        <v/>
      </c>
      <c r="Z291">
        <f>IF(Y291=C291,1,0)</f>
        <v/>
      </c>
    </row>
    <row r="292">
      <c r="A292">
        <f>'3 escalar'!A295</f>
        <v/>
      </c>
      <c r="B292" s="5">
        <f>'3 escalar'!U295</f>
        <v/>
      </c>
      <c r="C292">
        <f>'3 escalar'!B295</f>
        <v/>
      </c>
      <c r="D292" s="7">
        <f>'3 escalar'!C295</f>
        <v/>
      </c>
      <c r="E292" s="7">
        <f>'3 escalar'!D295</f>
        <v/>
      </c>
      <c r="F292" s="7">
        <f>'3 escalar'!E295</f>
        <v/>
      </c>
      <c r="G292" s="7">
        <f>'3 escalar'!F295</f>
        <v/>
      </c>
      <c r="H292" s="7">
        <f>'3 escalar'!G295</f>
        <v/>
      </c>
      <c r="I292" s="7">
        <f>'3 escalar'!H295</f>
        <v/>
      </c>
      <c r="J292" s="7">
        <f>'3 escalar'!I295</f>
        <v/>
      </c>
      <c r="K292" s="7">
        <f>'3 escalar'!J295</f>
        <v/>
      </c>
      <c r="L292" s="7">
        <f>'3 escalar'!K295</f>
        <v/>
      </c>
      <c r="M292" s="7">
        <f>'3 escalar'!L295</f>
        <v/>
      </c>
      <c r="N292" s="7">
        <f>'3 escalar'!M295</f>
        <v/>
      </c>
      <c r="O292" s="7">
        <f>'3 escalar'!N295</f>
        <v/>
      </c>
      <c r="P292" s="7">
        <f>'3 escalar'!O295</f>
        <v/>
      </c>
      <c r="Q292" s="7">
        <f>'3 escalar'!P295</f>
        <v/>
      </c>
      <c r="R292" s="7">
        <f>'3 escalar'!Q295</f>
        <v/>
      </c>
      <c r="S292" s="7">
        <f>'3 escalar'!R295</f>
        <v/>
      </c>
      <c r="T292" s="7">
        <f>'3 escalar'!S295</f>
        <v/>
      </c>
      <c r="U292" s="7">
        <f>'3 escalar'!T295</f>
        <v/>
      </c>
      <c r="V292" s="6">
        <f>$AC$12+D292*$AC$13+E292*$AC$14+F292*$AC$15+G292*$AC$16+H292*$AC$17+I292*$AC$18+J292*$AC$19+K292*$AC$20+L292*$AC$21+M292*$AC$22+N292*$AC$23+O292*$AC$24+P292*$AC$25+Q292*$AC$26+R292*$AC$27+S292*$AC$28+T292*$AC$29+U292*$AC$30</f>
        <v/>
      </c>
      <c r="W292" s="6">
        <f>1/(1+EXP(-V292))</f>
        <v/>
      </c>
      <c r="X292" s="8">
        <f>-IF(C292=1,LN(W292),LN(1-W292))</f>
        <v/>
      </c>
      <c r="Y292" s="9">
        <f>IF(W292&gt;$AC$32,1,0)</f>
        <v/>
      </c>
      <c r="Z292">
        <f>IF(Y292=C292,1,0)</f>
        <v/>
      </c>
    </row>
    <row r="293">
      <c r="A293">
        <f>'3 escalar'!A296</f>
        <v/>
      </c>
      <c r="B293" s="5">
        <f>'3 escalar'!U296</f>
        <v/>
      </c>
      <c r="C293">
        <f>'3 escalar'!B296</f>
        <v/>
      </c>
      <c r="D293" s="7">
        <f>'3 escalar'!C296</f>
        <v/>
      </c>
      <c r="E293" s="7">
        <f>'3 escalar'!D296</f>
        <v/>
      </c>
      <c r="F293" s="7">
        <f>'3 escalar'!E296</f>
        <v/>
      </c>
      <c r="G293" s="7">
        <f>'3 escalar'!F296</f>
        <v/>
      </c>
      <c r="H293" s="7">
        <f>'3 escalar'!G296</f>
        <v/>
      </c>
      <c r="I293" s="7">
        <f>'3 escalar'!H296</f>
        <v/>
      </c>
      <c r="J293" s="7">
        <f>'3 escalar'!I296</f>
        <v/>
      </c>
      <c r="K293" s="7">
        <f>'3 escalar'!J296</f>
        <v/>
      </c>
      <c r="L293" s="7">
        <f>'3 escalar'!K296</f>
        <v/>
      </c>
      <c r="M293" s="7">
        <f>'3 escalar'!L296</f>
        <v/>
      </c>
      <c r="N293" s="7">
        <f>'3 escalar'!M296</f>
        <v/>
      </c>
      <c r="O293" s="7">
        <f>'3 escalar'!N296</f>
        <v/>
      </c>
      <c r="P293" s="7">
        <f>'3 escalar'!O296</f>
        <v/>
      </c>
      <c r="Q293" s="7">
        <f>'3 escalar'!P296</f>
        <v/>
      </c>
      <c r="R293" s="7">
        <f>'3 escalar'!Q296</f>
        <v/>
      </c>
      <c r="S293" s="7">
        <f>'3 escalar'!R296</f>
        <v/>
      </c>
      <c r="T293" s="7">
        <f>'3 escalar'!S296</f>
        <v/>
      </c>
      <c r="U293" s="7">
        <f>'3 escalar'!T296</f>
        <v/>
      </c>
      <c r="V293" s="6">
        <f>$AC$12+D293*$AC$13+E293*$AC$14+F293*$AC$15+G293*$AC$16+H293*$AC$17+I293*$AC$18+J293*$AC$19+K293*$AC$20+L293*$AC$21+M293*$AC$22+N293*$AC$23+O293*$AC$24+P293*$AC$25+Q293*$AC$26+R293*$AC$27+S293*$AC$28+T293*$AC$29+U293*$AC$30</f>
        <v/>
      </c>
      <c r="W293" s="6">
        <f>1/(1+EXP(-V293))</f>
        <v/>
      </c>
      <c r="X293" s="8">
        <f>-IF(C293=1,LN(W293),LN(1-W293))</f>
        <v/>
      </c>
      <c r="Y293" s="9">
        <f>IF(W293&gt;$AC$32,1,0)</f>
        <v/>
      </c>
      <c r="Z293">
        <f>IF(Y293=C293,1,0)</f>
        <v/>
      </c>
    </row>
    <row r="294">
      <c r="A294">
        <f>'3 escalar'!A297</f>
        <v/>
      </c>
      <c r="B294" s="5">
        <f>'3 escalar'!U297</f>
        <v/>
      </c>
      <c r="C294">
        <f>'3 escalar'!B297</f>
        <v/>
      </c>
      <c r="D294" s="7">
        <f>'3 escalar'!C297</f>
        <v/>
      </c>
      <c r="E294" s="7">
        <f>'3 escalar'!D297</f>
        <v/>
      </c>
      <c r="F294" s="7">
        <f>'3 escalar'!E297</f>
        <v/>
      </c>
      <c r="G294" s="7">
        <f>'3 escalar'!F297</f>
        <v/>
      </c>
      <c r="H294" s="7">
        <f>'3 escalar'!G297</f>
        <v/>
      </c>
      <c r="I294" s="7">
        <f>'3 escalar'!H297</f>
        <v/>
      </c>
      <c r="J294" s="7">
        <f>'3 escalar'!I297</f>
        <v/>
      </c>
      <c r="K294" s="7">
        <f>'3 escalar'!J297</f>
        <v/>
      </c>
      <c r="L294" s="7">
        <f>'3 escalar'!K297</f>
        <v/>
      </c>
      <c r="M294" s="7">
        <f>'3 escalar'!L297</f>
        <v/>
      </c>
      <c r="N294" s="7">
        <f>'3 escalar'!M297</f>
        <v/>
      </c>
      <c r="O294" s="7">
        <f>'3 escalar'!N297</f>
        <v/>
      </c>
      <c r="P294" s="7">
        <f>'3 escalar'!O297</f>
        <v/>
      </c>
      <c r="Q294" s="7">
        <f>'3 escalar'!P297</f>
        <v/>
      </c>
      <c r="R294" s="7">
        <f>'3 escalar'!Q297</f>
        <v/>
      </c>
      <c r="S294" s="7">
        <f>'3 escalar'!R297</f>
        <v/>
      </c>
      <c r="T294" s="7">
        <f>'3 escalar'!S297</f>
        <v/>
      </c>
      <c r="U294" s="7">
        <f>'3 escalar'!T297</f>
        <v/>
      </c>
      <c r="V294" s="6">
        <f>$AC$12+D294*$AC$13+E294*$AC$14+F294*$AC$15+G294*$AC$16+H294*$AC$17+I294*$AC$18+J294*$AC$19+K294*$AC$20+L294*$AC$21+M294*$AC$22+N294*$AC$23+O294*$AC$24+P294*$AC$25+Q294*$AC$26+R294*$AC$27+S294*$AC$28+T294*$AC$29+U294*$AC$30</f>
        <v/>
      </c>
      <c r="W294" s="6">
        <f>1/(1+EXP(-V294))</f>
        <v/>
      </c>
      <c r="X294" s="8">
        <f>-IF(C294=1,LN(W294),LN(1-W294))</f>
        <v/>
      </c>
      <c r="Y294" s="9">
        <f>IF(W294&gt;$AC$32,1,0)</f>
        <v/>
      </c>
      <c r="Z294">
        <f>IF(Y294=C294,1,0)</f>
        <v/>
      </c>
    </row>
    <row r="295">
      <c r="A295">
        <f>'3 escalar'!A298</f>
        <v/>
      </c>
      <c r="B295" s="5">
        <f>'3 escalar'!U298</f>
        <v/>
      </c>
      <c r="C295">
        <f>'3 escalar'!B298</f>
        <v/>
      </c>
      <c r="D295" s="7">
        <f>'3 escalar'!C298</f>
        <v/>
      </c>
      <c r="E295" s="7">
        <f>'3 escalar'!D298</f>
        <v/>
      </c>
      <c r="F295" s="7">
        <f>'3 escalar'!E298</f>
        <v/>
      </c>
      <c r="G295" s="7">
        <f>'3 escalar'!F298</f>
        <v/>
      </c>
      <c r="H295" s="7">
        <f>'3 escalar'!G298</f>
        <v/>
      </c>
      <c r="I295" s="7">
        <f>'3 escalar'!H298</f>
        <v/>
      </c>
      <c r="J295" s="7">
        <f>'3 escalar'!I298</f>
        <v/>
      </c>
      <c r="K295" s="7">
        <f>'3 escalar'!J298</f>
        <v/>
      </c>
      <c r="L295" s="7">
        <f>'3 escalar'!K298</f>
        <v/>
      </c>
      <c r="M295" s="7">
        <f>'3 escalar'!L298</f>
        <v/>
      </c>
      <c r="N295" s="7">
        <f>'3 escalar'!M298</f>
        <v/>
      </c>
      <c r="O295" s="7">
        <f>'3 escalar'!N298</f>
        <v/>
      </c>
      <c r="P295" s="7">
        <f>'3 escalar'!O298</f>
        <v/>
      </c>
      <c r="Q295" s="7">
        <f>'3 escalar'!P298</f>
        <v/>
      </c>
      <c r="R295" s="7">
        <f>'3 escalar'!Q298</f>
        <v/>
      </c>
      <c r="S295" s="7">
        <f>'3 escalar'!R298</f>
        <v/>
      </c>
      <c r="T295" s="7">
        <f>'3 escalar'!S298</f>
        <v/>
      </c>
      <c r="U295" s="7">
        <f>'3 escalar'!T298</f>
        <v/>
      </c>
      <c r="V295" s="6">
        <f>$AC$12+D295*$AC$13+E295*$AC$14+F295*$AC$15+G295*$AC$16+H295*$AC$17+I295*$AC$18+J295*$AC$19+K295*$AC$20+L295*$AC$21+M295*$AC$22+N295*$AC$23+O295*$AC$24+P295*$AC$25+Q295*$AC$26+R295*$AC$27+S295*$AC$28+T295*$AC$29+U295*$AC$30</f>
        <v/>
      </c>
      <c r="W295" s="6">
        <f>1/(1+EXP(-V295))</f>
        <v/>
      </c>
      <c r="X295" s="8">
        <f>-IF(C295=1,LN(W295),LN(1-W295))</f>
        <v/>
      </c>
      <c r="Y295" s="9">
        <f>IF(W295&gt;$AC$32,1,0)</f>
        <v/>
      </c>
      <c r="Z295">
        <f>IF(Y295=C295,1,0)</f>
        <v/>
      </c>
    </row>
    <row r="296">
      <c r="A296">
        <f>'3 escalar'!A299</f>
        <v/>
      </c>
      <c r="B296" s="5">
        <f>'3 escalar'!U299</f>
        <v/>
      </c>
      <c r="C296">
        <f>'3 escalar'!B299</f>
        <v/>
      </c>
      <c r="D296" s="7">
        <f>'3 escalar'!C299</f>
        <v/>
      </c>
      <c r="E296" s="7">
        <f>'3 escalar'!D299</f>
        <v/>
      </c>
      <c r="F296" s="7">
        <f>'3 escalar'!E299</f>
        <v/>
      </c>
      <c r="G296" s="7">
        <f>'3 escalar'!F299</f>
        <v/>
      </c>
      <c r="H296" s="7">
        <f>'3 escalar'!G299</f>
        <v/>
      </c>
      <c r="I296" s="7">
        <f>'3 escalar'!H299</f>
        <v/>
      </c>
      <c r="J296" s="7">
        <f>'3 escalar'!I299</f>
        <v/>
      </c>
      <c r="K296" s="7">
        <f>'3 escalar'!J299</f>
        <v/>
      </c>
      <c r="L296" s="7">
        <f>'3 escalar'!K299</f>
        <v/>
      </c>
      <c r="M296" s="7">
        <f>'3 escalar'!L299</f>
        <v/>
      </c>
      <c r="N296" s="7">
        <f>'3 escalar'!M299</f>
        <v/>
      </c>
      <c r="O296" s="7">
        <f>'3 escalar'!N299</f>
        <v/>
      </c>
      <c r="P296" s="7">
        <f>'3 escalar'!O299</f>
        <v/>
      </c>
      <c r="Q296" s="7">
        <f>'3 escalar'!P299</f>
        <v/>
      </c>
      <c r="R296" s="7">
        <f>'3 escalar'!Q299</f>
        <v/>
      </c>
      <c r="S296" s="7">
        <f>'3 escalar'!R299</f>
        <v/>
      </c>
      <c r="T296" s="7">
        <f>'3 escalar'!S299</f>
        <v/>
      </c>
      <c r="U296" s="7">
        <f>'3 escalar'!T299</f>
        <v/>
      </c>
      <c r="V296" s="6">
        <f>$AC$12+D296*$AC$13+E296*$AC$14+F296*$AC$15+G296*$AC$16+H296*$AC$17+I296*$AC$18+J296*$AC$19+K296*$AC$20+L296*$AC$21+M296*$AC$22+N296*$AC$23+O296*$AC$24+P296*$AC$25+Q296*$AC$26+R296*$AC$27+S296*$AC$28+T296*$AC$29+U296*$AC$30</f>
        <v/>
      </c>
      <c r="W296" s="6">
        <f>1/(1+EXP(-V296))</f>
        <v/>
      </c>
      <c r="X296" s="8">
        <f>-IF(C296=1,LN(W296),LN(1-W296))</f>
        <v/>
      </c>
      <c r="Y296" s="9">
        <f>IF(W296&gt;$AC$32,1,0)</f>
        <v/>
      </c>
      <c r="Z296">
        <f>IF(Y296=C296,1,0)</f>
        <v/>
      </c>
    </row>
    <row r="297">
      <c r="A297">
        <f>'3 escalar'!A300</f>
        <v/>
      </c>
      <c r="B297" s="5">
        <f>'3 escalar'!U300</f>
        <v/>
      </c>
      <c r="C297">
        <f>'3 escalar'!B300</f>
        <v/>
      </c>
      <c r="D297" s="7">
        <f>'3 escalar'!C300</f>
        <v/>
      </c>
      <c r="E297" s="7">
        <f>'3 escalar'!D300</f>
        <v/>
      </c>
      <c r="F297" s="7">
        <f>'3 escalar'!E300</f>
        <v/>
      </c>
      <c r="G297" s="7">
        <f>'3 escalar'!F300</f>
        <v/>
      </c>
      <c r="H297" s="7">
        <f>'3 escalar'!G300</f>
        <v/>
      </c>
      <c r="I297" s="7">
        <f>'3 escalar'!H300</f>
        <v/>
      </c>
      <c r="J297" s="7">
        <f>'3 escalar'!I300</f>
        <v/>
      </c>
      <c r="K297" s="7">
        <f>'3 escalar'!J300</f>
        <v/>
      </c>
      <c r="L297" s="7">
        <f>'3 escalar'!K300</f>
        <v/>
      </c>
      <c r="M297" s="7">
        <f>'3 escalar'!L300</f>
        <v/>
      </c>
      <c r="N297" s="7">
        <f>'3 escalar'!M300</f>
        <v/>
      </c>
      <c r="O297" s="7">
        <f>'3 escalar'!N300</f>
        <v/>
      </c>
      <c r="P297" s="7">
        <f>'3 escalar'!O300</f>
        <v/>
      </c>
      <c r="Q297" s="7">
        <f>'3 escalar'!P300</f>
        <v/>
      </c>
      <c r="R297" s="7">
        <f>'3 escalar'!Q300</f>
        <v/>
      </c>
      <c r="S297" s="7">
        <f>'3 escalar'!R300</f>
        <v/>
      </c>
      <c r="T297" s="7">
        <f>'3 escalar'!S300</f>
        <v/>
      </c>
      <c r="U297" s="7">
        <f>'3 escalar'!T300</f>
        <v/>
      </c>
      <c r="V297" s="6">
        <f>$AC$12+D297*$AC$13+E297*$AC$14+F297*$AC$15+G297*$AC$16+H297*$AC$17+I297*$AC$18+J297*$AC$19+K297*$AC$20+L297*$AC$21+M297*$AC$22+N297*$AC$23+O297*$AC$24+P297*$AC$25+Q297*$AC$26+R297*$AC$27+S297*$AC$28+T297*$AC$29+U297*$AC$30</f>
        <v/>
      </c>
      <c r="W297" s="6">
        <f>1/(1+EXP(-V297))</f>
        <v/>
      </c>
      <c r="X297" s="8">
        <f>-IF(C297=1,LN(W297),LN(1-W297))</f>
        <v/>
      </c>
      <c r="Y297" s="9">
        <f>IF(W297&gt;$AC$32,1,0)</f>
        <v/>
      </c>
      <c r="Z297">
        <f>IF(Y297=C297,1,0)</f>
        <v/>
      </c>
    </row>
    <row r="298">
      <c r="A298">
        <f>'3 escalar'!A301</f>
        <v/>
      </c>
      <c r="B298" s="5">
        <f>'3 escalar'!U301</f>
        <v/>
      </c>
      <c r="C298">
        <f>'3 escalar'!B301</f>
        <v/>
      </c>
      <c r="D298" s="7">
        <f>'3 escalar'!C301</f>
        <v/>
      </c>
      <c r="E298" s="7">
        <f>'3 escalar'!D301</f>
        <v/>
      </c>
      <c r="F298" s="7">
        <f>'3 escalar'!E301</f>
        <v/>
      </c>
      <c r="G298" s="7">
        <f>'3 escalar'!F301</f>
        <v/>
      </c>
      <c r="H298" s="7">
        <f>'3 escalar'!G301</f>
        <v/>
      </c>
      <c r="I298" s="7">
        <f>'3 escalar'!H301</f>
        <v/>
      </c>
      <c r="J298" s="7">
        <f>'3 escalar'!I301</f>
        <v/>
      </c>
      <c r="K298" s="7">
        <f>'3 escalar'!J301</f>
        <v/>
      </c>
      <c r="L298" s="7">
        <f>'3 escalar'!K301</f>
        <v/>
      </c>
      <c r="M298" s="7">
        <f>'3 escalar'!L301</f>
        <v/>
      </c>
      <c r="N298" s="7">
        <f>'3 escalar'!M301</f>
        <v/>
      </c>
      <c r="O298" s="7">
        <f>'3 escalar'!N301</f>
        <v/>
      </c>
      <c r="P298" s="7">
        <f>'3 escalar'!O301</f>
        <v/>
      </c>
      <c r="Q298" s="7">
        <f>'3 escalar'!P301</f>
        <v/>
      </c>
      <c r="R298" s="7">
        <f>'3 escalar'!Q301</f>
        <v/>
      </c>
      <c r="S298" s="7">
        <f>'3 escalar'!R301</f>
        <v/>
      </c>
      <c r="T298" s="7">
        <f>'3 escalar'!S301</f>
        <v/>
      </c>
      <c r="U298" s="7">
        <f>'3 escalar'!T301</f>
        <v/>
      </c>
      <c r="V298" s="6">
        <f>$AC$12+D298*$AC$13+E298*$AC$14+F298*$AC$15+G298*$AC$16+H298*$AC$17+I298*$AC$18+J298*$AC$19+K298*$AC$20+L298*$AC$21+M298*$AC$22+N298*$AC$23+O298*$AC$24+P298*$AC$25+Q298*$AC$26+R298*$AC$27+S298*$AC$28+T298*$AC$29+U298*$AC$30</f>
        <v/>
      </c>
      <c r="W298" s="6">
        <f>1/(1+EXP(-V298))</f>
        <v/>
      </c>
      <c r="X298" s="8">
        <f>-IF(C298=1,LN(W298),LN(1-W298))</f>
        <v/>
      </c>
      <c r="Y298" s="9">
        <f>IF(W298&gt;$AC$32,1,0)</f>
        <v/>
      </c>
      <c r="Z298">
        <f>IF(Y298=C298,1,0)</f>
        <v/>
      </c>
    </row>
    <row r="299">
      <c r="A299">
        <f>'3 escalar'!A302</f>
        <v/>
      </c>
      <c r="B299" s="5">
        <f>'3 escalar'!U302</f>
        <v/>
      </c>
      <c r="C299">
        <f>'3 escalar'!B302</f>
        <v/>
      </c>
      <c r="D299" s="7">
        <f>'3 escalar'!C302</f>
        <v/>
      </c>
      <c r="E299" s="7">
        <f>'3 escalar'!D302</f>
        <v/>
      </c>
      <c r="F299" s="7">
        <f>'3 escalar'!E302</f>
        <v/>
      </c>
      <c r="G299" s="7">
        <f>'3 escalar'!F302</f>
        <v/>
      </c>
      <c r="H299" s="7">
        <f>'3 escalar'!G302</f>
        <v/>
      </c>
      <c r="I299" s="7">
        <f>'3 escalar'!H302</f>
        <v/>
      </c>
      <c r="J299" s="7">
        <f>'3 escalar'!I302</f>
        <v/>
      </c>
      <c r="K299" s="7">
        <f>'3 escalar'!J302</f>
        <v/>
      </c>
      <c r="L299" s="7">
        <f>'3 escalar'!K302</f>
        <v/>
      </c>
      <c r="M299" s="7">
        <f>'3 escalar'!L302</f>
        <v/>
      </c>
      <c r="N299" s="7">
        <f>'3 escalar'!M302</f>
        <v/>
      </c>
      <c r="O299" s="7">
        <f>'3 escalar'!N302</f>
        <v/>
      </c>
      <c r="P299" s="7">
        <f>'3 escalar'!O302</f>
        <v/>
      </c>
      <c r="Q299" s="7">
        <f>'3 escalar'!P302</f>
        <v/>
      </c>
      <c r="R299" s="7">
        <f>'3 escalar'!Q302</f>
        <v/>
      </c>
      <c r="S299" s="7">
        <f>'3 escalar'!R302</f>
        <v/>
      </c>
      <c r="T299" s="7">
        <f>'3 escalar'!S302</f>
        <v/>
      </c>
      <c r="U299" s="7">
        <f>'3 escalar'!T302</f>
        <v/>
      </c>
      <c r="V299" s="6">
        <f>$AC$12+D299*$AC$13+E299*$AC$14+F299*$AC$15+G299*$AC$16+H299*$AC$17+I299*$AC$18+J299*$AC$19+K299*$AC$20+L299*$AC$21+M299*$AC$22+N299*$AC$23+O299*$AC$24+P299*$AC$25+Q299*$AC$26+R299*$AC$27+S299*$AC$28+T299*$AC$29+U299*$AC$30</f>
        <v/>
      </c>
      <c r="W299" s="6">
        <f>1/(1+EXP(-V299))</f>
        <v/>
      </c>
      <c r="X299" s="8">
        <f>-IF(C299=1,LN(W299),LN(1-W299))</f>
        <v/>
      </c>
      <c r="Y299" s="9">
        <f>IF(W299&gt;$AC$32,1,0)</f>
        <v/>
      </c>
      <c r="Z299">
        <f>IF(Y299=C299,1,0)</f>
        <v/>
      </c>
    </row>
    <row r="300">
      <c r="A300">
        <f>'3 escalar'!A303</f>
        <v/>
      </c>
      <c r="B300" s="5">
        <f>'3 escalar'!U303</f>
        <v/>
      </c>
      <c r="C300">
        <f>'3 escalar'!B303</f>
        <v/>
      </c>
      <c r="D300" s="7">
        <f>'3 escalar'!C303</f>
        <v/>
      </c>
      <c r="E300" s="7">
        <f>'3 escalar'!D303</f>
        <v/>
      </c>
      <c r="F300" s="7">
        <f>'3 escalar'!E303</f>
        <v/>
      </c>
      <c r="G300" s="7">
        <f>'3 escalar'!F303</f>
        <v/>
      </c>
      <c r="H300" s="7">
        <f>'3 escalar'!G303</f>
        <v/>
      </c>
      <c r="I300" s="7">
        <f>'3 escalar'!H303</f>
        <v/>
      </c>
      <c r="J300" s="7">
        <f>'3 escalar'!I303</f>
        <v/>
      </c>
      <c r="K300" s="7">
        <f>'3 escalar'!J303</f>
        <v/>
      </c>
      <c r="L300" s="7">
        <f>'3 escalar'!K303</f>
        <v/>
      </c>
      <c r="M300" s="7">
        <f>'3 escalar'!L303</f>
        <v/>
      </c>
      <c r="N300" s="7">
        <f>'3 escalar'!M303</f>
        <v/>
      </c>
      <c r="O300" s="7">
        <f>'3 escalar'!N303</f>
        <v/>
      </c>
      <c r="P300" s="7">
        <f>'3 escalar'!O303</f>
        <v/>
      </c>
      <c r="Q300" s="7">
        <f>'3 escalar'!P303</f>
        <v/>
      </c>
      <c r="R300" s="7">
        <f>'3 escalar'!Q303</f>
        <v/>
      </c>
      <c r="S300" s="7">
        <f>'3 escalar'!R303</f>
        <v/>
      </c>
      <c r="T300" s="7">
        <f>'3 escalar'!S303</f>
        <v/>
      </c>
      <c r="U300" s="7">
        <f>'3 escalar'!T303</f>
        <v/>
      </c>
      <c r="V300" s="6">
        <f>$AC$12+D300*$AC$13+E300*$AC$14+F300*$AC$15+G300*$AC$16+H300*$AC$17+I300*$AC$18+J300*$AC$19+K300*$AC$20+L300*$AC$21+M300*$AC$22+N300*$AC$23+O300*$AC$24+P300*$AC$25+Q300*$AC$26+R300*$AC$27+S300*$AC$28+T300*$AC$29+U300*$AC$30</f>
        <v/>
      </c>
      <c r="W300" s="6">
        <f>1/(1+EXP(-V300))</f>
        <v/>
      </c>
      <c r="X300" s="8">
        <f>-IF(C300=1,LN(W300),LN(1-W300))</f>
        <v/>
      </c>
      <c r="Y300" s="9">
        <f>IF(W300&gt;$AC$32,1,0)</f>
        <v/>
      </c>
      <c r="Z300">
        <f>IF(Y300=C300,1,0)</f>
        <v/>
      </c>
    </row>
    <row r="301">
      <c r="A301">
        <f>'3 escalar'!A304</f>
        <v/>
      </c>
      <c r="B301" s="5">
        <f>'3 escalar'!U304</f>
        <v/>
      </c>
      <c r="C301">
        <f>'3 escalar'!B304</f>
        <v/>
      </c>
      <c r="D301" s="7">
        <f>'3 escalar'!C304</f>
        <v/>
      </c>
      <c r="E301" s="7">
        <f>'3 escalar'!D304</f>
        <v/>
      </c>
      <c r="F301" s="7">
        <f>'3 escalar'!E304</f>
        <v/>
      </c>
      <c r="G301" s="7">
        <f>'3 escalar'!F304</f>
        <v/>
      </c>
      <c r="H301" s="7">
        <f>'3 escalar'!G304</f>
        <v/>
      </c>
      <c r="I301" s="7">
        <f>'3 escalar'!H304</f>
        <v/>
      </c>
      <c r="J301" s="7">
        <f>'3 escalar'!I304</f>
        <v/>
      </c>
      <c r="K301" s="7">
        <f>'3 escalar'!J304</f>
        <v/>
      </c>
      <c r="L301" s="7">
        <f>'3 escalar'!K304</f>
        <v/>
      </c>
      <c r="M301" s="7">
        <f>'3 escalar'!L304</f>
        <v/>
      </c>
      <c r="N301" s="7">
        <f>'3 escalar'!M304</f>
        <v/>
      </c>
      <c r="O301" s="7">
        <f>'3 escalar'!N304</f>
        <v/>
      </c>
      <c r="P301" s="7">
        <f>'3 escalar'!O304</f>
        <v/>
      </c>
      <c r="Q301" s="7">
        <f>'3 escalar'!P304</f>
        <v/>
      </c>
      <c r="R301" s="7">
        <f>'3 escalar'!Q304</f>
        <v/>
      </c>
      <c r="S301" s="7">
        <f>'3 escalar'!R304</f>
        <v/>
      </c>
      <c r="T301" s="7">
        <f>'3 escalar'!S304</f>
        <v/>
      </c>
      <c r="U301" s="7">
        <f>'3 escalar'!T304</f>
        <v/>
      </c>
      <c r="V301" s="6">
        <f>$AC$12+D301*$AC$13+E301*$AC$14+F301*$AC$15+G301*$AC$16+H301*$AC$17+I301*$AC$18+J301*$AC$19+K301*$AC$20+L301*$AC$21+M301*$AC$22+N301*$AC$23+O301*$AC$24+P301*$AC$25+Q301*$AC$26+R301*$AC$27+S301*$AC$28+T301*$AC$29+U301*$AC$30</f>
        <v/>
      </c>
      <c r="W301" s="6">
        <f>1/(1+EXP(-V301))</f>
        <v/>
      </c>
      <c r="X301" s="8">
        <f>-IF(C301=1,LN(W301),LN(1-W301))</f>
        <v/>
      </c>
      <c r="Y301" s="9">
        <f>IF(W301&gt;$AC$32,1,0)</f>
        <v/>
      </c>
      <c r="Z301">
        <f>IF(Y301=C301,1,0)</f>
        <v/>
      </c>
    </row>
    <row r="302">
      <c r="A302">
        <f>'3 escalar'!A305</f>
        <v/>
      </c>
      <c r="B302" s="5">
        <f>'3 escalar'!U305</f>
        <v/>
      </c>
      <c r="C302">
        <f>'3 escalar'!B305</f>
        <v/>
      </c>
      <c r="D302" s="7">
        <f>'3 escalar'!C305</f>
        <v/>
      </c>
      <c r="E302" s="7">
        <f>'3 escalar'!D305</f>
        <v/>
      </c>
      <c r="F302" s="7">
        <f>'3 escalar'!E305</f>
        <v/>
      </c>
      <c r="G302" s="7">
        <f>'3 escalar'!F305</f>
        <v/>
      </c>
      <c r="H302" s="7">
        <f>'3 escalar'!G305</f>
        <v/>
      </c>
      <c r="I302" s="7">
        <f>'3 escalar'!H305</f>
        <v/>
      </c>
      <c r="J302" s="7">
        <f>'3 escalar'!I305</f>
        <v/>
      </c>
      <c r="K302" s="7">
        <f>'3 escalar'!J305</f>
        <v/>
      </c>
      <c r="L302" s="7">
        <f>'3 escalar'!K305</f>
        <v/>
      </c>
      <c r="M302" s="7">
        <f>'3 escalar'!L305</f>
        <v/>
      </c>
      <c r="N302" s="7">
        <f>'3 escalar'!M305</f>
        <v/>
      </c>
      <c r="O302" s="7">
        <f>'3 escalar'!N305</f>
        <v/>
      </c>
      <c r="P302" s="7">
        <f>'3 escalar'!O305</f>
        <v/>
      </c>
      <c r="Q302" s="7">
        <f>'3 escalar'!P305</f>
        <v/>
      </c>
      <c r="R302" s="7">
        <f>'3 escalar'!Q305</f>
        <v/>
      </c>
      <c r="S302" s="7">
        <f>'3 escalar'!R305</f>
        <v/>
      </c>
      <c r="T302" s="7">
        <f>'3 escalar'!S305</f>
        <v/>
      </c>
      <c r="U302" s="7">
        <f>'3 escalar'!T305</f>
        <v/>
      </c>
      <c r="V302" s="6">
        <f>$AC$12+D302*$AC$13+E302*$AC$14+F302*$AC$15+G302*$AC$16+H302*$AC$17+I302*$AC$18+J302*$AC$19+K302*$AC$20+L302*$AC$21+M302*$AC$22+N302*$AC$23+O302*$AC$24+P302*$AC$25+Q302*$AC$26+R302*$AC$27+S302*$AC$28+T302*$AC$29+U302*$AC$30</f>
        <v/>
      </c>
      <c r="W302" s="6">
        <f>1/(1+EXP(-V302))</f>
        <v/>
      </c>
      <c r="X302" s="8">
        <f>-IF(C302=1,LN(W302),LN(1-W302))</f>
        <v/>
      </c>
      <c r="Y302" s="9">
        <f>IF(W302&gt;$AC$32,1,0)</f>
        <v/>
      </c>
      <c r="Z302">
        <f>IF(Y302=C302,1,0)</f>
        <v/>
      </c>
    </row>
    <row r="303">
      <c r="A303">
        <f>'3 escalar'!A306</f>
        <v/>
      </c>
      <c r="B303" s="5">
        <f>'3 escalar'!U306</f>
        <v/>
      </c>
      <c r="C303">
        <f>'3 escalar'!B306</f>
        <v/>
      </c>
      <c r="D303" s="7">
        <f>'3 escalar'!C306</f>
        <v/>
      </c>
      <c r="E303" s="7">
        <f>'3 escalar'!D306</f>
        <v/>
      </c>
      <c r="F303" s="7">
        <f>'3 escalar'!E306</f>
        <v/>
      </c>
      <c r="G303" s="7">
        <f>'3 escalar'!F306</f>
        <v/>
      </c>
      <c r="H303" s="7">
        <f>'3 escalar'!G306</f>
        <v/>
      </c>
      <c r="I303" s="7">
        <f>'3 escalar'!H306</f>
        <v/>
      </c>
      <c r="J303" s="7">
        <f>'3 escalar'!I306</f>
        <v/>
      </c>
      <c r="K303" s="7">
        <f>'3 escalar'!J306</f>
        <v/>
      </c>
      <c r="L303" s="7">
        <f>'3 escalar'!K306</f>
        <v/>
      </c>
      <c r="M303" s="7">
        <f>'3 escalar'!L306</f>
        <v/>
      </c>
      <c r="N303" s="7">
        <f>'3 escalar'!M306</f>
        <v/>
      </c>
      <c r="O303" s="7">
        <f>'3 escalar'!N306</f>
        <v/>
      </c>
      <c r="P303" s="7">
        <f>'3 escalar'!O306</f>
        <v/>
      </c>
      <c r="Q303" s="7">
        <f>'3 escalar'!P306</f>
        <v/>
      </c>
      <c r="R303" s="7">
        <f>'3 escalar'!Q306</f>
        <v/>
      </c>
      <c r="S303" s="7">
        <f>'3 escalar'!R306</f>
        <v/>
      </c>
      <c r="T303" s="7">
        <f>'3 escalar'!S306</f>
        <v/>
      </c>
      <c r="U303" s="7">
        <f>'3 escalar'!T306</f>
        <v/>
      </c>
      <c r="V303" s="6">
        <f>$AC$12+D303*$AC$13+E303*$AC$14+F303*$AC$15+G303*$AC$16+H303*$AC$17+I303*$AC$18+J303*$AC$19+K303*$AC$20+L303*$AC$21+M303*$AC$22+N303*$AC$23+O303*$AC$24+P303*$AC$25+Q303*$AC$26+R303*$AC$27+S303*$AC$28+T303*$AC$29+U303*$AC$30</f>
        <v/>
      </c>
      <c r="W303" s="6">
        <f>1/(1+EXP(-V303))</f>
        <v/>
      </c>
      <c r="X303" s="8">
        <f>-IF(C303=1,LN(W303),LN(1-W303))</f>
        <v/>
      </c>
      <c r="Y303" s="9">
        <f>IF(W303&gt;$AC$32,1,0)</f>
        <v/>
      </c>
      <c r="Z303">
        <f>IF(Y303=C303,1,0)</f>
        <v/>
      </c>
    </row>
    <row r="304">
      <c r="A304">
        <f>'3 escalar'!A307</f>
        <v/>
      </c>
      <c r="B304" s="5">
        <f>'3 escalar'!U307</f>
        <v/>
      </c>
      <c r="C304">
        <f>'3 escalar'!B307</f>
        <v/>
      </c>
      <c r="D304" s="7">
        <f>'3 escalar'!C307</f>
        <v/>
      </c>
      <c r="E304" s="7">
        <f>'3 escalar'!D307</f>
        <v/>
      </c>
      <c r="F304" s="7">
        <f>'3 escalar'!E307</f>
        <v/>
      </c>
      <c r="G304" s="7">
        <f>'3 escalar'!F307</f>
        <v/>
      </c>
      <c r="H304" s="7">
        <f>'3 escalar'!G307</f>
        <v/>
      </c>
      <c r="I304" s="7">
        <f>'3 escalar'!H307</f>
        <v/>
      </c>
      <c r="J304" s="7">
        <f>'3 escalar'!I307</f>
        <v/>
      </c>
      <c r="K304" s="7">
        <f>'3 escalar'!J307</f>
        <v/>
      </c>
      <c r="L304" s="7">
        <f>'3 escalar'!K307</f>
        <v/>
      </c>
      <c r="M304" s="7">
        <f>'3 escalar'!L307</f>
        <v/>
      </c>
      <c r="N304" s="7">
        <f>'3 escalar'!M307</f>
        <v/>
      </c>
      <c r="O304" s="7">
        <f>'3 escalar'!N307</f>
        <v/>
      </c>
      <c r="P304" s="7">
        <f>'3 escalar'!O307</f>
        <v/>
      </c>
      <c r="Q304" s="7">
        <f>'3 escalar'!P307</f>
        <v/>
      </c>
      <c r="R304" s="7">
        <f>'3 escalar'!Q307</f>
        <v/>
      </c>
      <c r="S304" s="7">
        <f>'3 escalar'!R307</f>
        <v/>
      </c>
      <c r="T304" s="7">
        <f>'3 escalar'!S307</f>
        <v/>
      </c>
      <c r="U304" s="7">
        <f>'3 escalar'!T307</f>
        <v/>
      </c>
      <c r="V304" s="6">
        <f>$AC$12+D304*$AC$13+E304*$AC$14+F304*$AC$15+G304*$AC$16+H304*$AC$17+I304*$AC$18+J304*$AC$19+K304*$AC$20+L304*$AC$21+M304*$AC$22+N304*$AC$23+O304*$AC$24+P304*$AC$25+Q304*$AC$26+R304*$AC$27+S304*$AC$28+T304*$AC$29+U304*$AC$30</f>
        <v/>
      </c>
      <c r="W304" s="6">
        <f>1/(1+EXP(-V304))</f>
        <v/>
      </c>
      <c r="X304" s="8">
        <f>-IF(C304=1,LN(W304),LN(1-W304))</f>
        <v/>
      </c>
      <c r="Y304" s="9">
        <f>IF(W304&gt;$AC$32,1,0)</f>
        <v/>
      </c>
      <c r="Z304">
        <f>IF(Y304=C304,1,0)</f>
        <v/>
      </c>
    </row>
    <row r="305">
      <c r="A305">
        <f>'3 escalar'!A308</f>
        <v/>
      </c>
      <c r="B305" s="5">
        <f>'3 escalar'!U308</f>
        <v/>
      </c>
      <c r="C305">
        <f>'3 escalar'!B308</f>
        <v/>
      </c>
      <c r="D305" s="7">
        <f>'3 escalar'!C308</f>
        <v/>
      </c>
      <c r="E305" s="7">
        <f>'3 escalar'!D308</f>
        <v/>
      </c>
      <c r="F305" s="7">
        <f>'3 escalar'!E308</f>
        <v/>
      </c>
      <c r="G305" s="7">
        <f>'3 escalar'!F308</f>
        <v/>
      </c>
      <c r="H305" s="7">
        <f>'3 escalar'!G308</f>
        <v/>
      </c>
      <c r="I305" s="7">
        <f>'3 escalar'!H308</f>
        <v/>
      </c>
      <c r="J305" s="7">
        <f>'3 escalar'!I308</f>
        <v/>
      </c>
      <c r="K305" s="7">
        <f>'3 escalar'!J308</f>
        <v/>
      </c>
      <c r="L305" s="7">
        <f>'3 escalar'!K308</f>
        <v/>
      </c>
      <c r="M305" s="7">
        <f>'3 escalar'!L308</f>
        <v/>
      </c>
      <c r="N305" s="7">
        <f>'3 escalar'!M308</f>
        <v/>
      </c>
      <c r="O305" s="7">
        <f>'3 escalar'!N308</f>
        <v/>
      </c>
      <c r="P305" s="7">
        <f>'3 escalar'!O308</f>
        <v/>
      </c>
      <c r="Q305" s="7">
        <f>'3 escalar'!P308</f>
        <v/>
      </c>
      <c r="R305" s="7">
        <f>'3 escalar'!Q308</f>
        <v/>
      </c>
      <c r="S305" s="7">
        <f>'3 escalar'!R308</f>
        <v/>
      </c>
      <c r="T305" s="7">
        <f>'3 escalar'!S308</f>
        <v/>
      </c>
      <c r="U305" s="7">
        <f>'3 escalar'!T308</f>
        <v/>
      </c>
      <c r="V305" s="6">
        <f>$AC$12+D305*$AC$13+E305*$AC$14+F305*$AC$15+G305*$AC$16+H305*$AC$17+I305*$AC$18+J305*$AC$19+K305*$AC$20+L305*$AC$21+M305*$AC$22+N305*$AC$23+O305*$AC$24+P305*$AC$25+Q305*$AC$26+R305*$AC$27+S305*$AC$28+T305*$AC$29+U305*$AC$30</f>
        <v/>
      </c>
      <c r="W305" s="6">
        <f>1/(1+EXP(-V305))</f>
        <v/>
      </c>
      <c r="X305" s="8">
        <f>-IF(C305=1,LN(W305),LN(1-W305))</f>
        <v/>
      </c>
      <c r="Y305" s="9">
        <f>IF(W305&gt;$AC$32,1,0)</f>
        <v/>
      </c>
      <c r="Z305">
        <f>IF(Y305=C305,1,0)</f>
        <v/>
      </c>
    </row>
    <row r="306">
      <c r="A306">
        <f>'3 escalar'!A309</f>
        <v/>
      </c>
      <c r="B306" s="5">
        <f>'3 escalar'!U309</f>
        <v/>
      </c>
      <c r="C306">
        <f>'3 escalar'!B309</f>
        <v/>
      </c>
      <c r="D306" s="7">
        <f>'3 escalar'!C309</f>
        <v/>
      </c>
      <c r="E306" s="7">
        <f>'3 escalar'!D309</f>
        <v/>
      </c>
      <c r="F306" s="7">
        <f>'3 escalar'!E309</f>
        <v/>
      </c>
      <c r="G306" s="7">
        <f>'3 escalar'!F309</f>
        <v/>
      </c>
      <c r="H306" s="7">
        <f>'3 escalar'!G309</f>
        <v/>
      </c>
      <c r="I306" s="7">
        <f>'3 escalar'!H309</f>
        <v/>
      </c>
      <c r="J306" s="7">
        <f>'3 escalar'!I309</f>
        <v/>
      </c>
      <c r="K306" s="7">
        <f>'3 escalar'!J309</f>
        <v/>
      </c>
      <c r="L306" s="7">
        <f>'3 escalar'!K309</f>
        <v/>
      </c>
      <c r="M306" s="7">
        <f>'3 escalar'!L309</f>
        <v/>
      </c>
      <c r="N306" s="7">
        <f>'3 escalar'!M309</f>
        <v/>
      </c>
      <c r="O306" s="7">
        <f>'3 escalar'!N309</f>
        <v/>
      </c>
      <c r="P306" s="7">
        <f>'3 escalar'!O309</f>
        <v/>
      </c>
      <c r="Q306" s="7">
        <f>'3 escalar'!P309</f>
        <v/>
      </c>
      <c r="R306" s="7">
        <f>'3 escalar'!Q309</f>
        <v/>
      </c>
      <c r="S306" s="7">
        <f>'3 escalar'!R309</f>
        <v/>
      </c>
      <c r="T306" s="7">
        <f>'3 escalar'!S309</f>
        <v/>
      </c>
      <c r="U306" s="7">
        <f>'3 escalar'!T309</f>
        <v/>
      </c>
      <c r="V306" s="6">
        <f>$AC$12+D306*$AC$13+E306*$AC$14+F306*$AC$15+G306*$AC$16+H306*$AC$17+I306*$AC$18+J306*$AC$19+K306*$AC$20+L306*$AC$21+M306*$AC$22+N306*$AC$23+O306*$AC$24+P306*$AC$25+Q306*$AC$26+R306*$AC$27+S306*$AC$28+T306*$AC$29+U306*$AC$30</f>
        <v/>
      </c>
      <c r="W306" s="6">
        <f>1/(1+EXP(-V306))</f>
        <v/>
      </c>
      <c r="X306" s="8">
        <f>-IF(C306=1,LN(W306),LN(1-W306))</f>
        <v/>
      </c>
      <c r="Y306" s="9">
        <f>IF(W306&gt;$AC$32,1,0)</f>
        <v/>
      </c>
      <c r="Z306">
        <f>IF(Y306=C306,1,0)</f>
        <v/>
      </c>
    </row>
    <row r="307">
      <c r="A307">
        <f>'3 escalar'!A310</f>
        <v/>
      </c>
      <c r="B307" s="5">
        <f>'3 escalar'!U310</f>
        <v/>
      </c>
      <c r="C307">
        <f>'3 escalar'!B310</f>
        <v/>
      </c>
      <c r="D307" s="7">
        <f>'3 escalar'!C310</f>
        <v/>
      </c>
      <c r="E307" s="7">
        <f>'3 escalar'!D310</f>
        <v/>
      </c>
      <c r="F307" s="7">
        <f>'3 escalar'!E310</f>
        <v/>
      </c>
      <c r="G307" s="7">
        <f>'3 escalar'!F310</f>
        <v/>
      </c>
      <c r="H307" s="7">
        <f>'3 escalar'!G310</f>
        <v/>
      </c>
      <c r="I307" s="7">
        <f>'3 escalar'!H310</f>
        <v/>
      </c>
      <c r="J307" s="7">
        <f>'3 escalar'!I310</f>
        <v/>
      </c>
      <c r="K307" s="7">
        <f>'3 escalar'!J310</f>
        <v/>
      </c>
      <c r="L307" s="7">
        <f>'3 escalar'!K310</f>
        <v/>
      </c>
      <c r="M307" s="7">
        <f>'3 escalar'!L310</f>
        <v/>
      </c>
      <c r="N307" s="7">
        <f>'3 escalar'!M310</f>
        <v/>
      </c>
      <c r="O307" s="7">
        <f>'3 escalar'!N310</f>
        <v/>
      </c>
      <c r="P307" s="7">
        <f>'3 escalar'!O310</f>
        <v/>
      </c>
      <c r="Q307" s="7">
        <f>'3 escalar'!P310</f>
        <v/>
      </c>
      <c r="R307" s="7">
        <f>'3 escalar'!Q310</f>
        <v/>
      </c>
      <c r="S307" s="7">
        <f>'3 escalar'!R310</f>
        <v/>
      </c>
      <c r="T307" s="7">
        <f>'3 escalar'!S310</f>
        <v/>
      </c>
      <c r="U307" s="7">
        <f>'3 escalar'!T310</f>
        <v/>
      </c>
      <c r="V307" s="6">
        <f>$AC$12+D307*$AC$13+E307*$AC$14+F307*$AC$15+G307*$AC$16+H307*$AC$17+I307*$AC$18+J307*$AC$19+K307*$AC$20+L307*$AC$21+M307*$AC$22+N307*$AC$23+O307*$AC$24+P307*$AC$25+Q307*$AC$26+R307*$AC$27+S307*$AC$28+T307*$AC$29+U307*$AC$30</f>
        <v/>
      </c>
      <c r="W307" s="6">
        <f>1/(1+EXP(-V307))</f>
        <v/>
      </c>
      <c r="X307" s="8">
        <f>-IF(C307=1,LN(W307),LN(1-W307))</f>
        <v/>
      </c>
      <c r="Y307" s="9">
        <f>IF(W307&gt;$AC$32,1,0)</f>
        <v/>
      </c>
      <c r="Z307">
        <f>IF(Y307=C307,1,0)</f>
        <v/>
      </c>
    </row>
    <row r="308">
      <c r="A308">
        <f>'3 escalar'!A311</f>
        <v/>
      </c>
      <c r="B308" s="5">
        <f>'3 escalar'!U311</f>
        <v/>
      </c>
      <c r="C308">
        <f>'3 escalar'!B311</f>
        <v/>
      </c>
      <c r="D308" s="7">
        <f>'3 escalar'!C311</f>
        <v/>
      </c>
      <c r="E308" s="7">
        <f>'3 escalar'!D311</f>
        <v/>
      </c>
      <c r="F308" s="7">
        <f>'3 escalar'!E311</f>
        <v/>
      </c>
      <c r="G308" s="7">
        <f>'3 escalar'!F311</f>
        <v/>
      </c>
      <c r="H308" s="7">
        <f>'3 escalar'!G311</f>
        <v/>
      </c>
      <c r="I308" s="7">
        <f>'3 escalar'!H311</f>
        <v/>
      </c>
      <c r="J308" s="7">
        <f>'3 escalar'!I311</f>
        <v/>
      </c>
      <c r="K308" s="7">
        <f>'3 escalar'!J311</f>
        <v/>
      </c>
      <c r="L308" s="7">
        <f>'3 escalar'!K311</f>
        <v/>
      </c>
      <c r="M308" s="7">
        <f>'3 escalar'!L311</f>
        <v/>
      </c>
      <c r="N308" s="7">
        <f>'3 escalar'!M311</f>
        <v/>
      </c>
      <c r="O308" s="7">
        <f>'3 escalar'!N311</f>
        <v/>
      </c>
      <c r="P308" s="7">
        <f>'3 escalar'!O311</f>
        <v/>
      </c>
      <c r="Q308" s="7">
        <f>'3 escalar'!P311</f>
        <v/>
      </c>
      <c r="R308" s="7">
        <f>'3 escalar'!Q311</f>
        <v/>
      </c>
      <c r="S308" s="7">
        <f>'3 escalar'!R311</f>
        <v/>
      </c>
      <c r="T308" s="7">
        <f>'3 escalar'!S311</f>
        <v/>
      </c>
      <c r="U308" s="7">
        <f>'3 escalar'!T311</f>
        <v/>
      </c>
      <c r="V308" s="6">
        <f>$AC$12+D308*$AC$13+E308*$AC$14+F308*$AC$15+G308*$AC$16+H308*$AC$17+I308*$AC$18+J308*$AC$19+K308*$AC$20+L308*$AC$21+M308*$AC$22+N308*$AC$23+O308*$AC$24+P308*$AC$25+Q308*$AC$26+R308*$AC$27+S308*$AC$28+T308*$AC$29+U308*$AC$30</f>
        <v/>
      </c>
      <c r="W308" s="6">
        <f>1/(1+EXP(-V308))</f>
        <v/>
      </c>
      <c r="X308" s="8">
        <f>-IF(C308=1,LN(W308),LN(1-W308))</f>
        <v/>
      </c>
      <c r="Y308" s="9">
        <f>IF(W308&gt;$AC$32,1,0)</f>
        <v/>
      </c>
      <c r="Z308">
        <f>IF(Y308=C308,1,0)</f>
        <v/>
      </c>
    </row>
    <row r="309">
      <c r="A309">
        <f>'3 escalar'!A312</f>
        <v/>
      </c>
      <c r="B309" s="5">
        <f>'3 escalar'!U312</f>
        <v/>
      </c>
      <c r="C309">
        <f>'3 escalar'!B312</f>
        <v/>
      </c>
      <c r="D309" s="7">
        <f>'3 escalar'!C312</f>
        <v/>
      </c>
      <c r="E309" s="7">
        <f>'3 escalar'!D312</f>
        <v/>
      </c>
      <c r="F309" s="7">
        <f>'3 escalar'!E312</f>
        <v/>
      </c>
      <c r="G309" s="7">
        <f>'3 escalar'!F312</f>
        <v/>
      </c>
      <c r="H309" s="7">
        <f>'3 escalar'!G312</f>
        <v/>
      </c>
      <c r="I309" s="7">
        <f>'3 escalar'!H312</f>
        <v/>
      </c>
      <c r="J309" s="7">
        <f>'3 escalar'!I312</f>
        <v/>
      </c>
      <c r="K309" s="7">
        <f>'3 escalar'!J312</f>
        <v/>
      </c>
      <c r="L309" s="7">
        <f>'3 escalar'!K312</f>
        <v/>
      </c>
      <c r="M309" s="7">
        <f>'3 escalar'!L312</f>
        <v/>
      </c>
      <c r="N309" s="7">
        <f>'3 escalar'!M312</f>
        <v/>
      </c>
      <c r="O309" s="7">
        <f>'3 escalar'!N312</f>
        <v/>
      </c>
      <c r="P309" s="7">
        <f>'3 escalar'!O312</f>
        <v/>
      </c>
      <c r="Q309" s="7">
        <f>'3 escalar'!P312</f>
        <v/>
      </c>
      <c r="R309" s="7">
        <f>'3 escalar'!Q312</f>
        <v/>
      </c>
      <c r="S309" s="7">
        <f>'3 escalar'!R312</f>
        <v/>
      </c>
      <c r="T309" s="7">
        <f>'3 escalar'!S312</f>
        <v/>
      </c>
      <c r="U309" s="7">
        <f>'3 escalar'!T312</f>
        <v/>
      </c>
      <c r="V309" s="6">
        <f>$AC$12+D309*$AC$13+E309*$AC$14+F309*$AC$15+G309*$AC$16+H309*$AC$17+I309*$AC$18+J309*$AC$19+K309*$AC$20+L309*$AC$21+M309*$AC$22+N309*$AC$23+O309*$AC$24+P309*$AC$25+Q309*$AC$26+R309*$AC$27+S309*$AC$28+T309*$AC$29+U309*$AC$30</f>
        <v/>
      </c>
      <c r="W309" s="6">
        <f>1/(1+EXP(-V309))</f>
        <v/>
      </c>
      <c r="X309" s="8">
        <f>-IF(C309=1,LN(W309),LN(1-W309))</f>
        <v/>
      </c>
      <c r="Y309" s="9">
        <f>IF(W309&gt;$AC$32,1,0)</f>
        <v/>
      </c>
      <c r="Z309">
        <f>IF(Y309=C309,1,0)</f>
        <v/>
      </c>
    </row>
    <row r="310">
      <c r="A310">
        <f>'3 escalar'!A313</f>
        <v/>
      </c>
      <c r="B310" s="5">
        <f>'3 escalar'!U313</f>
        <v/>
      </c>
      <c r="C310">
        <f>'3 escalar'!B313</f>
        <v/>
      </c>
      <c r="D310" s="7">
        <f>'3 escalar'!C313</f>
        <v/>
      </c>
      <c r="E310" s="7">
        <f>'3 escalar'!D313</f>
        <v/>
      </c>
      <c r="F310" s="7">
        <f>'3 escalar'!E313</f>
        <v/>
      </c>
      <c r="G310" s="7">
        <f>'3 escalar'!F313</f>
        <v/>
      </c>
      <c r="H310" s="7">
        <f>'3 escalar'!G313</f>
        <v/>
      </c>
      <c r="I310" s="7">
        <f>'3 escalar'!H313</f>
        <v/>
      </c>
      <c r="J310" s="7">
        <f>'3 escalar'!I313</f>
        <v/>
      </c>
      <c r="K310" s="7">
        <f>'3 escalar'!J313</f>
        <v/>
      </c>
      <c r="L310" s="7">
        <f>'3 escalar'!K313</f>
        <v/>
      </c>
      <c r="M310" s="7">
        <f>'3 escalar'!L313</f>
        <v/>
      </c>
      <c r="N310" s="7">
        <f>'3 escalar'!M313</f>
        <v/>
      </c>
      <c r="O310" s="7">
        <f>'3 escalar'!N313</f>
        <v/>
      </c>
      <c r="P310" s="7">
        <f>'3 escalar'!O313</f>
        <v/>
      </c>
      <c r="Q310" s="7">
        <f>'3 escalar'!P313</f>
        <v/>
      </c>
      <c r="R310" s="7">
        <f>'3 escalar'!Q313</f>
        <v/>
      </c>
      <c r="S310" s="7">
        <f>'3 escalar'!R313</f>
        <v/>
      </c>
      <c r="T310" s="7">
        <f>'3 escalar'!S313</f>
        <v/>
      </c>
      <c r="U310" s="7">
        <f>'3 escalar'!T313</f>
        <v/>
      </c>
      <c r="V310" s="6">
        <f>$AC$12+D310*$AC$13+E310*$AC$14+F310*$AC$15+G310*$AC$16+H310*$AC$17+I310*$AC$18+J310*$AC$19+K310*$AC$20+L310*$AC$21+M310*$AC$22+N310*$AC$23+O310*$AC$24+P310*$AC$25+Q310*$AC$26+R310*$AC$27+S310*$AC$28+T310*$AC$29+U310*$AC$30</f>
        <v/>
      </c>
      <c r="W310" s="6">
        <f>1/(1+EXP(-V310))</f>
        <v/>
      </c>
      <c r="X310" s="8">
        <f>-IF(C310=1,LN(W310),LN(1-W310))</f>
        <v/>
      </c>
      <c r="Y310" s="9">
        <f>IF(W310&gt;$AC$32,1,0)</f>
        <v/>
      </c>
      <c r="Z310">
        <f>IF(Y310=C310,1,0)</f>
        <v/>
      </c>
    </row>
    <row r="311">
      <c r="A311">
        <f>'3 escalar'!A314</f>
        <v/>
      </c>
      <c r="B311" s="5">
        <f>'3 escalar'!U314</f>
        <v/>
      </c>
      <c r="C311">
        <f>'3 escalar'!B314</f>
        <v/>
      </c>
      <c r="D311" s="7">
        <f>'3 escalar'!C314</f>
        <v/>
      </c>
      <c r="E311" s="7">
        <f>'3 escalar'!D314</f>
        <v/>
      </c>
      <c r="F311" s="7">
        <f>'3 escalar'!E314</f>
        <v/>
      </c>
      <c r="G311" s="7">
        <f>'3 escalar'!F314</f>
        <v/>
      </c>
      <c r="H311" s="7">
        <f>'3 escalar'!G314</f>
        <v/>
      </c>
      <c r="I311" s="7">
        <f>'3 escalar'!H314</f>
        <v/>
      </c>
      <c r="J311" s="7">
        <f>'3 escalar'!I314</f>
        <v/>
      </c>
      <c r="K311" s="7">
        <f>'3 escalar'!J314</f>
        <v/>
      </c>
      <c r="L311" s="7">
        <f>'3 escalar'!K314</f>
        <v/>
      </c>
      <c r="M311" s="7">
        <f>'3 escalar'!L314</f>
        <v/>
      </c>
      <c r="N311" s="7">
        <f>'3 escalar'!M314</f>
        <v/>
      </c>
      <c r="O311" s="7">
        <f>'3 escalar'!N314</f>
        <v/>
      </c>
      <c r="P311" s="7">
        <f>'3 escalar'!O314</f>
        <v/>
      </c>
      <c r="Q311" s="7">
        <f>'3 escalar'!P314</f>
        <v/>
      </c>
      <c r="R311" s="7">
        <f>'3 escalar'!Q314</f>
        <v/>
      </c>
      <c r="S311" s="7">
        <f>'3 escalar'!R314</f>
        <v/>
      </c>
      <c r="T311" s="7">
        <f>'3 escalar'!S314</f>
        <v/>
      </c>
      <c r="U311" s="7">
        <f>'3 escalar'!T314</f>
        <v/>
      </c>
      <c r="V311" s="6">
        <f>$AC$12+D311*$AC$13+E311*$AC$14+F311*$AC$15+G311*$AC$16+H311*$AC$17+I311*$AC$18+J311*$AC$19+K311*$AC$20+L311*$AC$21+M311*$AC$22+N311*$AC$23+O311*$AC$24+P311*$AC$25+Q311*$AC$26+R311*$AC$27+S311*$AC$28+T311*$AC$29+U311*$AC$30</f>
        <v/>
      </c>
      <c r="W311" s="6">
        <f>1/(1+EXP(-V311))</f>
        <v/>
      </c>
      <c r="X311" s="8">
        <f>-IF(C311=1,LN(W311),LN(1-W311))</f>
        <v/>
      </c>
      <c r="Y311" s="9">
        <f>IF(W311&gt;$AC$32,1,0)</f>
        <v/>
      </c>
      <c r="Z311">
        <f>IF(Y311=C311,1,0)</f>
        <v/>
      </c>
    </row>
    <row r="312">
      <c r="A312">
        <f>'3 escalar'!A315</f>
        <v/>
      </c>
      <c r="B312" s="5">
        <f>'3 escalar'!U315</f>
        <v/>
      </c>
      <c r="C312">
        <f>'3 escalar'!B315</f>
        <v/>
      </c>
      <c r="D312" s="7">
        <f>'3 escalar'!C315</f>
        <v/>
      </c>
      <c r="E312" s="7">
        <f>'3 escalar'!D315</f>
        <v/>
      </c>
      <c r="F312" s="7">
        <f>'3 escalar'!E315</f>
        <v/>
      </c>
      <c r="G312" s="7">
        <f>'3 escalar'!F315</f>
        <v/>
      </c>
      <c r="H312" s="7">
        <f>'3 escalar'!G315</f>
        <v/>
      </c>
      <c r="I312" s="7">
        <f>'3 escalar'!H315</f>
        <v/>
      </c>
      <c r="J312" s="7">
        <f>'3 escalar'!I315</f>
        <v/>
      </c>
      <c r="K312" s="7">
        <f>'3 escalar'!J315</f>
        <v/>
      </c>
      <c r="L312" s="7">
        <f>'3 escalar'!K315</f>
        <v/>
      </c>
      <c r="M312" s="7">
        <f>'3 escalar'!L315</f>
        <v/>
      </c>
      <c r="N312" s="7">
        <f>'3 escalar'!M315</f>
        <v/>
      </c>
      <c r="O312" s="7">
        <f>'3 escalar'!N315</f>
        <v/>
      </c>
      <c r="P312" s="7">
        <f>'3 escalar'!O315</f>
        <v/>
      </c>
      <c r="Q312" s="7">
        <f>'3 escalar'!P315</f>
        <v/>
      </c>
      <c r="R312" s="7">
        <f>'3 escalar'!Q315</f>
        <v/>
      </c>
      <c r="S312" s="7">
        <f>'3 escalar'!R315</f>
        <v/>
      </c>
      <c r="T312" s="7">
        <f>'3 escalar'!S315</f>
        <v/>
      </c>
      <c r="U312" s="7">
        <f>'3 escalar'!T315</f>
        <v/>
      </c>
      <c r="V312" s="6">
        <f>$AC$12+D312*$AC$13+E312*$AC$14+F312*$AC$15+G312*$AC$16+H312*$AC$17+I312*$AC$18+J312*$AC$19+K312*$AC$20+L312*$AC$21+M312*$AC$22+N312*$AC$23+O312*$AC$24+P312*$AC$25+Q312*$AC$26+R312*$AC$27+S312*$AC$28+T312*$AC$29+U312*$AC$30</f>
        <v/>
      </c>
      <c r="W312" s="6">
        <f>1/(1+EXP(-V312))</f>
        <v/>
      </c>
      <c r="X312" s="8">
        <f>-IF(C312=1,LN(W312),LN(1-W312))</f>
        <v/>
      </c>
      <c r="Y312" s="9">
        <f>IF(W312&gt;$AC$32,1,0)</f>
        <v/>
      </c>
      <c r="Z312">
        <f>IF(Y312=C312,1,0)</f>
        <v/>
      </c>
    </row>
    <row r="313">
      <c r="A313">
        <f>'3 escalar'!A316</f>
        <v/>
      </c>
      <c r="B313" s="5">
        <f>'3 escalar'!U316</f>
        <v/>
      </c>
      <c r="C313">
        <f>'3 escalar'!B316</f>
        <v/>
      </c>
      <c r="D313" s="7">
        <f>'3 escalar'!C316</f>
        <v/>
      </c>
      <c r="E313" s="7">
        <f>'3 escalar'!D316</f>
        <v/>
      </c>
      <c r="F313" s="7">
        <f>'3 escalar'!E316</f>
        <v/>
      </c>
      <c r="G313" s="7">
        <f>'3 escalar'!F316</f>
        <v/>
      </c>
      <c r="H313" s="7">
        <f>'3 escalar'!G316</f>
        <v/>
      </c>
      <c r="I313" s="7">
        <f>'3 escalar'!H316</f>
        <v/>
      </c>
      <c r="J313" s="7">
        <f>'3 escalar'!I316</f>
        <v/>
      </c>
      <c r="K313" s="7">
        <f>'3 escalar'!J316</f>
        <v/>
      </c>
      <c r="L313" s="7">
        <f>'3 escalar'!K316</f>
        <v/>
      </c>
      <c r="M313" s="7">
        <f>'3 escalar'!L316</f>
        <v/>
      </c>
      <c r="N313" s="7">
        <f>'3 escalar'!M316</f>
        <v/>
      </c>
      <c r="O313" s="7">
        <f>'3 escalar'!N316</f>
        <v/>
      </c>
      <c r="P313" s="7">
        <f>'3 escalar'!O316</f>
        <v/>
      </c>
      <c r="Q313" s="7">
        <f>'3 escalar'!P316</f>
        <v/>
      </c>
      <c r="R313" s="7">
        <f>'3 escalar'!Q316</f>
        <v/>
      </c>
      <c r="S313" s="7">
        <f>'3 escalar'!R316</f>
        <v/>
      </c>
      <c r="T313" s="7">
        <f>'3 escalar'!S316</f>
        <v/>
      </c>
      <c r="U313" s="7">
        <f>'3 escalar'!T316</f>
        <v/>
      </c>
      <c r="V313" s="6">
        <f>$AC$12+D313*$AC$13+E313*$AC$14+F313*$AC$15+G313*$AC$16+H313*$AC$17+I313*$AC$18+J313*$AC$19+K313*$AC$20+L313*$AC$21+M313*$AC$22+N313*$AC$23+O313*$AC$24+P313*$AC$25+Q313*$AC$26+R313*$AC$27+S313*$AC$28+T313*$AC$29+U313*$AC$30</f>
        <v/>
      </c>
      <c r="W313" s="6">
        <f>1/(1+EXP(-V313))</f>
        <v/>
      </c>
      <c r="X313" s="8">
        <f>-IF(C313=1,LN(W313),LN(1-W313))</f>
        <v/>
      </c>
      <c r="Y313" s="9">
        <f>IF(W313&gt;$AC$32,1,0)</f>
        <v/>
      </c>
      <c r="Z313">
        <f>IF(Y313=C313,1,0)</f>
        <v/>
      </c>
    </row>
    <row r="314">
      <c r="A314">
        <f>'3 escalar'!A317</f>
        <v/>
      </c>
      <c r="B314" s="5">
        <f>'3 escalar'!U317</f>
        <v/>
      </c>
      <c r="C314">
        <f>'3 escalar'!B317</f>
        <v/>
      </c>
      <c r="D314" s="7">
        <f>'3 escalar'!C317</f>
        <v/>
      </c>
      <c r="E314" s="7">
        <f>'3 escalar'!D317</f>
        <v/>
      </c>
      <c r="F314" s="7">
        <f>'3 escalar'!E317</f>
        <v/>
      </c>
      <c r="G314" s="7">
        <f>'3 escalar'!F317</f>
        <v/>
      </c>
      <c r="H314" s="7">
        <f>'3 escalar'!G317</f>
        <v/>
      </c>
      <c r="I314" s="7">
        <f>'3 escalar'!H317</f>
        <v/>
      </c>
      <c r="J314" s="7">
        <f>'3 escalar'!I317</f>
        <v/>
      </c>
      <c r="K314" s="7">
        <f>'3 escalar'!J317</f>
        <v/>
      </c>
      <c r="L314" s="7">
        <f>'3 escalar'!K317</f>
        <v/>
      </c>
      <c r="M314" s="7">
        <f>'3 escalar'!L317</f>
        <v/>
      </c>
      <c r="N314" s="7">
        <f>'3 escalar'!M317</f>
        <v/>
      </c>
      <c r="O314" s="7">
        <f>'3 escalar'!N317</f>
        <v/>
      </c>
      <c r="P314" s="7">
        <f>'3 escalar'!O317</f>
        <v/>
      </c>
      <c r="Q314" s="7">
        <f>'3 escalar'!P317</f>
        <v/>
      </c>
      <c r="R314" s="7">
        <f>'3 escalar'!Q317</f>
        <v/>
      </c>
      <c r="S314" s="7">
        <f>'3 escalar'!R317</f>
        <v/>
      </c>
      <c r="T314" s="7">
        <f>'3 escalar'!S317</f>
        <v/>
      </c>
      <c r="U314" s="7">
        <f>'3 escalar'!T317</f>
        <v/>
      </c>
      <c r="V314" s="6">
        <f>$AC$12+D314*$AC$13+E314*$AC$14+F314*$AC$15+G314*$AC$16+H314*$AC$17+I314*$AC$18+J314*$AC$19+K314*$AC$20+L314*$AC$21+M314*$AC$22+N314*$AC$23+O314*$AC$24+P314*$AC$25+Q314*$AC$26+R314*$AC$27+S314*$AC$28+T314*$AC$29+U314*$AC$30</f>
        <v/>
      </c>
      <c r="W314" s="6">
        <f>1/(1+EXP(-V314))</f>
        <v/>
      </c>
      <c r="X314" s="8">
        <f>-IF(C314=1,LN(W314),LN(1-W314))</f>
        <v/>
      </c>
      <c r="Y314" s="9">
        <f>IF(W314&gt;$AC$32,1,0)</f>
        <v/>
      </c>
      <c r="Z314">
        <f>IF(Y314=C314,1,0)</f>
        <v/>
      </c>
    </row>
    <row r="315">
      <c r="A315">
        <f>'3 escalar'!A318</f>
        <v/>
      </c>
      <c r="B315" s="5">
        <f>'3 escalar'!U318</f>
        <v/>
      </c>
      <c r="C315">
        <f>'3 escalar'!B318</f>
        <v/>
      </c>
      <c r="D315" s="7">
        <f>'3 escalar'!C318</f>
        <v/>
      </c>
      <c r="E315" s="7">
        <f>'3 escalar'!D318</f>
        <v/>
      </c>
      <c r="F315" s="7">
        <f>'3 escalar'!E318</f>
        <v/>
      </c>
      <c r="G315" s="7">
        <f>'3 escalar'!F318</f>
        <v/>
      </c>
      <c r="H315" s="7">
        <f>'3 escalar'!G318</f>
        <v/>
      </c>
      <c r="I315" s="7">
        <f>'3 escalar'!H318</f>
        <v/>
      </c>
      <c r="J315" s="7">
        <f>'3 escalar'!I318</f>
        <v/>
      </c>
      <c r="K315" s="7">
        <f>'3 escalar'!J318</f>
        <v/>
      </c>
      <c r="L315" s="7">
        <f>'3 escalar'!K318</f>
        <v/>
      </c>
      <c r="M315" s="7">
        <f>'3 escalar'!L318</f>
        <v/>
      </c>
      <c r="N315" s="7">
        <f>'3 escalar'!M318</f>
        <v/>
      </c>
      <c r="O315" s="7">
        <f>'3 escalar'!N318</f>
        <v/>
      </c>
      <c r="P315" s="7">
        <f>'3 escalar'!O318</f>
        <v/>
      </c>
      <c r="Q315" s="7">
        <f>'3 escalar'!P318</f>
        <v/>
      </c>
      <c r="R315" s="7">
        <f>'3 escalar'!Q318</f>
        <v/>
      </c>
      <c r="S315" s="7">
        <f>'3 escalar'!R318</f>
        <v/>
      </c>
      <c r="T315" s="7">
        <f>'3 escalar'!S318</f>
        <v/>
      </c>
      <c r="U315" s="7">
        <f>'3 escalar'!T318</f>
        <v/>
      </c>
      <c r="V315" s="6">
        <f>$AC$12+D315*$AC$13+E315*$AC$14+F315*$AC$15+G315*$AC$16+H315*$AC$17+I315*$AC$18+J315*$AC$19+K315*$AC$20+L315*$AC$21+M315*$AC$22+N315*$AC$23+O315*$AC$24+P315*$AC$25+Q315*$AC$26+R315*$AC$27+S315*$AC$28+T315*$AC$29+U315*$AC$30</f>
        <v/>
      </c>
      <c r="W315" s="6">
        <f>1/(1+EXP(-V315))</f>
        <v/>
      </c>
      <c r="X315" s="8">
        <f>-IF(C315=1,LN(W315),LN(1-W315))</f>
        <v/>
      </c>
      <c r="Y315" s="9">
        <f>IF(W315&gt;$AC$32,1,0)</f>
        <v/>
      </c>
      <c r="Z315">
        <f>IF(Y315=C315,1,0)</f>
        <v/>
      </c>
    </row>
    <row r="316">
      <c r="A316">
        <f>'3 escalar'!A319</f>
        <v/>
      </c>
      <c r="B316" s="5">
        <f>'3 escalar'!U319</f>
        <v/>
      </c>
      <c r="C316">
        <f>'3 escalar'!B319</f>
        <v/>
      </c>
      <c r="D316" s="7">
        <f>'3 escalar'!C319</f>
        <v/>
      </c>
      <c r="E316" s="7">
        <f>'3 escalar'!D319</f>
        <v/>
      </c>
      <c r="F316" s="7">
        <f>'3 escalar'!E319</f>
        <v/>
      </c>
      <c r="G316" s="7">
        <f>'3 escalar'!F319</f>
        <v/>
      </c>
      <c r="H316" s="7">
        <f>'3 escalar'!G319</f>
        <v/>
      </c>
      <c r="I316" s="7">
        <f>'3 escalar'!H319</f>
        <v/>
      </c>
      <c r="J316" s="7">
        <f>'3 escalar'!I319</f>
        <v/>
      </c>
      <c r="K316" s="7">
        <f>'3 escalar'!J319</f>
        <v/>
      </c>
      <c r="L316" s="7">
        <f>'3 escalar'!K319</f>
        <v/>
      </c>
      <c r="M316" s="7">
        <f>'3 escalar'!L319</f>
        <v/>
      </c>
      <c r="N316" s="7">
        <f>'3 escalar'!M319</f>
        <v/>
      </c>
      <c r="O316" s="7">
        <f>'3 escalar'!N319</f>
        <v/>
      </c>
      <c r="P316" s="7">
        <f>'3 escalar'!O319</f>
        <v/>
      </c>
      <c r="Q316" s="7">
        <f>'3 escalar'!P319</f>
        <v/>
      </c>
      <c r="R316" s="7">
        <f>'3 escalar'!Q319</f>
        <v/>
      </c>
      <c r="S316" s="7">
        <f>'3 escalar'!R319</f>
        <v/>
      </c>
      <c r="T316" s="7">
        <f>'3 escalar'!S319</f>
        <v/>
      </c>
      <c r="U316" s="7">
        <f>'3 escalar'!T319</f>
        <v/>
      </c>
      <c r="V316" s="6">
        <f>$AC$12+D316*$AC$13+E316*$AC$14+F316*$AC$15+G316*$AC$16+H316*$AC$17+I316*$AC$18+J316*$AC$19+K316*$AC$20+L316*$AC$21+M316*$AC$22+N316*$AC$23+O316*$AC$24+P316*$AC$25+Q316*$AC$26+R316*$AC$27+S316*$AC$28+T316*$AC$29+U316*$AC$30</f>
        <v/>
      </c>
      <c r="W316" s="6">
        <f>1/(1+EXP(-V316))</f>
        <v/>
      </c>
      <c r="X316" s="8">
        <f>-IF(C316=1,LN(W316),LN(1-W316))</f>
        <v/>
      </c>
      <c r="Y316" s="9">
        <f>IF(W316&gt;$AC$32,1,0)</f>
        <v/>
      </c>
      <c r="Z316">
        <f>IF(Y316=C316,1,0)</f>
        <v/>
      </c>
    </row>
    <row r="317">
      <c r="A317">
        <f>'3 escalar'!A320</f>
        <v/>
      </c>
      <c r="B317" s="5">
        <f>'3 escalar'!U320</f>
        <v/>
      </c>
      <c r="C317">
        <f>'3 escalar'!B320</f>
        <v/>
      </c>
      <c r="D317" s="7">
        <f>'3 escalar'!C320</f>
        <v/>
      </c>
      <c r="E317" s="7">
        <f>'3 escalar'!D320</f>
        <v/>
      </c>
      <c r="F317" s="7">
        <f>'3 escalar'!E320</f>
        <v/>
      </c>
      <c r="G317" s="7">
        <f>'3 escalar'!F320</f>
        <v/>
      </c>
      <c r="H317" s="7">
        <f>'3 escalar'!G320</f>
        <v/>
      </c>
      <c r="I317" s="7">
        <f>'3 escalar'!H320</f>
        <v/>
      </c>
      <c r="J317" s="7">
        <f>'3 escalar'!I320</f>
        <v/>
      </c>
      <c r="K317" s="7">
        <f>'3 escalar'!J320</f>
        <v/>
      </c>
      <c r="L317" s="7">
        <f>'3 escalar'!K320</f>
        <v/>
      </c>
      <c r="M317" s="7">
        <f>'3 escalar'!L320</f>
        <v/>
      </c>
      <c r="N317" s="7">
        <f>'3 escalar'!M320</f>
        <v/>
      </c>
      <c r="O317" s="7">
        <f>'3 escalar'!N320</f>
        <v/>
      </c>
      <c r="P317" s="7">
        <f>'3 escalar'!O320</f>
        <v/>
      </c>
      <c r="Q317" s="7">
        <f>'3 escalar'!P320</f>
        <v/>
      </c>
      <c r="R317" s="7">
        <f>'3 escalar'!Q320</f>
        <v/>
      </c>
      <c r="S317" s="7">
        <f>'3 escalar'!R320</f>
        <v/>
      </c>
      <c r="T317" s="7">
        <f>'3 escalar'!S320</f>
        <v/>
      </c>
      <c r="U317" s="7">
        <f>'3 escalar'!T320</f>
        <v/>
      </c>
      <c r="V317" s="6">
        <f>$AC$12+D317*$AC$13+E317*$AC$14+F317*$AC$15+G317*$AC$16+H317*$AC$17+I317*$AC$18+J317*$AC$19+K317*$AC$20+L317*$AC$21+M317*$AC$22+N317*$AC$23+O317*$AC$24+P317*$AC$25+Q317*$AC$26+R317*$AC$27+S317*$AC$28+T317*$AC$29+U317*$AC$30</f>
        <v/>
      </c>
      <c r="W317" s="6">
        <f>1/(1+EXP(-V317))</f>
        <v/>
      </c>
      <c r="X317" s="8">
        <f>-IF(C317=1,LN(W317),LN(1-W317))</f>
        <v/>
      </c>
      <c r="Y317" s="9">
        <f>IF(W317&gt;$AC$32,1,0)</f>
        <v/>
      </c>
      <c r="Z317">
        <f>IF(Y317=C317,1,0)</f>
        <v/>
      </c>
    </row>
    <row r="318">
      <c r="A318">
        <f>'3 escalar'!A321</f>
        <v/>
      </c>
      <c r="B318" s="5">
        <f>'3 escalar'!U321</f>
        <v/>
      </c>
      <c r="C318">
        <f>'3 escalar'!B321</f>
        <v/>
      </c>
      <c r="D318" s="7">
        <f>'3 escalar'!C321</f>
        <v/>
      </c>
      <c r="E318" s="7">
        <f>'3 escalar'!D321</f>
        <v/>
      </c>
      <c r="F318" s="7">
        <f>'3 escalar'!E321</f>
        <v/>
      </c>
      <c r="G318" s="7">
        <f>'3 escalar'!F321</f>
        <v/>
      </c>
      <c r="H318" s="7">
        <f>'3 escalar'!G321</f>
        <v/>
      </c>
      <c r="I318" s="7">
        <f>'3 escalar'!H321</f>
        <v/>
      </c>
      <c r="J318" s="7">
        <f>'3 escalar'!I321</f>
        <v/>
      </c>
      <c r="K318" s="7">
        <f>'3 escalar'!J321</f>
        <v/>
      </c>
      <c r="L318" s="7">
        <f>'3 escalar'!K321</f>
        <v/>
      </c>
      <c r="M318" s="7">
        <f>'3 escalar'!L321</f>
        <v/>
      </c>
      <c r="N318" s="7">
        <f>'3 escalar'!M321</f>
        <v/>
      </c>
      <c r="O318" s="7">
        <f>'3 escalar'!N321</f>
        <v/>
      </c>
      <c r="P318" s="7">
        <f>'3 escalar'!O321</f>
        <v/>
      </c>
      <c r="Q318" s="7">
        <f>'3 escalar'!P321</f>
        <v/>
      </c>
      <c r="R318" s="7">
        <f>'3 escalar'!Q321</f>
        <v/>
      </c>
      <c r="S318" s="7">
        <f>'3 escalar'!R321</f>
        <v/>
      </c>
      <c r="T318" s="7">
        <f>'3 escalar'!S321</f>
        <v/>
      </c>
      <c r="U318" s="7">
        <f>'3 escalar'!T321</f>
        <v/>
      </c>
      <c r="V318" s="6">
        <f>$AC$12+D318*$AC$13+E318*$AC$14+F318*$AC$15+G318*$AC$16+H318*$AC$17+I318*$AC$18+J318*$AC$19+K318*$AC$20+L318*$AC$21+M318*$AC$22+N318*$AC$23+O318*$AC$24+P318*$AC$25+Q318*$AC$26+R318*$AC$27+S318*$AC$28+T318*$AC$29+U318*$AC$30</f>
        <v/>
      </c>
      <c r="W318" s="6">
        <f>1/(1+EXP(-V318))</f>
        <v/>
      </c>
      <c r="X318" s="8">
        <f>-IF(C318=1,LN(W318),LN(1-W318))</f>
        <v/>
      </c>
      <c r="Y318" s="9">
        <f>IF(W318&gt;$AC$32,1,0)</f>
        <v/>
      </c>
      <c r="Z318">
        <f>IF(Y318=C318,1,0)</f>
        <v/>
      </c>
    </row>
    <row r="319">
      <c r="A319">
        <f>'3 escalar'!A322</f>
        <v/>
      </c>
      <c r="B319" s="5">
        <f>'3 escalar'!U322</f>
        <v/>
      </c>
      <c r="C319">
        <f>'3 escalar'!B322</f>
        <v/>
      </c>
      <c r="D319" s="7">
        <f>'3 escalar'!C322</f>
        <v/>
      </c>
      <c r="E319" s="7">
        <f>'3 escalar'!D322</f>
        <v/>
      </c>
      <c r="F319" s="7">
        <f>'3 escalar'!E322</f>
        <v/>
      </c>
      <c r="G319" s="7">
        <f>'3 escalar'!F322</f>
        <v/>
      </c>
      <c r="H319" s="7">
        <f>'3 escalar'!G322</f>
        <v/>
      </c>
      <c r="I319" s="7">
        <f>'3 escalar'!H322</f>
        <v/>
      </c>
      <c r="J319" s="7">
        <f>'3 escalar'!I322</f>
        <v/>
      </c>
      <c r="K319" s="7">
        <f>'3 escalar'!J322</f>
        <v/>
      </c>
      <c r="L319" s="7">
        <f>'3 escalar'!K322</f>
        <v/>
      </c>
      <c r="M319" s="7">
        <f>'3 escalar'!L322</f>
        <v/>
      </c>
      <c r="N319" s="7">
        <f>'3 escalar'!M322</f>
        <v/>
      </c>
      <c r="O319" s="7">
        <f>'3 escalar'!N322</f>
        <v/>
      </c>
      <c r="P319" s="7">
        <f>'3 escalar'!O322</f>
        <v/>
      </c>
      <c r="Q319" s="7">
        <f>'3 escalar'!P322</f>
        <v/>
      </c>
      <c r="R319" s="7">
        <f>'3 escalar'!Q322</f>
        <v/>
      </c>
      <c r="S319" s="7">
        <f>'3 escalar'!R322</f>
        <v/>
      </c>
      <c r="T319" s="7">
        <f>'3 escalar'!S322</f>
        <v/>
      </c>
      <c r="U319" s="7">
        <f>'3 escalar'!T322</f>
        <v/>
      </c>
      <c r="V319" s="6">
        <f>$AC$12+D319*$AC$13+E319*$AC$14+F319*$AC$15+G319*$AC$16+H319*$AC$17+I319*$AC$18+J319*$AC$19+K319*$AC$20+L319*$AC$21+M319*$AC$22+N319*$AC$23+O319*$AC$24+P319*$AC$25+Q319*$AC$26+R319*$AC$27+S319*$AC$28+T319*$AC$29+U319*$AC$30</f>
        <v/>
      </c>
      <c r="W319" s="6">
        <f>1/(1+EXP(-V319))</f>
        <v/>
      </c>
      <c r="X319" s="8">
        <f>-IF(C319=1,LN(W319),LN(1-W319))</f>
        <v/>
      </c>
      <c r="Y319" s="9">
        <f>IF(W319&gt;$AC$32,1,0)</f>
        <v/>
      </c>
      <c r="Z319">
        <f>IF(Y319=C319,1,0)</f>
        <v/>
      </c>
    </row>
    <row r="320">
      <c r="A320">
        <f>'3 escalar'!A323</f>
        <v/>
      </c>
      <c r="B320" s="5">
        <f>'3 escalar'!U323</f>
        <v/>
      </c>
      <c r="C320">
        <f>'3 escalar'!B323</f>
        <v/>
      </c>
      <c r="D320" s="7">
        <f>'3 escalar'!C323</f>
        <v/>
      </c>
      <c r="E320" s="7">
        <f>'3 escalar'!D323</f>
        <v/>
      </c>
      <c r="F320" s="7">
        <f>'3 escalar'!E323</f>
        <v/>
      </c>
      <c r="G320" s="7">
        <f>'3 escalar'!F323</f>
        <v/>
      </c>
      <c r="H320" s="7">
        <f>'3 escalar'!G323</f>
        <v/>
      </c>
      <c r="I320" s="7">
        <f>'3 escalar'!H323</f>
        <v/>
      </c>
      <c r="J320" s="7">
        <f>'3 escalar'!I323</f>
        <v/>
      </c>
      <c r="K320" s="7">
        <f>'3 escalar'!J323</f>
        <v/>
      </c>
      <c r="L320" s="7">
        <f>'3 escalar'!K323</f>
        <v/>
      </c>
      <c r="M320" s="7">
        <f>'3 escalar'!L323</f>
        <v/>
      </c>
      <c r="N320" s="7">
        <f>'3 escalar'!M323</f>
        <v/>
      </c>
      <c r="O320" s="7">
        <f>'3 escalar'!N323</f>
        <v/>
      </c>
      <c r="P320" s="7">
        <f>'3 escalar'!O323</f>
        <v/>
      </c>
      <c r="Q320" s="7">
        <f>'3 escalar'!P323</f>
        <v/>
      </c>
      <c r="R320" s="7">
        <f>'3 escalar'!Q323</f>
        <v/>
      </c>
      <c r="S320" s="7">
        <f>'3 escalar'!R323</f>
        <v/>
      </c>
      <c r="T320" s="7">
        <f>'3 escalar'!S323</f>
        <v/>
      </c>
      <c r="U320" s="7">
        <f>'3 escalar'!T323</f>
        <v/>
      </c>
      <c r="V320" s="6">
        <f>$AC$12+D320*$AC$13+E320*$AC$14+F320*$AC$15+G320*$AC$16+H320*$AC$17+I320*$AC$18+J320*$AC$19+K320*$AC$20+L320*$AC$21+M320*$AC$22+N320*$AC$23+O320*$AC$24+P320*$AC$25+Q320*$AC$26+R320*$AC$27+S320*$AC$28+T320*$AC$29+U320*$AC$30</f>
        <v/>
      </c>
      <c r="W320" s="6">
        <f>1/(1+EXP(-V320))</f>
        <v/>
      </c>
      <c r="X320" s="8">
        <f>-IF(C320=1,LN(W320),LN(1-W320))</f>
        <v/>
      </c>
      <c r="Y320" s="9">
        <f>IF(W320&gt;$AC$32,1,0)</f>
        <v/>
      </c>
      <c r="Z320">
        <f>IF(Y320=C320,1,0)</f>
        <v/>
      </c>
    </row>
    <row r="321">
      <c r="A321">
        <f>'3 escalar'!A324</f>
        <v/>
      </c>
      <c r="B321" s="5">
        <f>'3 escalar'!U324</f>
        <v/>
      </c>
      <c r="C321">
        <f>'3 escalar'!B324</f>
        <v/>
      </c>
      <c r="D321" s="7">
        <f>'3 escalar'!C324</f>
        <v/>
      </c>
      <c r="E321" s="7">
        <f>'3 escalar'!D324</f>
        <v/>
      </c>
      <c r="F321" s="7">
        <f>'3 escalar'!E324</f>
        <v/>
      </c>
      <c r="G321" s="7">
        <f>'3 escalar'!F324</f>
        <v/>
      </c>
      <c r="H321" s="7">
        <f>'3 escalar'!G324</f>
        <v/>
      </c>
      <c r="I321" s="7">
        <f>'3 escalar'!H324</f>
        <v/>
      </c>
      <c r="J321" s="7">
        <f>'3 escalar'!I324</f>
        <v/>
      </c>
      <c r="K321" s="7">
        <f>'3 escalar'!J324</f>
        <v/>
      </c>
      <c r="L321" s="7">
        <f>'3 escalar'!K324</f>
        <v/>
      </c>
      <c r="M321" s="7">
        <f>'3 escalar'!L324</f>
        <v/>
      </c>
      <c r="N321" s="7">
        <f>'3 escalar'!M324</f>
        <v/>
      </c>
      <c r="O321" s="7">
        <f>'3 escalar'!N324</f>
        <v/>
      </c>
      <c r="P321" s="7">
        <f>'3 escalar'!O324</f>
        <v/>
      </c>
      <c r="Q321" s="7">
        <f>'3 escalar'!P324</f>
        <v/>
      </c>
      <c r="R321" s="7">
        <f>'3 escalar'!Q324</f>
        <v/>
      </c>
      <c r="S321" s="7">
        <f>'3 escalar'!R324</f>
        <v/>
      </c>
      <c r="T321" s="7">
        <f>'3 escalar'!S324</f>
        <v/>
      </c>
      <c r="U321" s="7">
        <f>'3 escalar'!T324</f>
        <v/>
      </c>
      <c r="V321" s="6">
        <f>$AC$12+D321*$AC$13+E321*$AC$14+F321*$AC$15+G321*$AC$16+H321*$AC$17+I321*$AC$18+J321*$AC$19+K321*$AC$20+L321*$AC$21+M321*$AC$22+N321*$AC$23+O321*$AC$24+P321*$AC$25+Q321*$AC$26+R321*$AC$27+S321*$AC$28+T321*$AC$29+U321*$AC$30</f>
        <v/>
      </c>
      <c r="W321" s="6">
        <f>1/(1+EXP(-V321))</f>
        <v/>
      </c>
      <c r="X321" s="8">
        <f>-IF(C321=1,LN(W321),LN(1-W321))</f>
        <v/>
      </c>
      <c r="Y321" s="9">
        <f>IF(W321&gt;$AC$32,1,0)</f>
        <v/>
      </c>
      <c r="Z321">
        <f>IF(Y321=C321,1,0)</f>
        <v/>
      </c>
    </row>
    <row r="322">
      <c r="A322">
        <f>'3 escalar'!A325</f>
        <v/>
      </c>
      <c r="B322" s="5">
        <f>'3 escalar'!U325</f>
        <v/>
      </c>
      <c r="C322">
        <f>'3 escalar'!B325</f>
        <v/>
      </c>
      <c r="D322" s="7">
        <f>'3 escalar'!C325</f>
        <v/>
      </c>
      <c r="E322" s="7">
        <f>'3 escalar'!D325</f>
        <v/>
      </c>
      <c r="F322" s="7">
        <f>'3 escalar'!E325</f>
        <v/>
      </c>
      <c r="G322" s="7">
        <f>'3 escalar'!F325</f>
        <v/>
      </c>
      <c r="H322" s="7">
        <f>'3 escalar'!G325</f>
        <v/>
      </c>
      <c r="I322" s="7">
        <f>'3 escalar'!H325</f>
        <v/>
      </c>
      <c r="J322" s="7">
        <f>'3 escalar'!I325</f>
        <v/>
      </c>
      <c r="K322" s="7">
        <f>'3 escalar'!J325</f>
        <v/>
      </c>
      <c r="L322" s="7">
        <f>'3 escalar'!K325</f>
        <v/>
      </c>
      <c r="M322" s="7">
        <f>'3 escalar'!L325</f>
        <v/>
      </c>
      <c r="N322" s="7">
        <f>'3 escalar'!M325</f>
        <v/>
      </c>
      <c r="O322" s="7">
        <f>'3 escalar'!N325</f>
        <v/>
      </c>
      <c r="P322" s="7">
        <f>'3 escalar'!O325</f>
        <v/>
      </c>
      <c r="Q322" s="7">
        <f>'3 escalar'!P325</f>
        <v/>
      </c>
      <c r="R322" s="7">
        <f>'3 escalar'!Q325</f>
        <v/>
      </c>
      <c r="S322" s="7">
        <f>'3 escalar'!R325</f>
        <v/>
      </c>
      <c r="T322" s="7">
        <f>'3 escalar'!S325</f>
        <v/>
      </c>
      <c r="U322" s="7">
        <f>'3 escalar'!T325</f>
        <v/>
      </c>
      <c r="V322" s="6">
        <f>$AC$12+D322*$AC$13+E322*$AC$14+F322*$AC$15+G322*$AC$16+H322*$AC$17+I322*$AC$18+J322*$AC$19+K322*$AC$20+L322*$AC$21+M322*$AC$22+N322*$AC$23+O322*$AC$24+P322*$AC$25+Q322*$AC$26+R322*$AC$27+S322*$AC$28+T322*$AC$29+U322*$AC$30</f>
        <v/>
      </c>
      <c r="W322" s="6">
        <f>1/(1+EXP(-V322))</f>
        <v/>
      </c>
      <c r="X322" s="8">
        <f>-IF(C322=1,LN(W322),LN(1-W322))</f>
        <v/>
      </c>
      <c r="Y322" s="9">
        <f>IF(W322&gt;$AC$32,1,0)</f>
        <v/>
      </c>
      <c r="Z322">
        <f>IF(Y322=C322,1,0)</f>
        <v/>
      </c>
    </row>
    <row r="323">
      <c r="A323">
        <f>'3 escalar'!A326</f>
        <v/>
      </c>
      <c r="B323" s="5">
        <f>'3 escalar'!U326</f>
        <v/>
      </c>
      <c r="C323">
        <f>'3 escalar'!B326</f>
        <v/>
      </c>
      <c r="D323" s="7">
        <f>'3 escalar'!C326</f>
        <v/>
      </c>
      <c r="E323" s="7">
        <f>'3 escalar'!D326</f>
        <v/>
      </c>
      <c r="F323" s="7">
        <f>'3 escalar'!E326</f>
        <v/>
      </c>
      <c r="G323" s="7">
        <f>'3 escalar'!F326</f>
        <v/>
      </c>
      <c r="H323" s="7">
        <f>'3 escalar'!G326</f>
        <v/>
      </c>
      <c r="I323" s="7">
        <f>'3 escalar'!H326</f>
        <v/>
      </c>
      <c r="J323" s="7">
        <f>'3 escalar'!I326</f>
        <v/>
      </c>
      <c r="K323" s="7">
        <f>'3 escalar'!J326</f>
        <v/>
      </c>
      <c r="L323" s="7">
        <f>'3 escalar'!K326</f>
        <v/>
      </c>
      <c r="M323" s="7">
        <f>'3 escalar'!L326</f>
        <v/>
      </c>
      <c r="N323" s="7">
        <f>'3 escalar'!M326</f>
        <v/>
      </c>
      <c r="O323" s="7">
        <f>'3 escalar'!N326</f>
        <v/>
      </c>
      <c r="P323" s="7">
        <f>'3 escalar'!O326</f>
        <v/>
      </c>
      <c r="Q323" s="7">
        <f>'3 escalar'!P326</f>
        <v/>
      </c>
      <c r="R323" s="7">
        <f>'3 escalar'!Q326</f>
        <v/>
      </c>
      <c r="S323" s="7">
        <f>'3 escalar'!R326</f>
        <v/>
      </c>
      <c r="T323" s="7">
        <f>'3 escalar'!S326</f>
        <v/>
      </c>
      <c r="U323" s="7">
        <f>'3 escalar'!T326</f>
        <v/>
      </c>
      <c r="V323" s="6">
        <f>$AC$12+D323*$AC$13+E323*$AC$14+F323*$AC$15+G323*$AC$16+H323*$AC$17+I323*$AC$18+J323*$AC$19+K323*$AC$20+L323*$AC$21+M323*$AC$22+N323*$AC$23+O323*$AC$24+P323*$AC$25+Q323*$AC$26+R323*$AC$27+S323*$AC$28+T323*$AC$29+U323*$AC$30</f>
        <v/>
      </c>
      <c r="W323" s="6">
        <f>1/(1+EXP(-V323))</f>
        <v/>
      </c>
      <c r="X323" s="8">
        <f>-IF(C323=1,LN(W323),LN(1-W323))</f>
        <v/>
      </c>
      <c r="Y323" s="9">
        <f>IF(W323&gt;$AC$32,1,0)</f>
        <v/>
      </c>
      <c r="Z323">
        <f>IF(Y323=C323,1,0)</f>
        <v/>
      </c>
    </row>
    <row r="324">
      <c r="A324">
        <f>'3 escalar'!A327</f>
        <v/>
      </c>
      <c r="B324" s="5">
        <f>'3 escalar'!U327</f>
        <v/>
      </c>
      <c r="C324">
        <f>'3 escalar'!B327</f>
        <v/>
      </c>
      <c r="D324" s="7">
        <f>'3 escalar'!C327</f>
        <v/>
      </c>
      <c r="E324" s="7">
        <f>'3 escalar'!D327</f>
        <v/>
      </c>
      <c r="F324" s="7">
        <f>'3 escalar'!E327</f>
        <v/>
      </c>
      <c r="G324" s="7">
        <f>'3 escalar'!F327</f>
        <v/>
      </c>
      <c r="H324" s="7">
        <f>'3 escalar'!G327</f>
        <v/>
      </c>
      <c r="I324" s="7">
        <f>'3 escalar'!H327</f>
        <v/>
      </c>
      <c r="J324" s="7">
        <f>'3 escalar'!I327</f>
        <v/>
      </c>
      <c r="K324" s="7">
        <f>'3 escalar'!J327</f>
        <v/>
      </c>
      <c r="L324" s="7">
        <f>'3 escalar'!K327</f>
        <v/>
      </c>
      <c r="M324" s="7">
        <f>'3 escalar'!L327</f>
        <v/>
      </c>
      <c r="N324" s="7">
        <f>'3 escalar'!M327</f>
        <v/>
      </c>
      <c r="O324" s="7">
        <f>'3 escalar'!N327</f>
        <v/>
      </c>
      <c r="P324" s="7">
        <f>'3 escalar'!O327</f>
        <v/>
      </c>
      <c r="Q324" s="7">
        <f>'3 escalar'!P327</f>
        <v/>
      </c>
      <c r="R324" s="7">
        <f>'3 escalar'!Q327</f>
        <v/>
      </c>
      <c r="S324" s="7">
        <f>'3 escalar'!R327</f>
        <v/>
      </c>
      <c r="T324" s="7">
        <f>'3 escalar'!S327</f>
        <v/>
      </c>
      <c r="U324" s="7">
        <f>'3 escalar'!T327</f>
        <v/>
      </c>
      <c r="V324" s="6">
        <f>$AC$12+D324*$AC$13+E324*$AC$14+F324*$AC$15+G324*$AC$16+H324*$AC$17+I324*$AC$18+J324*$AC$19+K324*$AC$20+L324*$AC$21+M324*$AC$22+N324*$AC$23+O324*$AC$24+P324*$AC$25+Q324*$AC$26+R324*$AC$27+S324*$AC$28+T324*$AC$29+U324*$AC$30</f>
        <v/>
      </c>
      <c r="W324" s="6">
        <f>1/(1+EXP(-V324))</f>
        <v/>
      </c>
      <c r="X324" s="8">
        <f>-IF(C324=1,LN(W324),LN(1-W324))</f>
        <v/>
      </c>
      <c r="Y324" s="9">
        <f>IF(W324&gt;$AC$32,1,0)</f>
        <v/>
      </c>
      <c r="Z324">
        <f>IF(Y324=C324,1,0)</f>
        <v/>
      </c>
    </row>
    <row r="325">
      <c r="A325">
        <f>'3 escalar'!A328</f>
        <v/>
      </c>
      <c r="B325" s="5">
        <f>'3 escalar'!U328</f>
        <v/>
      </c>
      <c r="C325">
        <f>'3 escalar'!B328</f>
        <v/>
      </c>
      <c r="D325" s="7">
        <f>'3 escalar'!C328</f>
        <v/>
      </c>
      <c r="E325" s="7">
        <f>'3 escalar'!D328</f>
        <v/>
      </c>
      <c r="F325" s="7">
        <f>'3 escalar'!E328</f>
        <v/>
      </c>
      <c r="G325" s="7">
        <f>'3 escalar'!F328</f>
        <v/>
      </c>
      <c r="H325" s="7">
        <f>'3 escalar'!G328</f>
        <v/>
      </c>
      <c r="I325" s="7">
        <f>'3 escalar'!H328</f>
        <v/>
      </c>
      <c r="J325" s="7">
        <f>'3 escalar'!I328</f>
        <v/>
      </c>
      <c r="K325" s="7">
        <f>'3 escalar'!J328</f>
        <v/>
      </c>
      <c r="L325" s="7">
        <f>'3 escalar'!K328</f>
        <v/>
      </c>
      <c r="M325" s="7">
        <f>'3 escalar'!L328</f>
        <v/>
      </c>
      <c r="N325" s="7">
        <f>'3 escalar'!M328</f>
        <v/>
      </c>
      <c r="O325" s="7">
        <f>'3 escalar'!N328</f>
        <v/>
      </c>
      <c r="P325" s="7">
        <f>'3 escalar'!O328</f>
        <v/>
      </c>
      <c r="Q325" s="7">
        <f>'3 escalar'!P328</f>
        <v/>
      </c>
      <c r="R325" s="7">
        <f>'3 escalar'!Q328</f>
        <v/>
      </c>
      <c r="S325" s="7">
        <f>'3 escalar'!R328</f>
        <v/>
      </c>
      <c r="T325" s="7">
        <f>'3 escalar'!S328</f>
        <v/>
      </c>
      <c r="U325" s="7">
        <f>'3 escalar'!T328</f>
        <v/>
      </c>
      <c r="V325" s="6">
        <f>$AC$12+D325*$AC$13+E325*$AC$14+F325*$AC$15+G325*$AC$16+H325*$AC$17+I325*$AC$18+J325*$AC$19+K325*$AC$20+L325*$AC$21+M325*$AC$22+N325*$AC$23+O325*$AC$24+P325*$AC$25+Q325*$AC$26+R325*$AC$27+S325*$AC$28+T325*$AC$29+U325*$AC$30</f>
        <v/>
      </c>
      <c r="W325" s="6">
        <f>1/(1+EXP(-V325))</f>
        <v/>
      </c>
      <c r="X325" s="8">
        <f>-IF(C325=1,LN(W325),LN(1-W325))</f>
        <v/>
      </c>
      <c r="Y325" s="9">
        <f>IF(W325&gt;$AC$32,1,0)</f>
        <v/>
      </c>
      <c r="Z325">
        <f>IF(Y325=C325,1,0)</f>
        <v/>
      </c>
    </row>
    <row r="326">
      <c r="A326">
        <f>'3 escalar'!A329</f>
        <v/>
      </c>
      <c r="B326" s="5">
        <f>'3 escalar'!U329</f>
        <v/>
      </c>
      <c r="C326">
        <f>'3 escalar'!B329</f>
        <v/>
      </c>
      <c r="D326" s="7">
        <f>'3 escalar'!C329</f>
        <v/>
      </c>
      <c r="E326" s="7">
        <f>'3 escalar'!D329</f>
        <v/>
      </c>
      <c r="F326" s="7">
        <f>'3 escalar'!E329</f>
        <v/>
      </c>
      <c r="G326" s="7">
        <f>'3 escalar'!F329</f>
        <v/>
      </c>
      <c r="H326" s="7">
        <f>'3 escalar'!G329</f>
        <v/>
      </c>
      <c r="I326" s="7">
        <f>'3 escalar'!H329</f>
        <v/>
      </c>
      <c r="J326" s="7">
        <f>'3 escalar'!I329</f>
        <v/>
      </c>
      <c r="K326" s="7">
        <f>'3 escalar'!J329</f>
        <v/>
      </c>
      <c r="L326" s="7">
        <f>'3 escalar'!K329</f>
        <v/>
      </c>
      <c r="M326" s="7">
        <f>'3 escalar'!L329</f>
        <v/>
      </c>
      <c r="N326" s="7">
        <f>'3 escalar'!M329</f>
        <v/>
      </c>
      <c r="O326" s="7">
        <f>'3 escalar'!N329</f>
        <v/>
      </c>
      <c r="P326" s="7">
        <f>'3 escalar'!O329</f>
        <v/>
      </c>
      <c r="Q326" s="7">
        <f>'3 escalar'!P329</f>
        <v/>
      </c>
      <c r="R326" s="7">
        <f>'3 escalar'!Q329</f>
        <v/>
      </c>
      <c r="S326" s="7">
        <f>'3 escalar'!R329</f>
        <v/>
      </c>
      <c r="T326" s="7">
        <f>'3 escalar'!S329</f>
        <v/>
      </c>
      <c r="U326" s="7">
        <f>'3 escalar'!T329</f>
        <v/>
      </c>
      <c r="V326" s="6">
        <f>$AC$12+D326*$AC$13+E326*$AC$14+F326*$AC$15+G326*$AC$16+H326*$AC$17+I326*$AC$18+J326*$AC$19+K326*$AC$20+L326*$AC$21+M326*$AC$22+N326*$AC$23+O326*$AC$24+P326*$AC$25+Q326*$AC$26+R326*$AC$27+S326*$AC$28+T326*$AC$29+U326*$AC$30</f>
        <v/>
      </c>
      <c r="W326" s="6">
        <f>1/(1+EXP(-V326))</f>
        <v/>
      </c>
      <c r="X326" s="8">
        <f>-IF(C326=1,LN(W326),LN(1-W326))</f>
        <v/>
      </c>
      <c r="Y326" s="9">
        <f>IF(W326&gt;$AC$32,1,0)</f>
        <v/>
      </c>
      <c r="Z326">
        <f>IF(Y326=C326,1,0)</f>
        <v/>
      </c>
    </row>
    <row r="327">
      <c r="A327">
        <f>'3 escalar'!A330</f>
        <v/>
      </c>
      <c r="B327" s="5">
        <f>'3 escalar'!U330</f>
        <v/>
      </c>
      <c r="C327">
        <f>'3 escalar'!B330</f>
        <v/>
      </c>
      <c r="D327" s="7">
        <f>'3 escalar'!C330</f>
        <v/>
      </c>
      <c r="E327" s="7">
        <f>'3 escalar'!D330</f>
        <v/>
      </c>
      <c r="F327" s="7">
        <f>'3 escalar'!E330</f>
        <v/>
      </c>
      <c r="G327" s="7">
        <f>'3 escalar'!F330</f>
        <v/>
      </c>
      <c r="H327" s="7">
        <f>'3 escalar'!G330</f>
        <v/>
      </c>
      <c r="I327" s="7">
        <f>'3 escalar'!H330</f>
        <v/>
      </c>
      <c r="J327" s="7">
        <f>'3 escalar'!I330</f>
        <v/>
      </c>
      <c r="K327" s="7">
        <f>'3 escalar'!J330</f>
        <v/>
      </c>
      <c r="L327" s="7">
        <f>'3 escalar'!K330</f>
        <v/>
      </c>
      <c r="M327" s="7">
        <f>'3 escalar'!L330</f>
        <v/>
      </c>
      <c r="N327" s="7">
        <f>'3 escalar'!M330</f>
        <v/>
      </c>
      <c r="O327" s="7">
        <f>'3 escalar'!N330</f>
        <v/>
      </c>
      <c r="P327" s="7">
        <f>'3 escalar'!O330</f>
        <v/>
      </c>
      <c r="Q327" s="7">
        <f>'3 escalar'!P330</f>
        <v/>
      </c>
      <c r="R327" s="7">
        <f>'3 escalar'!Q330</f>
        <v/>
      </c>
      <c r="S327" s="7">
        <f>'3 escalar'!R330</f>
        <v/>
      </c>
      <c r="T327" s="7">
        <f>'3 escalar'!S330</f>
        <v/>
      </c>
      <c r="U327" s="7">
        <f>'3 escalar'!T330</f>
        <v/>
      </c>
      <c r="V327" s="6">
        <f>$AC$12+D327*$AC$13+E327*$AC$14+F327*$AC$15+G327*$AC$16+H327*$AC$17+I327*$AC$18+J327*$AC$19+K327*$AC$20+L327*$AC$21+M327*$AC$22+N327*$AC$23+O327*$AC$24+P327*$AC$25+Q327*$AC$26+R327*$AC$27+S327*$AC$28+T327*$AC$29+U327*$AC$30</f>
        <v/>
      </c>
      <c r="W327" s="6">
        <f>1/(1+EXP(-V327))</f>
        <v/>
      </c>
      <c r="X327" s="8">
        <f>-IF(C327=1,LN(W327),LN(1-W327))</f>
        <v/>
      </c>
      <c r="Y327" s="9">
        <f>IF(W327&gt;$AC$32,1,0)</f>
        <v/>
      </c>
      <c r="Z327">
        <f>IF(Y327=C327,1,0)</f>
        <v/>
      </c>
    </row>
    <row r="328">
      <c r="A328">
        <f>'3 escalar'!A331</f>
        <v/>
      </c>
      <c r="B328" s="5">
        <f>'3 escalar'!U331</f>
        <v/>
      </c>
      <c r="C328">
        <f>'3 escalar'!B331</f>
        <v/>
      </c>
      <c r="D328" s="7">
        <f>'3 escalar'!C331</f>
        <v/>
      </c>
      <c r="E328" s="7">
        <f>'3 escalar'!D331</f>
        <v/>
      </c>
      <c r="F328" s="7">
        <f>'3 escalar'!E331</f>
        <v/>
      </c>
      <c r="G328" s="7">
        <f>'3 escalar'!F331</f>
        <v/>
      </c>
      <c r="H328" s="7">
        <f>'3 escalar'!G331</f>
        <v/>
      </c>
      <c r="I328" s="7">
        <f>'3 escalar'!H331</f>
        <v/>
      </c>
      <c r="J328" s="7">
        <f>'3 escalar'!I331</f>
        <v/>
      </c>
      <c r="K328" s="7">
        <f>'3 escalar'!J331</f>
        <v/>
      </c>
      <c r="L328" s="7">
        <f>'3 escalar'!K331</f>
        <v/>
      </c>
      <c r="M328" s="7">
        <f>'3 escalar'!L331</f>
        <v/>
      </c>
      <c r="N328" s="7">
        <f>'3 escalar'!M331</f>
        <v/>
      </c>
      <c r="O328" s="7">
        <f>'3 escalar'!N331</f>
        <v/>
      </c>
      <c r="P328" s="7">
        <f>'3 escalar'!O331</f>
        <v/>
      </c>
      <c r="Q328" s="7">
        <f>'3 escalar'!P331</f>
        <v/>
      </c>
      <c r="R328" s="7">
        <f>'3 escalar'!Q331</f>
        <v/>
      </c>
      <c r="S328" s="7">
        <f>'3 escalar'!R331</f>
        <v/>
      </c>
      <c r="T328" s="7">
        <f>'3 escalar'!S331</f>
        <v/>
      </c>
      <c r="U328" s="7">
        <f>'3 escalar'!T331</f>
        <v/>
      </c>
      <c r="V328" s="6">
        <f>$AC$12+D328*$AC$13+E328*$AC$14+F328*$AC$15+G328*$AC$16+H328*$AC$17+I328*$AC$18+J328*$AC$19+K328*$AC$20+L328*$AC$21+M328*$AC$22+N328*$AC$23+O328*$AC$24+P328*$AC$25+Q328*$AC$26+R328*$AC$27+S328*$AC$28+T328*$AC$29+U328*$AC$30</f>
        <v/>
      </c>
      <c r="W328" s="6">
        <f>1/(1+EXP(-V328))</f>
        <v/>
      </c>
      <c r="X328" s="8">
        <f>-IF(C328=1,LN(W328),LN(1-W328))</f>
        <v/>
      </c>
      <c r="Y328" s="9">
        <f>IF(W328&gt;$AC$32,1,0)</f>
        <v/>
      </c>
      <c r="Z328">
        <f>IF(Y328=C328,1,0)</f>
        <v/>
      </c>
    </row>
    <row r="329">
      <c r="A329">
        <f>'3 escalar'!A332</f>
        <v/>
      </c>
      <c r="B329" s="5">
        <f>'3 escalar'!U332</f>
        <v/>
      </c>
      <c r="C329">
        <f>'3 escalar'!B332</f>
        <v/>
      </c>
      <c r="D329" s="7">
        <f>'3 escalar'!C332</f>
        <v/>
      </c>
      <c r="E329" s="7">
        <f>'3 escalar'!D332</f>
        <v/>
      </c>
      <c r="F329" s="7">
        <f>'3 escalar'!E332</f>
        <v/>
      </c>
      <c r="G329" s="7">
        <f>'3 escalar'!F332</f>
        <v/>
      </c>
      <c r="H329" s="7">
        <f>'3 escalar'!G332</f>
        <v/>
      </c>
      <c r="I329" s="7">
        <f>'3 escalar'!H332</f>
        <v/>
      </c>
      <c r="J329" s="7">
        <f>'3 escalar'!I332</f>
        <v/>
      </c>
      <c r="K329" s="7">
        <f>'3 escalar'!J332</f>
        <v/>
      </c>
      <c r="L329" s="7">
        <f>'3 escalar'!K332</f>
        <v/>
      </c>
      <c r="M329" s="7">
        <f>'3 escalar'!L332</f>
        <v/>
      </c>
      <c r="N329" s="7">
        <f>'3 escalar'!M332</f>
        <v/>
      </c>
      <c r="O329" s="7">
        <f>'3 escalar'!N332</f>
        <v/>
      </c>
      <c r="P329" s="7">
        <f>'3 escalar'!O332</f>
        <v/>
      </c>
      <c r="Q329" s="7">
        <f>'3 escalar'!P332</f>
        <v/>
      </c>
      <c r="R329" s="7">
        <f>'3 escalar'!Q332</f>
        <v/>
      </c>
      <c r="S329" s="7">
        <f>'3 escalar'!R332</f>
        <v/>
      </c>
      <c r="T329" s="7">
        <f>'3 escalar'!S332</f>
        <v/>
      </c>
      <c r="U329" s="7">
        <f>'3 escalar'!T332</f>
        <v/>
      </c>
      <c r="V329" s="6">
        <f>$AC$12+D329*$AC$13+E329*$AC$14+F329*$AC$15+G329*$AC$16+H329*$AC$17+I329*$AC$18+J329*$AC$19+K329*$AC$20+L329*$AC$21+M329*$AC$22+N329*$AC$23+O329*$AC$24+P329*$AC$25+Q329*$AC$26+R329*$AC$27+S329*$AC$28+T329*$AC$29+U329*$AC$30</f>
        <v/>
      </c>
      <c r="W329" s="6">
        <f>1/(1+EXP(-V329))</f>
        <v/>
      </c>
      <c r="X329" s="8">
        <f>-IF(C329=1,LN(W329),LN(1-W329))</f>
        <v/>
      </c>
      <c r="Y329" s="9">
        <f>IF(W329&gt;$AC$32,1,0)</f>
        <v/>
      </c>
      <c r="Z329">
        <f>IF(Y329=C329,1,0)</f>
        <v/>
      </c>
    </row>
    <row r="330">
      <c r="A330">
        <f>'3 escalar'!A333</f>
        <v/>
      </c>
      <c r="B330" s="5">
        <f>'3 escalar'!U333</f>
        <v/>
      </c>
      <c r="C330">
        <f>'3 escalar'!B333</f>
        <v/>
      </c>
      <c r="D330" s="7">
        <f>'3 escalar'!C333</f>
        <v/>
      </c>
      <c r="E330" s="7">
        <f>'3 escalar'!D333</f>
        <v/>
      </c>
      <c r="F330" s="7">
        <f>'3 escalar'!E333</f>
        <v/>
      </c>
      <c r="G330" s="7">
        <f>'3 escalar'!F333</f>
        <v/>
      </c>
      <c r="H330" s="7">
        <f>'3 escalar'!G333</f>
        <v/>
      </c>
      <c r="I330" s="7">
        <f>'3 escalar'!H333</f>
        <v/>
      </c>
      <c r="J330" s="7">
        <f>'3 escalar'!I333</f>
        <v/>
      </c>
      <c r="K330" s="7">
        <f>'3 escalar'!J333</f>
        <v/>
      </c>
      <c r="L330" s="7">
        <f>'3 escalar'!K333</f>
        <v/>
      </c>
      <c r="M330" s="7">
        <f>'3 escalar'!L333</f>
        <v/>
      </c>
      <c r="N330" s="7">
        <f>'3 escalar'!M333</f>
        <v/>
      </c>
      <c r="O330" s="7">
        <f>'3 escalar'!N333</f>
        <v/>
      </c>
      <c r="P330" s="7">
        <f>'3 escalar'!O333</f>
        <v/>
      </c>
      <c r="Q330" s="7">
        <f>'3 escalar'!P333</f>
        <v/>
      </c>
      <c r="R330" s="7">
        <f>'3 escalar'!Q333</f>
        <v/>
      </c>
      <c r="S330" s="7">
        <f>'3 escalar'!R333</f>
        <v/>
      </c>
      <c r="T330" s="7">
        <f>'3 escalar'!S333</f>
        <v/>
      </c>
      <c r="U330" s="7">
        <f>'3 escalar'!T333</f>
        <v/>
      </c>
      <c r="V330" s="6">
        <f>$AC$12+D330*$AC$13+E330*$AC$14+F330*$AC$15+G330*$AC$16+H330*$AC$17+I330*$AC$18+J330*$AC$19+K330*$AC$20+L330*$AC$21+M330*$AC$22+N330*$AC$23+O330*$AC$24+P330*$AC$25+Q330*$AC$26+R330*$AC$27+S330*$AC$28+T330*$AC$29+U330*$AC$30</f>
        <v/>
      </c>
      <c r="W330" s="6">
        <f>1/(1+EXP(-V330))</f>
        <v/>
      </c>
      <c r="X330" s="8">
        <f>-IF(C330=1,LN(W330),LN(1-W330))</f>
        <v/>
      </c>
      <c r="Y330" s="9">
        <f>IF(W330&gt;$AC$32,1,0)</f>
        <v/>
      </c>
      <c r="Z330">
        <f>IF(Y330=C330,1,0)</f>
        <v/>
      </c>
    </row>
    <row r="331">
      <c r="A331">
        <f>'3 escalar'!A334</f>
        <v/>
      </c>
      <c r="B331" s="5">
        <f>'3 escalar'!U334</f>
        <v/>
      </c>
      <c r="C331">
        <f>'3 escalar'!B334</f>
        <v/>
      </c>
      <c r="D331" s="7">
        <f>'3 escalar'!C334</f>
        <v/>
      </c>
      <c r="E331" s="7">
        <f>'3 escalar'!D334</f>
        <v/>
      </c>
      <c r="F331" s="7">
        <f>'3 escalar'!E334</f>
        <v/>
      </c>
      <c r="G331" s="7">
        <f>'3 escalar'!F334</f>
        <v/>
      </c>
      <c r="H331" s="7">
        <f>'3 escalar'!G334</f>
        <v/>
      </c>
      <c r="I331" s="7">
        <f>'3 escalar'!H334</f>
        <v/>
      </c>
      <c r="J331" s="7">
        <f>'3 escalar'!I334</f>
        <v/>
      </c>
      <c r="K331" s="7">
        <f>'3 escalar'!J334</f>
        <v/>
      </c>
      <c r="L331" s="7">
        <f>'3 escalar'!K334</f>
        <v/>
      </c>
      <c r="M331" s="7">
        <f>'3 escalar'!L334</f>
        <v/>
      </c>
      <c r="N331" s="7">
        <f>'3 escalar'!M334</f>
        <v/>
      </c>
      <c r="O331" s="7">
        <f>'3 escalar'!N334</f>
        <v/>
      </c>
      <c r="P331" s="7">
        <f>'3 escalar'!O334</f>
        <v/>
      </c>
      <c r="Q331" s="7">
        <f>'3 escalar'!P334</f>
        <v/>
      </c>
      <c r="R331" s="7">
        <f>'3 escalar'!Q334</f>
        <v/>
      </c>
      <c r="S331" s="7">
        <f>'3 escalar'!R334</f>
        <v/>
      </c>
      <c r="T331" s="7">
        <f>'3 escalar'!S334</f>
        <v/>
      </c>
      <c r="U331" s="7">
        <f>'3 escalar'!T334</f>
        <v/>
      </c>
      <c r="V331" s="6">
        <f>$AC$12+D331*$AC$13+E331*$AC$14+F331*$AC$15+G331*$AC$16+H331*$AC$17+I331*$AC$18+J331*$AC$19+K331*$AC$20+L331*$AC$21+M331*$AC$22+N331*$AC$23+O331*$AC$24+P331*$AC$25+Q331*$AC$26+R331*$AC$27+S331*$AC$28+T331*$AC$29+U331*$AC$30</f>
        <v/>
      </c>
      <c r="W331" s="6">
        <f>1/(1+EXP(-V331))</f>
        <v/>
      </c>
      <c r="X331" s="8">
        <f>-IF(C331=1,LN(W331),LN(1-W331))</f>
        <v/>
      </c>
      <c r="Y331" s="9">
        <f>IF(W331&gt;$AC$32,1,0)</f>
        <v/>
      </c>
      <c r="Z331">
        <f>IF(Y331=C331,1,0)</f>
        <v/>
      </c>
    </row>
    <row r="332">
      <c r="A332">
        <f>'3 escalar'!A335</f>
        <v/>
      </c>
      <c r="B332" s="5">
        <f>'3 escalar'!U335</f>
        <v/>
      </c>
      <c r="C332">
        <f>'3 escalar'!B335</f>
        <v/>
      </c>
      <c r="D332" s="7">
        <f>'3 escalar'!C335</f>
        <v/>
      </c>
      <c r="E332" s="7">
        <f>'3 escalar'!D335</f>
        <v/>
      </c>
      <c r="F332" s="7">
        <f>'3 escalar'!E335</f>
        <v/>
      </c>
      <c r="G332" s="7">
        <f>'3 escalar'!F335</f>
        <v/>
      </c>
      <c r="H332" s="7">
        <f>'3 escalar'!G335</f>
        <v/>
      </c>
      <c r="I332" s="7">
        <f>'3 escalar'!H335</f>
        <v/>
      </c>
      <c r="J332" s="7">
        <f>'3 escalar'!I335</f>
        <v/>
      </c>
      <c r="K332" s="7">
        <f>'3 escalar'!J335</f>
        <v/>
      </c>
      <c r="L332" s="7">
        <f>'3 escalar'!K335</f>
        <v/>
      </c>
      <c r="M332" s="7">
        <f>'3 escalar'!L335</f>
        <v/>
      </c>
      <c r="N332" s="7">
        <f>'3 escalar'!M335</f>
        <v/>
      </c>
      <c r="O332" s="7">
        <f>'3 escalar'!N335</f>
        <v/>
      </c>
      <c r="P332" s="7">
        <f>'3 escalar'!O335</f>
        <v/>
      </c>
      <c r="Q332" s="7">
        <f>'3 escalar'!P335</f>
        <v/>
      </c>
      <c r="R332" s="7">
        <f>'3 escalar'!Q335</f>
        <v/>
      </c>
      <c r="S332" s="7">
        <f>'3 escalar'!R335</f>
        <v/>
      </c>
      <c r="T332" s="7">
        <f>'3 escalar'!S335</f>
        <v/>
      </c>
      <c r="U332" s="7">
        <f>'3 escalar'!T335</f>
        <v/>
      </c>
      <c r="V332" s="6">
        <f>$AC$12+D332*$AC$13+E332*$AC$14+F332*$AC$15+G332*$AC$16+H332*$AC$17+I332*$AC$18+J332*$AC$19+K332*$AC$20+L332*$AC$21+M332*$AC$22+N332*$AC$23+O332*$AC$24+P332*$AC$25+Q332*$AC$26+R332*$AC$27+S332*$AC$28+T332*$AC$29+U332*$AC$30</f>
        <v/>
      </c>
      <c r="W332" s="6">
        <f>1/(1+EXP(-V332))</f>
        <v/>
      </c>
      <c r="X332" s="8">
        <f>-IF(C332=1,LN(W332),LN(1-W332))</f>
        <v/>
      </c>
      <c r="Y332" s="9">
        <f>IF(W332&gt;$AC$32,1,0)</f>
        <v/>
      </c>
      <c r="Z332">
        <f>IF(Y332=C332,1,0)</f>
        <v/>
      </c>
    </row>
    <row r="333">
      <c r="A333">
        <f>'3 escalar'!A336</f>
        <v/>
      </c>
      <c r="B333" s="5">
        <f>'3 escalar'!U336</f>
        <v/>
      </c>
      <c r="C333">
        <f>'3 escalar'!B336</f>
        <v/>
      </c>
      <c r="D333" s="7">
        <f>'3 escalar'!C336</f>
        <v/>
      </c>
      <c r="E333" s="7">
        <f>'3 escalar'!D336</f>
        <v/>
      </c>
      <c r="F333" s="7">
        <f>'3 escalar'!E336</f>
        <v/>
      </c>
      <c r="G333" s="7">
        <f>'3 escalar'!F336</f>
        <v/>
      </c>
      <c r="H333" s="7">
        <f>'3 escalar'!G336</f>
        <v/>
      </c>
      <c r="I333" s="7">
        <f>'3 escalar'!H336</f>
        <v/>
      </c>
      <c r="J333" s="7">
        <f>'3 escalar'!I336</f>
        <v/>
      </c>
      <c r="K333" s="7">
        <f>'3 escalar'!J336</f>
        <v/>
      </c>
      <c r="L333" s="7">
        <f>'3 escalar'!K336</f>
        <v/>
      </c>
      <c r="M333" s="7">
        <f>'3 escalar'!L336</f>
        <v/>
      </c>
      <c r="N333" s="7">
        <f>'3 escalar'!M336</f>
        <v/>
      </c>
      <c r="O333" s="7">
        <f>'3 escalar'!N336</f>
        <v/>
      </c>
      <c r="P333" s="7">
        <f>'3 escalar'!O336</f>
        <v/>
      </c>
      <c r="Q333" s="7">
        <f>'3 escalar'!P336</f>
        <v/>
      </c>
      <c r="R333" s="7">
        <f>'3 escalar'!Q336</f>
        <v/>
      </c>
      <c r="S333" s="7">
        <f>'3 escalar'!R336</f>
        <v/>
      </c>
      <c r="T333" s="7">
        <f>'3 escalar'!S336</f>
        <v/>
      </c>
      <c r="U333" s="7">
        <f>'3 escalar'!T336</f>
        <v/>
      </c>
      <c r="V333" s="6">
        <f>$AC$12+D333*$AC$13+E333*$AC$14+F333*$AC$15+G333*$AC$16+H333*$AC$17+I333*$AC$18+J333*$AC$19+K333*$AC$20+L333*$AC$21+M333*$AC$22+N333*$AC$23+O333*$AC$24+P333*$AC$25+Q333*$AC$26+R333*$AC$27+S333*$AC$28+T333*$AC$29+U333*$AC$30</f>
        <v/>
      </c>
      <c r="W333" s="6">
        <f>1/(1+EXP(-V333))</f>
        <v/>
      </c>
      <c r="X333" s="8">
        <f>-IF(C333=1,LN(W333),LN(1-W333))</f>
        <v/>
      </c>
      <c r="Y333" s="9">
        <f>IF(W333&gt;$AC$32,1,0)</f>
        <v/>
      </c>
      <c r="Z333">
        <f>IF(Y333=C333,1,0)</f>
        <v/>
      </c>
    </row>
    <row r="334">
      <c r="A334">
        <f>'3 escalar'!A337</f>
        <v/>
      </c>
      <c r="B334" s="5">
        <f>'3 escalar'!U337</f>
        <v/>
      </c>
      <c r="C334">
        <f>'3 escalar'!B337</f>
        <v/>
      </c>
      <c r="D334" s="7">
        <f>'3 escalar'!C337</f>
        <v/>
      </c>
      <c r="E334" s="7">
        <f>'3 escalar'!D337</f>
        <v/>
      </c>
      <c r="F334" s="7">
        <f>'3 escalar'!E337</f>
        <v/>
      </c>
      <c r="G334" s="7">
        <f>'3 escalar'!F337</f>
        <v/>
      </c>
      <c r="H334" s="7">
        <f>'3 escalar'!G337</f>
        <v/>
      </c>
      <c r="I334" s="7">
        <f>'3 escalar'!H337</f>
        <v/>
      </c>
      <c r="J334" s="7">
        <f>'3 escalar'!I337</f>
        <v/>
      </c>
      <c r="K334" s="7">
        <f>'3 escalar'!J337</f>
        <v/>
      </c>
      <c r="L334" s="7">
        <f>'3 escalar'!K337</f>
        <v/>
      </c>
      <c r="M334" s="7">
        <f>'3 escalar'!L337</f>
        <v/>
      </c>
      <c r="N334" s="7">
        <f>'3 escalar'!M337</f>
        <v/>
      </c>
      <c r="O334" s="7">
        <f>'3 escalar'!N337</f>
        <v/>
      </c>
      <c r="P334" s="7">
        <f>'3 escalar'!O337</f>
        <v/>
      </c>
      <c r="Q334" s="7">
        <f>'3 escalar'!P337</f>
        <v/>
      </c>
      <c r="R334" s="7">
        <f>'3 escalar'!Q337</f>
        <v/>
      </c>
      <c r="S334" s="7">
        <f>'3 escalar'!R337</f>
        <v/>
      </c>
      <c r="T334" s="7">
        <f>'3 escalar'!S337</f>
        <v/>
      </c>
      <c r="U334" s="7">
        <f>'3 escalar'!T337</f>
        <v/>
      </c>
      <c r="V334" s="6">
        <f>$AC$12+D334*$AC$13+E334*$AC$14+F334*$AC$15+G334*$AC$16+H334*$AC$17+I334*$AC$18+J334*$AC$19+K334*$AC$20+L334*$AC$21+M334*$AC$22+N334*$AC$23+O334*$AC$24+P334*$AC$25+Q334*$AC$26+R334*$AC$27+S334*$AC$28+T334*$AC$29+U334*$AC$30</f>
        <v/>
      </c>
      <c r="W334" s="6">
        <f>1/(1+EXP(-V334))</f>
        <v/>
      </c>
      <c r="X334" s="8">
        <f>-IF(C334=1,LN(W334),LN(1-W334))</f>
        <v/>
      </c>
      <c r="Y334" s="9">
        <f>IF(W334&gt;$AC$32,1,0)</f>
        <v/>
      </c>
      <c r="Z334">
        <f>IF(Y334=C334,1,0)</f>
        <v/>
      </c>
    </row>
    <row r="335">
      <c r="A335">
        <f>'3 escalar'!A338</f>
        <v/>
      </c>
      <c r="B335" s="5">
        <f>'3 escalar'!U338</f>
        <v/>
      </c>
      <c r="C335">
        <f>'3 escalar'!B338</f>
        <v/>
      </c>
      <c r="D335" s="7">
        <f>'3 escalar'!C338</f>
        <v/>
      </c>
      <c r="E335" s="7">
        <f>'3 escalar'!D338</f>
        <v/>
      </c>
      <c r="F335" s="7">
        <f>'3 escalar'!E338</f>
        <v/>
      </c>
      <c r="G335" s="7">
        <f>'3 escalar'!F338</f>
        <v/>
      </c>
      <c r="H335" s="7">
        <f>'3 escalar'!G338</f>
        <v/>
      </c>
      <c r="I335" s="7">
        <f>'3 escalar'!H338</f>
        <v/>
      </c>
      <c r="J335" s="7">
        <f>'3 escalar'!I338</f>
        <v/>
      </c>
      <c r="K335" s="7">
        <f>'3 escalar'!J338</f>
        <v/>
      </c>
      <c r="L335" s="7">
        <f>'3 escalar'!K338</f>
        <v/>
      </c>
      <c r="M335" s="7">
        <f>'3 escalar'!L338</f>
        <v/>
      </c>
      <c r="N335" s="7">
        <f>'3 escalar'!M338</f>
        <v/>
      </c>
      <c r="O335" s="7">
        <f>'3 escalar'!N338</f>
        <v/>
      </c>
      <c r="P335" s="7">
        <f>'3 escalar'!O338</f>
        <v/>
      </c>
      <c r="Q335" s="7">
        <f>'3 escalar'!P338</f>
        <v/>
      </c>
      <c r="R335" s="7">
        <f>'3 escalar'!Q338</f>
        <v/>
      </c>
      <c r="S335" s="7">
        <f>'3 escalar'!R338</f>
        <v/>
      </c>
      <c r="T335" s="7">
        <f>'3 escalar'!S338</f>
        <v/>
      </c>
      <c r="U335" s="7">
        <f>'3 escalar'!T338</f>
        <v/>
      </c>
      <c r="V335" s="6">
        <f>$AC$12+D335*$AC$13+E335*$AC$14+F335*$AC$15+G335*$AC$16+H335*$AC$17+I335*$AC$18+J335*$AC$19+K335*$AC$20+L335*$AC$21+M335*$AC$22+N335*$AC$23+O335*$AC$24+P335*$AC$25+Q335*$AC$26+R335*$AC$27+S335*$AC$28+T335*$AC$29+U335*$AC$30</f>
        <v/>
      </c>
      <c r="W335" s="6">
        <f>1/(1+EXP(-V335))</f>
        <v/>
      </c>
      <c r="X335" s="8">
        <f>-IF(C335=1,LN(W335),LN(1-W335))</f>
        <v/>
      </c>
      <c r="Y335" s="9">
        <f>IF(W335&gt;$AC$32,1,0)</f>
        <v/>
      </c>
      <c r="Z335">
        <f>IF(Y335=C335,1,0)</f>
        <v/>
      </c>
    </row>
    <row r="336">
      <c r="A336">
        <f>'3 escalar'!A339</f>
        <v/>
      </c>
      <c r="B336" s="5">
        <f>'3 escalar'!U339</f>
        <v/>
      </c>
      <c r="C336">
        <f>'3 escalar'!B339</f>
        <v/>
      </c>
      <c r="D336" s="7">
        <f>'3 escalar'!C339</f>
        <v/>
      </c>
      <c r="E336" s="7">
        <f>'3 escalar'!D339</f>
        <v/>
      </c>
      <c r="F336" s="7">
        <f>'3 escalar'!E339</f>
        <v/>
      </c>
      <c r="G336" s="7">
        <f>'3 escalar'!F339</f>
        <v/>
      </c>
      <c r="H336" s="7">
        <f>'3 escalar'!G339</f>
        <v/>
      </c>
      <c r="I336" s="7">
        <f>'3 escalar'!H339</f>
        <v/>
      </c>
      <c r="J336" s="7">
        <f>'3 escalar'!I339</f>
        <v/>
      </c>
      <c r="K336" s="7">
        <f>'3 escalar'!J339</f>
        <v/>
      </c>
      <c r="L336" s="7">
        <f>'3 escalar'!K339</f>
        <v/>
      </c>
      <c r="M336" s="7">
        <f>'3 escalar'!L339</f>
        <v/>
      </c>
      <c r="N336" s="7">
        <f>'3 escalar'!M339</f>
        <v/>
      </c>
      <c r="O336" s="7">
        <f>'3 escalar'!N339</f>
        <v/>
      </c>
      <c r="P336" s="7">
        <f>'3 escalar'!O339</f>
        <v/>
      </c>
      <c r="Q336" s="7">
        <f>'3 escalar'!P339</f>
        <v/>
      </c>
      <c r="R336" s="7">
        <f>'3 escalar'!Q339</f>
        <v/>
      </c>
      <c r="S336" s="7">
        <f>'3 escalar'!R339</f>
        <v/>
      </c>
      <c r="T336" s="7">
        <f>'3 escalar'!S339</f>
        <v/>
      </c>
      <c r="U336" s="7">
        <f>'3 escalar'!T339</f>
        <v/>
      </c>
      <c r="V336" s="6">
        <f>$AC$12+D336*$AC$13+E336*$AC$14+F336*$AC$15+G336*$AC$16+H336*$AC$17+I336*$AC$18+J336*$AC$19+K336*$AC$20+L336*$AC$21+M336*$AC$22+N336*$AC$23+O336*$AC$24+P336*$AC$25+Q336*$AC$26+R336*$AC$27+S336*$AC$28+T336*$AC$29+U336*$AC$30</f>
        <v/>
      </c>
      <c r="W336" s="6">
        <f>1/(1+EXP(-V336))</f>
        <v/>
      </c>
      <c r="X336" s="8">
        <f>-IF(C336=1,LN(W336),LN(1-W336))</f>
        <v/>
      </c>
      <c r="Y336" s="9">
        <f>IF(W336&gt;$AC$32,1,0)</f>
        <v/>
      </c>
      <c r="Z336">
        <f>IF(Y336=C336,1,0)</f>
        <v/>
      </c>
    </row>
    <row r="337">
      <c r="A337">
        <f>'3 escalar'!A340</f>
        <v/>
      </c>
      <c r="B337" s="5">
        <f>'3 escalar'!U340</f>
        <v/>
      </c>
      <c r="C337">
        <f>'3 escalar'!B340</f>
        <v/>
      </c>
      <c r="D337" s="7">
        <f>'3 escalar'!C340</f>
        <v/>
      </c>
      <c r="E337" s="7">
        <f>'3 escalar'!D340</f>
        <v/>
      </c>
      <c r="F337" s="7">
        <f>'3 escalar'!E340</f>
        <v/>
      </c>
      <c r="G337" s="7">
        <f>'3 escalar'!F340</f>
        <v/>
      </c>
      <c r="H337" s="7">
        <f>'3 escalar'!G340</f>
        <v/>
      </c>
      <c r="I337" s="7">
        <f>'3 escalar'!H340</f>
        <v/>
      </c>
      <c r="J337" s="7">
        <f>'3 escalar'!I340</f>
        <v/>
      </c>
      <c r="K337" s="7">
        <f>'3 escalar'!J340</f>
        <v/>
      </c>
      <c r="L337" s="7">
        <f>'3 escalar'!K340</f>
        <v/>
      </c>
      <c r="M337" s="7">
        <f>'3 escalar'!L340</f>
        <v/>
      </c>
      <c r="N337" s="7">
        <f>'3 escalar'!M340</f>
        <v/>
      </c>
      <c r="O337" s="7">
        <f>'3 escalar'!N340</f>
        <v/>
      </c>
      <c r="P337" s="7">
        <f>'3 escalar'!O340</f>
        <v/>
      </c>
      <c r="Q337" s="7">
        <f>'3 escalar'!P340</f>
        <v/>
      </c>
      <c r="R337" s="7">
        <f>'3 escalar'!Q340</f>
        <v/>
      </c>
      <c r="S337" s="7">
        <f>'3 escalar'!R340</f>
        <v/>
      </c>
      <c r="T337" s="7">
        <f>'3 escalar'!S340</f>
        <v/>
      </c>
      <c r="U337" s="7">
        <f>'3 escalar'!T340</f>
        <v/>
      </c>
      <c r="V337" s="6">
        <f>$AC$12+D337*$AC$13+E337*$AC$14+F337*$AC$15+G337*$AC$16+H337*$AC$17+I337*$AC$18+J337*$AC$19+K337*$AC$20+L337*$AC$21+M337*$AC$22+N337*$AC$23+O337*$AC$24+P337*$AC$25+Q337*$AC$26+R337*$AC$27+S337*$AC$28+T337*$AC$29+U337*$AC$30</f>
        <v/>
      </c>
      <c r="W337" s="6">
        <f>1/(1+EXP(-V337))</f>
        <v/>
      </c>
      <c r="X337" s="8">
        <f>-IF(C337=1,LN(W337),LN(1-W337))</f>
        <v/>
      </c>
      <c r="Y337" s="9">
        <f>IF(W337&gt;$AC$32,1,0)</f>
        <v/>
      </c>
      <c r="Z337">
        <f>IF(Y337=C337,1,0)</f>
        <v/>
      </c>
    </row>
    <row r="338">
      <c r="A338">
        <f>'3 escalar'!A341</f>
        <v/>
      </c>
      <c r="B338" s="5">
        <f>'3 escalar'!U341</f>
        <v/>
      </c>
      <c r="C338">
        <f>'3 escalar'!B341</f>
        <v/>
      </c>
      <c r="D338" s="7">
        <f>'3 escalar'!C341</f>
        <v/>
      </c>
      <c r="E338" s="7">
        <f>'3 escalar'!D341</f>
        <v/>
      </c>
      <c r="F338" s="7">
        <f>'3 escalar'!E341</f>
        <v/>
      </c>
      <c r="G338" s="7">
        <f>'3 escalar'!F341</f>
        <v/>
      </c>
      <c r="H338" s="7">
        <f>'3 escalar'!G341</f>
        <v/>
      </c>
      <c r="I338" s="7">
        <f>'3 escalar'!H341</f>
        <v/>
      </c>
      <c r="J338" s="7">
        <f>'3 escalar'!I341</f>
        <v/>
      </c>
      <c r="K338" s="7">
        <f>'3 escalar'!J341</f>
        <v/>
      </c>
      <c r="L338" s="7">
        <f>'3 escalar'!K341</f>
        <v/>
      </c>
      <c r="M338" s="7">
        <f>'3 escalar'!L341</f>
        <v/>
      </c>
      <c r="N338" s="7">
        <f>'3 escalar'!M341</f>
        <v/>
      </c>
      <c r="O338" s="7">
        <f>'3 escalar'!N341</f>
        <v/>
      </c>
      <c r="P338" s="7">
        <f>'3 escalar'!O341</f>
        <v/>
      </c>
      <c r="Q338" s="7">
        <f>'3 escalar'!P341</f>
        <v/>
      </c>
      <c r="R338" s="7">
        <f>'3 escalar'!Q341</f>
        <v/>
      </c>
      <c r="S338" s="7">
        <f>'3 escalar'!R341</f>
        <v/>
      </c>
      <c r="T338" s="7">
        <f>'3 escalar'!S341</f>
        <v/>
      </c>
      <c r="U338" s="7">
        <f>'3 escalar'!T341</f>
        <v/>
      </c>
      <c r="V338" s="6">
        <f>$AC$12+D338*$AC$13+E338*$AC$14+F338*$AC$15+G338*$AC$16+H338*$AC$17+I338*$AC$18+J338*$AC$19+K338*$AC$20+L338*$AC$21+M338*$AC$22+N338*$AC$23+O338*$AC$24+P338*$AC$25+Q338*$AC$26+R338*$AC$27+S338*$AC$28+T338*$AC$29+U338*$AC$30</f>
        <v/>
      </c>
      <c r="W338" s="6">
        <f>1/(1+EXP(-V338))</f>
        <v/>
      </c>
      <c r="X338" s="8">
        <f>-IF(C338=1,LN(W338),LN(1-W338))</f>
        <v/>
      </c>
      <c r="Y338" s="9">
        <f>IF(W338&gt;$AC$32,1,0)</f>
        <v/>
      </c>
      <c r="Z338">
        <f>IF(Y338=C338,1,0)</f>
        <v/>
      </c>
    </row>
    <row r="339">
      <c r="A339">
        <f>'3 escalar'!A342</f>
        <v/>
      </c>
      <c r="B339" s="5">
        <f>'3 escalar'!U342</f>
        <v/>
      </c>
      <c r="C339">
        <f>'3 escalar'!B342</f>
        <v/>
      </c>
      <c r="D339" s="7">
        <f>'3 escalar'!C342</f>
        <v/>
      </c>
      <c r="E339" s="7">
        <f>'3 escalar'!D342</f>
        <v/>
      </c>
      <c r="F339" s="7">
        <f>'3 escalar'!E342</f>
        <v/>
      </c>
      <c r="G339" s="7">
        <f>'3 escalar'!F342</f>
        <v/>
      </c>
      <c r="H339" s="7">
        <f>'3 escalar'!G342</f>
        <v/>
      </c>
      <c r="I339" s="7">
        <f>'3 escalar'!H342</f>
        <v/>
      </c>
      <c r="J339" s="7">
        <f>'3 escalar'!I342</f>
        <v/>
      </c>
      <c r="K339" s="7">
        <f>'3 escalar'!J342</f>
        <v/>
      </c>
      <c r="L339" s="7">
        <f>'3 escalar'!K342</f>
        <v/>
      </c>
      <c r="M339" s="7">
        <f>'3 escalar'!L342</f>
        <v/>
      </c>
      <c r="N339" s="7">
        <f>'3 escalar'!M342</f>
        <v/>
      </c>
      <c r="O339" s="7">
        <f>'3 escalar'!N342</f>
        <v/>
      </c>
      <c r="P339" s="7">
        <f>'3 escalar'!O342</f>
        <v/>
      </c>
      <c r="Q339" s="7">
        <f>'3 escalar'!P342</f>
        <v/>
      </c>
      <c r="R339" s="7">
        <f>'3 escalar'!Q342</f>
        <v/>
      </c>
      <c r="S339" s="7">
        <f>'3 escalar'!R342</f>
        <v/>
      </c>
      <c r="T339" s="7">
        <f>'3 escalar'!S342</f>
        <v/>
      </c>
      <c r="U339" s="7">
        <f>'3 escalar'!T342</f>
        <v/>
      </c>
      <c r="V339" s="6">
        <f>$AC$12+D339*$AC$13+E339*$AC$14+F339*$AC$15+G339*$AC$16+H339*$AC$17+I339*$AC$18+J339*$AC$19+K339*$AC$20+L339*$AC$21+M339*$AC$22+N339*$AC$23+O339*$AC$24+P339*$AC$25+Q339*$AC$26+R339*$AC$27+S339*$AC$28+T339*$AC$29+U339*$AC$30</f>
        <v/>
      </c>
      <c r="W339" s="6">
        <f>1/(1+EXP(-V339))</f>
        <v/>
      </c>
      <c r="X339" s="8">
        <f>-IF(C339=1,LN(W339),LN(1-W339))</f>
        <v/>
      </c>
      <c r="Y339" s="9">
        <f>IF(W339&gt;$AC$32,1,0)</f>
        <v/>
      </c>
      <c r="Z339">
        <f>IF(Y339=C339,1,0)</f>
        <v/>
      </c>
    </row>
    <row r="340">
      <c r="A340">
        <f>'3 escalar'!A343</f>
        <v/>
      </c>
      <c r="B340" s="5">
        <f>'3 escalar'!U343</f>
        <v/>
      </c>
      <c r="C340">
        <f>'3 escalar'!B343</f>
        <v/>
      </c>
      <c r="D340" s="7">
        <f>'3 escalar'!C343</f>
        <v/>
      </c>
      <c r="E340" s="7">
        <f>'3 escalar'!D343</f>
        <v/>
      </c>
      <c r="F340" s="7">
        <f>'3 escalar'!E343</f>
        <v/>
      </c>
      <c r="G340" s="7">
        <f>'3 escalar'!F343</f>
        <v/>
      </c>
      <c r="H340" s="7">
        <f>'3 escalar'!G343</f>
        <v/>
      </c>
      <c r="I340" s="7">
        <f>'3 escalar'!H343</f>
        <v/>
      </c>
      <c r="J340" s="7">
        <f>'3 escalar'!I343</f>
        <v/>
      </c>
      <c r="K340" s="7">
        <f>'3 escalar'!J343</f>
        <v/>
      </c>
      <c r="L340" s="7">
        <f>'3 escalar'!K343</f>
        <v/>
      </c>
      <c r="M340" s="7">
        <f>'3 escalar'!L343</f>
        <v/>
      </c>
      <c r="N340" s="7">
        <f>'3 escalar'!M343</f>
        <v/>
      </c>
      <c r="O340" s="7">
        <f>'3 escalar'!N343</f>
        <v/>
      </c>
      <c r="P340" s="7">
        <f>'3 escalar'!O343</f>
        <v/>
      </c>
      <c r="Q340" s="7">
        <f>'3 escalar'!P343</f>
        <v/>
      </c>
      <c r="R340" s="7">
        <f>'3 escalar'!Q343</f>
        <v/>
      </c>
      <c r="S340" s="7">
        <f>'3 escalar'!R343</f>
        <v/>
      </c>
      <c r="T340" s="7">
        <f>'3 escalar'!S343</f>
        <v/>
      </c>
      <c r="U340" s="7">
        <f>'3 escalar'!T343</f>
        <v/>
      </c>
      <c r="V340" s="6">
        <f>$AC$12+D340*$AC$13+E340*$AC$14+F340*$AC$15+G340*$AC$16+H340*$AC$17+I340*$AC$18+J340*$AC$19+K340*$AC$20+L340*$AC$21+M340*$AC$22+N340*$AC$23+O340*$AC$24+P340*$AC$25+Q340*$AC$26+R340*$AC$27+S340*$AC$28+T340*$AC$29+U340*$AC$30</f>
        <v/>
      </c>
      <c r="W340" s="6">
        <f>1/(1+EXP(-V340))</f>
        <v/>
      </c>
      <c r="X340" s="8">
        <f>-IF(C340=1,LN(W340),LN(1-W340))</f>
        <v/>
      </c>
      <c r="Y340" s="9">
        <f>IF(W340&gt;$AC$32,1,0)</f>
        <v/>
      </c>
      <c r="Z340">
        <f>IF(Y340=C340,1,0)</f>
        <v/>
      </c>
    </row>
    <row r="341">
      <c r="A341">
        <f>'3 escalar'!A344</f>
        <v/>
      </c>
      <c r="B341" s="5">
        <f>'3 escalar'!U344</f>
        <v/>
      </c>
      <c r="C341">
        <f>'3 escalar'!B344</f>
        <v/>
      </c>
      <c r="D341" s="7">
        <f>'3 escalar'!C344</f>
        <v/>
      </c>
      <c r="E341" s="7">
        <f>'3 escalar'!D344</f>
        <v/>
      </c>
      <c r="F341" s="7">
        <f>'3 escalar'!E344</f>
        <v/>
      </c>
      <c r="G341" s="7">
        <f>'3 escalar'!F344</f>
        <v/>
      </c>
      <c r="H341" s="7">
        <f>'3 escalar'!G344</f>
        <v/>
      </c>
      <c r="I341" s="7">
        <f>'3 escalar'!H344</f>
        <v/>
      </c>
      <c r="J341" s="7">
        <f>'3 escalar'!I344</f>
        <v/>
      </c>
      <c r="K341" s="7">
        <f>'3 escalar'!J344</f>
        <v/>
      </c>
      <c r="L341" s="7">
        <f>'3 escalar'!K344</f>
        <v/>
      </c>
      <c r="M341" s="7">
        <f>'3 escalar'!L344</f>
        <v/>
      </c>
      <c r="N341" s="7">
        <f>'3 escalar'!M344</f>
        <v/>
      </c>
      <c r="O341" s="7">
        <f>'3 escalar'!N344</f>
        <v/>
      </c>
      <c r="P341" s="7">
        <f>'3 escalar'!O344</f>
        <v/>
      </c>
      <c r="Q341" s="7">
        <f>'3 escalar'!P344</f>
        <v/>
      </c>
      <c r="R341" s="7">
        <f>'3 escalar'!Q344</f>
        <v/>
      </c>
      <c r="S341" s="7">
        <f>'3 escalar'!R344</f>
        <v/>
      </c>
      <c r="T341" s="7">
        <f>'3 escalar'!S344</f>
        <v/>
      </c>
      <c r="U341" s="7">
        <f>'3 escalar'!T344</f>
        <v/>
      </c>
      <c r="V341" s="6">
        <f>$AC$12+D341*$AC$13+E341*$AC$14+F341*$AC$15+G341*$AC$16+H341*$AC$17+I341*$AC$18+J341*$AC$19+K341*$AC$20+L341*$AC$21+M341*$AC$22+N341*$AC$23+O341*$AC$24+P341*$AC$25+Q341*$AC$26+R341*$AC$27+S341*$AC$28+T341*$AC$29+U341*$AC$30</f>
        <v/>
      </c>
      <c r="W341" s="6">
        <f>1/(1+EXP(-V341))</f>
        <v/>
      </c>
      <c r="X341" s="8">
        <f>-IF(C341=1,LN(W341),LN(1-W341))</f>
        <v/>
      </c>
      <c r="Y341" s="9">
        <f>IF(W341&gt;$AC$32,1,0)</f>
        <v/>
      </c>
      <c r="Z341">
        <f>IF(Y341=C341,1,0)</f>
        <v/>
      </c>
    </row>
    <row r="342">
      <c r="A342">
        <f>'3 escalar'!A345</f>
        <v/>
      </c>
      <c r="B342" s="5">
        <f>'3 escalar'!U345</f>
        <v/>
      </c>
      <c r="C342">
        <f>'3 escalar'!B345</f>
        <v/>
      </c>
      <c r="D342" s="7">
        <f>'3 escalar'!C345</f>
        <v/>
      </c>
      <c r="E342" s="7">
        <f>'3 escalar'!D345</f>
        <v/>
      </c>
      <c r="F342" s="7">
        <f>'3 escalar'!E345</f>
        <v/>
      </c>
      <c r="G342" s="7">
        <f>'3 escalar'!F345</f>
        <v/>
      </c>
      <c r="H342" s="7">
        <f>'3 escalar'!G345</f>
        <v/>
      </c>
      <c r="I342" s="7">
        <f>'3 escalar'!H345</f>
        <v/>
      </c>
      <c r="J342" s="7">
        <f>'3 escalar'!I345</f>
        <v/>
      </c>
      <c r="K342" s="7">
        <f>'3 escalar'!J345</f>
        <v/>
      </c>
      <c r="L342" s="7">
        <f>'3 escalar'!K345</f>
        <v/>
      </c>
      <c r="M342" s="7">
        <f>'3 escalar'!L345</f>
        <v/>
      </c>
      <c r="N342" s="7">
        <f>'3 escalar'!M345</f>
        <v/>
      </c>
      <c r="O342" s="7">
        <f>'3 escalar'!N345</f>
        <v/>
      </c>
      <c r="P342" s="7">
        <f>'3 escalar'!O345</f>
        <v/>
      </c>
      <c r="Q342" s="7">
        <f>'3 escalar'!P345</f>
        <v/>
      </c>
      <c r="R342" s="7">
        <f>'3 escalar'!Q345</f>
        <v/>
      </c>
      <c r="S342" s="7">
        <f>'3 escalar'!R345</f>
        <v/>
      </c>
      <c r="T342" s="7">
        <f>'3 escalar'!S345</f>
        <v/>
      </c>
      <c r="U342" s="7">
        <f>'3 escalar'!T345</f>
        <v/>
      </c>
      <c r="V342" s="6">
        <f>$AC$12+D342*$AC$13+E342*$AC$14+F342*$AC$15+G342*$AC$16+H342*$AC$17+I342*$AC$18+J342*$AC$19+K342*$AC$20+L342*$AC$21+M342*$AC$22+N342*$AC$23+O342*$AC$24+P342*$AC$25+Q342*$AC$26+R342*$AC$27+S342*$AC$28+T342*$AC$29+U342*$AC$30</f>
        <v/>
      </c>
      <c r="W342" s="6">
        <f>1/(1+EXP(-V342))</f>
        <v/>
      </c>
      <c r="X342" s="8">
        <f>-IF(C342=1,LN(W342),LN(1-W342))</f>
        <v/>
      </c>
      <c r="Y342" s="9">
        <f>IF(W342&gt;$AC$32,1,0)</f>
        <v/>
      </c>
      <c r="Z342">
        <f>IF(Y342=C342,1,0)</f>
        <v/>
      </c>
    </row>
    <row r="343">
      <c r="A343">
        <f>'3 escalar'!A346</f>
        <v/>
      </c>
      <c r="B343" s="5">
        <f>'3 escalar'!U346</f>
        <v/>
      </c>
      <c r="C343">
        <f>'3 escalar'!B346</f>
        <v/>
      </c>
      <c r="D343" s="7">
        <f>'3 escalar'!C346</f>
        <v/>
      </c>
      <c r="E343" s="7">
        <f>'3 escalar'!D346</f>
        <v/>
      </c>
      <c r="F343" s="7">
        <f>'3 escalar'!E346</f>
        <v/>
      </c>
      <c r="G343" s="7">
        <f>'3 escalar'!F346</f>
        <v/>
      </c>
      <c r="H343" s="7">
        <f>'3 escalar'!G346</f>
        <v/>
      </c>
      <c r="I343" s="7">
        <f>'3 escalar'!H346</f>
        <v/>
      </c>
      <c r="J343" s="7">
        <f>'3 escalar'!I346</f>
        <v/>
      </c>
      <c r="K343" s="7">
        <f>'3 escalar'!J346</f>
        <v/>
      </c>
      <c r="L343" s="7">
        <f>'3 escalar'!K346</f>
        <v/>
      </c>
      <c r="M343" s="7">
        <f>'3 escalar'!L346</f>
        <v/>
      </c>
      <c r="N343" s="7">
        <f>'3 escalar'!M346</f>
        <v/>
      </c>
      <c r="O343" s="7">
        <f>'3 escalar'!N346</f>
        <v/>
      </c>
      <c r="P343" s="7">
        <f>'3 escalar'!O346</f>
        <v/>
      </c>
      <c r="Q343" s="7">
        <f>'3 escalar'!P346</f>
        <v/>
      </c>
      <c r="R343" s="7">
        <f>'3 escalar'!Q346</f>
        <v/>
      </c>
      <c r="S343" s="7">
        <f>'3 escalar'!R346</f>
        <v/>
      </c>
      <c r="T343" s="7">
        <f>'3 escalar'!S346</f>
        <v/>
      </c>
      <c r="U343" s="7">
        <f>'3 escalar'!T346</f>
        <v/>
      </c>
      <c r="V343" s="6">
        <f>$AC$12+D343*$AC$13+E343*$AC$14+F343*$AC$15+G343*$AC$16+H343*$AC$17+I343*$AC$18+J343*$AC$19+K343*$AC$20+L343*$AC$21+M343*$AC$22+N343*$AC$23+O343*$AC$24+P343*$AC$25+Q343*$AC$26+R343*$AC$27+S343*$AC$28+T343*$AC$29+U343*$AC$30</f>
        <v/>
      </c>
      <c r="W343" s="6">
        <f>1/(1+EXP(-V343))</f>
        <v/>
      </c>
      <c r="X343" s="8">
        <f>-IF(C343=1,LN(W343),LN(1-W343))</f>
        <v/>
      </c>
      <c r="Y343" s="9">
        <f>IF(W343&gt;$AC$32,1,0)</f>
        <v/>
      </c>
      <c r="Z343">
        <f>IF(Y343=C343,1,0)</f>
        <v/>
      </c>
    </row>
    <row r="344">
      <c r="A344">
        <f>'3 escalar'!A347</f>
        <v/>
      </c>
      <c r="B344" s="5">
        <f>'3 escalar'!U347</f>
        <v/>
      </c>
      <c r="C344">
        <f>'3 escalar'!B347</f>
        <v/>
      </c>
      <c r="D344" s="7">
        <f>'3 escalar'!C347</f>
        <v/>
      </c>
      <c r="E344" s="7">
        <f>'3 escalar'!D347</f>
        <v/>
      </c>
      <c r="F344" s="7">
        <f>'3 escalar'!E347</f>
        <v/>
      </c>
      <c r="G344" s="7">
        <f>'3 escalar'!F347</f>
        <v/>
      </c>
      <c r="H344" s="7">
        <f>'3 escalar'!G347</f>
        <v/>
      </c>
      <c r="I344" s="7">
        <f>'3 escalar'!H347</f>
        <v/>
      </c>
      <c r="J344" s="7">
        <f>'3 escalar'!I347</f>
        <v/>
      </c>
      <c r="K344" s="7">
        <f>'3 escalar'!J347</f>
        <v/>
      </c>
      <c r="L344" s="7">
        <f>'3 escalar'!K347</f>
        <v/>
      </c>
      <c r="M344" s="7">
        <f>'3 escalar'!L347</f>
        <v/>
      </c>
      <c r="N344" s="7">
        <f>'3 escalar'!M347</f>
        <v/>
      </c>
      <c r="O344" s="7">
        <f>'3 escalar'!N347</f>
        <v/>
      </c>
      <c r="P344" s="7">
        <f>'3 escalar'!O347</f>
        <v/>
      </c>
      <c r="Q344" s="7">
        <f>'3 escalar'!P347</f>
        <v/>
      </c>
      <c r="R344" s="7">
        <f>'3 escalar'!Q347</f>
        <v/>
      </c>
      <c r="S344" s="7">
        <f>'3 escalar'!R347</f>
        <v/>
      </c>
      <c r="T344" s="7">
        <f>'3 escalar'!S347</f>
        <v/>
      </c>
      <c r="U344" s="7">
        <f>'3 escalar'!T347</f>
        <v/>
      </c>
      <c r="V344" s="6">
        <f>$AC$12+D344*$AC$13+E344*$AC$14+F344*$AC$15+G344*$AC$16+H344*$AC$17+I344*$AC$18+J344*$AC$19+K344*$AC$20+L344*$AC$21+M344*$AC$22+N344*$AC$23+O344*$AC$24+P344*$AC$25+Q344*$AC$26+R344*$AC$27+S344*$AC$28+T344*$AC$29+U344*$AC$30</f>
        <v/>
      </c>
      <c r="W344" s="6">
        <f>1/(1+EXP(-V344))</f>
        <v/>
      </c>
      <c r="X344" s="8">
        <f>-IF(C344=1,LN(W344),LN(1-W344))</f>
        <v/>
      </c>
      <c r="Y344" s="9">
        <f>IF(W344&gt;$AC$32,1,0)</f>
        <v/>
      </c>
      <c r="Z344">
        <f>IF(Y344=C344,1,0)</f>
        <v/>
      </c>
    </row>
    <row r="345">
      <c r="A345">
        <f>'3 escalar'!A348</f>
        <v/>
      </c>
      <c r="B345" s="5">
        <f>'3 escalar'!U348</f>
        <v/>
      </c>
      <c r="C345">
        <f>'3 escalar'!B348</f>
        <v/>
      </c>
      <c r="D345" s="7">
        <f>'3 escalar'!C348</f>
        <v/>
      </c>
      <c r="E345" s="7">
        <f>'3 escalar'!D348</f>
        <v/>
      </c>
      <c r="F345" s="7">
        <f>'3 escalar'!E348</f>
        <v/>
      </c>
      <c r="G345" s="7">
        <f>'3 escalar'!F348</f>
        <v/>
      </c>
      <c r="H345" s="7">
        <f>'3 escalar'!G348</f>
        <v/>
      </c>
      <c r="I345" s="7">
        <f>'3 escalar'!H348</f>
        <v/>
      </c>
      <c r="J345" s="7">
        <f>'3 escalar'!I348</f>
        <v/>
      </c>
      <c r="K345" s="7">
        <f>'3 escalar'!J348</f>
        <v/>
      </c>
      <c r="L345" s="7">
        <f>'3 escalar'!K348</f>
        <v/>
      </c>
      <c r="M345" s="7">
        <f>'3 escalar'!L348</f>
        <v/>
      </c>
      <c r="N345" s="7">
        <f>'3 escalar'!M348</f>
        <v/>
      </c>
      <c r="O345" s="7">
        <f>'3 escalar'!N348</f>
        <v/>
      </c>
      <c r="P345" s="7">
        <f>'3 escalar'!O348</f>
        <v/>
      </c>
      <c r="Q345" s="7">
        <f>'3 escalar'!P348</f>
        <v/>
      </c>
      <c r="R345" s="7">
        <f>'3 escalar'!Q348</f>
        <v/>
      </c>
      <c r="S345" s="7">
        <f>'3 escalar'!R348</f>
        <v/>
      </c>
      <c r="T345" s="7">
        <f>'3 escalar'!S348</f>
        <v/>
      </c>
      <c r="U345" s="7">
        <f>'3 escalar'!T348</f>
        <v/>
      </c>
      <c r="V345" s="6">
        <f>$AC$12+D345*$AC$13+E345*$AC$14+F345*$AC$15+G345*$AC$16+H345*$AC$17+I345*$AC$18+J345*$AC$19+K345*$AC$20+L345*$AC$21+M345*$AC$22+N345*$AC$23+O345*$AC$24+P345*$AC$25+Q345*$AC$26+R345*$AC$27+S345*$AC$28+T345*$AC$29+U345*$AC$30</f>
        <v/>
      </c>
      <c r="W345" s="6">
        <f>1/(1+EXP(-V345))</f>
        <v/>
      </c>
      <c r="X345" s="8">
        <f>-IF(C345=1,LN(W345),LN(1-W345))</f>
        <v/>
      </c>
      <c r="Y345" s="9">
        <f>IF(W345&gt;$AC$32,1,0)</f>
        <v/>
      </c>
      <c r="Z345">
        <f>IF(Y345=C345,1,0)</f>
        <v/>
      </c>
    </row>
    <row r="346">
      <c r="A346">
        <f>'3 escalar'!A349</f>
        <v/>
      </c>
      <c r="B346" s="5">
        <f>'3 escalar'!U349</f>
        <v/>
      </c>
      <c r="C346">
        <f>'3 escalar'!B349</f>
        <v/>
      </c>
      <c r="D346" s="7">
        <f>'3 escalar'!C349</f>
        <v/>
      </c>
      <c r="E346" s="7">
        <f>'3 escalar'!D349</f>
        <v/>
      </c>
      <c r="F346" s="7">
        <f>'3 escalar'!E349</f>
        <v/>
      </c>
      <c r="G346" s="7">
        <f>'3 escalar'!F349</f>
        <v/>
      </c>
      <c r="H346" s="7">
        <f>'3 escalar'!G349</f>
        <v/>
      </c>
      <c r="I346" s="7">
        <f>'3 escalar'!H349</f>
        <v/>
      </c>
      <c r="J346" s="7">
        <f>'3 escalar'!I349</f>
        <v/>
      </c>
      <c r="K346" s="7">
        <f>'3 escalar'!J349</f>
        <v/>
      </c>
      <c r="L346" s="7">
        <f>'3 escalar'!K349</f>
        <v/>
      </c>
      <c r="M346" s="7">
        <f>'3 escalar'!L349</f>
        <v/>
      </c>
      <c r="N346" s="7">
        <f>'3 escalar'!M349</f>
        <v/>
      </c>
      <c r="O346" s="7">
        <f>'3 escalar'!N349</f>
        <v/>
      </c>
      <c r="P346" s="7">
        <f>'3 escalar'!O349</f>
        <v/>
      </c>
      <c r="Q346" s="7">
        <f>'3 escalar'!P349</f>
        <v/>
      </c>
      <c r="R346" s="7">
        <f>'3 escalar'!Q349</f>
        <v/>
      </c>
      <c r="S346" s="7">
        <f>'3 escalar'!R349</f>
        <v/>
      </c>
      <c r="T346" s="7">
        <f>'3 escalar'!S349</f>
        <v/>
      </c>
      <c r="U346" s="7">
        <f>'3 escalar'!T349</f>
        <v/>
      </c>
      <c r="V346" s="6">
        <f>$AC$12+D346*$AC$13+E346*$AC$14+F346*$AC$15+G346*$AC$16+H346*$AC$17+I346*$AC$18+J346*$AC$19+K346*$AC$20+L346*$AC$21+M346*$AC$22+N346*$AC$23+O346*$AC$24+P346*$AC$25+Q346*$AC$26+R346*$AC$27+S346*$AC$28+T346*$AC$29+U346*$AC$30</f>
        <v/>
      </c>
      <c r="W346" s="6">
        <f>1/(1+EXP(-V346))</f>
        <v/>
      </c>
      <c r="X346" s="8">
        <f>-IF(C346=1,LN(W346),LN(1-W346))</f>
        <v/>
      </c>
      <c r="Y346" s="9">
        <f>IF(W346&gt;$AC$32,1,0)</f>
        <v/>
      </c>
      <c r="Z346">
        <f>IF(Y346=C346,1,0)</f>
        <v/>
      </c>
    </row>
    <row r="347">
      <c r="A347">
        <f>'3 escalar'!A350</f>
        <v/>
      </c>
      <c r="B347" s="5">
        <f>'3 escalar'!U350</f>
        <v/>
      </c>
      <c r="C347">
        <f>'3 escalar'!B350</f>
        <v/>
      </c>
      <c r="D347" s="7">
        <f>'3 escalar'!C350</f>
        <v/>
      </c>
      <c r="E347" s="7">
        <f>'3 escalar'!D350</f>
        <v/>
      </c>
      <c r="F347" s="7">
        <f>'3 escalar'!E350</f>
        <v/>
      </c>
      <c r="G347" s="7">
        <f>'3 escalar'!F350</f>
        <v/>
      </c>
      <c r="H347" s="7">
        <f>'3 escalar'!G350</f>
        <v/>
      </c>
      <c r="I347" s="7">
        <f>'3 escalar'!H350</f>
        <v/>
      </c>
      <c r="J347" s="7">
        <f>'3 escalar'!I350</f>
        <v/>
      </c>
      <c r="K347" s="7">
        <f>'3 escalar'!J350</f>
        <v/>
      </c>
      <c r="L347" s="7">
        <f>'3 escalar'!K350</f>
        <v/>
      </c>
      <c r="M347" s="7">
        <f>'3 escalar'!L350</f>
        <v/>
      </c>
      <c r="N347" s="7">
        <f>'3 escalar'!M350</f>
        <v/>
      </c>
      <c r="O347" s="7">
        <f>'3 escalar'!N350</f>
        <v/>
      </c>
      <c r="P347" s="7">
        <f>'3 escalar'!O350</f>
        <v/>
      </c>
      <c r="Q347" s="7">
        <f>'3 escalar'!P350</f>
        <v/>
      </c>
      <c r="R347" s="7">
        <f>'3 escalar'!Q350</f>
        <v/>
      </c>
      <c r="S347" s="7">
        <f>'3 escalar'!R350</f>
        <v/>
      </c>
      <c r="T347" s="7">
        <f>'3 escalar'!S350</f>
        <v/>
      </c>
      <c r="U347" s="7">
        <f>'3 escalar'!T350</f>
        <v/>
      </c>
      <c r="V347" s="6">
        <f>$AC$12+D347*$AC$13+E347*$AC$14+F347*$AC$15+G347*$AC$16+H347*$AC$17+I347*$AC$18+J347*$AC$19+K347*$AC$20+L347*$AC$21+M347*$AC$22+N347*$AC$23+O347*$AC$24+P347*$AC$25+Q347*$AC$26+R347*$AC$27+S347*$AC$28+T347*$AC$29+U347*$AC$30</f>
        <v/>
      </c>
      <c r="W347" s="6">
        <f>1/(1+EXP(-V347))</f>
        <v/>
      </c>
      <c r="X347" s="8">
        <f>-IF(C347=1,LN(W347),LN(1-W347))</f>
        <v/>
      </c>
      <c r="Y347" s="9">
        <f>IF(W347&gt;$AC$32,1,0)</f>
        <v/>
      </c>
      <c r="Z347">
        <f>IF(Y347=C347,1,0)</f>
        <v/>
      </c>
    </row>
    <row r="348">
      <c r="A348">
        <f>'3 escalar'!A351</f>
        <v/>
      </c>
      <c r="B348" s="5">
        <f>'3 escalar'!U351</f>
        <v/>
      </c>
      <c r="C348">
        <f>'3 escalar'!B351</f>
        <v/>
      </c>
      <c r="D348" s="7">
        <f>'3 escalar'!C351</f>
        <v/>
      </c>
      <c r="E348" s="7">
        <f>'3 escalar'!D351</f>
        <v/>
      </c>
      <c r="F348" s="7">
        <f>'3 escalar'!E351</f>
        <v/>
      </c>
      <c r="G348" s="7">
        <f>'3 escalar'!F351</f>
        <v/>
      </c>
      <c r="H348" s="7">
        <f>'3 escalar'!G351</f>
        <v/>
      </c>
      <c r="I348" s="7">
        <f>'3 escalar'!H351</f>
        <v/>
      </c>
      <c r="J348" s="7">
        <f>'3 escalar'!I351</f>
        <v/>
      </c>
      <c r="K348" s="7">
        <f>'3 escalar'!J351</f>
        <v/>
      </c>
      <c r="L348" s="7">
        <f>'3 escalar'!K351</f>
        <v/>
      </c>
      <c r="M348" s="7">
        <f>'3 escalar'!L351</f>
        <v/>
      </c>
      <c r="N348" s="7">
        <f>'3 escalar'!M351</f>
        <v/>
      </c>
      <c r="O348" s="7">
        <f>'3 escalar'!N351</f>
        <v/>
      </c>
      <c r="P348" s="7">
        <f>'3 escalar'!O351</f>
        <v/>
      </c>
      <c r="Q348" s="7">
        <f>'3 escalar'!P351</f>
        <v/>
      </c>
      <c r="R348" s="7">
        <f>'3 escalar'!Q351</f>
        <v/>
      </c>
      <c r="S348" s="7">
        <f>'3 escalar'!R351</f>
        <v/>
      </c>
      <c r="T348" s="7">
        <f>'3 escalar'!S351</f>
        <v/>
      </c>
      <c r="U348" s="7">
        <f>'3 escalar'!T351</f>
        <v/>
      </c>
      <c r="V348" s="6">
        <f>$AC$12+D348*$AC$13+E348*$AC$14+F348*$AC$15+G348*$AC$16+H348*$AC$17+I348*$AC$18+J348*$AC$19+K348*$AC$20+L348*$AC$21+M348*$AC$22+N348*$AC$23+O348*$AC$24+P348*$AC$25+Q348*$AC$26+R348*$AC$27+S348*$AC$28+T348*$AC$29+U348*$AC$30</f>
        <v/>
      </c>
      <c r="W348" s="6">
        <f>1/(1+EXP(-V348))</f>
        <v/>
      </c>
      <c r="X348" s="8">
        <f>-IF(C348=1,LN(W348),LN(1-W348))</f>
        <v/>
      </c>
      <c r="Y348" s="9">
        <f>IF(W348&gt;$AC$32,1,0)</f>
        <v/>
      </c>
      <c r="Z348">
        <f>IF(Y348=C348,1,0)</f>
        <v/>
      </c>
    </row>
    <row r="349">
      <c r="A349">
        <f>'3 escalar'!A352</f>
        <v/>
      </c>
      <c r="B349" s="5">
        <f>'3 escalar'!U352</f>
        <v/>
      </c>
      <c r="C349">
        <f>'3 escalar'!B352</f>
        <v/>
      </c>
      <c r="D349" s="7">
        <f>'3 escalar'!C352</f>
        <v/>
      </c>
      <c r="E349" s="7">
        <f>'3 escalar'!D352</f>
        <v/>
      </c>
      <c r="F349" s="7">
        <f>'3 escalar'!E352</f>
        <v/>
      </c>
      <c r="G349" s="7">
        <f>'3 escalar'!F352</f>
        <v/>
      </c>
      <c r="H349" s="7">
        <f>'3 escalar'!G352</f>
        <v/>
      </c>
      <c r="I349" s="7">
        <f>'3 escalar'!H352</f>
        <v/>
      </c>
      <c r="J349" s="7">
        <f>'3 escalar'!I352</f>
        <v/>
      </c>
      <c r="K349" s="7">
        <f>'3 escalar'!J352</f>
        <v/>
      </c>
      <c r="L349" s="7">
        <f>'3 escalar'!K352</f>
        <v/>
      </c>
      <c r="M349" s="7">
        <f>'3 escalar'!L352</f>
        <v/>
      </c>
      <c r="N349" s="7">
        <f>'3 escalar'!M352</f>
        <v/>
      </c>
      <c r="O349" s="7">
        <f>'3 escalar'!N352</f>
        <v/>
      </c>
      <c r="P349" s="7">
        <f>'3 escalar'!O352</f>
        <v/>
      </c>
      <c r="Q349" s="7">
        <f>'3 escalar'!P352</f>
        <v/>
      </c>
      <c r="R349" s="7">
        <f>'3 escalar'!Q352</f>
        <v/>
      </c>
      <c r="S349" s="7">
        <f>'3 escalar'!R352</f>
        <v/>
      </c>
      <c r="T349" s="7">
        <f>'3 escalar'!S352</f>
        <v/>
      </c>
      <c r="U349" s="7">
        <f>'3 escalar'!T352</f>
        <v/>
      </c>
      <c r="V349" s="6">
        <f>$AC$12+D349*$AC$13+E349*$AC$14+F349*$AC$15+G349*$AC$16+H349*$AC$17+I349*$AC$18+J349*$AC$19+K349*$AC$20+L349*$AC$21+M349*$AC$22+N349*$AC$23+O349*$AC$24+P349*$AC$25+Q349*$AC$26+R349*$AC$27+S349*$AC$28+T349*$AC$29+U349*$AC$30</f>
        <v/>
      </c>
      <c r="W349" s="6">
        <f>1/(1+EXP(-V349))</f>
        <v/>
      </c>
      <c r="X349" s="8">
        <f>-IF(C349=1,LN(W349),LN(1-W349))</f>
        <v/>
      </c>
      <c r="Y349" s="9">
        <f>IF(W349&gt;$AC$32,1,0)</f>
        <v/>
      </c>
      <c r="Z349">
        <f>IF(Y349=C349,1,0)</f>
        <v/>
      </c>
    </row>
    <row r="350">
      <c r="A350">
        <f>'3 escalar'!A353</f>
        <v/>
      </c>
      <c r="B350" s="5">
        <f>'3 escalar'!U353</f>
        <v/>
      </c>
      <c r="C350">
        <f>'3 escalar'!B353</f>
        <v/>
      </c>
      <c r="D350" s="7">
        <f>'3 escalar'!C353</f>
        <v/>
      </c>
      <c r="E350" s="7">
        <f>'3 escalar'!D353</f>
        <v/>
      </c>
      <c r="F350" s="7">
        <f>'3 escalar'!E353</f>
        <v/>
      </c>
      <c r="G350" s="7">
        <f>'3 escalar'!F353</f>
        <v/>
      </c>
      <c r="H350" s="7">
        <f>'3 escalar'!G353</f>
        <v/>
      </c>
      <c r="I350" s="7">
        <f>'3 escalar'!H353</f>
        <v/>
      </c>
      <c r="J350" s="7">
        <f>'3 escalar'!I353</f>
        <v/>
      </c>
      <c r="K350" s="7">
        <f>'3 escalar'!J353</f>
        <v/>
      </c>
      <c r="L350" s="7">
        <f>'3 escalar'!K353</f>
        <v/>
      </c>
      <c r="M350" s="7">
        <f>'3 escalar'!L353</f>
        <v/>
      </c>
      <c r="N350" s="7">
        <f>'3 escalar'!M353</f>
        <v/>
      </c>
      <c r="O350" s="7">
        <f>'3 escalar'!N353</f>
        <v/>
      </c>
      <c r="P350" s="7">
        <f>'3 escalar'!O353</f>
        <v/>
      </c>
      <c r="Q350" s="7">
        <f>'3 escalar'!P353</f>
        <v/>
      </c>
      <c r="R350" s="7">
        <f>'3 escalar'!Q353</f>
        <v/>
      </c>
      <c r="S350" s="7">
        <f>'3 escalar'!R353</f>
        <v/>
      </c>
      <c r="T350" s="7">
        <f>'3 escalar'!S353</f>
        <v/>
      </c>
      <c r="U350" s="7">
        <f>'3 escalar'!T353</f>
        <v/>
      </c>
      <c r="V350" s="6">
        <f>$AC$12+D350*$AC$13+E350*$AC$14+F350*$AC$15+G350*$AC$16+H350*$AC$17+I350*$AC$18+J350*$AC$19+K350*$AC$20+L350*$AC$21+M350*$AC$22+N350*$AC$23+O350*$AC$24+P350*$AC$25+Q350*$AC$26+R350*$AC$27+S350*$AC$28+T350*$AC$29+U350*$AC$30</f>
        <v/>
      </c>
      <c r="W350" s="6">
        <f>1/(1+EXP(-V350))</f>
        <v/>
      </c>
      <c r="X350" s="8">
        <f>-IF(C350=1,LN(W350),LN(1-W350))</f>
        <v/>
      </c>
      <c r="Y350" s="9">
        <f>IF(W350&gt;$AC$32,1,0)</f>
        <v/>
      </c>
      <c r="Z350">
        <f>IF(Y350=C350,1,0)</f>
        <v/>
      </c>
    </row>
    <row r="351">
      <c r="A351">
        <f>'3 escalar'!A354</f>
        <v/>
      </c>
      <c r="B351" s="5">
        <f>'3 escalar'!U354</f>
        <v/>
      </c>
      <c r="C351">
        <f>'3 escalar'!B354</f>
        <v/>
      </c>
      <c r="D351" s="7">
        <f>'3 escalar'!C354</f>
        <v/>
      </c>
      <c r="E351" s="7">
        <f>'3 escalar'!D354</f>
        <v/>
      </c>
      <c r="F351" s="7">
        <f>'3 escalar'!E354</f>
        <v/>
      </c>
      <c r="G351" s="7">
        <f>'3 escalar'!F354</f>
        <v/>
      </c>
      <c r="H351" s="7">
        <f>'3 escalar'!G354</f>
        <v/>
      </c>
      <c r="I351" s="7">
        <f>'3 escalar'!H354</f>
        <v/>
      </c>
      <c r="J351" s="7">
        <f>'3 escalar'!I354</f>
        <v/>
      </c>
      <c r="K351" s="7">
        <f>'3 escalar'!J354</f>
        <v/>
      </c>
      <c r="L351" s="7">
        <f>'3 escalar'!K354</f>
        <v/>
      </c>
      <c r="M351" s="7">
        <f>'3 escalar'!L354</f>
        <v/>
      </c>
      <c r="N351" s="7">
        <f>'3 escalar'!M354</f>
        <v/>
      </c>
      <c r="O351" s="7">
        <f>'3 escalar'!N354</f>
        <v/>
      </c>
      <c r="P351" s="7">
        <f>'3 escalar'!O354</f>
        <v/>
      </c>
      <c r="Q351" s="7">
        <f>'3 escalar'!P354</f>
        <v/>
      </c>
      <c r="R351" s="7">
        <f>'3 escalar'!Q354</f>
        <v/>
      </c>
      <c r="S351" s="7">
        <f>'3 escalar'!R354</f>
        <v/>
      </c>
      <c r="T351" s="7">
        <f>'3 escalar'!S354</f>
        <v/>
      </c>
      <c r="U351" s="7">
        <f>'3 escalar'!T354</f>
        <v/>
      </c>
      <c r="V351" s="6">
        <f>$AC$12+D351*$AC$13+E351*$AC$14+F351*$AC$15+G351*$AC$16+H351*$AC$17+I351*$AC$18+J351*$AC$19+K351*$AC$20+L351*$AC$21+M351*$AC$22+N351*$AC$23+O351*$AC$24+P351*$AC$25+Q351*$AC$26+R351*$AC$27+S351*$AC$28+T351*$AC$29+U351*$AC$30</f>
        <v/>
      </c>
      <c r="W351" s="6">
        <f>1/(1+EXP(-V351))</f>
        <v/>
      </c>
      <c r="X351" s="8">
        <f>-IF(C351=1,LN(W351),LN(1-W351))</f>
        <v/>
      </c>
      <c r="Y351" s="9">
        <f>IF(W351&gt;$AC$32,1,0)</f>
        <v/>
      </c>
      <c r="Z351">
        <f>IF(Y351=C351,1,0)</f>
        <v/>
      </c>
    </row>
    <row r="352">
      <c r="A352">
        <f>'3 escalar'!A355</f>
        <v/>
      </c>
      <c r="B352" s="5">
        <f>'3 escalar'!U355</f>
        <v/>
      </c>
      <c r="C352">
        <f>'3 escalar'!B355</f>
        <v/>
      </c>
      <c r="D352" s="7">
        <f>'3 escalar'!C355</f>
        <v/>
      </c>
      <c r="E352" s="7">
        <f>'3 escalar'!D355</f>
        <v/>
      </c>
      <c r="F352" s="7">
        <f>'3 escalar'!E355</f>
        <v/>
      </c>
      <c r="G352" s="7">
        <f>'3 escalar'!F355</f>
        <v/>
      </c>
      <c r="H352" s="7">
        <f>'3 escalar'!G355</f>
        <v/>
      </c>
      <c r="I352" s="7">
        <f>'3 escalar'!H355</f>
        <v/>
      </c>
      <c r="J352" s="7">
        <f>'3 escalar'!I355</f>
        <v/>
      </c>
      <c r="K352" s="7">
        <f>'3 escalar'!J355</f>
        <v/>
      </c>
      <c r="L352" s="7">
        <f>'3 escalar'!K355</f>
        <v/>
      </c>
      <c r="M352" s="7">
        <f>'3 escalar'!L355</f>
        <v/>
      </c>
      <c r="N352" s="7">
        <f>'3 escalar'!M355</f>
        <v/>
      </c>
      <c r="O352" s="7">
        <f>'3 escalar'!N355</f>
        <v/>
      </c>
      <c r="P352" s="7">
        <f>'3 escalar'!O355</f>
        <v/>
      </c>
      <c r="Q352" s="7">
        <f>'3 escalar'!P355</f>
        <v/>
      </c>
      <c r="R352" s="7">
        <f>'3 escalar'!Q355</f>
        <v/>
      </c>
      <c r="S352" s="7">
        <f>'3 escalar'!R355</f>
        <v/>
      </c>
      <c r="T352" s="7">
        <f>'3 escalar'!S355</f>
        <v/>
      </c>
      <c r="U352" s="7">
        <f>'3 escalar'!T355</f>
        <v/>
      </c>
      <c r="V352" s="6">
        <f>$AC$12+D352*$AC$13+E352*$AC$14+F352*$AC$15+G352*$AC$16+H352*$AC$17+I352*$AC$18+J352*$AC$19+K352*$AC$20+L352*$AC$21+M352*$AC$22+N352*$AC$23+O352*$AC$24+P352*$AC$25+Q352*$AC$26+R352*$AC$27+S352*$AC$28+T352*$AC$29+U352*$AC$30</f>
        <v/>
      </c>
      <c r="W352" s="6">
        <f>1/(1+EXP(-V352))</f>
        <v/>
      </c>
      <c r="X352" s="8">
        <f>-IF(C352=1,LN(W352),LN(1-W352))</f>
        <v/>
      </c>
      <c r="Y352" s="9">
        <f>IF(W352&gt;$AC$32,1,0)</f>
        <v/>
      </c>
      <c r="Z352">
        <f>IF(Y352=C352,1,0)</f>
        <v/>
      </c>
    </row>
    <row r="353">
      <c r="A353">
        <f>'3 escalar'!A356</f>
        <v/>
      </c>
      <c r="B353" s="5">
        <f>'3 escalar'!U356</f>
        <v/>
      </c>
      <c r="C353">
        <f>'3 escalar'!B356</f>
        <v/>
      </c>
      <c r="D353" s="7">
        <f>'3 escalar'!C356</f>
        <v/>
      </c>
      <c r="E353" s="7">
        <f>'3 escalar'!D356</f>
        <v/>
      </c>
      <c r="F353" s="7">
        <f>'3 escalar'!E356</f>
        <v/>
      </c>
      <c r="G353" s="7">
        <f>'3 escalar'!F356</f>
        <v/>
      </c>
      <c r="H353" s="7">
        <f>'3 escalar'!G356</f>
        <v/>
      </c>
      <c r="I353" s="7">
        <f>'3 escalar'!H356</f>
        <v/>
      </c>
      <c r="J353" s="7">
        <f>'3 escalar'!I356</f>
        <v/>
      </c>
      <c r="K353" s="7">
        <f>'3 escalar'!J356</f>
        <v/>
      </c>
      <c r="L353" s="7">
        <f>'3 escalar'!K356</f>
        <v/>
      </c>
      <c r="M353" s="7">
        <f>'3 escalar'!L356</f>
        <v/>
      </c>
      <c r="N353" s="7">
        <f>'3 escalar'!M356</f>
        <v/>
      </c>
      <c r="O353" s="7">
        <f>'3 escalar'!N356</f>
        <v/>
      </c>
      <c r="P353" s="7">
        <f>'3 escalar'!O356</f>
        <v/>
      </c>
      <c r="Q353" s="7">
        <f>'3 escalar'!P356</f>
        <v/>
      </c>
      <c r="R353" s="7">
        <f>'3 escalar'!Q356</f>
        <v/>
      </c>
      <c r="S353" s="7">
        <f>'3 escalar'!R356</f>
        <v/>
      </c>
      <c r="T353" s="7">
        <f>'3 escalar'!S356</f>
        <v/>
      </c>
      <c r="U353" s="7">
        <f>'3 escalar'!T356</f>
        <v/>
      </c>
      <c r="V353" s="6">
        <f>$AC$12+D353*$AC$13+E353*$AC$14+F353*$AC$15+G353*$AC$16+H353*$AC$17+I353*$AC$18+J353*$AC$19+K353*$AC$20+L353*$AC$21+M353*$AC$22+N353*$AC$23+O353*$AC$24+P353*$AC$25+Q353*$AC$26+R353*$AC$27+S353*$AC$28+T353*$AC$29+U353*$AC$30</f>
        <v/>
      </c>
      <c r="W353" s="6">
        <f>1/(1+EXP(-V353))</f>
        <v/>
      </c>
      <c r="X353" s="8">
        <f>-IF(C353=1,LN(W353),LN(1-W353))</f>
        <v/>
      </c>
      <c r="Y353" s="9">
        <f>IF(W353&gt;$AC$32,1,0)</f>
        <v/>
      </c>
      <c r="Z353">
        <f>IF(Y353=C353,1,0)</f>
        <v/>
      </c>
    </row>
    <row r="354">
      <c r="A354">
        <f>'3 escalar'!A357</f>
        <v/>
      </c>
      <c r="B354" s="5">
        <f>'3 escalar'!U357</f>
        <v/>
      </c>
      <c r="C354">
        <f>'3 escalar'!B357</f>
        <v/>
      </c>
      <c r="D354" s="7">
        <f>'3 escalar'!C357</f>
        <v/>
      </c>
      <c r="E354" s="7">
        <f>'3 escalar'!D357</f>
        <v/>
      </c>
      <c r="F354" s="7">
        <f>'3 escalar'!E357</f>
        <v/>
      </c>
      <c r="G354" s="7">
        <f>'3 escalar'!F357</f>
        <v/>
      </c>
      <c r="H354" s="7">
        <f>'3 escalar'!G357</f>
        <v/>
      </c>
      <c r="I354" s="7">
        <f>'3 escalar'!H357</f>
        <v/>
      </c>
      <c r="J354" s="7">
        <f>'3 escalar'!I357</f>
        <v/>
      </c>
      <c r="K354" s="7">
        <f>'3 escalar'!J357</f>
        <v/>
      </c>
      <c r="L354" s="7">
        <f>'3 escalar'!K357</f>
        <v/>
      </c>
      <c r="M354" s="7">
        <f>'3 escalar'!L357</f>
        <v/>
      </c>
      <c r="N354" s="7">
        <f>'3 escalar'!M357</f>
        <v/>
      </c>
      <c r="O354" s="7">
        <f>'3 escalar'!N357</f>
        <v/>
      </c>
      <c r="P354" s="7">
        <f>'3 escalar'!O357</f>
        <v/>
      </c>
      <c r="Q354" s="7">
        <f>'3 escalar'!P357</f>
        <v/>
      </c>
      <c r="R354" s="7">
        <f>'3 escalar'!Q357</f>
        <v/>
      </c>
      <c r="S354" s="7">
        <f>'3 escalar'!R357</f>
        <v/>
      </c>
      <c r="T354" s="7">
        <f>'3 escalar'!S357</f>
        <v/>
      </c>
      <c r="U354" s="7">
        <f>'3 escalar'!T357</f>
        <v/>
      </c>
      <c r="V354" s="6">
        <f>$AC$12+D354*$AC$13+E354*$AC$14+F354*$AC$15+G354*$AC$16+H354*$AC$17+I354*$AC$18+J354*$AC$19+K354*$AC$20+L354*$AC$21+M354*$AC$22+N354*$AC$23+O354*$AC$24+P354*$AC$25+Q354*$AC$26+R354*$AC$27+S354*$AC$28+T354*$AC$29+U354*$AC$30</f>
        <v/>
      </c>
      <c r="W354" s="6">
        <f>1/(1+EXP(-V354))</f>
        <v/>
      </c>
      <c r="X354" s="8">
        <f>-IF(C354=1,LN(W354),LN(1-W354))</f>
        <v/>
      </c>
      <c r="Y354" s="9">
        <f>IF(W354&gt;$AC$32,1,0)</f>
        <v/>
      </c>
      <c r="Z354">
        <f>IF(Y354=C354,1,0)</f>
        <v/>
      </c>
    </row>
    <row r="355">
      <c r="A355">
        <f>'3 escalar'!A358</f>
        <v/>
      </c>
      <c r="B355" s="5">
        <f>'3 escalar'!U358</f>
        <v/>
      </c>
      <c r="C355">
        <f>'3 escalar'!B358</f>
        <v/>
      </c>
      <c r="D355" s="7">
        <f>'3 escalar'!C358</f>
        <v/>
      </c>
      <c r="E355" s="7">
        <f>'3 escalar'!D358</f>
        <v/>
      </c>
      <c r="F355" s="7">
        <f>'3 escalar'!E358</f>
        <v/>
      </c>
      <c r="G355" s="7">
        <f>'3 escalar'!F358</f>
        <v/>
      </c>
      <c r="H355" s="7">
        <f>'3 escalar'!G358</f>
        <v/>
      </c>
      <c r="I355" s="7">
        <f>'3 escalar'!H358</f>
        <v/>
      </c>
      <c r="J355" s="7">
        <f>'3 escalar'!I358</f>
        <v/>
      </c>
      <c r="K355" s="7">
        <f>'3 escalar'!J358</f>
        <v/>
      </c>
      <c r="L355" s="7">
        <f>'3 escalar'!K358</f>
        <v/>
      </c>
      <c r="M355" s="7">
        <f>'3 escalar'!L358</f>
        <v/>
      </c>
      <c r="N355" s="7">
        <f>'3 escalar'!M358</f>
        <v/>
      </c>
      <c r="O355" s="7">
        <f>'3 escalar'!N358</f>
        <v/>
      </c>
      <c r="P355" s="7">
        <f>'3 escalar'!O358</f>
        <v/>
      </c>
      <c r="Q355" s="7">
        <f>'3 escalar'!P358</f>
        <v/>
      </c>
      <c r="R355" s="7">
        <f>'3 escalar'!Q358</f>
        <v/>
      </c>
      <c r="S355" s="7">
        <f>'3 escalar'!R358</f>
        <v/>
      </c>
      <c r="T355" s="7">
        <f>'3 escalar'!S358</f>
        <v/>
      </c>
      <c r="U355" s="7">
        <f>'3 escalar'!T358</f>
        <v/>
      </c>
      <c r="V355" s="6">
        <f>$AC$12+D355*$AC$13+E355*$AC$14+F355*$AC$15+G355*$AC$16+H355*$AC$17+I355*$AC$18+J355*$AC$19+K355*$AC$20+L355*$AC$21+M355*$AC$22+N355*$AC$23+O355*$AC$24+P355*$AC$25+Q355*$AC$26+R355*$AC$27+S355*$AC$28+T355*$AC$29+U355*$AC$30</f>
        <v/>
      </c>
      <c r="W355" s="6">
        <f>1/(1+EXP(-V355))</f>
        <v/>
      </c>
      <c r="X355" s="8">
        <f>-IF(C355=1,LN(W355),LN(1-W355))</f>
        <v/>
      </c>
      <c r="Y355" s="9">
        <f>IF(W355&gt;$AC$32,1,0)</f>
        <v/>
      </c>
      <c r="Z355">
        <f>IF(Y355=C355,1,0)</f>
        <v/>
      </c>
    </row>
    <row r="356">
      <c r="A356">
        <f>'3 escalar'!A359</f>
        <v/>
      </c>
      <c r="B356" s="5">
        <f>'3 escalar'!U359</f>
        <v/>
      </c>
      <c r="C356">
        <f>'3 escalar'!B359</f>
        <v/>
      </c>
      <c r="D356" s="7">
        <f>'3 escalar'!C359</f>
        <v/>
      </c>
      <c r="E356" s="7">
        <f>'3 escalar'!D359</f>
        <v/>
      </c>
      <c r="F356" s="7">
        <f>'3 escalar'!E359</f>
        <v/>
      </c>
      <c r="G356" s="7">
        <f>'3 escalar'!F359</f>
        <v/>
      </c>
      <c r="H356" s="7">
        <f>'3 escalar'!G359</f>
        <v/>
      </c>
      <c r="I356" s="7">
        <f>'3 escalar'!H359</f>
        <v/>
      </c>
      <c r="J356" s="7">
        <f>'3 escalar'!I359</f>
        <v/>
      </c>
      <c r="K356" s="7">
        <f>'3 escalar'!J359</f>
        <v/>
      </c>
      <c r="L356" s="7">
        <f>'3 escalar'!K359</f>
        <v/>
      </c>
      <c r="M356" s="7">
        <f>'3 escalar'!L359</f>
        <v/>
      </c>
      <c r="N356" s="7">
        <f>'3 escalar'!M359</f>
        <v/>
      </c>
      <c r="O356" s="7">
        <f>'3 escalar'!N359</f>
        <v/>
      </c>
      <c r="P356" s="7">
        <f>'3 escalar'!O359</f>
        <v/>
      </c>
      <c r="Q356" s="7">
        <f>'3 escalar'!P359</f>
        <v/>
      </c>
      <c r="R356" s="7">
        <f>'3 escalar'!Q359</f>
        <v/>
      </c>
      <c r="S356" s="7">
        <f>'3 escalar'!R359</f>
        <v/>
      </c>
      <c r="T356" s="7">
        <f>'3 escalar'!S359</f>
        <v/>
      </c>
      <c r="U356" s="7">
        <f>'3 escalar'!T359</f>
        <v/>
      </c>
      <c r="V356" s="6">
        <f>$AC$12+D356*$AC$13+E356*$AC$14+F356*$AC$15+G356*$AC$16+H356*$AC$17+I356*$AC$18+J356*$AC$19+K356*$AC$20+L356*$AC$21+M356*$AC$22+N356*$AC$23+O356*$AC$24+P356*$AC$25+Q356*$AC$26+R356*$AC$27+S356*$AC$28+T356*$AC$29+U356*$AC$30</f>
        <v/>
      </c>
      <c r="W356" s="6">
        <f>1/(1+EXP(-V356))</f>
        <v/>
      </c>
      <c r="X356" s="8">
        <f>-IF(C356=1,LN(W356),LN(1-W356))</f>
        <v/>
      </c>
      <c r="Y356" s="9">
        <f>IF(W356&gt;$AC$32,1,0)</f>
        <v/>
      </c>
      <c r="Z356">
        <f>IF(Y356=C356,1,0)</f>
        <v/>
      </c>
    </row>
    <row r="357">
      <c r="A357">
        <f>'3 escalar'!A360</f>
        <v/>
      </c>
      <c r="B357" s="5">
        <f>'3 escalar'!U360</f>
        <v/>
      </c>
      <c r="C357">
        <f>'3 escalar'!B360</f>
        <v/>
      </c>
      <c r="D357" s="7">
        <f>'3 escalar'!C360</f>
        <v/>
      </c>
      <c r="E357" s="7">
        <f>'3 escalar'!D360</f>
        <v/>
      </c>
      <c r="F357" s="7">
        <f>'3 escalar'!E360</f>
        <v/>
      </c>
      <c r="G357" s="7">
        <f>'3 escalar'!F360</f>
        <v/>
      </c>
      <c r="H357" s="7">
        <f>'3 escalar'!G360</f>
        <v/>
      </c>
      <c r="I357" s="7">
        <f>'3 escalar'!H360</f>
        <v/>
      </c>
      <c r="J357" s="7">
        <f>'3 escalar'!I360</f>
        <v/>
      </c>
      <c r="K357" s="7">
        <f>'3 escalar'!J360</f>
        <v/>
      </c>
      <c r="L357" s="7">
        <f>'3 escalar'!K360</f>
        <v/>
      </c>
      <c r="M357" s="7">
        <f>'3 escalar'!L360</f>
        <v/>
      </c>
      <c r="N357" s="7">
        <f>'3 escalar'!M360</f>
        <v/>
      </c>
      <c r="O357" s="7">
        <f>'3 escalar'!N360</f>
        <v/>
      </c>
      <c r="P357" s="7">
        <f>'3 escalar'!O360</f>
        <v/>
      </c>
      <c r="Q357" s="7">
        <f>'3 escalar'!P360</f>
        <v/>
      </c>
      <c r="R357" s="7">
        <f>'3 escalar'!Q360</f>
        <v/>
      </c>
      <c r="S357" s="7">
        <f>'3 escalar'!R360</f>
        <v/>
      </c>
      <c r="T357" s="7">
        <f>'3 escalar'!S360</f>
        <v/>
      </c>
      <c r="U357" s="7">
        <f>'3 escalar'!T360</f>
        <v/>
      </c>
      <c r="V357" s="6">
        <f>$AC$12+D357*$AC$13+E357*$AC$14+F357*$AC$15+G357*$AC$16+H357*$AC$17+I357*$AC$18+J357*$AC$19+K357*$AC$20+L357*$AC$21+M357*$AC$22+N357*$AC$23+O357*$AC$24+P357*$AC$25+Q357*$AC$26+R357*$AC$27+S357*$AC$28+T357*$AC$29+U357*$AC$30</f>
        <v/>
      </c>
      <c r="W357" s="6">
        <f>1/(1+EXP(-V357))</f>
        <v/>
      </c>
      <c r="X357" s="8">
        <f>-IF(C357=1,LN(W357),LN(1-W357))</f>
        <v/>
      </c>
      <c r="Y357" s="9">
        <f>IF(W357&gt;$AC$32,1,0)</f>
        <v/>
      </c>
      <c r="Z357">
        <f>IF(Y357=C357,1,0)</f>
        <v/>
      </c>
    </row>
    <row r="358">
      <c r="A358">
        <f>'3 escalar'!A361</f>
        <v/>
      </c>
      <c r="B358" s="5">
        <f>'3 escalar'!U361</f>
        <v/>
      </c>
      <c r="C358">
        <f>'3 escalar'!B361</f>
        <v/>
      </c>
      <c r="D358" s="7">
        <f>'3 escalar'!C361</f>
        <v/>
      </c>
      <c r="E358" s="7">
        <f>'3 escalar'!D361</f>
        <v/>
      </c>
      <c r="F358" s="7">
        <f>'3 escalar'!E361</f>
        <v/>
      </c>
      <c r="G358" s="7">
        <f>'3 escalar'!F361</f>
        <v/>
      </c>
      <c r="H358" s="7">
        <f>'3 escalar'!G361</f>
        <v/>
      </c>
      <c r="I358" s="7">
        <f>'3 escalar'!H361</f>
        <v/>
      </c>
      <c r="J358" s="7">
        <f>'3 escalar'!I361</f>
        <v/>
      </c>
      <c r="K358" s="7">
        <f>'3 escalar'!J361</f>
        <v/>
      </c>
      <c r="L358" s="7">
        <f>'3 escalar'!K361</f>
        <v/>
      </c>
      <c r="M358" s="7">
        <f>'3 escalar'!L361</f>
        <v/>
      </c>
      <c r="N358" s="7">
        <f>'3 escalar'!M361</f>
        <v/>
      </c>
      <c r="O358" s="7">
        <f>'3 escalar'!N361</f>
        <v/>
      </c>
      <c r="P358" s="7">
        <f>'3 escalar'!O361</f>
        <v/>
      </c>
      <c r="Q358" s="7">
        <f>'3 escalar'!P361</f>
        <v/>
      </c>
      <c r="R358" s="7">
        <f>'3 escalar'!Q361</f>
        <v/>
      </c>
      <c r="S358" s="7">
        <f>'3 escalar'!R361</f>
        <v/>
      </c>
      <c r="T358" s="7">
        <f>'3 escalar'!S361</f>
        <v/>
      </c>
      <c r="U358" s="7">
        <f>'3 escalar'!T361</f>
        <v/>
      </c>
      <c r="V358" s="6">
        <f>$AC$12+D358*$AC$13+E358*$AC$14+F358*$AC$15+G358*$AC$16+H358*$AC$17+I358*$AC$18+J358*$AC$19+K358*$AC$20+L358*$AC$21+M358*$AC$22+N358*$AC$23+O358*$AC$24+P358*$AC$25+Q358*$AC$26+R358*$AC$27+S358*$AC$28+T358*$AC$29+U358*$AC$30</f>
        <v/>
      </c>
      <c r="W358" s="6">
        <f>1/(1+EXP(-V358))</f>
        <v/>
      </c>
      <c r="X358" s="8">
        <f>-IF(C358=1,LN(W358),LN(1-W358))</f>
        <v/>
      </c>
      <c r="Y358" s="9">
        <f>IF(W358&gt;$AC$32,1,0)</f>
        <v/>
      </c>
      <c r="Z358">
        <f>IF(Y358=C358,1,0)</f>
        <v/>
      </c>
    </row>
    <row r="359">
      <c r="A359">
        <f>'3 escalar'!A362</f>
        <v/>
      </c>
      <c r="B359" s="5">
        <f>'3 escalar'!U362</f>
        <v/>
      </c>
      <c r="C359">
        <f>'3 escalar'!B362</f>
        <v/>
      </c>
      <c r="D359" s="7">
        <f>'3 escalar'!C362</f>
        <v/>
      </c>
      <c r="E359" s="7">
        <f>'3 escalar'!D362</f>
        <v/>
      </c>
      <c r="F359" s="7">
        <f>'3 escalar'!E362</f>
        <v/>
      </c>
      <c r="G359" s="7">
        <f>'3 escalar'!F362</f>
        <v/>
      </c>
      <c r="H359" s="7">
        <f>'3 escalar'!G362</f>
        <v/>
      </c>
      <c r="I359" s="7">
        <f>'3 escalar'!H362</f>
        <v/>
      </c>
      <c r="J359" s="7">
        <f>'3 escalar'!I362</f>
        <v/>
      </c>
      <c r="K359" s="7">
        <f>'3 escalar'!J362</f>
        <v/>
      </c>
      <c r="L359" s="7">
        <f>'3 escalar'!K362</f>
        <v/>
      </c>
      <c r="M359" s="7">
        <f>'3 escalar'!L362</f>
        <v/>
      </c>
      <c r="N359" s="7">
        <f>'3 escalar'!M362</f>
        <v/>
      </c>
      <c r="O359" s="7">
        <f>'3 escalar'!N362</f>
        <v/>
      </c>
      <c r="P359" s="7">
        <f>'3 escalar'!O362</f>
        <v/>
      </c>
      <c r="Q359" s="7">
        <f>'3 escalar'!P362</f>
        <v/>
      </c>
      <c r="R359" s="7">
        <f>'3 escalar'!Q362</f>
        <v/>
      </c>
      <c r="S359" s="7">
        <f>'3 escalar'!R362</f>
        <v/>
      </c>
      <c r="T359" s="7">
        <f>'3 escalar'!S362</f>
        <v/>
      </c>
      <c r="U359" s="7">
        <f>'3 escalar'!T362</f>
        <v/>
      </c>
      <c r="V359" s="6">
        <f>$AC$12+D359*$AC$13+E359*$AC$14+F359*$AC$15+G359*$AC$16+H359*$AC$17+I359*$AC$18+J359*$AC$19+K359*$AC$20+L359*$AC$21+M359*$AC$22+N359*$AC$23+O359*$AC$24+P359*$AC$25+Q359*$AC$26+R359*$AC$27+S359*$AC$28+T359*$AC$29+U359*$AC$30</f>
        <v/>
      </c>
      <c r="W359" s="6">
        <f>1/(1+EXP(-V359))</f>
        <v/>
      </c>
      <c r="X359" s="8">
        <f>-IF(C359=1,LN(W359),LN(1-W359))</f>
        <v/>
      </c>
      <c r="Y359" s="9">
        <f>IF(W359&gt;$AC$32,1,0)</f>
        <v/>
      </c>
      <c r="Z359">
        <f>IF(Y359=C359,1,0)</f>
        <v/>
      </c>
    </row>
    <row r="360">
      <c r="A360">
        <f>'3 escalar'!A363</f>
        <v/>
      </c>
      <c r="B360" s="5">
        <f>'3 escalar'!U363</f>
        <v/>
      </c>
      <c r="C360">
        <f>'3 escalar'!B363</f>
        <v/>
      </c>
      <c r="D360" s="7">
        <f>'3 escalar'!C363</f>
        <v/>
      </c>
      <c r="E360" s="7">
        <f>'3 escalar'!D363</f>
        <v/>
      </c>
      <c r="F360" s="7">
        <f>'3 escalar'!E363</f>
        <v/>
      </c>
      <c r="G360" s="7">
        <f>'3 escalar'!F363</f>
        <v/>
      </c>
      <c r="H360" s="7">
        <f>'3 escalar'!G363</f>
        <v/>
      </c>
      <c r="I360" s="7">
        <f>'3 escalar'!H363</f>
        <v/>
      </c>
      <c r="J360" s="7">
        <f>'3 escalar'!I363</f>
        <v/>
      </c>
      <c r="K360" s="7">
        <f>'3 escalar'!J363</f>
        <v/>
      </c>
      <c r="L360" s="7">
        <f>'3 escalar'!K363</f>
        <v/>
      </c>
      <c r="M360" s="7">
        <f>'3 escalar'!L363</f>
        <v/>
      </c>
      <c r="N360" s="7">
        <f>'3 escalar'!M363</f>
        <v/>
      </c>
      <c r="O360" s="7">
        <f>'3 escalar'!N363</f>
        <v/>
      </c>
      <c r="P360" s="7">
        <f>'3 escalar'!O363</f>
        <v/>
      </c>
      <c r="Q360" s="7">
        <f>'3 escalar'!P363</f>
        <v/>
      </c>
      <c r="R360" s="7">
        <f>'3 escalar'!Q363</f>
        <v/>
      </c>
      <c r="S360" s="7">
        <f>'3 escalar'!R363</f>
        <v/>
      </c>
      <c r="T360" s="7">
        <f>'3 escalar'!S363</f>
        <v/>
      </c>
      <c r="U360" s="7">
        <f>'3 escalar'!T363</f>
        <v/>
      </c>
      <c r="V360" s="6">
        <f>$AC$12+D360*$AC$13+E360*$AC$14+F360*$AC$15+G360*$AC$16+H360*$AC$17+I360*$AC$18+J360*$AC$19+K360*$AC$20+L360*$AC$21+M360*$AC$22+N360*$AC$23+O360*$AC$24+P360*$AC$25+Q360*$AC$26+R360*$AC$27+S360*$AC$28+T360*$AC$29+U360*$AC$30</f>
        <v/>
      </c>
      <c r="W360" s="6">
        <f>1/(1+EXP(-V360))</f>
        <v/>
      </c>
      <c r="X360" s="8">
        <f>-IF(C360=1,LN(W360),LN(1-W360))</f>
        <v/>
      </c>
      <c r="Y360" s="9">
        <f>IF(W360&gt;$AC$32,1,0)</f>
        <v/>
      </c>
      <c r="Z360">
        <f>IF(Y360=C360,1,0)</f>
        <v/>
      </c>
    </row>
    <row r="361">
      <c r="A361">
        <f>'3 escalar'!A364</f>
        <v/>
      </c>
      <c r="B361" s="5">
        <f>'3 escalar'!U364</f>
        <v/>
      </c>
      <c r="C361">
        <f>'3 escalar'!B364</f>
        <v/>
      </c>
      <c r="D361" s="7">
        <f>'3 escalar'!C364</f>
        <v/>
      </c>
      <c r="E361" s="7">
        <f>'3 escalar'!D364</f>
        <v/>
      </c>
      <c r="F361" s="7">
        <f>'3 escalar'!E364</f>
        <v/>
      </c>
      <c r="G361" s="7">
        <f>'3 escalar'!F364</f>
        <v/>
      </c>
      <c r="H361" s="7">
        <f>'3 escalar'!G364</f>
        <v/>
      </c>
      <c r="I361" s="7">
        <f>'3 escalar'!H364</f>
        <v/>
      </c>
      <c r="J361" s="7">
        <f>'3 escalar'!I364</f>
        <v/>
      </c>
      <c r="K361" s="7">
        <f>'3 escalar'!J364</f>
        <v/>
      </c>
      <c r="L361" s="7">
        <f>'3 escalar'!K364</f>
        <v/>
      </c>
      <c r="M361" s="7">
        <f>'3 escalar'!L364</f>
        <v/>
      </c>
      <c r="N361" s="7">
        <f>'3 escalar'!M364</f>
        <v/>
      </c>
      <c r="O361" s="7">
        <f>'3 escalar'!N364</f>
        <v/>
      </c>
      <c r="P361" s="7">
        <f>'3 escalar'!O364</f>
        <v/>
      </c>
      <c r="Q361" s="7">
        <f>'3 escalar'!P364</f>
        <v/>
      </c>
      <c r="R361" s="7">
        <f>'3 escalar'!Q364</f>
        <v/>
      </c>
      <c r="S361" s="7">
        <f>'3 escalar'!R364</f>
        <v/>
      </c>
      <c r="T361" s="7">
        <f>'3 escalar'!S364</f>
        <v/>
      </c>
      <c r="U361" s="7">
        <f>'3 escalar'!T364</f>
        <v/>
      </c>
      <c r="V361" s="6">
        <f>$AC$12+D361*$AC$13+E361*$AC$14+F361*$AC$15+G361*$AC$16+H361*$AC$17+I361*$AC$18+J361*$AC$19+K361*$AC$20+L361*$AC$21+M361*$AC$22+N361*$AC$23+O361*$AC$24+P361*$AC$25+Q361*$AC$26+R361*$AC$27+S361*$AC$28+T361*$AC$29+U361*$AC$30</f>
        <v/>
      </c>
      <c r="W361" s="6">
        <f>1/(1+EXP(-V361))</f>
        <v/>
      </c>
      <c r="X361" s="8">
        <f>-IF(C361=1,LN(W361),LN(1-W361))</f>
        <v/>
      </c>
      <c r="Y361" s="9">
        <f>IF(W361&gt;$AC$32,1,0)</f>
        <v/>
      </c>
      <c r="Z361">
        <f>IF(Y361=C361,1,0)</f>
        <v/>
      </c>
    </row>
    <row r="362">
      <c r="A362">
        <f>'3 escalar'!A365</f>
        <v/>
      </c>
      <c r="B362" s="5">
        <f>'3 escalar'!U365</f>
        <v/>
      </c>
      <c r="C362">
        <f>'3 escalar'!B365</f>
        <v/>
      </c>
      <c r="D362" s="7">
        <f>'3 escalar'!C365</f>
        <v/>
      </c>
      <c r="E362" s="7">
        <f>'3 escalar'!D365</f>
        <v/>
      </c>
      <c r="F362" s="7">
        <f>'3 escalar'!E365</f>
        <v/>
      </c>
      <c r="G362" s="7">
        <f>'3 escalar'!F365</f>
        <v/>
      </c>
      <c r="H362" s="7">
        <f>'3 escalar'!G365</f>
        <v/>
      </c>
      <c r="I362" s="7">
        <f>'3 escalar'!H365</f>
        <v/>
      </c>
      <c r="J362" s="7">
        <f>'3 escalar'!I365</f>
        <v/>
      </c>
      <c r="K362" s="7">
        <f>'3 escalar'!J365</f>
        <v/>
      </c>
      <c r="L362" s="7">
        <f>'3 escalar'!K365</f>
        <v/>
      </c>
      <c r="M362" s="7">
        <f>'3 escalar'!L365</f>
        <v/>
      </c>
      <c r="N362" s="7">
        <f>'3 escalar'!M365</f>
        <v/>
      </c>
      <c r="O362" s="7">
        <f>'3 escalar'!N365</f>
        <v/>
      </c>
      <c r="P362" s="7">
        <f>'3 escalar'!O365</f>
        <v/>
      </c>
      <c r="Q362" s="7">
        <f>'3 escalar'!P365</f>
        <v/>
      </c>
      <c r="R362" s="7">
        <f>'3 escalar'!Q365</f>
        <v/>
      </c>
      <c r="S362" s="7">
        <f>'3 escalar'!R365</f>
        <v/>
      </c>
      <c r="T362" s="7">
        <f>'3 escalar'!S365</f>
        <v/>
      </c>
      <c r="U362" s="7">
        <f>'3 escalar'!T365</f>
        <v/>
      </c>
      <c r="V362" s="6">
        <f>$AC$12+D362*$AC$13+E362*$AC$14+F362*$AC$15+G362*$AC$16+H362*$AC$17+I362*$AC$18+J362*$AC$19+K362*$AC$20+L362*$AC$21+M362*$AC$22+N362*$AC$23+O362*$AC$24+P362*$AC$25+Q362*$AC$26+R362*$AC$27+S362*$AC$28+T362*$AC$29+U362*$AC$30</f>
        <v/>
      </c>
      <c r="W362" s="6">
        <f>1/(1+EXP(-V362))</f>
        <v/>
      </c>
      <c r="X362" s="8">
        <f>-IF(C362=1,LN(W362),LN(1-W362))</f>
        <v/>
      </c>
      <c r="Y362" s="9">
        <f>IF(W362&gt;$AC$32,1,0)</f>
        <v/>
      </c>
      <c r="Z362">
        <f>IF(Y362=C362,1,0)</f>
        <v/>
      </c>
    </row>
    <row r="363">
      <c r="A363">
        <f>'3 escalar'!A366</f>
        <v/>
      </c>
      <c r="B363" s="5">
        <f>'3 escalar'!U366</f>
        <v/>
      </c>
      <c r="C363">
        <f>'3 escalar'!B366</f>
        <v/>
      </c>
      <c r="D363" s="7">
        <f>'3 escalar'!C366</f>
        <v/>
      </c>
      <c r="E363" s="7">
        <f>'3 escalar'!D366</f>
        <v/>
      </c>
      <c r="F363" s="7">
        <f>'3 escalar'!E366</f>
        <v/>
      </c>
      <c r="G363" s="7">
        <f>'3 escalar'!F366</f>
        <v/>
      </c>
      <c r="H363" s="7">
        <f>'3 escalar'!G366</f>
        <v/>
      </c>
      <c r="I363" s="7">
        <f>'3 escalar'!H366</f>
        <v/>
      </c>
      <c r="J363" s="7">
        <f>'3 escalar'!I366</f>
        <v/>
      </c>
      <c r="K363" s="7">
        <f>'3 escalar'!J366</f>
        <v/>
      </c>
      <c r="L363" s="7">
        <f>'3 escalar'!K366</f>
        <v/>
      </c>
      <c r="M363" s="7">
        <f>'3 escalar'!L366</f>
        <v/>
      </c>
      <c r="N363" s="7">
        <f>'3 escalar'!M366</f>
        <v/>
      </c>
      <c r="O363" s="7">
        <f>'3 escalar'!N366</f>
        <v/>
      </c>
      <c r="P363" s="7">
        <f>'3 escalar'!O366</f>
        <v/>
      </c>
      <c r="Q363" s="7">
        <f>'3 escalar'!P366</f>
        <v/>
      </c>
      <c r="R363" s="7">
        <f>'3 escalar'!Q366</f>
        <v/>
      </c>
      <c r="S363" s="7">
        <f>'3 escalar'!R366</f>
        <v/>
      </c>
      <c r="T363" s="7">
        <f>'3 escalar'!S366</f>
        <v/>
      </c>
      <c r="U363" s="7">
        <f>'3 escalar'!T366</f>
        <v/>
      </c>
      <c r="V363" s="6">
        <f>$AC$12+D363*$AC$13+E363*$AC$14+F363*$AC$15+G363*$AC$16+H363*$AC$17+I363*$AC$18+J363*$AC$19+K363*$AC$20+L363*$AC$21+M363*$AC$22+N363*$AC$23+O363*$AC$24+P363*$AC$25+Q363*$AC$26+R363*$AC$27+S363*$AC$28+T363*$AC$29+U363*$AC$30</f>
        <v/>
      </c>
      <c r="W363" s="6">
        <f>1/(1+EXP(-V363))</f>
        <v/>
      </c>
      <c r="X363" s="8">
        <f>-IF(C363=1,LN(W363),LN(1-W363))</f>
        <v/>
      </c>
      <c r="Y363" s="9">
        <f>IF(W363&gt;$AC$32,1,0)</f>
        <v/>
      </c>
      <c r="Z363">
        <f>IF(Y363=C363,1,0)</f>
        <v/>
      </c>
    </row>
    <row r="364">
      <c r="A364">
        <f>'3 escalar'!A367</f>
        <v/>
      </c>
      <c r="B364" s="5">
        <f>'3 escalar'!U367</f>
        <v/>
      </c>
      <c r="C364">
        <f>'3 escalar'!B367</f>
        <v/>
      </c>
      <c r="D364" s="7">
        <f>'3 escalar'!C367</f>
        <v/>
      </c>
      <c r="E364" s="7">
        <f>'3 escalar'!D367</f>
        <v/>
      </c>
      <c r="F364" s="7">
        <f>'3 escalar'!E367</f>
        <v/>
      </c>
      <c r="G364" s="7">
        <f>'3 escalar'!F367</f>
        <v/>
      </c>
      <c r="H364" s="7">
        <f>'3 escalar'!G367</f>
        <v/>
      </c>
      <c r="I364" s="7">
        <f>'3 escalar'!H367</f>
        <v/>
      </c>
      <c r="J364" s="7">
        <f>'3 escalar'!I367</f>
        <v/>
      </c>
      <c r="K364" s="7">
        <f>'3 escalar'!J367</f>
        <v/>
      </c>
      <c r="L364" s="7">
        <f>'3 escalar'!K367</f>
        <v/>
      </c>
      <c r="M364" s="7">
        <f>'3 escalar'!L367</f>
        <v/>
      </c>
      <c r="N364" s="7">
        <f>'3 escalar'!M367</f>
        <v/>
      </c>
      <c r="O364" s="7">
        <f>'3 escalar'!N367</f>
        <v/>
      </c>
      <c r="P364" s="7">
        <f>'3 escalar'!O367</f>
        <v/>
      </c>
      <c r="Q364" s="7">
        <f>'3 escalar'!P367</f>
        <v/>
      </c>
      <c r="R364" s="7">
        <f>'3 escalar'!Q367</f>
        <v/>
      </c>
      <c r="S364" s="7">
        <f>'3 escalar'!R367</f>
        <v/>
      </c>
      <c r="T364" s="7">
        <f>'3 escalar'!S367</f>
        <v/>
      </c>
      <c r="U364" s="7">
        <f>'3 escalar'!T367</f>
        <v/>
      </c>
      <c r="V364" s="6">
        <f>$AC$12+D364*$AC$13+E364*$AC$14+F364*$AC$15+G364*$AC$16+H364*$AC$17+I364*$AC$18+J364*$AC$19+K364*$AC$20+L364*$AC$21+M364*$AC$22+N364*$AC$23+O364*$AC$24+P364*$AC$25+Q364*$AC$26+R364*$AC$27+S364*$AC$28+T364*$AC$29+U364*$AC$30</f>
        <v/>
      </c>
      <c r="W364" s="6">
        <f>1/(1+EXP(-V364))</f>
        <v/>
      </c>
      <c r="X364" s="8">
        <f>-IF(C364=1,LN(W364),LN(1-W364))</f>
        <v/>
      </c>
      <c r="Y364" s="9">
        <f>IF(W364&gt;$AC$32,1,0)</f>
        <v/>
      </c>
      <c r="Z364">
        <f>IF(Y364=C364,1,0)</f>
        <v/>
      </c>
    </row>
    <row r="365">
      <c r="A365">
        <f>'3 escalar'!A368</f>
        <v/>
      </c>
      <c r="B365" s="5">
        <f>'3 escalar'!U368</f>
        <v/>
      </c>
      <c r="C365">
        <f>'3 escalar'!B368</f>
        <v/>
      </c>
      <c r="D365" s="7">
        <f>'3 escalar'!C368</f>
        <v/>
      </c>
      <c r="E365" s="7">
        <f>'3 escalar'!D368</f>
        <v/>
      </c>
      <c r="F365" s="7">
        <f>'3 escalar'!E368</f>
        <v/>
      </c>
      <c r="G365" s="7">
        <f>'3 escalar'!F368</f>
        <v/>
      </c>
      <c r="H365" s="7">
        <f>'3 escalar'!G368</f>
        <v/>
      </c>
      <c r="I365" s="7">
        <f>'3 escalar'!H368</f>
        <v/>
      </c>
      <c r="J365" s="7">
        <f>'3 escalar'!I368</f>
        <v/>
      </c>
      <c r="K365" s="7">
        <f>'3 escalar'!J368</f>
        <v/>
      </c>
      <c r="L365" s="7">
        <f>'3 escalar'!K368</f>
        <v/>
      </c>
      <c r="M365" s="7">
        <f>'3 escalar'!L368</f>
        <v/>
      </c>
      <c r="N365" s="7">
        <f>'3 escalar'!M368</f>
        <v/>
      </c>
      <c r="O365" s="7">
        <f>'3 escalar'!N368</f>
        <v/>
      </c>
      <c r="P365" s="7">
        <f>'3 escalar'!O368</f>
        <v/>
      </c>
      <c r="Q365" s="7">
        <f>'3 escalar'!P368</f>
        <v/>
      </c>
      <c r="R365" s="7">
        <f>'3 escalar'!Q368</f>
        <v/>
      </c>
      <c r="S365" s="7">
        <f>'3 escalar'!R368</f>
        <v/>
      </c>
      <c r="T365" s="7">
        <f>'3 escalar'!S368</f>
        <v/>
      </c>
      <c r="U365" s="7">
        <f>'3 escalar'!T368</f>
        <v/>
      </c>
      <c r="V365" s="6">
        <f>$AC$12+D365*$AC$13+E365*$AC$14+F365*$AC$15+G365*$AC$16+H365*$AC$17+I365*$AC$18+J365*$AC$19+K365*$AC$20+L365*$AC$21+M365*$AC$22+N365*$AC$23+O365*$AC$24+P365*$AC$25+Q365*$AC$26+R365*$AC$27+S365*$AC$28+T365*$AC$29+U365*$AC$30</f>
        <v/>
      </c>
      <c r="W365" s="6">
        <f>1/(1+EXP(-V365))</f>
        <v/>
      </c>
      <c r="X365" s="8">
        <f>-IF(C365=1,LN(W365),LN(1-W365))</f>
        <v/>
      </c>
      <c r="Y365" s="9">
        <f>IF(W365&gt;$AC$32,1,0)</f>
        <v/>
      </c>
      <c r="Z365">
        <f>IF(Y365=C365,1,0)</f>
        <v/>
      </c>
    </row>
    <row r="366">
      <c r="A366">
        <f>'3 escalar'!A369</f>
        <v/>
      </c>
      <c r="B366" s="5">
        <f>'3 escalar'!U369</f>
        <v/>
      </c>
      <c r="C366">
        <f>'3 escalar'!B369</f>
        <v/>
      </c>
      <c r="D366" s="7">
        <f>'3 escalar'!C369</f>
        <v/>
      </c>
      <c r="E366" s="7">
        <f>'3 escalar'!D369</f>
        <v/>
      </c>
      <c r="F366" s="7">
        <f>'3 escalar'!E369</f>
        <v/>
      </c>
      <c r="G366" s="7">
        <f>'3 escalar'!F369</f>
        <v/>
      </c>
      <c r="H366" s="7">
        <f>'3 escalar'!G369</f>
        <v/>
      </c>
      <c r="I366" s="7">
        <f>'3 escalar'!H369</f>
        <v/>
      </c>
      <c r="J366" s="7">
        <f>'3 escalar'!I369</f>
        <v/>
      </c>
      <c r="K366" s="7">
        <f>'3 escalar'!J369</f>
        <v/>
      </c>
      <c r="L366" s="7">
        <f>'3 escalar'!K369</f>
        <v/>
      </c>
      <c r="M366" s="7">
        <f>'3 escalar'!L369</f>
        <v/>
      </c>
      <c r="N366" s="7">
        <f>'3 escalar'!M369</f>
        <v/>
      </c>
      <c r="O366" s="7">
        <f>'3 escalar'!N369</f>
        <v/>
      </c>
      <c r="P366" s="7">
        <f>'3 escalar'!O369</f>
        <v/>
      </c>
      <c r="Q366" s="7">
        <f>'3 escalar'!P369</f>
        <v/>
      </c>
      <c r="R366" s="7">
        <f>'3 escalar'!Q369</f>
        <v/>
      </c>
      <c r="S366" s="7">
        <f>'3 escalar'!R369</f>
        <v/>
      </c>
      <c r="T366" s="7">
        <f>'3 escalar'!S369</f>
        <v/>
      </c>
      <c r="U366" s="7">
        <f>'3 escalar'!T369</f>
        <v/>
      </c>
      <c r="V366" s="6">
        <f>$AC$12+D366*$AC$13+E366*$AC$14+F366*$AC$15+G366*$AC$16+H366*$AC$17+I366*$AC$18+J366*$AC$19+K366*$AC$20+L366*$AC$21+M366*$AC$22+N366*$AC$23+O366*$AC$24+P366*$AC$25+Q366*$AC$26+R366*$AC$27+S366*$AC$28+T366*$AC$29+U366*$AC$30</f>
        <v/>
      </c>
      <c r="W366" s="6">
        <f>1/(1+EXP(-V366))</f>
        <v/>
      </c>
      <c r="X366" s="8">
        <f>-IF(C366=1,LN(W366),LN(1-W366))</f>
        <v/>
      </c>
      <c r="Y366" s="9">
        <f>IF(W366&gt;$AC$32,1,0)</f>
        <v/>
      </c>
      <c r="Z366">
        <f>IF(Y366=C366,1,0)</f>
        <v/>
      </c>
    </row>
    <row r="367">
      <c r="A367">
        <f>'3 escalar'!A370</f>
        <v/>
      </c>
      <c r="B367" s="5">
        <f>'3 escalar'!U370</f>
        <v/>
      </c>
      <c r="C367">
        <f>'3 escalar'!B370</f>
        <v/>
      </c>
      <c r="D367" s="7">
        <f>'3 escalar'!C370</f>
        <v/>
      </c>
      <c r="E367" s="7">
        <f>'3 escalar'!D370</f>
        <v/>
      </c>
      <c r="F367" s="7">
        <f>'3 escalar'!E370</f>
        <v/>
      </c>
      <c r="G367" s="7">
        <f>'3 escalar'!F370</f>
        <v/>
      </c>
      <c r="H367" s="7">
        <f>'3 escalar'!G370</f>
        <v/>
      </c>
      <c r="I367" s="7">
        <f>'3 escalar'!H370</f>
        <v/>
      </c>
      <c r="J367" s="7">
        <f>'3 escalar'!I370</f>
        <v/>
      </c>
      <c r="K367" s="7">
        <f>'3 escalar'!J370</f>
        <v/>
      </c>
      <c r="L367" s="7">
        <f>'3 escalar'!K370</f>
        <v/>
      </c>
      <c r="M367" s="7">
        <f>'3 escalar'!L370</f>
        <v/>
      </c>
      <c r="N367" s="7">
        <f>'3 escalar'!M370</f>
        <v/>
      </c>
      <c r="O367" s="7">
        <f>'3 escalar'!N370</f>
        <v/>
      </c>
      <c r="P367" s="7">
        <f>'3 escalar'!O370</f>
        <v/>
      </c>
      <c r="Q367" s="7">
        <f>'3 escalar'!P370</f>
        <v/>
      </c>
      <c r="R367" s="7">
        <f>'3 escalar'!Q370</f>
        <v/>
      </c>
      <c r="S367" s="7">
        <f>'3 escalar'!R370</f>
        <v/>
      </c>
      <c r="T367" s="7">
        <f>'3 escalar'!S370</f>
        <v/>
      </c>
      <c r="U367" s="7">
        <f>'3 escalar'!T370</f>
        <v/>
      </c>
      <c r="V367" s="6">
        <f>$AC$12+D367*$AC$13+E367*$AC$14+F367*$AC$15+G367*$AC$16+H367*$AC$17+I367*$AC$18+J367*$AC$19+K367*$AC$20+L367*$AC$21+M367*$AC$22+N367*$AC$23+O367*$AC$24+P367*$AC$25+Q367*$AC$26+R367*$AC$27+S367*$AC$28+T367*$AC$29+U367*$AC$30</f>
        <v/>
      </c>
      <c r="W367" s="6">
        <f>1/(1+EXP(-V367))</f>
        <v/>
      </c>
      <c r="X367" s="8">
        <f>-IF(C367=1,LN(W367),LN(1-W367))</f>
        <v/>
      </c>
      <c r="Y367" s="9">
        <f>IF(W367&gt;$AC$32,1,0)</f>
        <v/>
      </c>
      <c r="Z367">
        <f>IF(Y367=C367,1,0)</f>
        <v/>
      </c>
    </row>
    <row r="368">
      <c r="A368">
        <f>'3 escalar'!A371</f>
        <v/>
      </c>
      <c r="B368" s="5">
        <f>'3 escalar'!U371</f>
        <v/>
      </c>
      <c r="C368">
        <f>'3 escalar'!B371</f>
        <v/>
      </c>
      <c r="D368" s="7">
        <f>'3 escalar'!C371</f>
        <v/>
      </c>
      <c r="E368" s="7">
        <f>'3 escalar'!D371</f>
        <v/>
      </c>
      <c r="F368" s="7">
        <f>'3 escalar'!E371</f>
        <v/>
      </c>
      <c r="G368" s="7">
        <f>'3 escalar'!F371</f>
        <v/>
      </c>
      <c r="H368" s="7">
        <f>'3 escalar'!G371</f>
        <v/>
      </c>
      <c r="I368" s="7">
        <f>'3 escalar'!H371</f>
        <v/>
      </c>
      <c r="J368" s="7">
        <f>'3 escalar'!I371</f>
        <v/>
      </c>
      <c r="K368" s="7">
        <f>'3 escalar'!J371</f>
        <v/>
      </c>
      <c r="L368" s="7">
        <f>'3 escalar'!K371</f>
        <v/>
      </c>
      <c r="M368" s="7">
        <f>'3 escalar'!L371</f>
        <v/>
      </c>
      <c r="N368" s="7">
        <f>'3 escalar'!M371</f>
        <v/>
      </c>
      <c r="O368" s="7">
        <f>'3 escalar'!N371</f>
        <v/>
      </c>
      <c r="P368" s="7">
        <f>'3 escalar'!O371</f>
        <v/>
      </c>
      <c r="Q368" s="7">
        <f>'3 escalar'!P371</f>
        <v/>
      </c>
      <c r="R368" s="7">
        <f>'3 escalar'!Q371</f>
        <v/>
      </c>
      <c r="S368" s="7">
        <f>'3 escalar'!R371</f>
        <v/>
      </c>
      <c r="T368" s="7">
        <f>'3 escalar'!S371</f>
        <v/>
      </c>
      <c r="U368" s="7">
        <f>'3 escalar'!T371</f>
        <v/>
      </c>
      <c r="V368" s="6">
        <f>$AC$12+D368*$AC$13+E368*$AC$14+F368*$AC$15+G368*$AC$16+H368*$AC$17+I368*$AC$18+J368*$AC$19+K368*$AC$20+L368*$AC$21+M368*$AC$22+N368*$AC$23+O368*$AC$24+P368*$AC$25+Q368*$AC$26+R368*$AC$27+S368*$AC$28+T368*$AC$29+U368*$AC$30</f>
        <v/>
      </c>
      <c r="W368" s="6">
        <f>1/(1+EXP(-V368))</f>
        <v/>
      </c>
      <c r="X368" s="8">
        <f>-IF(C368=1,LN(W368),LN(1-W368))</f>
        <v/>
      </c>
      <c r="Y368" s="9">
        <f>IF(W368&gt;$AC$32,1,0)</f>
        <v/>
      </c>
      <c r="Z368">
        <f>IF(Y368=C368,1,0)</f>
        <v/>
      </c>
    </row>
    <row r="369">
      <c r="A369">
        <f>'3 escalar'!A372</f>
        <v/>
      </c>
      <c r="B369" s="5">
        <f>'3 escalar'!U372</f>
        <v/>
      </c>
      <c r="C369">
        <f>'3 escalar'!B372</f>
        <v/>
      </c>
      <c r="D369" s="7">
        <f>'3 escalar'!C372</f>
        <v/>
      </c>
      <c r="E369" s="7">
        <f>'3 escalar'!D372</f>
        <v/>
      </c>
      <c r="F369" s="7">
        <f>'3 escalar'!E372</f>
        <v/>
      </c>
      <c r="G369" s="7">
        <f>'3 escalar'!F372</f>
        <v/>
      </c>
      <c r="H369" s="7">
        <f>'3 escalar'!G372</f>
        <v/>
      </c>
      <c r="I369" s="7">
        <f>'3 escalar'!H372</f>
        <v/>
      </c>
      <c r="J369" s="7">
        <f>'3 escalar'!I372</f>
        <v/>
      </c>
      <c r="K369" s="7">
        <f>'3 escalar'!J372</f>
        <v/>
      </c>
      <c r="L369" s="7">
        <f>'3 escalar'!K372</f>
        <v/>
      </c>
      <c r="M369" s="7">
        <f>'3 escalar'!L372</f>
        <v/>
      </c>
      <c r="N369" s="7">
        <f>'3 escalar'!M372</f>
        <v/>
      </c>
      <c r="O369" s="7">
        <f>'3 escalar'!N372</f>
        <v/>
      </c>
      <c r="P369" s="7">
        <f>'3 escalar'!O372</f>
        <v/>
      </c>
      <c r="Q369" s="7">
        <f>'3 escalar'!P372</f>
        <v/>
      </c>
      <c r="R369" s="7">
        <f>'3 escalar'!Q372</f>
        <v/>
      </c>
      <c r="S369" s="7">
        <f>'3 escalar'!R372</f>
        <v/>
      </c>
      <c r="T369" s="7">
        <f>'3 escalar'!S372</f>
        <v/>
      </c>
      <c r="U369" s="7">
        <f>'3 escalar'!T372</f>
        <v/>
      </c>
      <c r="V369" s="6">
        <f>$AC$12+D369*$AC$13+E369*$AC$14+F369*$AC$15+G369*$AC$16+H369*$AC$17+I369*$AC$18+J369*$AC$19+K369*$AC$20+L369*$AC$21+M369*$AC$22+N369*$AC$23+O369*$AC$24+P369*$AC$25+Q369*$AC$26+R369*$AC$27+S369*$AC$28+T369*$AC$29+U369*$AC$30</f>
        <v/>
      </c>
      <c r="W369" s="6">
        <f>1/(1+EXP(-V369))</f>
        <v/>
      </c>
      <c r="X369" s="8">
        <f>-IF(C369=1,LN(W369),LN(1-W369))</f>
        <v/>
      </c>
      <c r="Y369" s="9">
        <f>IF(W369&gt;$AC$32,1,0)</f>
        <v/>
      </c>
      <c r="Z369">
        <f>IF(Y369=C369,1,0)</f>
        <v/>
      </c>
    </row>
    <row r="370">
      <c r="A370">
        <f>'3 escalar'!A373</f>
        <v/>
      </c>
      <c r="B370" s="5">
        <f>'3 escalar'!U373</f>
        <v/>
      </c>
      <c r="C370">
        <f>'3 escalar'!B373</f>
        <v/>
      </c>
      <c r="D370" s="7">
        <f>'3 escalar'!C373</f>
        <v/>
      </c>
      <c r="E370" s="7">
        <f>'3 escalar'!D373</f>
        <v/>
      </c>
      <c r="F370" s="7">
        <f>'3 escalar'!E373</f>
        <v/>
      </c>
      <c r="G370" s="7">
        <f>'3 escalar'!F373</f>
        <v/>
      </c>
      <c r="H370" s="7">
        <f>'3 escalar'!G373</f>
        <v/>
      </c>
      <c r="I370" s="7">
        <f>'3 escalar'!H373</f>
        <v/>
      </c>
      <c r="J370" s="7">
        <f>'3 escalar'!I373</f>
        <v/>
      </c>
      <c r="K370" s="7">
        <f>'3 escalar'!J373</f>
        <v/>
      </c>
      <c r="L370" s="7">
        <f>'3 escalar'!K373</f>
        <v/>
      </c>
      <c r="M370" s="7">
        <f>'3 escalar'!L373</f>
        <v/>
      </c>
      <c r="N370" s="7">
        <f>'3 escalar'!M373</f>
        <v/>
      </c>
      <c r="O370" s="7">
        <f>'3 escalar'!N373</f>
        <v/>
      </c>
      <c r="P370" s="7">
        <f>'3 escalar'!O373</f>
        <v/>
      </c>
      <c r="Q370" s="7">
        <f>'3 escalar'!P373</f>
        <v/>
      </c>
      <c r="R370" s="7">
        <f>'3 escalar'!Q373</f>
        <v/>
      </c>
      <c r="S370" s="7">
        <f>'3 escalar'!R373</f>
        <v/>
      </c>
      <c r="T370" s="7">
        <f>'3 escalar'!S373</f>
        <v/>
      </c>
      <c r="U370" s="7">
        <f>'3 escalar'!T373</f>
        <v/>
      </c>
      <c r="V370" s="6">
        <f>$AC$12+D370*$AC$13+E370*$AC$14+F370*$AC$15+G370*$AC$16+H370*$AC$17+I370*$AC$18+J370*$AC$19+K370*$AC$20+L370*$AC$21+M370*$AC$22+N370*$AC$23+O370*$AC$24+P370*$AC$25+Q370*$AC$26+R370*$AC$27+S370*$AC$28+T370*$AC$29+U370*$AC$30</f>
        <v/>
      </c>
      <c r="W370" s="6">
        <f>1/(1+EXP(-V370))</f>
        <v/>
      </c>
      <c r="X370" s="8">
        <f>-IF(C370=1,LN(W370),LN(1-W370))</f>
        <v/>
      </c>
      <c r="Y370" s="9">
        <f>IF(W370&gt;$AC$32,1,0)</f>
        <v/>
      </c>
      <c r="Z370">
        <f>IF(Y370=C370,1,0)</f>
        <v/>
      </c>
    </row>
    <row r="371">
      <c r="A371">
        <f>'3 escalar'!A374</f>
        <v/>
      </c>
      <c r="B371" s="5">
        <f>'3 escalar'!U374</f>
        <v/>
      </c>
      <c r="C371">
        <f>'3 escalar'!B374</f>
        <v/>
      </c>
      <c r="D371" s="7">
        <f>'3 escalar'!C374</f>
        <v/>
      </c>
      <c r="E371" s="7">
        <f>'3 escalar'!D374</f>
        <v/>
      </c>
      <c r="F371" s="7">
        <f>'3 escalar'!E374</f>
        <v/>
      </c>
      <c r="G371" s="7">
        <f>'3 escalar'!F374</f>
        <v/>
      </c>
      <c r="H371" s="7">
        <f>'3 escalar'!G374</f>
        <v/>
      </c>
      <c r="I371" s="7">
        <f>'3 escalar'!H374</f>
        <v/>
      </c>
      <c r="J371" s="7">
        <f>'3 escalar'!I374</f>
        <v/>
      </c>
      <c r="K371" s="7">
        <f>'3 escalar'!J374</f>
        <v/>
      </c>
      <c r="L371" s="7">
        <f>'3 escalar'!K374</f>
        <v/>
      </c>
      <c r="M371" s="7">
        <f>'3 escalar'!L374</f>
        <v/>
      </c>
      <c r="N371" s="7">
        <f>'3 escalar'!M374</f>
        <v/>
      </c>
      <c r="O371" s="7">
        <f>'3 escalar'!N374</f>
        <v/>
      </c>
      <c r="P371" s="7">
        <f>'3 escalar'!O374</f>
        <v/>
      </c>
      <c r="Q371" s="7">
        <f>'3 escalar'!P374</f>
        <v/>
      </c>
      <c r="R371" s="7">
        <f>'3 escalar'!Q374</f>
        <v/>
      </c>
      <c r="S371" s="7">
        <f>'3 escalar'!R374</f>
        <v/>
      </c>
      <c r="T371" s="7">
        <f>'3 escalar'!S374</f>
        <v/>
      </c>
      <c r="U371" s="7">
        <f>'3 escalar'!T374</f>
        <v/>
      </c>
      <c r="V371" s="6">
        <f>$AC$12+D371*$AC$13+E371*$AC$14+F371*$AC$15+G371*$AC$16+H371*$AC$17+I371*$AC$18+J371*$AC$19+K371*$AC$20+L371*$AC$21+M371*$AC$22+N371*$AC$23+O371*$AC$24+P371*$AC$25+Q371*$AC$26+R371*$AC$27+S371*$AC$28+T371*$AC$29+U371*$AC$30</f>
        <v/>
      </c>
      <c r="W371" s="6">
        <f>1/(1+EXP(-V371))</f>
        <v/>
      </c>
      <c r="X371" s="8">
        <f>-IF(C371=1,LN(W371),LN(1-W371))</f>
        <v/>
      </c>
      <c r="Y371" s="9">
        <f>IF(W371&gt;$AC$32,1,0)</f>
        <v/>
      </c>
      <c r="Z371">
        <f>IF(Y371=C371,1,0)</f>
        <v/>
      </c>
    </row>
    <row r="372">
      <c r="A372">
        <f>'3 escalar'!A375</f>
        <v/>
      </c>
      <c r="B372" s="5">
        <f>'3 escalar'!U375</f>
        <v/>
      </c>
      <c r="C372">
        <f>'3 escalar'!B375</f>
        <v/>
      </c>
      <c r="D372" s="7">
        <f>'3 escalar'!C375</f>
        <v/>
      </c>
      <c r="E372" s="7">
        <f>'3 escalar'!D375</f>
        <v/>
      </c>
      <c r="F372" s="7">
        <f>'3 escalar'!E375</f>
        <v/>
      </c>
      <c r="G372" s="7">
        <f>'3 escalar'!F375</f>
        <v/>
      </c>
      <c r="H372" s="7">
        <f>'3 escalar'!G375</f>
        <v/>
      </c>
      <c r="I372" s="7">
        <f>'3 escalar'!H375</f>
        <v/>
      </c>
      <c r="J372" s="7">
        <f>'3 escalar'!I375</f>
        <v/>
      </c>
      <c r="K372" s="7">
        <f>'3 escalar'!J375</f>
        <v/>
      </c>
      <c r="L372" s="7">
        <f>'3 escalar'!K375</f>
        <v/>
      </c>
      <c r="M372" s="7">
        <f>'3 escalar'!L375</f>
        <v/>
      </c>
      <c r="N372" s="7">
        <f>'3 escalar'!M375</f>
        <v/>
      </c>
      <c r="O372" s="7">
        <f>'3 escalar'!N375</f>
        <v/>
      </c>
      <c r="P372" s="7">
        <f>'3 escalar'!O375</f>
        <v/>
      </c>
      <c r="Q372" s="7">
        <f>'3 escalar'!P375</f>
        <v/>
      </c>
      <c r="R372" s="7">
        <f>'3 escalar'!Q375</f>
        <v/>
      </c>
      <c r="S372" s="7">
        <f>'3 escalar'!R375</f>
        <v/>
      </c>
      <c r="T372" s="7">
        <f>'3 escalar'!S375</f>
        <v/>
      </c>
      <c r="U372" s="7">
        <f>'3 escalar'!T375</f>
        <v/>
      </c>
      <c r="V372" s="6">
        <f>$AC$12+D372*$AC$13+E372*$AC$14+F372*$AC$15+G372*$AC$16+H372*$AC$17+I372*$AC$18+J372*$AC$19+K372*$AC$20+L372*$AC$21+M372*$AC$22+N372*$AC$23+O372*$AC$24+P372*$AC$25+Q372*$AC$26+R372*$AC$27+S372*$AC$28+T372*$AC$29+U372*$AC$30</f>
        <v/>
      </c>
      <c r="W372" s="6">
        <f>1/(1+EXP(-V372))</f>
        <v/>
      </c>
      <c r="X372" s="8">
        <f>-IF(C372=1,LN(W372),LN(1-W372))</f>
        <v/>
      </c>
      <c r="Y372" s="9">
        <f>IF(W372&gt;$AC$32,1,0)</f>
        <v/>
      </c>
      <c r="Z372">
        <f>IF(Y372=C372,1,0)</f>
        <v/>
      </c>
    </row>
    <row r="373">
      <c r="A373">
        <f>'3 escalar'!A376</f>
        <v/>
      </c>
      <c r="B373" s="5">
        <f>'3 escalar'!U376</f>
        <v/>
      </c>
      <c r="C373">
        <f>'3 escalar'!B376</f>
        <v/>
      </c>
      <c r="D373" s="7">
        <f>'3 escalar'!C376</f>
        <v/>
      </c>
      <c r="E373" s="7">
        <f>'3 escalar'!D376</f>
        <v/>
      </c>
      <c r="F373" s="7">
        <f>'3 escalar'!E376</f>
        <v/>
      </c>
      <c r="G373" s="7">
        <f>'3 escalar'!F376</f>
        <v/>
      </c>
      <c r="H373" s="7">
        <f>'3 escalar'!G376</f>
        <v/>
      </c>
      <c r="I373" s="7">
        <f>'3 escalar'!H376</f>
        <v/>
      </c>
      <c r="J373" s="7">
        <f>'3 escalar'!I376</f>
        <v/>
      </c>
      <c r="K373" s="7">
        <f>'3 escalar'!J376</f>
        <v/>
      </c>
      <c r="L373" s="7">
        <f>'3 escalar'!K376</f>
        <v/>
      </c>
      <c r="M373" s="7">
        <f>'3 escalar'!L376</f>
        <v/>
      </c>
      <c r="N373" s="7">
        <f>'3 escalar'!M376</f>
        <v/>
      </c>
      <c r="O373" s="7">
        <f>'3 escalar'!N376</f>
        <v/>
      </c>
      <c r="P373" s="7">
        <f>'3 escalar'!O376</f>
        <v/>
      </c>
      <c r="Q373" s="7">
        <f>'3 escalar'!P376</f>
        <v/>
      </c>
      <c r="R373" s="7">
        <f>'3 escalar'!Q376</f>
        <v/>
      </c>
      <c r="S373" s="7">
        <f>'3 escalar'!R376</f>
        <v/>
      </c>
      <c r="T373" s="7">
        <f>'3 escalar'!S376</f>
        <v/>
      </c>
      <c r="U373" s="7">
        <f>'3 escalar'!T376</f>
        <v/>
      </c>
      <c r="V373" s="6">
        <f>$AC$12+D373*$AC$13+E373*$AC$14+F373*$AC$15+G373*$AC$16+H373*$AC$17+I373*$AC$18+J373*$AC$19+K373*$AC$20+L373*$AC$21+M373*$AC$22+N373*$AC$23+O373*$AC$24+P373*$AC$25+Q373*$AC$26+R373*$AC$27+S373*$AC$28+T373*$AC$29+U373*$AC$30</f>
        <v/>
      </c>
      <c r="W373" s="6">
        <f>1/(1+EXP(-V373))</f>
        <v/>
      </c>
      <c r="X373" s="8">
        <f>-IF(C373=1,LN(W373),LN(1-W373))</f>
        <v/>
      </c>
      <c r="Y373" s="9">
        <f>IF(W373&gt;$AC$32,1,0)</f>
        <v/>
      </c>
      <c r="Z373">
        <f>IF(Y373=C373,1,0)</f>
        <v/>
      </c>
    </row>
    <row r="374">
      <c r="A374">
        <f>'3 escalar'!A377</f>
        <v/>
      </c>
      <c r="B374" s="5">
        <f>'3 escalar'!U377</f>
        <v/>
      </c>
      <c r="C374">
        <f>'3 escalar'!B377</f>
        <v/>
      </c>
      <c r="D374" s="7">
        <f>'3 escalar'!C377</f>
        <v/>
      </c>
      <c r="E374" s="7">
        <f>'3 escalar'!D377</f>
        <v/>
      </c>
      <c r="F374" s="7">
        <f>'3 escalar'!E377</f>
        <v/>
      </c>
      <c r="G374" s="7">
        <f>'3 escalar'!F377</f>
        <v/>
      </c>
      <c r="H374" s="7">
        <f>'3 escalar'!G377</f>
        <v/>
      </c>
      <c r="I374" s="7">
        <f>'3 escalar'!H377</f>
        <v/>
      </c>
      <c r="J374" s="7">
        <f>'3 escalar'!I377</f>
        <v/>
      </c>
      <c r="K374" s="7">
        <f>'3 escalar'!J377</f>
        <v/>
      </c>
      <c r="L374" s="7">
        <f>'3 escalar'!K377</f>
        <v/>
      </c>
      <c r="M374" s="7">
        <f>'3 escalar'!L377</f>
        <v/>
      </c>
      <c r="N374" s="7">
        <f>'3 escalar'!M377</f>
        <v/>
      </c>
      <c r="O374" s="7">
        <f>'3 escalar'!N377</f>
        <v/>
      </c>
      <c r="P374" s="7">
        <f>'3 escalar'!O377</f>
        <v/>
      </c>
      <c r="Q374" s="7">
        <f>'3 escalar'!P377</f>
        <v/>
      </c>
      <c r="R374" s="7">
        <f>'3 escalar'!Q377</f>
        <v/>
      </c>
      <c r="S374" s="7">
        <f>'3 escalar'!R377</f>
        <v/>
      </c>
      <c r="T374" s="7">
        <f>'3 escalar'!S377</f>
        <v/>
      </c>
      <c r="U374" s="7">
        <f>'3 escalar'!T377</f>
        <v/>
      </c>
      <c r="V374" s="6">
        <f>$AC$12+D374*$AC$13+E374*$AC$14+F374*$AC$15+G374*$AC$16+H374*$AC$17+I374*$AC$18+J374*$AC$19+K374*$AC$20+L374*$AC$21+M374*$AC$22+N374*$AC$23+O374*$AC$24+P374*$AC$25+Q374*$AC$26+R374*$AC$27+S374*$AC$28+T374*$AC$29+U374*$AC$30</f>
        <v/>
      </c>
      <c r="W374" s="6">
        <f>1/(1+EXP(-V374))</f>
        <v/>
      </c>
      <c r="X374" s="8">
        <f>-IF(C374=1,LN(W374),LN(1-W374))</f>
        <v/>
      </c>
      <c r="Y374" s="9">
        <f>IF(W374&gt;$AC$32,1,0)</f>
        <v/>
      </c>
      <c r="Z374">
        <f>IF(Y374=C374,1,0)</f>
        <v/>
      </c>
    </row>
    <row r="375">
      <c r="A375">
        <f>'3 escalar'!A378</f>
        <v/>
      </c>
      <c r="B375" s="5">
        <f>'3 escalar'!U378</f>
        <v/>
      </c>
      <c r="C375">
        <f>'3 escalar'!B378</f>
        <v/>
      </c>
      <c r="D375" s="7">
        <f>'3 escalar'!C378</f>
        <v/>
      </c>
      <c r="E375" s="7">
        <f>'3 escalar'!D378</f>
        <v/>
      </c>
      <c r="F375" s="7">
        <f>'3 escalar'!E378</f>
        <v/>
      </c>
      <c r="G375" s="7">
        <f>'3 escalar'!F378</f>
        <v/>
      </c>
      <c r="H375" s="7">
        <f>'3 escalar'!G378</f>
        <v/>
      </c>
      <c r="I375" s="7">
        <f>'3 escalar'!H378</f>
        <v/>
      </c>
      <c r="J375" s="7">
        <f>'3 escalar'!I378</f>
        <v/>
      </c>
      <c r="K375" s="7">
        <f>'3 escalar'!J378</f>
        <v/>
      </c>
      <c r="L375" s="7">
        <f>'3 escalar'!K378</f>
        <v/>
      </c>
      <c r="M375" s="7">
        <f>'3 escalar'!L378</f>
        <v/>
      </c>
      <c r="N375" s="7">
        <f>'3 escalar'!M378</f>
        <v/>
      </c>
      <c r="O375" s="7">
        <f>'3 escalar'!N378</f>
        <v/>
      </c>
      <c r="P375" s="7">
        <f>'3 escalar'!O378</f>
        <v/>
      </c>
      <c r="Q375" s="7">
        <f>'3 escalar'!P378</f>
        <v/>
      </c>
      <c r="R375" s="7">
        <f>'3 escalar'!Q378</f>
        <v/>
      </c>
      <c r="S375" s="7">
        <f>'3 escalar'!R378</f>
        <v/>
      </c>
      <c r="T375" s="7">
        <f>'3 escalar'!S378</f>
        <v/>
      </c>
      <c r="U375" s="7">
        <f>'3 escalar'!T378</f>
        <v/>
      </c>
      <c r="V375" s="6">
        <f>$AC$12+D375*$AC$13+E375*$AC$14+F375*$AC$15+G375*$AC$16+H375*$AC$17+I375*$AC$18+J375*$AC$19+K375*$AC$20+L375*$AC$21+M375*$AC$22+N375*$AC$23+O375*$AC$24+P375*$AC$25+Q375*$AC$26+R375*$AC$27+S375*$AC$28+T375*$AC$29+U375*$AC$30</f>
        <v/>
      </c>
      <c r="W375" s="6">
        <f>1/(1+EXP(-V375))</f>
        <v/>
      </c>
      <c r="X375" s="8">
        <f>-IF(C375=1,LN(W375),LN(1-W375))</f>
        <v/>
      </c>
      <c r="Y375" s="9">
        <f>IF(W375&gt;$AC$32,1,0)</f>
        <v/>
      </c>
      <c r="Z375">
        <f>IF(Y375=C375,1,0)</f>
        <v/>
      </c>
    </row>
    <row r="376">
      <c r="A376">
        <f>'3 escalar'!A379</f>
        <v/>
      </c>
      <c r="B376" s="5">
        <f>'3 escalar'!U379</f>
        <v/>
      </c>
      <c r="C376">
        <f>'3 escalar'!B379</f>
        <v/>
      </c>
      <c r="D376" s="7">
        <f>'3 escalar'!C379</f>
        <v/>
      </c>
      <c r="E376" s="7">
        <f>'3 escalar'!D379</f>
        <v/>
      </c>
      <c r="F376" s="7">
        <f>'3 escalar'!E379</f>
        <v/>
      </c>
      <c r="G376" s="7">
        <f>'3 escalar'!F379</f>
        <v/>
      </c>
      <c r="H376" s="7">
        <f>'3 escalar'!G379</f>
        <v/>
      </c>
      <c r="I376" s="7">
        <f>'3 escalar'!H379</f>
        <v/>
      </c>
      <c r="J376" s="7">
        <f>'3 escalar'!I379</f>
        <v/>
      </c>
      <c r="K376" s="7">
        <f>'3 escalar'!J379</f>
        <v/>
      </c>
      <c r="L376" s="7">
        <f>'3 escalar'!K379</f>
        <v/>
      </c>
      <c r="M376" s="7">
        <f>'3 escalar'!L379</f>
        <v/>
      </c>
      <c r="N376" s="7">
        <f>'3 escalar'!M379</f>
        <v/>
      </c>
      <c r="O376" s="7">
        <f>'3 escalar'!N379</f>
        <v/>
      </c>
      <c r="P376" s="7">
        <f>'3 escalar'!O379</f>
        <v/>
      </c>
      <c r="Q376" s="7">
        <f>'3 escalar'!P379</f>
        <v/>
      </c>
      <c r="R376" s="7">
        <f>'3 escalar'!Q379</f>
        <v/>
      </c>
      <c r="S376" s="7">
        <f>'3 escalar'!R379</f>
        <v/>
      </c>
      <c r="T376" s="7">
        <f>'3 escalar'!S379</f>
        <v/>
      </c>
      <c r="U376" s="7">
        <f>'3 escalar'!T379</f>
        <v/>
      </c>
      <c r="V376" s="6">
        <f>$AC$12+D376*$AC$13+E376*$AC$14+F376*$AC$15+G376*$AC$16+H376*$AC$17+I376*$AC$18+J376*$AC$19+K376*$AC$20+L376*$AC$21+M376*$AC$22+N376*$AC$23+O376*$AC$24+P376*$AC$25+Q376*$AC$26+R376*$AC$27+S376*$AC$28+T376*$AC$29+U376*$AC$30</f>
        <v/>
      </c>
      <c r="W376" s="6">
        <f>1/(1+EXP(-V376))</f>
        <v/>
      </c>
      <c r="X376" s="8">
        <f>-IF(C376=1,LN(W376),LN(1-W376))</f>
        <v/>
      </c>
      <c r="Y376" s="9">
        <f>IF(W376&gt;$AC$32,1,0)</f>
        <v/>
      </c>
      <c r="Z376">
        <f>IF(Y376=C376,1,0)</f>
        <v/>
      </c>
    </row>
    <row r="377">
      <c r="A377">
        <f>'3 escalar'!A380</f>
        <v/>
      </c>
      <c r="B377" s="5">
        <f>'3 escalar'!U380</f>
        <v/>
      </c>
      <c r="C377">
        <f>'3 escalar'!B380</f>
        <v/>
      </c>
      <c r="D377" s="7">
        <f>'3 escalar'!C380</f>
        <v/>
      </c>
      <c r="E377" s="7">
        <f>'3 escalar'!D380</f>
        <v/>
      </c>
      <c r="F377" s="7">
        <f>'3 escalar'!E380</f>
        <v/>
      </c>
      <c r="G377" s="7">
        <f>'3 escalar'!F380</f>
        <v/>
      </c>
      <c r="H377" s="7">
        <f>'3 escalar'!G380</f>
        <v/>
      </c>
      <c r="I377" s="7">
        <f>'3 escalar'!H380</f>
        <v/>
      </c>
      <c r="J377" s="7">
        <f>'3 escalar'!I380</f>
        <v/>
      </c>
      <c r="K377" s="7">
        <f>'3 escalar'!J380</f>
        <v/>
      </c>
      <c r="L377" s="7">
        <f>'3 escalar'!K380</f>
        <v/>
      </c>
      <c r="M377" s="7">
        <f>'3 escalar'!L380</f>
        <v/>
      </c>
      <c r="N377" s="7">
        <f>'3 escalar'!M380</f>
        <v/>
      </c>
      <c r="O377" s="7">
        <f>'3 escalar'!N380</f>
        <v/>
      </c>
      <c r="P377" s="7">
        <f>'3 escalar'!O380</f>
        <v/>
      </c>
      <c r="Q377" s="7">
        <f>'3 escalar'!P380</f>
        <v/>
      </c>
      <c r="R377" s="7">
        <f>'3 escalar'!Q380</f>
        <v/>
      </c>
      <c r="S377" s="7">
        <f>'3 escalar'!R380</f>
        <v/>
      </c>
      <c r="T377" s="7">
        <f>'3 escalar'!S380</f>
        <v/>
      </c>
      <c r="U377" s="7">
        <f>'3 escalar'!T380</f>
        <v/>
      </c>
      <c r="V377" s="6">
        <f>$AC$12+D377*$AC$13+E377*$AC$14+F377*$AC$15+G377*$AC$16+H377*$AC$17+I377*$AC$18+J377*$AC$19+K377*$AC$20+L377*$AC$21+M377*$AC$22+N377*$AC$23+O377*$AC$24+P377*$AC$25+Q377*$AC$26+R377*$AC$27+S377*$AC$28+T377*$AC$29+U377*$AC$30</f>
        <v/>
      </c>
      <c r="W377" s="6">
        <f>1/(1+EXP(-V377))</f>
        <v/>
      </c>
      <c r="X377" s="8">
        <f>-IF(C377=1,LN(W377),LN(1-W377))</f>
        <v/>
      </c>
      <c r="Y377" s="9">
        <f>IF(W377&gt;$AC$32,1,0)</f>
        <v/>
      </c>
      <c r="Z377">
        <f>IF(Y377=C377,1,0)</f>
        <v/>
      </c>
    </row>
    <row r="378">
      <c r="A378">
        <f>'3 escalar'!A381</f>
        <v/>
      </c>
      <c r="B378" s="5">
        <f>'3 escalar'!U381</f>
        <v/>
      </c>
      <c r="C378">
        <f>'3 escalar'!B381</f>
        <v/>
      </c>
      <c r="D378" s="7">
        <f>'3 escalar'!C381</f>
        <v/>
      </c>
      <c r="E378" s="7">
        <f>'3 escalar'!D381</f>
        <v/>
      </c>
      <c r="F378" s="7">
        <f>'3 escalar'!E381</f>
        <v/>
      </c>
      <c r="G378" s="7">
        <f>'3 escalar'!F381</f>
        <v/>
      </c>
      <c r="H378" s="7">
        <f>'3 escalar'!G381</f>
        <v/>
      </c>
      <c r="I378" s="7">
        <f>'3 escalar'!H381</f>
        <v/>
      </c>
      <c r="J378" s="7">
        <f>'3 escalar'!I381</f>
        <v/>
      </c>
      <c r="K378" s="7">
        <f>'3 escalar'!J381</f>
        <v/>
      </c>
      <c r="L378" s="7">
        <f>'3 escalar'!K381</f>
        <v/>
      </c>
      <c r="M378" s="7">
        <f>'3 escalar'!L381</f>
        <v/>
      </c>
      <c r="N378" s="7">
        <f>'3 escalar'!M381</f>
        <v/>
      </c>
      <c r="O378" s="7">
        <f>'3 escalar'!N381</f>
        <v/>
      </c>
      <c r="P378" s="7">
        <f>'3 escalar'!O381</f>
        <v/>
      </c>
      <c r="Q378" s="7">
        <f>'3 escalar'!P381</f>
        <v/>
      </c>
      <c r="R378" s="7">
        <f>'3 escalar'!Q381</f>
        <v/>
      </c>
      <c r="S378" s="7">
        <f>'3 escalar'!R381</f>
        <v/>
      </c>
      <c r="T378" s="7">
        <f>'3 escalar'!S381</f>
        <v/>
      </c>
      <c r="U378" s="7">
        <f>'3 escalar'!T381</f>
        <v/>
      </c>
      <c r="V378" s="6">
        <f>$AC$12+D378*$AC$13+E378*$AC$14+F378*$AC$15+G378*$AC$16+H378*$AC$17+I378*$AC$18+J378*$AC$19+K378*$AC$20+L378*$AC$21+M378*$AC$22+N378*$AC$23+O378*$AC$24+P378*$AC$25+Q378*$AC$26+R378*$AC$27+S378*$AC$28+T378*$AC$29+U378*$AC$30</f>
        <v/>
      </c>
      <c r="W378" s="6">
        <f>1/(1+EXP(-V378))</f>
        <v/>
      </c>
      <c r="X378" s="8">
        <f>-IF(C378=1,LN(W378),LN(1-W378))</f>
        <v/>
      </c>
      <c r="Y378" s="9">
        <f>IF(W378&gt;$AC$32,1,0)</f>
        <v/>
      </c>
      <c r="Z378">
        <f>IF(Y378=C378,1,0)</f>
        <v/>
      </c>
    </row>
    <row r="379">
      <c r="A379">
        <f>'3 escalar'!A382</f>
        <v/>
      </c>
      <c r="B379" s="5">
        <f>'3 escalar'!U382</f>
        <v/>
      </c>
      <c r="C379">
        <f>'3 escalar'!B382</f>
        <v/>
      </c>
      <c r="D379" s="7">
        <f>'3 escalar'!C382</f>
        <v/>
      </c>
      <c r="E379" s="7">
        <f>'3 escalar'!D382</f>
        <v/>
      </c>
      <c r="F379" s="7">
        <f>'3 escalar'!E382</f>
        <v/>
      </c>
      <c r="G379" s="7">
        <f>'3 escalar'!F382</f>
        <v/>
      </c>
      <c r="H379" s="7">
        <f>'3 escalar'!G382</f>
        <v/>
      </c>
      <c r="I379" s="7">
        <f>'3 escalar'!H382</f>
        <v/>
      </c>
      <c r="J379" s="7">
        <f>'3 escalar'!I382</f>
        <v/>
      </c>
      <c r="K379" s="7">
        <f>'3 escalar'!J382</f>
        <v/>
      </c>
      <c r="L379" s="7">
        <f>'3 escalar'!K382</f>
        <v/>
      </c>
      <c r="M379" s="7">
        <f>'3 escalar'!L382</f>
        <v/>
      </c>
      <c r="N379" s="7">
        <f>'3 escalar'!M382</f>
        <v/>
      </c>
      <c r="O379" s="7">
        <f>'3 escalar'!N382</f>
        <v/>
      </c>
      <c r="P379" s="7">
        <f>'3 escalar'!O382</f>
        <v/>
      </c>
      <c r="Q379" s="7">
        <f>'3 escalar'!P382</f>
        <v/>
      </c>
      <c r="R379" s="7">
        <f>'3 escalar'!Q382</f>
        <v/>
      </c>
      <c r="S379" s="7">
        <f>'3 escalar'!R382</f>
        <v/>
      </c>
      <c r="T379" s="7">
        <f>'3 escalar'!S382</f>
        <v/>
      </c>
      <c r="U379" s="7">
        <f>'3 escalar'!T382</f>
        <v/>
      </c>
      <c r="V379" s="6">
        <f>$AC$12+D379*$AC$13+E379*$AC$14+F379*$AC$15+G379*$AC$16+H379*$AC$17+I379*$AC$18+J379*$AC$19+K379*$AC$20+L379*$AC$21+M379*$AC$22+N379*$AC$23+O379*$AC$24+P379*$AC$25+Q379*$AC$26+R379*$AC$27+S379*$AC$28+T379*$AC$29+U379*$AC$30</f>
        <v/>
      </c>
      <c r="W379" s="6">
        <f>1/(1+EXP(-V379))</f>
        <v/>
      </c>
      <c r="X379" s="8">
        <f>-IF(C379=1,LN(W379),LN(1-W379))</f>
        <v/>
      </c>
      <c r="Y379" s="9">
        <f>IF(W379&gt;$AC$32,1,0)</f>
        <v/>
      </c>
      <c r="Z379">
        <f>IF(Y379=C379,1,0)</f>
        <v/>
      </c>
    </row>
    <row r="380">
      <c r="A380">
        <f>'3 escalar'!A383</f>
        <v/>
      </c>
      <c r="B380" s="5">
        <f>'3 escalar'!U383</f>
        <v/>
      </c>
      <c r="C380">
        <f>'3 escalar'!B383</f>
        <v/>
      </c>
      <c r="D380" s="7">
        <f>'3 escalar'!C383</f>
        <v/>
      </c>
      <c r="E380" s="7">
        <f>'3 escalar'!D383</f>
        <v/>
      </c>
      <c r="F380" s="7">
        <f>'3 escalar'!E383</f>
        <v/>
      </c>
      <c r="G380" s="7">
        <f>'3 escalar'!F383</f>
        <v/>
      </c>
      <c r="H380" s="7">
        <f>'3 escalar'!G383</f>
        <v/>
      </c>
      <c r="I380" s="7">
        <f>'3 escalar'!H383</f>
        <v/>
      </c>
      <c r="J380" s="7">
        <f>'3 escalar'!I383</f>
        <v/>
      </c>
      <c r="K380" s="7">
        <f>'3 escalar'!J383</f>
        <v/>
      </c>
      <c r="L380" s="7">
        <f>'3 escalar'!K383</f>
        <v/>
      </c>
      <c r="M380" s="7">
        <f>'3 escalar'!L383</f>
        <v/>
      </c>
      <c r="N380" s="7">
        <f>'3 escalar'!M383</f>
        <v/>
      </c>
      <c r="O380" s="7">
        <f>'3 escalar'!N383</f>
        <v/>
      </c>
      <c r="P380" s="7">
        <f>'3 escalar'!O383</f>
        <v/>
      </c>
      <c r="Q380" s="7">
        <f>'3 escalar'!P383</f>
        <v/>
      </c>
      <c r="R380" s="7">
        <f>'3 escalar'!Q383</f>
        <v/>
      </c>
      <c r="S380" s="7">
        <f>'3 escalar'!R383</f>
        <v/>
      </c>
      <c r="T380" s="7">
        <f>'3 escalar'!S383</f>
        <v/>
      </c>
      <c r="U380" s="7">
        <f>'3 escalar'!T383</f>
        <v/>
      </c>
      <c r="V380" s="6">
        <f>$AC$12+D380*$AC$13+E380*$AC$14+F380*$AC$15+G380*$AC$16+H380*$AC$17+I380*$AC$18+J380*$AC$19+K380*$AC$20+L380*$AC$21+M380*$AC$22+N380*$AC$23+O380*$AC$24+P380*$AC$25+Q380*$AC$26+R380*$AC$27+S380*$AC$28+T380*$AC$29+U380*$AC$30</f>
        <v/>
      </c>
      <c r="W380" s="6">
        <f>1/(1+EXP(-V380))</f>
        <v/>
      </c>
      <c r="X380" s="8">
        <f>-IF(C380=1,LN(W380),LN(1-W380))</f>
        <v/>
      </c>
      <c r="Y380" s="9">
        <f>IF(W380&gt;$AC$32,1,0)</f>
        <v/>
      </c>
      <c r="Z380">
        <f>IF(Y380=C380,1,0)</f>
        <v/>
      </c>
    </row>
    <row r="381">
      <c r="A381">
        <f>'3 escalar'!A384</f>
        <v/>
      </c>
      <c r="B381" s="5">
        <f>'3 escalar'!U384</f>
        <v/>
      </c>
      <c r="C381">
        <f>'3 escalar'!B384</f>
        <v/>
      </c>
      <c r="D381" s="7">
        <f>'3 escalar'!C384</f>
        <v/>
      </c>
      <c r="E381" s="7">
        <f>'3 escalar'!D384</f>
        <v/>
      </c>
      <c r="F381" s="7">
        <f>'3 escalar'!E384</f>
        <v/>
      </c>
      <c r="G381" s="7">
        <f>'3 escalar'!F384</f>
        <v/>
      </c>
      <c r="H381" s="7">
        <f>'3 escalar'!G384</f>
        <v/>
      </c>
      <c r="I381" s="7">
        <f>'3 escalar'!H384</f>
        <v/>
      </c>
      <c r="J381" s="7">
        <f>'3 escalar'!I384</f>
        <v/>
      </c>
      <c r="K381" s="7">
        <f>'3 escalar'!J384</f>
        <v/>
      </c>
      <c r="L381" s="7">
        <f>'3 escalar'!K384</f>
        <v/>
      </c>
      <c r="M381" s="7">
        <f>'3 escalar'!L384</f>
        <v/>
      </c>
      <c r="N381" s="7">
        <f>'3 escalar'!M384</f>
        <v/>
      </c>
      <c r="O381" s="7">
        <f>'3 escalar'!N384</f>
        <v/>
      </c>
      <c r="P381" s="7">
        <f>'3 escalar'!O384</f>
        <v/>
      </c>
      <c r="Q381" s="7">
        <f>'3 escalar'!P384</f>
        <v/>
      </c>
      <c r="R381" s="7">
        <f>'3 escalar'!Q384</f>
        <v/>
      </c>
      <c r="S381" s="7">
        <f>'3 escalar'!R384</f>
        <v/>
      </c>
      <c r="T381" s="7">
        <f>'3 escalar'!S384</f>
        <v/>
      </c>
      <c r="U381" s="7">
        <f>'3 escalar'!T384</f>
        <v/>
      </c>
      <c r="V381" s="6">
        <f>$AC$12+D381*$AC$13+E381*$AC$14+F381*$AC$15+G381*$AC$16+H381*$AC$17+I381*$AC$18+J381*$AC$19+K381*$AC$20+L381*$AC$21+M381*$AC$22+N381*$AC$23+O381*$AC$24+P381*$AC$25+Q381*$AC$26+R381*$AC$27+S381*$AC$28+T381*$AC$29+U381*$AC$30</f>
        <v/>
      </c>
      <c r="W381" s="6">
        <f>1/(1+EXP(-V381))</f>
        <v/>
      </c>
      <c r="X381" s="8">
        <f>-IF(C381=1,LN(W381),LN(1-W381))</f>
        <v/>
      </c>
      <c r="Y381" s="9">
        <f>IF(W381&gt;$AC$32,1,0)</f>
        <v/>
      </c>
      <c r="Z381">
        <f>IF(Y381=C381,1,0)</f>
        <v/>
      </c>
    </row>
    <row r="382">
      <c r="A382">
        <f>'3 escalar'!A385</f>
        <v/>
      </c>
      <c r="B382" s="5">
        <f>'3 escalar'!U385</f>
        <v/>
      </c>
      <c r="C382">
        <f>'3 escalar'!B385</f>
        <v/>
      </c>
      <c r="D382" s="7">
        <f>'3 escalar'!C385</f>
        <v/>
      </c>
      <c r="E382" s="7">
        <f>'3 escalar'!D385</f>
        <v/>
      </c>
      <c r="F382" s="7">
        <f>'3 escalar'!E385</f>
        <v/>
      </c>
      <c r="G382" s="7">
        <f>'3 escalar'!F385</f>
        <v/>
      </c>
      <c r="H382" s="7">
        <f>'3 escalar'!G385</f>
        <v/>
      </c>
      <c r="I382" s="7">
        <f>'3 escalar'!H385</f>
        <v/>
      </c>
      <c r="J382" s="7">
        <f>'3 escalar'!I385</f>
        <v/>
      </c>
      <c r="K382" s="7">
        <f>'3 escalar'!J385</f>
        <v/>
      </c>
      <c r="L382" s="7">
        <f>'3 escalar'!K385</f>
        <v/>
      </c>
      <c r="M382" s="7">
        <f>'3 escalar'!L385</f>
        <v/>
      </c>
      <c r="N382" s="7">
        <f>'3 escalar'!M385</f>
        <v/>
      </c>
      <c r="O382" s="7">
        <f>'3 escalar'!N385</f>
        <v/>
      </c>
      <c r="P382" s="7">
        <f>'3 escalar'!O385</f>
        <v/>
      </c>
      <c r="Q382" s="7">
        <f>'3 escalar'!P385</f>
        <v/>
      </c>
      <c r="R382" s="7">
        <f>'3 escalar'!Q385</f>
        <v/>
      </c>
      <c r="S382" s="7">
        <f>'3 escalar'!R385</f>
        <v/>
      </c>
      <c r="T382" s="7">
        <f>'3 escalar'!S385</f>
        <v/>
      </c>
      <c r="U382" s="7">
        <f>'3 escalar'!T385</f>
        <v/>
      </c>
      <c r="V382" s="6">
        <f>$AC$12+D382*$AC$13+E382*$AC$14+F382*$AC$15+G382*$AC$16+H382*$AC$17+I382*$AC$18+J382*$AC$19+K382*$AC$20+L382*$AC$21+M382*$AC$22+N382*$AC$23+O382*$AC$24+P382*$AC$25+Q382*$AC$26+R382*$AC$27+S382*$AC$28+T382*$AC$29+U382*$AC$30</f>
        <v/>
      </c>
      <c r="W382" s="6">
        <f>1/(1+EXP(-V382))</f>
        <v/>
      </c>
      <c r="X382" s="8">
        <f>-IF(C382=1,LN(W382),LN(1-W382))</f>
        <v/>
      </c>
      <c r="Y382" s="9">
        <f>IF(W382&gt;$AC$32,1,0)</f>
        <v/>
      </c>
      <c r="Z382">
        <f>IF(Y382=C382,1,0)</f>
        <v/>
      </c>
    </row>
    <row r="383">
      <c r="A383">
        <f>'3 escalar'!A386</f>
        <v/>
      </c>
      <c r="B383" s="5">
        <f>'3 escalar'!U386</f>
        <v/>
      </c>
      <c r="C383">
        <f>'3 escalar'!B386</f>
        <v/>
      </c>
      <c r="D383" s="7">
        <f>'3 escalar'!C386</f>
        <v/>
      </c>
      <c r="E383" s="7">
        <f>'3 escalar'!D386</f>
        <v/>
      </c>
      <c r="F383" s="7">
        <f>'3 escalar'!E386</f>
        <v/>
      </c>
      <c r="G383" s="7">
        <f>'3 escalar'!F386</f>
        <v/>
      </c>
      <c r="H383" s="7">
        <f>'3 escalar'!G386</f>
        <v/>
      </c>
      <c r="I383" s="7">
        <f>'3 escalar'!H386</f>
        <v/>
      </c>
      <c r="J383" s="7">
        <f>'3 escalar'!I386</f>
        <v/>
      </c>
      <c r="K383" s="7">
        <f>'3 escalar'!J386</f>
        <v/>
      </c>
      <c r="L383" s="7">
        <f>'3 escalar'!K386</f>
        <v/>
      </c>
      <c r="M383" s="7">
        <f>'3 escalar'!L386</f>
        <v/>
      </c>
      <c r="N383" s="7">
        <f>'3 escalar'!M386</f>
        <v/>
      </c>
      <c r="O383" s="7">
        <f>'3 escalar'!N386</f>
        <v/>
      </c>
      <c r="P383" s="7">
        <f>'3 escalar'!O386</f>
        <v/>
      </c>
      <c r="Q383" s="7">
        <f>'3 escalar'!P386</f>
        <v/>
      </c>
      <c r="R383" s="7">
        <f>'3 escalar'!Q386</f>
        <v/>
      </c>
      <c r="S383" s="7">
        <f>'3 escalar'!R386</f>
        <v/>
      </c>
      <c r="T383" s="7">
        <f>'3 escalar'!S386</f>
        <v/>
      </c>
      <c r="U383" s="7">
        <f>'3 escalar'!T386</f>
        <v/>
      </c>
      <c r="V383" s="6">
        <f>$AC$12+D383*$AC$13+E383*$AC$14+F383*$AC$15+G383*$AC$16+H383*$AC$17+I383*$AC$18+J383*$AC$19+K383*$AC$20+L383*$AC$21+M383*$AC$22+N383*$AC$23+O383*$AC$24+P383*$AC$25+Q383*$AC$26+R383*$AC$27+S383*$AC$28+T383*$AC$29+U383*$AC$30</f>
        <v/>
      </c>
      <c r="W383" s="6">
        <f>1/(1+EXP(-V383))</f>
        <v/>
      </c>
      <c r="X383" s="8">
        <f>-IF(C383=1,LN(W383),LN(1-W383))</f>
        <v/>
      </c>
      <c r="Y383" s="9">
        <f>IF(W383&gt;$AC$32,1,0)</f>
        <v/>
      </c>
      <c r="Z383">
        <f>IF(Y383=C383,1,0)</f>
        <v/>
      </c>
    </row>
    <row r="384">
      <c r="A384">
        <f>'3 escalar'!A387</f>
        <v/>
      </c>
      <c r="B384" s="5">
        <f>'3 escalar'!U387</f>
        <v/>
      </c>
      <c r="C384">
        <f>'3 escalar'!B387</f>
        <v/>
      </c>
      <c r="D384" s="7">
        <f>'3 escalar'!C387</f>
        <v/>
      </c>
      <c r="E384" s="7">
        <f>'3 escalar'!D387</f>
        <v/>
      </c>
      <c r="F384" s="7">
        <f>'3 escalar'!E387</f>
        <v/>
      </c>
      <c r="G384" s="7">
        <f>'3 escalar'!F387</f>
        <v/>
      </c>
      <c r="H384" s="7">
        <f>'3 escalar'!G387</f>
        <v/>
      </c>
      <c r="I384" s="7">
        <f>'3 escalar'!H387</f>
        <v/>
      </c>
      <c r="J384" s="7">
        <f>'3 escalar'!I387</f>
        <v/>
      </c>
      <c r="K384" s="7">
        <f>'3 escalar'!J387</f>
        <v/>
      </c>
      <c r="L384" s="7">
        <f>'3 escalar'!K387</f>
        <v/>
      </c>
      <c r="M384" s="7">
        <f>'3 escalar'!L387</f>
        <v/>
      </c>
      <c r="N384" s="7">
        <f>'3 escalar'!M387</f>
        <v/>
      </c>
      <c r="O384" s="7">
        <f>'3 escalar'!N387</f>
        <v/>
      </c>
      <c r="P384" s="7">
        <f>'3 escalar'!O387</f>
        <v/>
      </c>
      <c r="Q384" s="7">
        <f>'3 escalar'!P387</f>
        <v/>
      </c>
      <c r="R384" s="7">
        <f>'3 escalar'!Q387</f>
        <v/>
      </c>
      <c r="S384" s="7">
        <f>'3 escalar'!R387</f>
        <v/>
      </c>
      <c r="T384" s="7">
        <f>'3 escalar'!S387</f>
        <v/>
      </c>
      <c r="U384" s="7">
        <f>'3 escalar'!T387</f>
        <v/>
      </c>
      <c r="V384" s="6">
        <f>$AC$12+D384*$AC$13+E384*$AC$14+F384*$AC$15+G384*$AC$16+H384*$AC$17+I384*$AC$18+J384*$AC$19+K384*$AC$20+L384*$AC$21+M384*$AC$22+N384*$AC$23+O384*$AC$24+P384*$AC$25+Q384*$AC$26+R384*$AC$27+S384*$AC$28+T384*$AC$29+U384*$AC$30</f>
        <v/>
      </c>
      <c r="W384" s="6">
        <f>1/(1+EXP(-V384))</f>
        <v/>
      </c>
      <c r="X384" s="8">
        <f>-IF(C384=1,LN(W384),LN(1-W384))</f>
        <v/>
      </c>
      <c r="Y384" s="9">
        <f>IF(W384&gt;$AC$32,1,0)</f>
        <v/>
      </c>
      <c r="Z384">
        <f>IF(Y384=C384,1,0)</f>
        <v/>
      </c>
    </row>
    <row r="385">
      <c r="A385">
        <f>'3 escalar'!A388</f>
        <v/>
      </c>
      <c r="B385" s="5">
        <f>'3 escalar'!U388</f>
        <v/>
      </c>
      <c r="C385">
        <f>'3 escalar'!B388</f>
        <v/>
      </c>
      <c r="D385" s="7">
        <f>'3 escalar'!C388</f>
        <v/>
      </c>
      <c r="E385" s="7">
        <f>'3 escalar'!D388</f>
        <v/>
      </c>
      <c r="F385" s="7">
        <f>'3 escalar'!E388</f>
        <v/>
      </c>
      <c r="G385" s="7">
        <f>'3 escalar'!F388</f>
        <v/>
      </c>
      <c r="H385" s="7">
        <f>'3 escalar'!G388</f>
        <v/>
      </c>
      <c r="I385" s="7">
        <f>'3 escalar'!H388</f>
        <v/>
      </c>
      <c r="J385" s="7">
        <f>'3 escalar'!I388</f>
        <v/>
      </c>
      <c r="K385" s="7">
        <f>'3 escalar'!J388</f>
        <v/>
      </c>
      <c r="L385" s="7">
        <f>'3 escalar'!K388</f>
        <v/>
      </c>
      <c r="M385" s="7">
        <f>'3 escalar'!L388</f>
        <v/>
      </c>
      <c r="N385" s="7">
        <f>'3 escalar'!M388</f>
        <v/>
      </c>
      <c r="O385" s="7">
        <f>'3 escalar'!N388</f>
        <v/>
      </c>
      <c r="P385" s="7">
        <f>'3 escalar'!O388</f>
        <v/>
      </c>
      <c r="Q385" s="7">
        <f>'3 escalar'!P388</f>
        <v/>
      </c>
      <c r="R385" s="7">
        <f>'3 escalar'!Q388</f>
        <v/>
      </c>
      <c r="S385" s="7">
        <f>'3 escalar'!R388</f>
        <v/>
      </c>
      <c r="T385" s="7">
        <f>'3 escalar'!S388</f>
        <v/>
      </c>
      <c r="U385" s="7">
        <f>'3 escalar'!T388</f>
        <v/>
      </c>
      <c r="V385" s="6">
        <f>$AC$12+D385*$AC$13+E385*$AC$14+F385*$AC$15+G385*$AC$16+H385*$AC$17+I385*$AC$18+J385*$AC$19+K385*$AC$20+L385*$AC$21+M385*$AC$22+N385*$AC$23+O385*$AC$24+P385*$AC$25+Q385*$AC$26+R385*$AC$27+S385*$AC$28+T385*$AC$29+U385*$AC$30</f>
        <v/>
      </c>
      <c r="W385" s="6">
        <f>1/(1+EXP(-V385))</f>
        <v/>
      </c>
      <c r="X385" s="8">
        <f>-IF(C385=1,LN(W385),LN(1-W385))</f>
        <v/>
      </c>
      <c r="Y385" s="9">
        <f>IF(W385&gt;$AC$32,1,0)</f>
        <v/>
      </c>
      <c r="Z385">
        <f>IF(Y385=C385,1,0)</f>
        <v/>
      </c>
    </row>
    <row r="386">
      <c r="A386">
        <f>'3 escalar'!A389</f>
        <v/>
      </c>
      <c r="B386" s="5">
        <f>'3 escalar'!U389</f>
        <v/>
      </c>
      <c r="C386">
        <f>'3 escalar'!B389</f>
        <v/>
      </c>
      <c r="D386" s="7">
        <f>'3 escalar'!C389</f>
        <v/>
      </c>
      <c r="E386" s="7">
        <f>'3 escalar'!D389</f>
        <v/>
      </c>
      <c r="F386" s="7">
        <f>'3 escalar'!E389</f>
        <v/>
      </c>
      <c r="G386" s="7">
        <f>'3 escalar'!F389</f>
        <v/>
      </c>
      <c r="H386" s="7">
        <f>'3 escalar'!G389</f>
        <v/>
      </c>
      <c r="I386" s="7">
        <f>'3 escalar'!H389</f>
        <v/>
      </c>
      <c r="J386" s="7">
        <f>'3 escalar'!I389</f>
        <v/>
      </c>
      <c r="K386" s="7">
        <f>'3 escalar'!J389</f>
        <v/>
      </c>
      <c r="L386" s="7">
        <f>'3 escalar'!K389</f>
        <v/>
      </c>
      <c r="M386" s="7">
        <f>'3 escalar'!L389</f>
        <v/>
      </c>
      <c r="N386" s="7">
        <f>'3 escalar'!M389</f>
        <v/>
      </c>
      <c r="O386" s="7">
        <f>'3 escalar'!N389</f>
        <v/>
      </c>
      <c r="P386" s="7">
        <f>'3 escalar'!O389</f>
        <v/>
      </c>
      <c r="Q386" s="7">
        <f>'3 escalar'!P389</f>
        <v/>
      </c>
      <c r="R386" s="7">
        <f>'3 escalar'!Q389</f>
        <v/>
      </c>
      <c r="S386" s="7">
        <f>'3 escalar'!R389</f>
        <v/>
      </c>
      <c r="T386" s="7">
        <f>'3 escalar'!S389</f>
        <v/>
      </c>
      <c r="U386" s="7">
        <f>'3 escalar'!T389</f>
        <v/>
      </c>
      <c r="V386" s="6">
        <f>$AC$12+D386*$AC$13+E386*$AC$14+F386*$AC$15+G386*$AC$16+H386*$AC$17+I386*$AC$18+J386*$AC$19+K386*$AC$20+L386*$AC$21+M386*$AC$22+N386*$AC$23+O386*$AC$24+P386*$AC$25+Q386*$AC$26+R386*$AC$27+S386*$AC$28+T386*$AC$29+U386*$AC$30</f>
        <v/>
      </c>
      <c r="W386" s="6">
        <f>1/(1+EXP(-V386))</f>
        <v/>
      </c>
      <c r="X386" s="8">
        <f>-IF(C386=1,LN(W386),LN(1-W386))</f>
        <v/>
      </c>
      <c r="Y386" s="9">
        <f>IF(W386&gt;$AC$32,1,0)</f>
        <v/>
      </c>
      <c r="Z386">
        <f>IF(Y386=C386,1,0)</f>
        <v/>
      </c>
    </row>
    <row r="387">
      <c r="A387">
        <f>'3 escalar'!A390</f>
        <v/>
      </c>
      <c r="B387" s="5">
        <f>'3 escalar'!U390</f>
        <v/>
      </c>
      <c r="C387">
        <f>'3 escalar'!B390</f>
        <v/>
      </c>
      <c r="D387" s="7">
        <f>'3 escalar'!C390</f>
        <v/>
      </c>
      <c r="E387" s="7">
        <f>'3 escalar'!D390</f>
        <v/>
      </c>
      <c r="F387" s="7">
        <f>'3 escalar'!E390</f>
        <v/>
      </c>
      <c r="G387" s="7">
        <f>'3 escalar'!F390</f>
        <v/>
      </c>
      <c r="H387" s="7">
        <f>'3 escalar'!G390</f>
        <v/>
      </c>
      <c r="I387" s="7">
        <f>'3 escalar'!H390</f>
        <v/>
      </c>
      <c r="J387" s="7">
        <f>'3 escalar'!I390</f>
        <v/>
      </c>
      <c r="K387" s="7">
        <f>'3 escalar'!J390</f>
        <v/>
      </c>
      <c r="L387" s="7">
        <f>'3 escalar'!K390</f>
        <v/>
      </c>
      <c r="M387" s="7">
        <f>'3 escalar'!L390</f>
        <v/>
      </c>
      <c r="N387" s="7">
        <f>'3 escalar'!M390</f>
        <v/>
      </c>
      <c r="O387" s="7">
        <f>'3 escalar'!N390</f>
        <v/>
      </c>
      <c r="P387" s="7">
        <f>'3 escalar'!O390</f>
        <v/>
      </c>
      <c r="Q387" s="7">
        <f>'3 escalar'!P390</f>
        <v/>
      </c>
      <c r="R387" s="7">
        <f>'3 escalar'!Q390</f>
        <v/>
      </c>
      <c r="S387" s="7">
        <f>'3 escalar'!R390</f>
        <v/>
      </c>
      <c r="T387" s="7">
        <f>'3 escalar'!S390</f>
        <v/>
      </c>
      <c r="U387" s="7">
        <f>'3 escalar'!T390</f>
        <v/>
      </c>
      <c r="V387" s="6">
        <f>$AC$12+D387*$AC$13+E387*$AC$14+F387*$AC$15+G387*$AC$16+H387*$AC$17+I387*$AC$18+J387*$AC$19+K387*$AC$20+L387*$AC$21+M387*$AC$22+N387*$AC$23+O387*$AC$24+P387*$AC$25+Q387*$AC$26+R387*$AC$27+S387*$AC$28+T387*$AC$29+U387*$AC$30</f>
        <v/>
      </c>
      <c r="W387" s="6">
        <f>1/(1+EXP(-V387))</f>
        <v/>
      </c>
      <c r="X387" s="8">
        <f>-IF(C387=1,LN(W387),LN(1-W387))</f>
        <v/>
      </c>
      <c r="Y387" s="9">
        <f>IF(W387&gt;$AC$32,1,0)</f>
        <v/>
      </c>
      <c r="Z387">
        <f>IF(Y387=C387,1,0)</f>
        <v/>
      </c>
    </row>
    <row r="388">
      <c r="A388">
        <f>'3 escalar'!A391</f>
        <v/>
      </c>
      <c r="B388" s="5">
        <f>'3 escalar'!U391</f>
        <v/>
      </c>
      <c r="C388">
        <f>'3 escalar'!B391</f>
        <v/>
      </c>
      <c r="D388" s="7">
        <f>'3 escalar'!C391</f>
        <v/>
      </c>
      <c r="E388" s="7">
        <f>'3 escalar'!D391</f>
        <v/>
      </c>
      <c r="F388" s="7">
        <f>'3 escalar'!E391</f>
        <v/>
      </c>
      <c r="G388" s="7">
        <f>'3 escalar'!F391</f>
        <v/>
      </c>
      <c r="H388" s="7">
        <f>'3 escalar'!G391</f>
        <v/>
      </c>
      <c r="I388" s="7">
        <f>'3 escalar'!H391</f>
        <v/>
      </c>
      <c r="J388" s="7">
        <f>'3 escalar'!I391</f>
        <v/>
      </c>
      <c r="K388" s="7">
        <f>'3 escalar'!J391</f>
        <v/>
      </c>
      <c r="L388" s="7">
        <f>'3 escalar'!K391</f>
        <v/>
      </c>
      <c r="M388" s="7">
        <f>'3 escalar'!L391</f>
        <v/>
      </c>
      <c r="N388" s="7">
        <f>'3 escalar'!M391</f>
        <v/>
      </c>
      <c r="O388" s="7">
        <f>'3 escalar'!N391</f>
        <v/>
      </c>
      <c r="P388" s="7">
        <f>'3 escalar'!O391</f>
        <v/>
      </c>
      <c r="Q388" s="7">
        <f>'3 escalar'!P391</f>
        <v/>
      </c>
      <c r="R388" s="7">
        <f>'3 escalar'!Q391</f>
        <v/>
      </c>
      <c r="S388" s="7">
        <f>'3 escalar'!R391</f>
        <v/>
      </c>
      <c r="T388" s="7">
        <f>'3 escalar'!S391</f>
        <v/>
      </c>
      <c r="U388" s="7">
        <f>'3 escalar'!T391</f>
        <v/>
      </c>
      <c r="V388" s="6">
        <f>$AC$12+D388*$AC$13+E388*$AC$14+F388*$AC$15+G388*$AC$16+H388*$AC$17+I388*$AC$18+J388*$AC$19+K388*$AC$20+L388*$AC$21+M388*$AC$22+N388*$AC$23+O388*$AC$24+P388*$AC$25+Q388*$AC$26+R388*$AC$27+S388*$AC$28+T388*$AC$29+U388*$AC$30</f>
        <v/>
      </c>
      <c r="W388" s="6">
        <f>1/(1+EXP(-V388))</f>
        <v/>
      </c>
      <c r="X388" s="8">
        <f>-IF(C388=1,LN(W388),LN(1-W388))</f>
        <v/>
      </c>
      <c r="Y388" s="9">
        <f>IF(W388&gt;$AC$32,1,0)</f>
        <v/>
      </c>
      <c r="Z388">
        <f>IF(Y388=C388,1,0)</f>
        <v/>
      </c>
    </row>
    <row r="389">
      <c r="A389">
        <f>'3 escalar'!A392</f>
        <v/>
      </c>
      <c r="B389" s="5">
        <f>'3 escalar'!U392</f>
        <v/>
      </c>
      <c r="C389">
        <f>'3 escalar'!B392</f>
        <v/>
      </c>
      <c r="D389" s="7">
        <f>'3 escalar'!C392</f>
        <v/>
      </c>
      <c r="E389" s="7">
        <f>'3 escalar'!D392</f>
        <v/>
      </c>
      <c r="F389" s="7">
        <f>'3 escalar'!E392</f>
        <v/>
      </c>
      <c r="G389" s="7">
        <f>'3 escalar'!F392</f>
        <v/>
      </c>
      <c r="H389" s="7">
        <f>'3 escalar'!G392</f>
        <v/>
      </c>
      <c r="I389" s="7">
        <f>'3 escalar'!H392</f>
        <v/>
      </c>
      <c r="J389" s="7">
        <f>'3 escalar'!I392</f>
        <v/>
      </c>
      <c r="K389" s="7">
        <f>'3 escalar'!J392</f>
        <v/>
      </c>
      <c r="L389" s="7">
        <f>'3 escalar'!K392</f>
        <v/>
      </c>
      <c r="M389" s="7">
        <f>'3 escalar'!L392</f>
        <v/>
      </c>
      <c r="N389" s="7">
        <f>'3 escalar'!M392</f>
        <v/>
      </c>
      <c r="O389" s="7">
        <f>'3 escalar'!N392</f>
        <v/>
      </c>
      <c r="P389" s="7">
        <f>'3 escalar'!O392</f>
        <v/>
      </c>
      <c r="Q389" s="7">
        <f>'3 escalar'!P392</f>
        <v/>
      </c>
      <c r="R389" s="7">
        <f>'3 escalar'!Q392</f>
        <v/>
      </c>
      <c r="S389" s="7">
        <f>'3 escalar'!R392</f>
        <v/>
      </c>
      <c r="T389" s="7">
        <f>'3 escalar'!S392</f>
        <v/>
      </c>
      <c r="U389" s="7">
        <f>'3 escalar'!T392</f>
        <v/>
      </c>
      <c r="V389" s="6">
        <f>$AC$12+D389*$AC$13+E389*$AC$14+F389*$AC$15+G389*$AC$16+H389*$AC$17+I389*$AC$18+J389*$AC$19+K389*$AC$20+L389*$AC$21+M389*$AC$22+N389*$AC$23+O389*$AC$24+P389*$AC$25+Q389*$AC$26+R389*$AC$27+S389*$AC$28+T389*$AC$29+U389*$AC$30</f>
        <v/>
      </c>
      <c r="W389" s="6">
        <f>1/(1+EXP(-V389))</f>
        <v/>
      </c>
      <c r="X389" s="8">
        <f>-IF(C389=1,LN(W389),LN(1-W389))</f>
        <v/>
      </c>
      <c r="Y389" s="9">
        <f>IF(W389&gt;$AC$32,1,0)</f>
        <v/>
      </c>
      <c r="Z389">
        <f>IF(Y389=C389,1,0)</f>
        <v/>
      </c>
    </row>
    <row r="390">
      <c r="A390">
        <f>'3 escalar'!A393</f>
        <v/>
      </c>
      <c r="B390" s="5">
        <f>'3 escalar'!U393</f>
        <v/>
      </c>
      <c r="C390">
        <f>'3 escalar'!B393</f>
        <v/>
      </c>
      <c r="D390" s="7">
        <f>'3 escalar'!C393</f>
        <v/>
      </c>
      <c r="E390" s="7">
        <f>'3 escalar'!D393</f>
        <v/>
      </c>
      <c r="F390" s="7">
        <f>'3 escalar'!E393</f>
        <v/>
      </c>
      <c r="G390" s="7">
        <f>'3 escalar'!F393</f>
        <v/>
      </c>
      <c r="H390" s="7">
        <f>'3 escalar'!G393</f>
        <v/>
      </c>
      <c r="I390" s="7">
        <f>'3 escalar'!H393</f>
        <v/>
      </c>
      <c r="J390" s="7">
        <f>'3 escalar'!I393</f>
        <v/>
      </c>
      <c r="K390" s="7">
        <f>'3 escalar'!J393</f>
        <v/>
      </c>
      <c r="L390" s="7">
        <f>'3 escalar'!K393</f>
        <v/>
      </c>
      <c r="M390" s="7">
        <f>'3 escalar'!L393</f>
        <v/>
      </c>
      <c r="N390" s="7">
        <f>'3 escalar'!M393</f>
        <v/>
      </c>
      <c r="O390" s="7">
        <f>'3 escalar'!N393</f>
        <v/>
      </c>
      <c r="P390" s="7">
        <f>'3 escalar'!O393</f>
        <v/>
      </c>
      <c r="Q390" s="7">
        <f>'3 escalar'!P393</f>
        <v/>
      </c>
      <c r="R390" s="7">
        <f>'3 escalar'!Q393</f>
        <v/>
      </c>
      <c r="S390" s="7">
        <f>'3 escalar'!R393</f>
        <v/>
      </c>
      <c r="T390" s="7">
        <f>'3 escalar'!S393</f>
        <v/>
      </c>
      <c r="U390" s="7">
        <f>'3 escalar'!T393</f>
        <v/>
      </c>
      <c r="V390" s="6">
        <f>$AC$12+D390*$AC$13+E390*$AC$14+F390*$AC$15+G390*$AC$16+H390*$AC$17+I390*$AC$18+J390*$AC$19+K390*$AC$20+L390*$AC$21+M390*$AC$22+N390*$AC$23+O390*$AC$24+P390*$AC$25+Q390*$AC$26+R390*$AC$27+S390*$AC$28+T390*$AC$29+U390*$AC$30</f>
        <v/>
      </c>
      <c r="W390" s="6">
        <f>1/(1+EXP(-V390))</f>
        <v/>
      </c>
      <c r="X390" s="8">
        <f>-IF(C390=1,LN(W390),LN(1-W390))</f>
        <v/>
      </c>
      <c r="Y390" s="9">
        <f>IF(W390&gt;$AC$32,1,0)</f>
        <v/>
      </c>
      <c r="Z390">
        <f>IF(Y390=C390,1,0)</f>
        <v/>
      </c>
    </row>
    <row r="391">
      <c r="A391">
        <f>'3 escalar'!A394</f>
        <v/>
      </c>
      <c r="B391" s="5">
        <f>'3 escalar'!U394</f>
        <v/>
      </c>
      <c r="C391">
        <f>'3 escalar'!B394</f>
        <v/>
      </c>
      <c r="D391" s="7">
        <f>'3 escalar'!C394</f>
        <v/>
      </c>
      <c r="E391" s="7">
        <f>'3 escalar'!D394</f>
        <v/>
      </c>
      <c r="F391" s="7">
        <f>'3 escalar'!E394</f>
        <v/>
      </c>
      <c r="G391" s="7">
        <f>'3 escalar'!F394</f>
        <v/>
      </c>
      <c r="H391" s="7">
        <f>'3 escalar'!G394</f>
        <v/>
      </c>
      <c r="I391" s="7">
        <f>'3 escalar'!H394</f>
        <v/>
      </c>
      <c r="J391" s="7">
        <f>'3 escalar'!I394</f>
        <v/>
      </c>
      <c r="K391" s="7">
        <f>'3 escalar'!J394</f>
        <v/>
      </c>
      <c r="L391" s="7">
        <f>'3 escalar'!K394</f>
        <v/>
      </c>
      <c r="M391" s="7">
        <f>'3 escalar'!L394</f>
        <v/>
      </c>
      <c r="N391" s="7">
        <f>'3 escalar'!M394</f>
        <v/>
      </c>
      <c r="O391" s="7">
        <f>'3 escalar'!N394</f>
        <v/>
      </c>
      <c r="P391" s="7">
        <f>'3 escalar'!O394</f>
        <v/>
      </c>
      <c r="Q391" s="7">
        <f>'3 escalar'!P394</f>
        <v/>
      </c>
      <c r="R391" s="7">
        <f>'3 escalar'!Q394</f>
        <v/>
      </c>
      <c r="S391" s="7">
        <f>'3 escalar'!R394</f>
        <v/>
      </c>
      <c r="T391" s="7">
        <f>'3 escalar'!S394</f>
        <v/>
      </c>
      <c r="U391" s="7">
        <f>'3 escalar'!T394</f>
        <v/>
      </c>
      <c r="V391" s="6">
        <f>$AC$12+D391*$AC$13+E391*$AC$14+F391*$AC$15+G391*$AC$16+H391*$AC$17+I391*$AC$18+J391*$AC$19+K391*$AC$20+L391*$AC$21+M391*$AC$22+N391*$AC$23+O391*$AC$24+P391*$AC$25+Q391*$AC$26+R391*$AC$27+S391*$AC$28+T391*$AC$29+U391*$AC$30</f>
        <v/>
      </c>
      <c r="W391" s="6">
        <f>1/(1+EXP(-V391))</f>
        <v/>
      </c>
      <c r="X391" s="8">
        <f>-IF(C391=1,LN(W391),LN(1-W391))</f>
        <v/>
      </c>
      <c r="Y391" s="9">
        <f>IF(W391&gt;$AC$32,1,0)</f>
        <v/>
      </c>
      <c r="Z391">
        <f>IF(Y391=C391,1,0)</f>
        <v/>
      </c>
    </row>
    <row r="392">
      <c r="A392">
        <f>'3 escalar'!A395</f>
        <v/>
      </c>
      <c r="B392" s="5">
        <f>'3 escalar'!U395</f>
        <v/>
      </c>
      <c r="C392">
        <f>'3 escalar'!B395</f>
        <v/>
      </c>
      <c r="D392" s="7">
        <f>'3 escalar'!C395</f>
        <v/>
      </c>
      <c r="E392" s="7">
        <f>'3 escalar'!D395</f>
        <v/>
      </c>
      <c r="F392" s="7">
        <f>'3 escalar'!E395</f>
        <v/>
      </c>
      <c r="G392" s="7">
        <f>'3 escalar'!F395</f>
        <v/>
      </c>
      <c r="H392" s="7">
        <f>'3 escalar'!G395</f>
        <v/>
      </c>
      <c r="I392" s="7">
        <f>'3 escalar'!H395</f>
        <v/>
      </c>
      <c r="J392" s="7">
        <f>'3 escalar'!I395</f>
        <v/>
      </c>
      <c r="K392" s="7">
        <f>'3 escalar'!J395</f>
        <v/>
      </c>
      <c r="L392" s="7">
        <f>'3 escalar'!K395</f>
        <v/>
      </c>
      <c r="M392" s="7">
        <f>'3 escalar'!L395</f>
        <v/>
      </c>
      <c r="N392" s="7">
        <f>'3 escalar'!M395</f>
        <v/>
      </c>
      <c r="O392" s="7">
        <f>'3 escalar'!N395</f>
        <v/>
      </c>
      <c r="P392" s="7">
        <f>'3 escalar'!O395</f>
        <v/>
      </c>
      <c r="Q392" s="7">
        <f>'3 escalar'!P395</f>
        <v/>
      </c>
      <c r="R392" s="7">
        <f>'3 escalar'!Q395</f>
        <v/>
      </c>
      <c r="S392" s="7">
        <f>'3 escalar'!R395</f>
        <v/>
      </c>
      <c r="T392" s="7">
        <f>'3 escalar'!S395</f>
        <v/>
      </c>
      <c r="U392" s="7">
        <f>'3 escalar'!T395</f>
        <v/>
      </c>
      <c r="V392" s="6">
        <f>$AC$12+D392*$AC$13+E392*$AC$14+F392*$AC$15+G392*$AC$16+H392*$AC$17+I392*$AC$18+J392*$AC$19+K392*$AC$20+L392*$AC$21+M392*$AC$22+N392*$AC$23+O392*$AC$24+P392*$AC$25+Q392*$AC$26+R392*$AC$27+S392*$AC$28+T392*$AC$29+U392*$AC$30</f>
        <v/>
      </c>
      <c r="W392" s="6">
        <f>1/(1+EXP(-V392))</f>
        <v/>
      </c>
      <c r="X392" s="8">
        <f>-IF(C392=1,LN(W392),LN(1-W392))</f>
        <v/>
      </c>
      <c r="Y392" s="9">
        <f>IF(W392&gt;$AC$32,1,0)</f>
        <v/>
      </c>
      <c r="Z392">
        <f>IF(Y392=C392,1,0)</f>
        <v/>
      </c>
    </row>
    <row r="393">
      <c r="A393">
        <f>'3 escalar'!A396</f>
        <v/>
      </c>
      <c r="B393" s="5">
        <f>'3 escalar'!U396</f>
        <v/>
      </c>
      <c r="C393">
        <f>'3 escalar'!B396</f>
        <v/>
      </c>
      <c r="D393" s="7">
        <f>'3 escalar'!C396</f>
        <v/>
      </c>
      <c r="E393" s="7">
        <f>'3 escalar'!D396</f>
        <v/>
      </c>
      <c r="F393" s="7">
        <f>'3 escalar'!E396</f>
        <v/>
      </c>
      <c r="G393" s="7">
        <f>'3 escalar'!F396</f>
        <v/>
      </c>
      <c r="H393" s="7">
        <f>'3 escalar'!G396</f>
        <v/>
      </c>
      <c r="I393" s="7">
        <f>'3 escalar'!H396</f>
        <v/>
      </c>
      <c r="J393" s="7">
        <f>'3 escalar'!I396</f>
        <v/>
      </c>
      <c r="K393" s="7">
        <f>'3 escalar'!J396</f>
        <v/>
      </c>
      <c r="L393" s="7">
        <f>'3 escalar'!K396</f>
        <v/>
      </c>
      <c r="M393" s="7">
        <f>'3 escalar'!L396</f>
        <v/>
      </c>
      <c r="N393" s="7">
        <f>'3 escalar'!M396</f>
        <v/>
      </c>
      <c r="O393" s="7">
        <f>'3 escalar'!N396</f>
        <v/>
      </c>
      <c r="P393" s="7">
        <f>'3 escalar'!O396</f>
        <v/>
      </c>
      <c r="Q393" s="7">
        <f>'3 escalar'!P396</f>
        <v/>
      </c>
      <c r="R393" s="7">
        <f>'3 escalar'!Q396</f>
        <v/>
      </c>
      <c r="S393" s="7">
        <f>'3 escalar'!R396</f>
        <v/>
      </c>
      <c r="T393" s="7">
        <f>'3 escalar'!S396</f>
        <v/>
      </c>
      <c r="U393" s="7">
        <f>'3 escalar'!T396</f>
        <v/>
      </c>
      <c r="V393" s="6">
        <f>$AC$12+D393*$AC$13+E393*$AC$14+F393*$AC$15+G393*$AC$16+H393*$AC$17+I393*$AC$18+J393*$AC$19+K393*$AC$20+L393*$AC$21+M393*$AC$22+N393*$AC$23+O393*$AC$24+P393*$AC$25+Q393*$AC$26+R393*$AC$27+S393*$AC$28+T393*$AC$29+U393*$AC$30</f>
        <v/>
      </c>
      <c r="W393" s="6">
        <f>1/(1+EXP(-V393))</f>
        <v/>
      </c>
      <c r="X393" s="8">
        <f>-IF(C393=1,LN(W393),LN(1-W393))</f>
        <v/>
      </c>
      <c r="Y393" s="9">
        <f>IF(W393&gt;$AC$32,1,0)</f>
        <v/>
      </c>
      <c r="Z393">
        <f>IF(Y393=C393,1,0)</f>
        <v/>
      </c>
    </row>
    <row r="394">
      <c r="A394">
        <f>'3 escalar'!A397</f>
        <v/>
      </c>
      <c r="B394" s="5">
        <f>'3 escalar'!U397</f>
        <v/>
      </c>
      <c r="C394">
        <f>'3 escalar'!B397</f>
        <v/>
      </c>
      <c r="D394" s="7">
        <f>'3 escalar'!C397</f>
        <v/>
      </c>
      <c r="E394" s="7">
        <f>'3 escalar'!D397</f>
        <v/>
      </c>
      <c r="F394" s="7">
        <f>'3 escalar'!E397</f>
        <v/>
      </c>
      <c r="G394" s="7">
        <f>'3 escalar'!F397</f>
        <v/>
      </c>
      <c r="H394" s="7">
        <f>'3 escalar'!G397</f>
        <v/>
      </c>
      <c r="I394" s="7">
        <f>'3 escalar'!H397</f>
        <v/>
      </c>
      <c r="J394" s="7">
        <f>'3 escalar'!I397</f>
        <v/>
      </c>
      <c r="K394" s="7">
        <f>'3 escalar'!J397</f>
        <v/>
      </c>
      <c r="L394" s="7">
        <f>'3 escalar'!K397</f>
        <v/>
      </c>
      <c r="M394" s="7">
        <f>'3 escalar'!L397</f>
        <v/>
      </c>
      <c r="N394" s="7">
        <f>'3 escalar'!M397</f>
        <v/>
      </c>
      <c r="O394" s="7">
        <f>'3 escalar'!N397</f>
        <v/>
      </c>
      <c r="P394" s="7">
        <f>'3 escalar'!O397</f>
        <v/>
      </c>
      <c r="Q394" s="7">
        <f>'3 escalar'!P397</f>
        <v/>
      </c>
      <c r="R394" s="7">
        <f>'3 escalar'!Q397</f>
        <v/>
      </c>
      <c r="S394" s="7">
        <f>'3 escalar'!R397</f>
        <v/>
      </c>
      <c r="T394" s="7">
        <f>'3 escalar'!S397</f>
        <v/>
      </c>
      <c r="U394" s="7">
        <f>'3 escalar'!T397</f>
        <v/>
      </c>
      <c r="V394" s="6">
        <f>$AC$12+D394*$AC$13+E394*$AC$14+F394*$AC$15+G394*$AC$16+H394*$AC$17+I394*$AC$18+J394*$AC$19+K394*$AC$20+L394*$AC$21+M394*$AC$22+N394*$AC$23+O394*$AC$24+P394*$AC$25+Q394*$AC$26+R394*$AC$27+S394*$AC$28+T394*$AC$29+U394*$AC$30</f>
        <v/>
      </c>
      <c r="W394" s="6">
        <f>1/(1+EXP(-V394))</f>
        <v/>
      </c>
      <c r="X394" s="8">
        <f>-IF(C394=1,LN(W394),LN(1-W394))</f>
        <v/>
      </c>
      <c r="Y394" s="9">
        <f>IF(W394&gt;$AC$32,1,0)</f>
        <v/>
      </c>
      <c r="Z394">
        <f>IF(Y394=C394,1,0)</f>
        <v/>
      </c>
    </row>
    <row r="395">
      <c r="A395">
        <f>'3 escalar'!A398</f>
        <v/>
      </c>
      <c r="B395" s="5">
        <f>'3 escalar'!U398</f>
        <v/>
      </c>
      <c r="C395">
        <f>'3 escalar'!B398</f>
        <v/>
      </c>
      <c r="D395" s="7">
        <f>'3 escalar'!C398</f>
        <v/>
      </c>
      <c r="E395" s="7">
        <f>'3 escalar'!D398</f>
        <v/>
      </c>
      <c r="F395" s="7">
        <f>'3 escalar'!E398</f>
        <v/>
      </c>
      <c r="G395" s="7">
        <f>'3 escalar'!F398</f>
        <v/>
      </c>
      <c r="H395" s="7">
        <f>'3 escalar'!G398</f>
        <v/>
      </c>
      <c r="I395" s="7">
        <f>'3 escalar'!H398</f>
        <v/>
      </c>
      <c r="J395" s="7">
        <f>'3 escalar'!I398</f>
        <v/>
      </c>
      <c r="K395" s="7">
        <f>'3 escalar'!J398</f>
        <v/>
      </c>
      <c r="L395" s="7">
        <f>'3 escalar'!K398</f>
        <v/>
      </c>
      <c r="M395" s="7">
        <f>'3 escalar'!L398</f>
        <v/>
      </c>
      <c r="N395" s="7">
        <f>'3 escalar'!M398</f>
        <v/>
      </c>
      <c r="O395" s="7">
        <f>'3 escalar'!N398</f>
        <v/>
      </c>
      <c r="P395" s="7">
        <f>'3 escalar'!O398</f>
        <v/>
      </c>
      <c r="Q395" s="7">
        <f>'3 escalar'!P398</f>
        <v/>
      </c>
      <c r="R395" s="7">
        <f>'3 escalar'!Q398</f>
        <v/>
      </c>
      <c r="S395" s="7">
        <f>'3 escalar'!R398</f>
        <v/>
      </c>
      <c r="T395" s="7">
        <f>'3 escalar'!S398</f>
        <v/>
      </c>
      <c r="U395" s="7">
        <f>'3 escalar'!T398</f>
        <v/>
      </c>
      <c r="V395" s="6">
        <f>$AC$12+D395*$AC$13+E395*$AC$14+F395*$AC$15+G395*$AC$16+H395*$AC$17+I395*$AC$18+J395*$AC$19+K395*$AC$20+L395*$AC$21+M395*$AC$22+N395*$AC$23+O395*$AC$24+P395*$AC$25+Q395*$AC$26+R395*$AC$27+S395*$AC$28+T395*$AC$29+U395*$AC$30</f>
        <v/>
      </c>
      <c r="W395" s="6">
        <f>1/(1+EXP(-V395))</f>
        <v/>
      </c>
      <c r="X395" s="8">
        <f>-IF(C395=1,LN(W395),LN(1-W395))</f>
        <v/>
      </c>
      <c r="Y395" s="9">
        <f>IF(W395&gt;$AC$32,1,0)</f>
        <v/>
      </c>
      <c r="Z395">
        <f>IF(Y395=C395,1,0)</f>
        <v/>
      </c>
    </row>
    <row r="396">
      <c r="A396">
        <f>'3 escalar'!A399</f>
        <v/>
      </c>
      <c r="B396" s="5">
        <f>'3 escalar'!U399</f>
        <v/>
      </c>
      <c r="C396">
        <f>'3 escalar'!B399</f>
        <v/>
      </c>
      <c r="D396" s="7">
        <f>'3 escalar'!C399</f>
        <v/>
      </c>
      <c r="E396" s="7">
        <f>'3 escalar'!D399</f>
        <v/>
      </c>
      <c r="F396" s="7">
        <f>'3 escalar'!E399</f>
        <v/>
      </c>
      <c r="G396" s="7">
        <f>'3 escalar'!F399</f>
        <v/>
      </c>
      <c r="H396" s="7">
        <f>'3 escalar'!G399</f>
        <v/>
      </c>
      <c r="I396" s="7">
        <f>'3 escalar'!H399</f>
        <v/>
      </c>
      <c r="J396" s="7">
        <f>'3 escalar'!I399</f>
        <v/>
      </c>
      <c r="K396" s="7">
        <f>'3 escalar'!J399</f>
        <v/>
      </c>
      <c r="L396" s="7">
        <f>'3 escalar'!K399</f>
        <v/>
      </c>
      <c r="M396" s="7">
        <f>'3 escalar'!L399</f>
        <v/>
      </c>
      <c r="N396" s="7">
        <f>'3 escalar'!M399</f>
        <v/>
      </c>
      <c r="O396" s="7">
        <f>'3 escalar'!N399</f>
        <v/>
      </c>
      <c r="P396" s="7">
        <f>'3 escalar'!O399</f>
        <v/>
      </c>
      <c r="Q396" s="7">
        <f>'3 escalar'!P399</f>
        <v/>
      </c>
      <c r="R396" s="7">
        <f>'3 escalar'!Q399</f>
        <v/>
      </c>
      <c r="S396" s="7">
        <f>'3 escalar'!R399</f>
        <v/>
      </c>
      <c r="T396" s="7">
        <f>'3 escalar'!S399</f>
        <v/>
      </c>
      <c r="U396" s="7">
        <f>'3 escalar'!T399</f>
        <v/>
      </c>
      <c r="V396" s="6">
        <f>$AC$12+D396*$AC$13+E396*$AC$14+F396*$AC$15+G396*$AC$16+H396*$AC$17+I396*$AC$18+J396*$AC$19+K396*$AC$20+L396*$AC$21+M396*$AC$22+N396*$AC$23+O396*$AC$24+P396*$AC$25+Q396*$AC$26+R396*$AC$27+S396*$AC$28+T396*$AC$29+U396*$AC$30</f>
        <v/>
      </c>
      <c r="W396" s="6">
        <f>1/(1+EXP(-V396))</f>
        <v/>
      </c>
      <c r="X396" s="8">
        <f>-IF(C396=1,LN(W396),LN(1-W396))</f>
        <v/>
      </c>
      <c r="Y396" s="9">
        <f>IF(W396&gt;$AC$32,1,0)</f>
        <v/>
      </c>
      <c r="Z396">
        <f>IF(Y396=C396,1,0)</f>
        <v/>
      </c>
    </row>
    <row r="397">
      <c r="A397">
        <f>'3 escalar'!A400</f>
        <v/>
      </c>
      <c r="B397" s="5">
        <f>'3 escalar'!U400</f>
        <v/>
      </c>
      <c r="C397">
        <f>'3 escalar'!B400</f>
        <v/>
      </c>
      <c r="D397" s="7">
        <f>'3 escalar'!C400</f>
        <v/>
      </c>
      <c r="E397" s="7">
        <f>'3 escalar'!D400</f>
        <v/>
      </c>
      <c r="F397" s="7">
        <f>'3 escalar'!E400</f>
        <v/>
      </c>
      <c r="G397" s="7">
        <f>'3 escalar'!F400</f>
        <v/>
      </c>
      <c r="H397" s="7">
        <f>'3 escalar'!G400</f>
        <v/>
      </c>
      <c r="I397" s="7">
        <f>'3 escalar'!H400</f>
        <v/>
      </c>
      <c r="J397" s="7">
        <f>'3 escalar'!I400</f>
        <v/>
      </c>
      <c r="K397" s="7">
        <f>'3 escalar'!J400</f>
        <v/>
      </c>
      <c r="L397" s="7">
        <f>'3 escalar'!K400</f>
        <v/>
      </c>
      <c r="M397" s="7">
        <f>'3 escalar'!L400</f>
        <v/>
      </c>
      <c r="N397" s="7">
        <f>'3 escalar'!M400</f>
        <v/>
      </c>
      <c r="O397" s="7">
        <f>'3 escalar'!N400</f>
        <v/>
      </c>
      <c r="P397" s="7">
        <f>'3 escalar'!O400</f>
        <v/>
      </c>
      <c r="Q397" s="7">
        <f>'3 escalar'!P400</f>
        <v/>
      </c>
      <c r="R397" s="7">
        <f>'3 escalar'!Q400</f>
        <v/>
      </c>
      <c r="S397" s="7">
        <f>'3 escalar'!R400</f>
        <v/>
      </c>
      <c r="T397" s="7">
        <f>'3 escalar'!S400</f>
        <v/>
      </c>
      <c r="U397" s="7">
        <f>'3 escalar'!T400</f>
        <v/>
      </c>
      <c r="V397" s="6">
        <f>$AC$12+D397*$AC$13+E397*$AC$14+F397*$AC$15+G397*$AC$16+H397*$AC$17+I397*$AC$18+J397*$AC$19+K397*$AC$20+L397*$AC$21+M397*$AC$22+N397*$AC$23+O397*$AC$24+P397*$AC$25+Q397*$AC$26+R397*$AC$27+S397*$AC$28+T397*$AC$29+U397*$AC$30</f>
        <v/>
      </c>
      <c r="W397" s="6">
        <f>1/(1+EXP(-V397))</f>
        <v/>
      </c>
      <c r="X397" s="8">
        <f>-IF(C397=1,LN(W397),LN(1-W397))</f>
        <v/>
      </c>
      <c r="Y397" s="9">
        <f>IF(W397&gt;$AC$32,1,0)</f>
        <v/>
      </c>
      <c r="Z397">
        <f>IF(Y397=C397,1,0)</f>
        <v/>
      </c>
    </row>
    <row r="398">
      <c r="A398">
        <f>'3 escalar'!A401</f>
        <v/>
      </c>
      <c r="B398" s="5">
        <f>'3 escalar'!U401</f>
        <v/>
      </c>
      <c r="C398">
        <f>'3 escalar'!B401</f>
        <v/>
      </c>
      <c r="D398" s="7">
        <f>'3 escalar'!C401</f>
        <v/>
      </c>
      <c r="E398" s="7">
        <f>'3 escalar'!D401</f>
        <v/>
      </c>
      <c r="F398" s="7">
        <f>'3 escalar'!E401</f>
        <v/>
      </c>
      <c r="G398" s="7">
        <f>'3 escalar'!F401</f>
        <v/>
      </c>
      <c r="H398" s="7">
        <f>'3 escalar'!G401</f>
        <v/>
      </c>
      <c r="I398" s="7">
        <f>'3 escalar'!H401</f>
        <v/>
      </c>
      <c r="J398" s="7">
        <f>'3 escalar'!I401</f>
        <v/>
      </c>
      <c r="K398" s="7">
        <f>'3 escalar'!J401</f>
        <v/>
      </c>
      <c r="L398" s="7">
        <f>'3 escalar'!K401</f>
        <v/>
      </c>
      <c r="M398" s="7">
        <f>'3 escalar'!L401</f>
        <v/>
      </c>
      <c r="N398" s="7">
        <f>'3 escalar'!M401</f>
        <v/>
      </c>
      <c r="O398" s="7">
        <f>'3 escalar'!N401</f>
        <v/>
      </c>
      <c r="P398" s="7">
        <f>'3 escalar'!O401</f>
        <v/>
      </c>
      <c r="Q398" s="7">
        <f>'3 escalar'!P401</f>
        <v/>
      </c>
      <c r="R398" s="7">
        <f>'3 escalar'!Q401</f>
        <v/>
      </c>
      <c r="S398" s="7">
        <f>'3 escalar'!R401</f>
        <v/>
      </c>
      <c r="T398" s="7">
        <f>'3 escalar'!S401</f>
        <v/>
      </c>
      <c r="U398" s="7">
        <f>'3 escalar'!T401</f>
        <v/>
      </c>
      <c r="V398" s="6">
        <f>$AC$12+D398*$AC$13+E398*$AC$14+F398*$AC$15+G398*$AC$16+H398*$AC$17+I398*$AC$18+J398*$AC$19+K398*$AC$20+L398*$AC$21+M398*$AC$22+N398*$AC$23+O398*$AC$24+P398*$AC$25+Q398*$AC$26+R398*$AC$27+S398*$AC$28+T398*$AC$29+U398*$AC$30</f>
        <v/>
      </c>
      <c r="W398" s="6">
        <f>1/(1+EXP(-V398))</f>
        <v/>
      </c>
      <c r="X398" s="8">
        <f>-IF(C398=1,LN(W398),LN(1-W398))</f>
        <v/>
      </c>
      <c r="Y398" s="9">
        <f>IF(W398&gt;$AC$32,1,0)</f>
        <v/>
      </c>
      <c r="Z398">
        <f>IF(Y398=C398,1,0)</f>
        <v/>
      </c>
    </row>
    <row r="399">
      <c r="A399">
        <f>'3 escalar'!A402</f>
        <v/>
      </c>
      <c r="B399" s="5">
        <f>'3 escalar'!U402</f>
        <v/>
      </c>
      <c r="C399">
        <f>'3 escalar'!B402</f>
        <v/>
      </c>
      <c r="D399" s="7">
        <f>'3 escalar'!C402</f>
        <v/>
      </c>
      <c r="E399" s="7">
        <f>'3 escalar'!D402</f>
        <v/>
      </c>
      <c r="F399" s="7">
        <f>'3 escalar'!E402</f>
        <v/>
      </c>
      <c r="G399" s="7">
        <f>'3 escalar'!F402</f>
        <v/>
      </c>
      <c r="H399" s="7">
        <f>'3 escalar'!G402</f>
        <v/>
      </c>
      <c r="I399" s="7">
        <f>'3 escalar'!H402</f>
        <v/>
      </c>
      <c r="J399" s="7">
        <f>'3 escalar'!I402</f>
        <v/>
      </c>
      <c r="K399" s="7">
        <f>'3 escalar'!J402</f>
        <v/>
      </c>
      <c r="L399" s="7">
        <f>'3 escalar'!K402</f>
        <v/>
      </c>
      <c r="M399" s="7">
        <f>'3 escalar'!L402</f>
        <v/>
      </c>
      <c r="N399" s="7">
        <f>'3 escalar'!M402</f>
        <v/>
      </c>
      <c r="O399" s="7">
        <f>'3 escalar'!N402</f>
        <v/>
      </c>
      <c r="P399" s="7">
        <f>'3 escalar'!O402</f>
        <v/>
      </c>
      <c r="Q399" s="7">
        <f>'3 escalar'!P402</f>
        <v/>
      </c>
      <c r="R399" s="7">
        <f>'3 escalar'!Q402</f>
        <v/>
      </c>
      <c r="S399" s="7">
        <f>'3 escalar'!R402</f>
        <v/>
      </c>
      <c r="T399" s="7">
        <f>'3 escalar'!S402</f>
        <v/>
      </c>
      <c r="U399" s="7">
        <f>'3 escalar'!T402</f>
        <v/>
      </c>
      <c r="V399" s="6">
        <f>$AC$12+D399*$AC$13+E399*$AC$14+F399*$AC$15+G399*$AC$16+H399*$AC$17+I399*$AC$18+J399*$AC$19+K399*$AC$20+L399*$AC$21+M399*$AC$22+N399*$AC$23+O399*$AC$24+P399*$AC$25+Q399*$AC$26+R399*$AC$27+S399*$AC$28+T399*$AC$29+U399*$AC$30</f>
        <v/>
      </c>
      <c r="W399" s="6">
        <f>1/(1+EXP(-V399))</f>
        <v/>
      </c>
      <c r="X399" s="8">
        <f>-IF(C399=1,LN(W399),LN(1-W399))</f>
        <v/>
      </c>
      <c r="Y399" s="9">
        <f>IF(W399&gt;$AC$32,1,0)</f>
        <v/>
      </c>
      <c r="Z399">
        <f>IF(Y399=C399,1,0)</f>
        <v/>
      </c>
    </row>
    <row r="400">
      <c r="A400">
        <f>'3 escalar'!A403</f>
        <v/>
      </c>
      <c r="B400" s="5">
        <f>'3 escalar'!U403</f>
        <v/>
      </c>
      <c r="C400">
        <f>'3 escalar'!B403</f>
        <v/>
      </c>
      <c r="D400" s="7">
        <f>'3 escalar'!C403</f>
        <v/>
      </c>
      <c r="E400" s="7">
        <f>'3 escalar'!D403</f>
        <v/>
      </c>
      <c r="F400" s="7">
        <f>'3 escalar'!E403</f>
        <v/>
      </c>
      <c r="G400" s="7">
        <f>'3 escalar'!F403</f>
        <v/>
      </c>
      <c r="H400" s="7">
        <f>'3 escalar'!G403</f>
        <v/>
      </c>
      <c r="I400" s="7">
        <f>'3 escalar'!H403</f>
        <v/>
      </c>
      <c r="J400" s="7">
        <f>'3 escalar'!I403</f>
        <v/>
      </c>
      <c r="K400" s="7">
        <f>'3 escalar'!J403</f>
        <v/>
      </c>
      <c r="L400" s="7">
        <f>'3 escalar'!K403</f>
        <v/>
      </c>
      <c r="M400" s="7">
        <f>'3 escalar'!L403</f>
        <v/>
      </c>
      <c r="N400" s="7">
        <f>'3 escalar'!M403</f>
        <v/>
      </c>
      <c r="O400" s="7">
        <f>'3 escalar'!N403</f>
        <v/>
      </c>
      <c r="P400" s="7">
        <f>'3 escalar'!O403</f>
        <v/>
      </c>
      <c r="Q400" s="7">
        <f>'3 escalar'!P403</f>
        <v/>
      </c>
      <c r="R400" s="7">
        <f>'3 escalar'!Q403</f>
        <v/>
      </c>
      <c r="S400" s="7">
        <f>'3 escalar'!R403</f>
        <v/>
      </c>
      <c r="T400" s="7">
        <f>'3 escalar'!S403</f>
        <v/>
      </c>
      <c r="U400" s="7">
        <f>'3 escalar'!T403</f>
        <v/>
      </c>
      <c r="V400" s="6">
        <f>$AC$12+D400*$AC$13+E400*$AC$14+F400*$AC$15+G400*$AC$16+H400*$AC$17+I400*$AC$18+J400*$AC$19+K400*$AC$20+L400*$AC$21+M400*$AC$22+N400*$AC$23+O400*$AC$24+P400*$AC$25+Q400*$AC$26+R400*$AC$27+S400*$AC$28+T400*$AC$29+U400*$AC$30</f>
        <v/>
      </c>
      <c r="W400" s="6">
        <f>1/(1+EXP(-V400))</f>
        <v/>
      </c>
      <c r="X400" s="8">
        <f>-IF(C400=1,LN(W400),LN(1-W400))</f>
        <v/>
      </c>
      <c r="Y400" s="9">
        <f>IF(W400&gt;$AC$32,1,0)</f>
        <v/>
      </c>
      <c r="Z400">
        <f>IF(Y400=C400,1,0)</f>
        <v/>
      </c>
    </row>
    <row r="401">
      <c r="A401">
        <f>'3 escalar'!A404</f>
        <v/>
      </c>
      <c r="B401" s="5">
        <f>'3 escalar'!U404</f>
        <v/>
      </c>
      <c r="C401">
        <f>'3 escalar'!B404</f>
        <v/>
      </c>
      <c r="D401" s="7">
        <f>'3 escalar'!C404</f>
        <v/>
      </c>
      <c r="E401" s="7">
        <f>'3 escalar'!D404</f>
        <v/>
      </c>
      <c r="F401" s="7">
        <f>'3 escalar'!E404</f>
        <v/>
      </c>
      <c r="G401" s="7">
        <f>'3 escalar'!F404</f>
        <v/>
      </c>
      <c r="H401" s="7">
        <f>'3 escalar'!G404</f>
        <v/>
      </c>
      <c r="I401" s="7">
        <f>'3 escalar'!H404</f>
        <v/>
      </c>
      <c r="J401" s="7">
        <f>'3 escalar'!I404</f>
        <v/>
      </c>
      <c r="K401" s="7">
        <f>'3 escalar'!J404</f>
        <v/>
      </c>
      <c r="L401" s="7">
        <f>'3 escalar'!K404</f>
        <v/>
      </c>
      <c r="M401" s="7">
        <f>'3 escalar'!L404</f>
        <v/>
      </c>
      <c r="N401" s="7">
        <f>'3 escalar'!M404</f>
        <v/>
      </c>
      <c r="O401" s="7">
        <f>'3 escalar'!N404</f>
        <v/>
      </c>
      <c r="P401" s="7">
        <f>'3 escalar'!O404</f>
        <v/>
      </c>
      <c r="Q401" s="7">
        <f>'3 escalar'!P404</f>
        <v/>
      </c>
      <c r="R401" s="7">
        <f>'3 escalar'!Q404</f>
        <v/>
      </c>
      <c r="S401" s="7">
        <f>'3 escalar'!R404</f>
        <v/>
      </c>
      <c r="T401" s="7">
        <f>'3 escalar'!S404</f>
        <v/>
      </c>
      <c r="U401" s="7">
        <f>'3 escalar'!T404</f>
        <v/>
      </c>
      <c r="V401" s="6">
        <f>$AC$12+D401*$AC$13+E401*$AC$14+F401*$AC$15+G401*$AC$16+H401*$AC$17+I401*$AC$18+J401*$AC$19+K401*$AC$20+L401*$AC$21+M401*$AC$22+N401*$AC$23+O401*$AC$24+P401*$AC$25+Q401*$AC$26+R401*$AC$27+S401*$AC$28+T401*$AC$29+U401*$AC$30</f>
        <v/>
      </c>
      <c r="W401" s="6">
        <f>1/(1+EXP(-V401))</f>
        <v/>
      </c>
      <c r="X401" s="8">
        <f>-IF(C401=1,LN(W401),LN(1-W401))</f>
        <v/>
      </c>
      <c r="Y401" s="9">
        <f>IF(W401&gt;$AC$32,1,0)</f>
        <v/>
      </c>
      <c r="Z401">
        <f>IF(Y401=C401,1,0)</f>
        <v/>
      </c>
    </row>
    <row r="402">
      <c r="A402">
        <f>'3 escalar'!A405</f>
        <v/>
      </c>
      <c r="B402" s="5">
        <f>'3 escalar'!U405</f>
        <v/>
      </c>
      <c r="C402">
        <f>'3 escalar'!B405</f>
        <v/>
      </c>
      <c r="D402" s="7">
        <f>'3 escalar'!C405</f>
        <v/>
      </c>
      <c r="E402" s="7">
        <f>'3 escalar'!D405</f>
        <v/>
      </c>
      <c r="F402" s="7">
        <f>'3 escalar'!E405</f>
        <v/>
      </c>
      <c r="G402" s="7">
        <f>'3 escalar'!F405</f>
        <v/>
      </c>
      <c r="H402" s="7">
        <f>'3 escalar'!G405</f>
        <v/>
      </c>
      <c r="I402" s="7">
        <f>'3 escalar'!H405</f>
        <v/>
      </c>
      <c r="J402" s="7">
        <f>'3 escalar'!I405</f>
        <v/>
      </c>
      <c r="K402" s="7">
        <f>'3 escalar'!J405</f>
        <v/>
      </c>
      <c r="L402" s="7">
        <f>'3 escalar'!K405</f>
        <v/>
      </c>
      <c r="M402" s="7">
        <f>'3 escalar'!L405</f>
        <v/>
      </c>
      <c r="N402" s="7">
        <f>'3 escalar'!M405</f>
        <v/>
      </c>
      <c r="O402" s="7">
        <f>'3 escalar'!N405</f>
        <v/>
      </c>
      <c r="P402" s="7">
        <f>'3 escalar'!O405</f>
        <v/>
      </c>
      <c r="Q402" s="7">
        <f>'3 escalar'!P405</f>
        <v/>
      </c>
      <c r="R402" s="7">
        <f>'3 escalar'!Q405</f>
        <v/>
      </c>
      <c r="S402" s="7">
        <f>'3 escalar'!R405</f>
        <v/>
      </c>
      <c r="T402" s="7">
        <f>'3 escalar'!S405</f>
        <v/>
      </c>
      <c r="U402" s="7">
        <f>'3 escalar'!T405</f>
        <v/>
      </c>
      <c r="V402" s="6">
        <f>$AC$12+D402*$AC$13+E402*$AC$14+F402*$AC$15+G402*$AC$16+H402*$AC$17+I402*$AC$18+J402*$AC$19+K402*$AC$20+L402*$AC$21+M402*$AC$22+N402*$AC$23+O402*$AC$24+P402*$AC$25+Q402*$AC$26+R402*$AC$27+S402*$AC$28+T402*$AC$29+U402*$AC$30</f>
        <v/>
      </c>
      <c r="W402" s="6">
        <f>1/(1+EXP(-V402))</f>
        <v/>
      </c>
      <c r="X402" s="8">
        <f>-IF(C402=1,LN(W402),LN(1-W402))</f>
        <v/>
      </c>
      <c r="Y402" s="9">
        <f>IF(W402&gt;$AC$32,1,0)</f>
        <v/>
      </c>
      <c r="Z402">
        <f>IF(Y402=C402,1,0)</f>
        <v/>
      </c>
    </row>
    <row r="403">
      <c r="A403">
        <f>'3 escalar'!A406</f>
        <v/>
      </c>
      <c r="B403" s="5">
        <f>'3 escalar'!U406</f>
        <v/>
      </c>
      <c r="C403">
        <f>'3 escalar'!B406</f>
        <v/>
      </c>
      <c r="D403" s="7">
        <f>'3 escalar'!C406</f>
        <v/>
      </c>
      <c r="E403" s="7">
        <f>'3 escalar'!D406</f>
        <v/>
      </c>
      <c r="F403" s="7">
        <f>'3 escalar'!E406</f>
        <v/>
      </c>
      <c r="G403" s="7">
        <f>'3 escalar'!F406</f>
        <v/>
      </c>
      <c r="H403" s="7">
        <f>'3 escalar'!G406</f>
        <v/>
      </c>
      <c r="I403" s="7">
        <f>'3 escalar'!H406</f>
        <v/>
      </c>
      <c r="J403" s="7">
        <f>'3 escalar'!I406</f>
        <v/>
      </c>
      <c r="K403" s="7">
        <f>'3 escalar'!J406</f>
        <v/>
      </c>
      <c r="L403" s="7">
        <f>'3 escalar'!K406</f>
        <v/>
      </c>
      <c r="M403" s="7">
        <f>'3 escalar'!L406</f>
        <v/>
      </c>
      <c r="N403" s="7">
        <f>'3 escalar'!M406</f>
        <v/>
      </c>
      <c r="O403" s="7">
        <f>'3 escalar'!N406</f>
        <v/>
      </c>
      <c r="P403" s="7">
        <f>'3 escalar'!O406</f>
        <v/>
      </c>
      <c r="Q403" s="7">
        <f>'3 escalar'!P406</f>
        <v/>
      </c>
      <c r="R403" s="7">
        <f>'3 escalar'!Q406</f>
        <v/>
      </c>
      <c r="S403" s="7">
        <f>'3 escalar'!R406</f>
        <v/>
      </c>
      <c r="T403" s="7">
        <f>'3 escalar'!S406</f>
        <v/>
      </c>
      <c r="U403" s="7">
        <f>'3 escalar'!T406</f>
        <v/>
      </c>
      <c r="V403" s="6">
        <f>$AC$12+D403*$AC$13+E403*$AC$14+F403*$AC$15+G403*$AC$16+H403*$AC$17+I403*$AC$18+J403*$AC$19+K403*$AC$20+L403*$AC$21+M403*$AC$22+N403*$AC$23+O403*$AC$24+P403*$AC$25+Q403*$AC$26+R403*$AC$27+S403*$AC$28+T403*$AC$29+U403*$AC$30</f>
        <v/>
      </c>
      <c r="W403" s="6">
        <f>1/(1+EXP(-V403))</f>
        <v/>
      </c>
      <c r="X403" s="8">
        <f>-IF(C403=1,LN(W403),LN(1-W403))</f>
        <v/>
      </c>
      <c r="Y403" s="9">
        <f>IF(W403&gt;$AC$32,1,0)</f>
        <v/>
      </c>
      <c r="Z403">
        <f>IF(Y403=C403,1,0)</f>
        <v/>
      </c>
    </row>
    <row r="404">
      <c r="A404">
        <f>'3 escalar'!A407</f>
        <v/>
      </c>
      <c r="B404" s="5">
        <f>'3 escalar'!U407</f>
        <v/>
      </c>
      <c r="C404">
        <f>'3 escalar'!B407</f>
        <v/>
      </c>
      <c r="D404" s="7">
        <f>'3 escalar'!C407</f>
        <v/>
      </c>
      <c r="E404" s="7">
        <f>'3 escalar'!D407</f>
        <v/>
      </c>
      <c r="F404" s="7">
        <f>'3 escalar'!E407</f>
        <v/>
      </c>
      <c r="G404" s="7">
        <f>'3 escalar'!F407</f>
        <v/>
      </c>
      <c r="H404" s="7">
        <f>'3 escalar'!G407</f>
        <v/>
      </c>
      <c r="I404" s="7">
        <f>'3 escalar'!H407</f>
        <v/>
      </c>
      <c r="J404" s="7">
        <f>'3 escalar'!I407</f>
        <v/>
      </c>
      <c r="K404" s="7">
        <f>'3 escalar'!J407</f>
        <v/>
      </c>
      <c r="L404" s="7">
        <f>'3 escalar'!K407</f>
        <v/>
      </c>
      <c r="M404" s="7">
        <f>'3 escalar'!L407</f>
        <v/>
      </c>
      <c r="N404" s="7">
        <f>'3 escalar'!M407</f>
        <v/>
      </c>
      <c r="O404" s="7">
        <f>'3 escalar'!N407</f>
        <v/>
      </c>
      <c r="P404" s="7">
        <f>'3 escalar'!O407</f>
        <v/>
      </c>
      <c r="Q404" s="7">
        <f>'3 escalar'!P407</f>
        <v/>
      </c>
      <c r="R404" s="7">
        <f>'3 escalar'!Q407</f>
        <v/>
      </c>
      <c r="S404" s="7">
        <f>'3 escalar'!R407</f>
        <v/>
      </c>
      <c r="T404" s="7">
        <f>'3 escalar'!S407</f>
        <v/>
      </c>
      <c r="U404" s="7">
        <f>'3 escalar'!T407</f>
        <v/>
      </c>
      <c r="V404" s="6">
        <f>$AC$12+D404*$AC$13+E404*$AC$14+F404*$AC$15+G404*$AC$16+H404*$AC$17+I404*$AC$18+J404*$AC$19+K404*$AC$20+L404*$AC$21+M404*$AC$22+N404*$AC$23+O404*$AC$24+P404*$AC$25+Q404*$AC$26+R404*$AC$27+S404*$AC$28+T404*$AC$29+U404*$AC$30</f>
        <v/>
      </c>
      <c r="W404" s="6">
        <f>1/(1+EXP(-V404))</f>
        <v/>
      </c>
      <c r="X404" s="8">
        <f>-IF(C404=1,LN(W404),LN(1-W404))</f>
        <v/>
      </c>
      <c r="Y404" s="9">
        <f>IF(W404&gt;$AC$32,1,0)</f>
        <v/>
      </c>
      <c r="Z404">
        <f>IF(Y404=C404,1,0)</f>
        <v/>
      </c>
    </row>
    <row r="405">
      <c r="A405">
        <f>'3 escalar'!A408</f>
        <v/>
      </c>
      <c r="B405" s="5">
        <f>'3 escalar'!U408</f>
        <v/>
      </c>
      <c r="C405">
        <f>'3 escalar'!B408</f>
        <v/>
      </c>
      <c r="D405" s="7">
        <f>'3 escalar'!C408</f>
        <v/>
      </c>
      <c r="E405" s="7">
        <f>'3 escalar'!D408</f>
        <v/>
      </c>
      <c r="F405" s="7">
        <f>'3 escalar'!E408</f>
        <v/>
      </c>
      <c r="G405" s="7">
        <f>'3 escalar'!F408</f>
        <v/>
      </c>
      <c r="H405" s="7">
        <f>'3 escalar'!G408</f>
        <v/>
      </c>
      <c r="I405" s="7">
        <f>'3 escalar'!H408</f>
        <v/>
      </c>
      <c r="J405" s="7">
        <f>'3 escalar'!I408</f>
        <v/>
      </c>
      <c r="K405" s="7">
        <f>'3 escalar'!J408</f>
        <v/>
      </c>
      <c r="L405" s="7">
        <f>'3 escalar'!K408</f>
        <v/>
      </c>
      <c r="M405" s="7">
        <f>'3 escalar'!L408</f>
        <v/>
      </c>
      <c r="N405" s="7">
        <f>'3 escalar'!M408</f>
        <v/>
      </c>
      <c r="O405" s="7">
        <f>'3 escalar'!N408</f>
        <v/>
      </c>
      <c r="P405" s="7">
        <f>'3 escalar'!O408</f>
        <v/>
      </c>
      <c r="Q405" s="7">
        <f>'3 escalar'!P408</f>
        <v/>
      </c>
      <c r="R405" s="7">
        <f>'3 escalar'!Q408</f>
        <v/>
      </c>
      <c r="S405" s="7">
        <f>'3 escalar'!R408</f>
        <v/>
      </c>
      <c r="T405" s="7">
        <f>'3 escalar'!S408</f>
        <v/>
      </c>
      <c r="U405" s="7">
        <f>'3 escalar'!T408</f>
        <v/>
      </c>
      <c r="V405" s="6">
        <f>$AC$12+D405*$AC$13+E405*$AC$14+F405*$AC$15+G405*$AC$16+H405*$AC$17+I405*$AC$18+J405*$AC$19+K405*$AC$20+L405*$AC$21+M405*$AC$22+N405*$AC$23+O405*$AC$24+P405*$AC$25+Q405*$AC$26+R405*$AC$27+S405*$AC$28+T405*$AC$29+U405*$AC$30</f>
        <v/>
      </c>
      <c r="W405" s="6">
        <f>1/(1+EXP(-V405))</f>
        <v/>
      </c>
      <c r="X405" s="8">
        <f>-IF(C405=1,LN(W405),LN(1-W405))</f>
        <v/>
      </c>
      <c r="Y405" s="9">
        <f>IF(W405&gt;$AC$32,1,0)</f>
        <v/>
      </c>
      <c r="Z405">
        <f>IF(Y405=C405,1,0)</f>
        <v/>
      </c>
    </row>
    <row r="406">
      <c r="A406">
        <f>'3 escalar'!A409</f>
        <v/>
      </c>
      <c r="B406" s="5">
        <f>'3 escalar'!U409</f>
        <v/>
      </c>
      <c r="C406">
        <f>'3 escalar'!B409</f>
        <v/>
      </c>
      <c r="D406" s="7">
        <f>'3 escalar'!C409</f>
        <v/>
      </c>
      <c r="E406" s="7">
        <f>'3 escalar'!D409</f>
        <v/>
      </c>
      <c r="F406" s="7">
        <f>'3 escalar'!E409</f>
        <v/>
      </c>
      <c r="G406" s="7">
        <f>'3 escalar'!F409</f>
        <v/>
      </c>
      <c r="H406" s="7">
        <f>'3 escalar'!G409</f>
        <v/>
      </c>
      <c r="I406" s="7">
        <f>'3 escalar'!H409</f>
        <v/>
      </c>
      <c r="J406" s="7">
        <f>'3 escalar'!I409</f>
        <v/>
      </c>
      <c r="K406" s="7">
        <f>'3 escalar'!J409</f>
        <v/>
      </c>
      <c r="L406" s="7">
        <f>'3 escalar'!K409</f>
        <v/>
      </c>
      <c r="M406" s="7">
        <f>'3 escalar'!L409</f>
        <v/>
      </c>
      <c r="N406" s="7">
        <f>'3 escalar'!M409</f>
        <v/>
      </c>
      <c r="O406" s="7">
        <f>'3 escalar'!N409</f>
        <v/>
      </c>
      <c r="P406" s="7">
        <f>'3 escalar'!O409</f>
        <v/>
      </c>
      <c r="Q406" s="7">
        <f>'3 escalar'!P409</f>
        <v/>
      </c>
      <c r="R406" s="7">
        <f>'3 escalar'!Q409</f>
        <v/>
      </c>
      <c r="S406" s="7">
        <f>'3 escalar'!R409</f>
        <v/>
      </c>
      <c r="T406" s="7">
        <f>'3 escalar'!S409</f>
        <v/>
      </c>
      <c r="U406" s="7">
        <f>'3 escalar'!T409</f>
        <v/>
      </c>
      <c r="V406" s="6">
        <f>$AC$12+D406*$AC$13+E406*$AC$14+F406*$AC$15+G406*$AC$16+H406*$AC$17+I406*$AC$18+J406*$AC$19+K406*$AC$20+L406*$AC$21+M406*$AC$22+N406*$AC$23+O406*$AC$24+P406*$AC$25+Q406*$AC$26+R406*$AC$27+S406*$AC$28+T406*$AC$29+U406*$AC$30</f>
        <v/>
      </c>
      <c r="W406" s="6">
        <f>1/(1+EXP(-V406))</f>
        <v/>
      </c>
      <c r="X406" s="8">
        <f>-IF(C406=1,LN(W406),LN(1-W406))</f>
        <v/>
      </c>
      <c r="Y406" s="9">
        <f>IF(W406&gt;$AC$32,1,0)</f>
        <v/>
      </c>
      <c r="Z406">
        <f>IF(Y406=C406,1,0)</f>
        <v/>
      </c>
    </row>
    <row r="407">
      <c r="A407">
        <f>'3 escalar'!A410</f>
        <v/>
      </c>
      <c r="B407" s="5">
        <f>'3 escalar'!U410</f>
        <v/>
      </c>
      <c r="C407">
        <f>'3 escalar'!B410</f>
        <v/>
      </c>
      <c r="D407" s="7">
        <f>'3 escalar'!C410</f>
        <v/>
      </c>
      <c r="E407" s="7">
        <f>'3 escalar'!D410</f>
        <v/>
      </c>
      <c r="F407" s="7">
        <f>'3 escalar'!E410</f>
        <v/>
      </c>
      <c r="G407" s="7">
        <f>'3 escalar'!F410</f>
        <v/>
      </c>
      <c r="H407" s="7">
        <f>'3 escalar'!G410</f>
        <v/>
      </c>
      <c r="I407" s="7">
        <f>'3 escalar'!H410</f>
        <v/>
      </c>
      <c r="J407" s="7">
        <f>'3 escalar'!I410</f>
        <v/>
      </c>
      <c r="K407" s="7">
        <f>'3 escalar'!J410</f>
        <v/>
      </c>
      <c r="L407" s="7">
        <f>'3 escalar'!K410</f>
        <v/>
      </c>
      <c r="M407" s="7">
        <f>'3 escalar'!L410</f>
        <v/>
      </c>
      <c r="N407" s="7">
        <f>'3 escalar'!M410</f>
        <v/>
      </c>
      <c r="O407" s="7">
        <f>'3 escalar'!N410</f>
        <v/>
      </c>
      <c r="P407" s="7">
        <f>'3 escalar'!O410</f>
        <v/>
      </c>
      <c r="Q407" s="7">
        <f>'3 escalar'!P410</f>
        <v/>
      </c>
      <c r="R407" s="7">
        <f>'3 escalar'!Q410</f>
        <v/>
      </c>
      <c r="S407" s="7">
        <f>'3 escalar'!R410</f>
        <v/>
      </c>
      <c r="T407" s="7">
        <f>'3 escalar'!S410</f>
        <v/>
      </c>
      <c r="U407" s="7">
        <f>'3 escalar'!T410</f>
        <v/>
      </c>
      <c r="V407" s="6">
        <f>$AC$12+D407*$AC$13+E407*$AC$14+F407*$AC$15+G407*$AC$16+H407*$AC$17+I407*$AC$18+J407*$AC$19+K407*$AC$20+L407*$AC$21+M407*$AC$22+N407*$AC$23+O407*$AC$24+P407*$AC$25+Q407*$AC$26+R407*$AC$27+S407*$AC$28+T407*$AC$29+U407*$AC$30</f>
        <v/>
      </c>
      <c r="W407" s="6">
        <f>1/(1+EXP(-V407))</f>
        <v/>
      </c>
      <c r="X407" s="8">
        <f>-IF(C407=1,LN(W407),LN(1-W407))</f>
        <v/>
      </c>
      <c r="Y407" s="9">
        <f>IF(W407&gt;$AC$32,1,0)</f>
        <v/>
      </c>
      <c r="Z407">
        <f>IF(Y407=C407,1,0)</f>
        <v/>
      </c>
    </row>
    <row r="408">
      <c r="A408">
        <f>'3 escalar'!A411</f>
        <v/>
      </c>
      <c r="B408" s="5">
        <f>'3 escalar'!U411</f>
        <v/>
      </c>
      <c r="C408">
        <f>'3 escalar'!B411</f>
        <v/>
      </c>
      <c r="D408" s="7">
        <f>'3 escalar'!C411</f>
        <v/>
      </c>
      <c r="E408" s="7">
        <f>'3 escalar'!D411</f>
        <v/>
      </c>
      <c r="F408" s="7">
        <f>'3 escalar'!E411</f>
        <v/>
      </c>
      <c r="G408" s="7">
        <f>'3 escalar'!F411</f>
        <v/>
      </c>
      <c r="H408" s="7">
        <f>'3 escalar'!G411</f>
        <v/>
      </c>
      <c r="I408" s="7">
        <f>'3 escalar'!H411</f>
        <v/>
      </c>
      <c r="J408" s="7">
        <f>'3 escalar'!I411</f>
        <v/>
      </c>
      <c r="K408" s="7">
        <f>'3 escalar'!J411</f>
        <v/>
      </c>
      <c r="L408" s="7">
        <f>'3 escalar'!K411</f>
        <v/>
      </c>
      <c r="M408" s="7">
        <f>'3 escalar'!L411</f>
        <v/>
      </c>
      <c r="N408" s="7">
        <f>'3 escalar'!M411</f>
        <v/>
      </c>
      <c r="O408" s="7">
        <f>'3 escalar'!N411</f>
        <v/>
      </c>
      <c r="P408" s="7">
        <f>'3 escalar'!O411</f>
        <v/>
      </c>
      <c r="Q408" s="7">
        <f>'3 escalar'!P411</f>
        <v/>
      </c>
      <c r="R408" s="7">
        <f>'3 escalar'!Q411</f>
        <v/>
      </c>
      <c r="S408" s="7">
        <f>'3 escalar'!R411</f>
        <v/>
      </c>
      <c r="T408" s="7">
        <f>'3 escalar'!S411</f>
        <v/>
      </c>
      <c r="U408" s="7">
        <f>'3 escalar'!T411</f>
        <v/>
      </c>
      <c r="V408" s="6">
        <f>$AC$12+D408*$AC$13+E408*$AC$14+F408*$AC$15+G408*$AC$16+H408*$AC$17+I408*$AC$18+J408*$AC$19+K408*$AC$20+L408*$AC$21+M408*$AC$22+N408*$AC$23+O408*$AC$24+P408*$AC$25+Q408*$AC$26+R408*$AC$27+S408*$AC$28+T408*$AC$29+U408*$AC$30</f>
        <v/>
      </c>
      <c r="W408" s="6">
        <f>1/(1+EXP(-V408))</f>
        <v/>
      </c>
      <c r="X408" s="8">
        <f>-IF(C408=1,LN(W408),LN(1-W408))</f>
        <v/>
      </c>
      <c r="Y408" s="9">
        <f>IF(W408&gt;$AC$32,1,0)</f>
        <v/>
      </c>
      <c r="Z408">
        <f>IF(Y408=C408,1,0)</f>
        <v/>
      </c>
    </row>
    <row r="409">
      <c r="A409">
        <f>'3 escalar'!A412</f>
        <v/>
      </c>
      <c r="B409" s="5">
        <f>'3 escalar'!U412</f>
        <v/>
      </c>
      <c r="C409">
        <f>'3 escalar'!B412</f>
        <v/>
      </c>
      <c r="D409" s="7">
        <f>'3 escalar'!C412</f>
        <v/>
      </c>
      <c r="E409" s="7">
        <f>'3 escalar'!D412</f>
        <v/>
      </c>
      <c r="F409" s="7">
        <f>'3 escalar'!E412</f>
        <v/>
      </c>
      <c r="G409" s="7">
        <f>'3 escalar'!F412</f>
        <v/>
      </c>
      <c r="H409" s="7">
        <f>'3 escalar'!G412</f>
        <v/>
      </c>
      <c r="I409" s="7">
        <f>'3 escalar'!H412</f>
        <v/>
      </c>
      <c r="J409" s="7">
        <f>'3 escalar'!I412</f>
        <v/>
      </c>
      <c r="K409" s="7">
        <f>'3 escalar'!J412</f>
        <v/>
      </c>
      <c r="L409" s="7">
        <f>'3 escalar'!K412</f>
        <v/>
      </c>
      <c r="M409" s="7">
        <f>'3 escalar'!L412</f>
        <v/>
      </c>
      <c r="N409" s="7">
        <f>'3 escalar'!M412</f>
        <v/>
      </c>
      <c r="O409" s="7">
        <f>'3 escalar'!N412</f>
        <v/>
      </c>
      <c r="P409" s="7">
        <f>'3 escalar'!O412</f>
        <v/>
      </c>
      <c r="Q409" s="7">
        <f>'3 escalar'!P412</f>
        <v/>
      </c>
      <c r="R409" s="7">
        <f>'3 escalar'!Q412</f>
        <v/>
      </c>
      <c r="S409" s="7">
        <f>'3 escalar'!R412</f>
        <v/>
      </c>
      <c r="T409" s="7">
        <f>'3 escalar'!S412</f>
        <v/>
      </c>
      <c r="U409" s="7">
        <f>'3 escalar'!T412</f>
        <v/>
      </c>
      <c r="V409" s="6">
        <f>$AC$12+D409*$AC$13+E409*$AC$14+F409*$AC$15+G409*$AC$16+H409*$AC$17+I409*$AC$18+J409*$AC$19+K409*$AC$20+L409*$AC$21+M409*$AC$22+N409*$AC$23+O409*$AC$24+P409*$AC$25+Q409*$AC$26+R409*$AC$27+S409*$AC$28+T409*$AC$29+U409*$AC$30</f>
        <v/>
      </c>
      <c r="W409" s="6">
        <f>1/(1+EXP(-V409))</f>
        <v/>
      </c>
      <c r="X409" s="8">
        <f>-IF(C409=1,LN(W409),LN(1-W409))</f>
        <v/>
      </c>
      <c r="Y409" s="9">
        <f>IF(W409&gt;$AC$32,1,0)</f>
        <v/>
      </c>
      <c r="Z409">
        <f>IF(Y409=C409,1,0)</f>
        <v/>
      </c>
    </row>
    <row r="410">
      <c r="A410">
        <f>'3 escalar'!A413</f>
        <v/>
      </c>
      <c r="B410" s="5">
        <f>'3 escalar'!U413</f>
        <v/>
      </c>
      <c r="C410">
        <f>'3 escalar'!B413</f>
        <v/>
      </c>
      <c r="D410" s="7">
        <f>'3 escalar'!C413</f>
        <v/>
      </c>
      <c r="E410" s="7">
        <f>'3 escalar'!D413</f>
        <v/>
      </c>
      <c r="F410" s="7">
        <f>'3 escalar'!E413</f>
        <v/>
      </c>
      <c r="G410" s="7">
        <f>'3 escalar'!F413</f>
        <v/>
      </c>
      <c r="H410" s="7">
        <f>'3 escalar'!G413</f>
        <v/>
      </c>
      <c r="I410" s="7">
        <f>'3 escalar'!H413</f>
        <v/>
      </c>
      <c r="J410" s="7">
        <f>'3 escalar'!I413</f>
        <v/>
      </c>
      <c r="K410" s="7">
        <f>'3 escalar'!J413</f>
        <v/>
      </c>
      <c r="L410" s="7">
        <f>'3 escalar'!K413</f>
        <v/>
      </c>
      <c r="M410" s="7">
        <f>'3 escalar'!L413</f>
        <v/>
      </c>
      <c r="N410" s="7">
        <f>'3 escalar'!M413</f>
        <v/>
      </c>
      <c r="O410" s="7">
        <f>'3 escalar'!N413</f>
        <v/>
      </c>
      <c r="P410" s="7">
        <f>'3 escalar'!O413</f>
        <v/>
      </c>
      <c r="Q410" s="7">
        <f>'3 escalar'!P413</f>
        <v/>
      </c>
      <c r="R410" s="7">
        <f>'3 escalar'!Q413</f>
        <v/>
      </c>
      <c r="S410" s="7">
        <f>'3 escalar'!R413</f>
        <v/>
      </c>
      <c r="T410" s="7">
        <f>'3 escalar'!S413</f>
        <v/>
      </c>
      <c r="U410" s="7">
        <f>'3 escalar'!T413</f>
        <v/>
      </c>
      <c r="V410" s="6">
        <f>$AC$12+D410*$AC$13+E410*$AC$14+F410*$AC$15+G410*$AC$16+H410*$AC$17+I410*$AC$18+J410*$AC$19+K410*$AC$20+L410*$AC$21+M410*$AC$22+N410*$AC$23+O410*$AC$24+P410*$AC$25+Q410*$AC$26+R410*$AC$27+S410*$AC$28+T410*$AC$29+U410*$AC$30</f>
        <v/>
      </c>
      <c r="W410" s="6">
        <f>1/(1+EXP(-V410))</f>
        <v/>
      </c>
      <c r="X410" s="8">
        <f>-IF(C410=1,LN(W410),LN(1-W410))</f>
        <v/>
      </c>
      <c r="Y410" s="9">
        <f>IF(W410&gt;$AC$32,1,0)</f>
        <v/>
      </c>
      <c r="Z410">
        <f>IF(Y410=C410,1,0)</f>
        <v/>
      </c>
    </row>
    <row r="411">
      <c r="A411">
        <f>'3 escalar'!A414</f>
        <v/>
      </c>
      <c r="B411" s="5">
        <f>'3 escalar'!U414</f>
        <v/>
      </c>
      <c r="C411">
        <f>'3 escalar'!B414</f>
        <v/>
      </c>
      <c r="D411" s="7">
        <f>'3 escalar'!C414</f>
        <v/>
      </c>
      <c r="E411" s="7">
        <f>'3 escalar'!D414</f>
        <v/>
      </c>
      <c r="F411" s="7">
        <f>'3 escalar'!E414</f>
        <v/>
      </c>
      <c r="G411" s="7">
        <f>'3 escalar'!F414</f>
        <v/>
      </c>
      <c r="H411" s="7">
        <f>'3 escalar'!G414</f>
        <v/>
      </c>
      <c r="I411" s="7">
        <f>'3 escalar'!H414</f>
        <v/>
      </c>
      <c r="J411" s="7">
        <f>'3 escalar'!I414</f>
        <v/>
      </c>
      <c r="K411" s="7">
        <f>'3 escalar'!J414</f>
        <v/>
      </c>
      <c r="L411" s="7">
        <f>'3 escalar'!K414</f>
        <v/>
      </c>
      <c r="M411" s="7">
        <f>'3 escalar'!L414</f>
        <v/>
      </c>
      <c r="N411" s="7">
        <f>'3 escalar'!M414</f>
        <v/>
      </c>
      <c r="O411" s="7">
        <f>'3 escalar'!N414</f>
        <v/>
      </c>
      <c r="P411" s="7">
        <f>'3 escalar'!O414</f>
        <v/>
      </c>
      <c r="Q411" s="7">
        <f>'3 escalar'!P414</f>
        <v/>
      </c>
      <c r="R411" s="7">
        <f>'3 escalar'!Q414</f>
        <v/>
      </c>
      <c r="S411" s="7">
        <f>'3 escalar'!R414</f>
        <v/>
      </c>
      <c r="T411" s="7">
        <f>'3 escalar'!S414</f>
        <v/>
      </c>
      <c r="U411" s="7">
        <f>'3 escalar'!T414</f>
        <v/>
      </c>
      <c r="V411" s="6">
        <f>$AC$12+D411*$AC$13+E411*$AC$14+F411*$AC$15+G411*$AC$16+H411*$AC$17+I411*$AC$18+J411*$AC$19+K411*$AC$20+L411*$AC$21+M411*$AC$22+N411*$AC$23+O411*$AC$24+P411*$AC$25+Q411*$AC$26+R411*$AC$27+S411*$AC$28+T411*$AC$29+U411*$AC$30</f>
        <v/>
      </c>
      <c r="W411" s="6">
        <f>1/(1+EXP(-V411))</f>
        <v/>
      </c>
      <c r="X411" s="8">
        <f>-IF(C411=1,LN(W411),LN(1-W411))</f>
        <v/>
      </c>
      <c r="Y411" s="9">
        <f>IF(W411&gt;$AC$32,1,0)</f>
        <v/>
      </c>
      <c r="Z411">
        <f>IF(Y411=C411,1,0)</f>
        <v/>
      </c>
    </row>
    <row r="412">
      <c r="A412">
        <f>'3 escalar'!A415</f>
        <v/>
      </c>
      <c r="B412" s="5">
        <f>'3 escalar'!U415</f>
        <v/>
      </c>
      <c r="C412">
        <f>'3 escalar'!B415</f>
        <v/>
      </c>
      <c r="D412" s="7">
        <f>'3 escalar'!C415</f>
        <v/>
      </c>
      <c r="E412" s="7">
        <f>'3 escalar'!D415</f>
        <v/>
      </c>
      <c r="F412" s="7">
        <f>'3 escalar'!E415</f>
        <v/>
      </c>
      <c r="G412" s="7">
        <f>'3 escalar'!F415</f>
        <v/>
      </c>
      <c r="H412" s="7">
        <f>'3 escalar'!G415</f>
        <v/>
      </c>
      <c r="I412" s="7">
        <f>'3 escalar'!H415</f>
        <v/>
      </c>
      <c r="J412" s="7">
        <f>'3 escalar'!I415</f>
        <v/>
      </c>
      <c r="K412" s="7">
        <f>'3 escalar'!J415</f>
        <v/>
      </c>
      <c r="L412" s="7">
        <f>'3 escalar'!K415</f>
        <v/>
      </c>
      <c r="M412" s="7">
        <f>'3 escalar'!L415</f>
        <v/>
      </c>
      <c r="N412" s="7">
        <f>'3 escalar'!M415</f>
        <v/>
      </c>
      <c r="O412" s="7">
        <f>'3 escalar'!N415</f>
        <v/>
      </c>
      <c r="P412" s="7">
        <f>'3 escalar'!O415</f>
        <v/>
      </c>
      <c r="Q412" s="7">
        <f>'3 escalar'!P415</f>
        <v/>
      </c>
      <c r="R412" s="7">
        <f>'3 escalar'!Q415</f>
        <v/>
      </c>
      <c r="S412" s="7">
        <f>'3 escalar'!R415</f>
        <v/>
      </c>
      <c r="T412" s="7">
        <f>'3 escalar'!S415</f>
        <v/>
      </c>
      <c r="U412" s="7">
        <f>'3 escalar'!T415</f>
        <v/>
      </c>
      <c r="V412" s="6">
        <f>$AC$12+D412*$AC$13+E412*$AC$14+F412*$AC$15+G412*$AC$16+H412*$AC$17+I412*$AC$18+J412*$AC$19+K412*$AC$20+L412*$AC$21+M412*$AC$22+N412*$AC$23+O412*$AC$24+P412*$AC$25+Q412*$AC$26+R412*$AC$27+S412*$AC$28+T412*$AC$29+U412*$AC$30</f>
        <v/>
      </c>
      <c r="W412" s="6">
        <f>1/(1+EXP(-V412))</f>
        <v/>
      </c>
      <c r="X412" s="8">
        <f>-IF(C412=1,LN(W412),LN(1-W412))</f>
        <v/>
      </c>
      <c r="Y412" s="9">
        <f>IF(W412&gt;$AC$32,1,0)</f>
        <v/>
      </c>
      <c r="Z412">
        <f>IF(Y412=C412,1,0)</f>
        <v/>
      </c>
    </row>
    <row r="413">
      <c r="A413">
        <f>'3 escalar'!A416</f>
        <v/>
      </c>
      <c r="B413" s="5">
        <f>'3 escalar'!U416</f>
        <v/>
      </c>
      <c r="C413">
        <f>'3 escalar'!B416</f>
        <v/>
      </c>
      <c r="D413" s="7">
        <f>'3 escalar'!C416</f>
        <v/>
      </c>
      <c r="E413" s="7">
        <f>'3 escalar'!D416</f>
        <v/>
      </c>
      <c r="F413" s="7">
        <f>'3 escalar'!E416</f>
        <v/>
      </c>
      <c r="G413" s="7">
        <f>'3 escalar'!F416</f>
        <v/>
      </c>
      <c r="H413" s="7">
        <f>'3 escalar'!G416</f>
        <v/>
      </c>
      <c r="I413" s="7">
        <f>'3 escalar'!H416</f>
        <v/>
      </c>
      <c r="J413" s="7">
        <f>'3 escalar'!I416</f>
        <v/>
      </c>
      <c r="K413" s="7">
        <f>'3 escalar'!J416</f>
        <v/>
      </c>
      <c r="L413" s="7">
        <f>'3 escalar'!K416</f>
        <v/>
      </c>
      <c r="M413" s="7">
        <f>'3 escalar'!L416</f>
        <v/>
      </c>
      <c r="N413" s="7">
        <f>'3 escalar'!M416</f>
        <v/>
      </c>
      <c r="O413" s="7">
        <f>'3 escalar'!N416</f>
        <v/>
      </c>
      <c r="P413" s="7">
        <f>'3 escalar'!O416</f>
        <v/>
      </c>
      <c r="Q413" s="7">
        <f>'3 escalar'!P416</f>
        <v/>
      </c>
      <c r="R413" s="7">
        <f>'3 escalar'!Q416</f>
        <v/>
      </c>
      <c r="S413" s="7">
        <f>'3 escalar'!R416</f>
        <v/>
      </c>
      <c r="T413" s="7">
        <f>'3 escalar'!S416</f>
        <v/>
      </c>
      <c r="U413" s="7">
        <f>'3 escalar'!T416</f>
        <v/>
      </c>
      <c r="V413" s="6">
        <f>$AC$12+D413*$AC$13+E413*$AC$14+F413*$AC$15+G413*$AC$16+H413*$AC$17+I413*$AC$18+J413*$AC$19+K413*$AC$20+L413*$AC$21+M413*$AC$22+N413*$AC$23+O413*$AC$24+P413*$AC$25+Q413*$AC$26+R413*$AC$27+S413*$AC$28+T413*$AC$29+U413*$AC$30</f>
        <v/>
      </c>
      <c r="W413" s="6">
        <f>1/(1+EXP(-V413))</f>
        <v/>
      </c>
      <c r="X413" s="8">
        <f>-IF(C413=1,LN(W413),LN(1-W413))</f>
        <v/>
      </c>
      <c r="Y413" s="9">
        <f>IF(W413&gt;$AC$32,1,0)</f>
        <v/>
      </c>
      <c r="Z413">
        <f>IF(Y413=C413,1,0)</f>
        <v/>
      </c>
    </row>
    <row r="414">
      <c r="A414">
        <f>'3 escalar'!A417</f>
        <v/>
      </c>
      <c r="B414" s="5">
        <f>'3 escalar'!U417</f>
        <v/>
      </c>
      <c r="C414">
        <f>'3 escalar'!B417</f>
        <v/>
      </c>
      <c r="D414" s="7">
        <f>'3 escalar'!C417</f>
        <v/>
      </c>
      <c r="E414" s="7">
        <f>'3 escalar'!D417</f>
        <v/>
      </c>
      <c r="F414" s="7">
        <f>'3 escalar'!E417</f>
        <v/>
      </c>
      <c r="G414" s="7">
        <f>'3 escalar'!F417</f>
        <v/>
      </c>
      <c r="H414" s="7">
        <f>'3 escalar'!G417</f>
        <v/>
      </c>
      <c r="I414" s="7">
        <f>'3 escalar'!H417</f>
        <v/>
      </c>
      <c r="J414" s="7">
        <f>'3 escalar'!I417</f>
        <v/>
      </c>
      <c r="K414" s="7">
        <f>'3 escalar'!J417</f>
        <v/>
      </c>
      <c r="L414" s="7">
        <f>'3 escalar'!K417</f>
        <v/>
      </c>
      <c r="M414" s="7">
        <f>'3 escalar'!L417</f>
        <v/>
      </c>
      <c r="N414" s="7">
        <f>'3 escalar'!M417</f>
        <v/>
      </c>
      <c r="O414" s="7">
        <f>'3 escalar'!N417</f>
        <v/>
      </c>
      <c r="P414" s="7">
        <f>'3 escalar'!O417</f>
        <v/>
      </c>
      <c r="Q414" s="7">
        <f>'3 escalar'!P417</f>
        <v/>
      </c>
      <c r="R414" s="7">
        <f>'3 escalar'!Q417</f>
        <v/>
      </c>
      <c r="S414" s="7">
        <f>'3 escalar'!R417</f>
        <v/>
      </c>
      <c r="T414" s="7">
        <f>'3 escalar'!S417</f>
        <v/>
      </c>
      <c r="U414" s="7">
        <f>'3 escalar'!T417</f>
        <v/>
      </c>
      <c r="V414" s="6">
        <f>$AC$12+D414*$AC$13+E414*$AC$14+F414*$AC$15+G414*$AC$16+H414*$AC$17+I414*$AC$18+J414*$AC$19+K414*$AC$20+L414*$AC$21+M414*$AC$22+N414*$AC$23+O414*$AC$24+P414*$AC$25+Q414*$AC$26+R414*$AC$27+S414*$AC$28+T414*$AC$29+U414*$AC$30</f>
        <v/>
      </c>
      <c r="W414" s="6">
        <f>1/(1+EXP(-V414))</f>
        <v/>
      </c>
      <c r="X414" s="8">
        <f>-IF(C414=1,LN(W414),LN(1-W414))</f>
        <v/>
      </c>
      <c r="Y414" s="9">
        <f>IF(W414&gt;$AC$32,1,0)</f>
        <v/>
      </c>
      <c r="Z414">
        <f>IF(Y414=C414,1,0)</f>
        <v/>
      </c>
    </row>
    <row r="415">
      <c r="A415">
        <f>'3 escalar'!A418</f>
        <v/>
      </c>
      <c r="B415" s="5">
        <f>'3 escalar'!U418</f>
        <v/>
      </c>
      <c r="C415">
        <f>'3 escalar'!B418</f>
        <v/>
      </c>
      <c r="D415" s="7">
        <f>'3 escalar'!C418</f>
        <v/>
      </c>
      <c r="E415" s="7">
        <f>'3 escalar'!D418</f>
        <v/>
      </c>
      <c r="F415" s="7">
        <f>'3 escalar'!E418</f>
        <v/>
      </c>
      <c r="G415" s="7">
        <f>'3 escalar'!F418</f>
        <v/>
      </c>
      <c r="H415" s="7">
        <f>'3 escalar'!G418</f>
        <v/>
      </c>
      <c r="I415" s="7">
        <f>'3 escalar'!H418</f>
        <v/>
      </c>
      <c r="J415" s="7">
        <f>'3 escalar'!I418</f>
        <v/>
      </c>
      <c r="K415" s="7">
        <f>'3 escalar'!J418</f>
        <v/>
      </c>
      <c r="L415" s="7">
        <f>'3 escalar'!K418</f>
        <v/>
      </c>
      <c r="M415" s="7">
        <f>'3 escalar'!L418</f>
        <v/>
      </c>
      <c r="N415" s="7">
        <f>'3 escalar'!M418</f>
        <v/>
      </c>
      <c r="O415" s="7">
        <f>'3 escalar'!N418</f>
        <v/>
      </c>
      <c r="P415" s="7">
        <f>'3 escalar'!O418</f>
        <v/>
      </c>
      <c r="Q415" s="7">
        <f>'3 escalar'!P418</f>
        <v/>
      </c>
      <c r="R415" s="7">
        <f>'3 escalar'!Q418</f>
        <v/>
      </c>
      <c r="S415" s="7">
        <f>'3 escalar'!R418</f>
        <v/>
      </c>
      <c r="T415" s="7">
        <f>'3 escalar'!S418</f>
        <v/>
      </c>
      <c r="U415" s="7">
        <f>'3 escalar'!T418</f>
        <v/>
      </c>
      <c r="V415" s="6">
        <f>$AC$12+D415*$AC$13+E415*$AC$14+F415*$AC$15+G415*$AC$16+H415*$AC$17+I415*$AC$18+J415*$AC$19+K415*$AC$20+L415*$AC$21+M415*$AC$22+N415*$AC$23+O415*$AC$24+P415*$AC$25+Q415*$AC$26+R415*$AC$27+S415*$AC$28+T415*$AC$29+U415*$AC$30</f>
        <v/>
      </c>
      <c r="W415" s="6">
        <f>1/(1+EXP(-V415))</f>
        <v/>
      </c>
      <c r="X415" s="8">
        <f>-IF(C415=1,LN(W415),LN(1-W415))</f>
        <v/>
      </c>
      <c r="Y415" s="9">
        <f>IF(W415&gt;$AC$32,1,0)</f>
        <v/>
      </c>
      <c r="Z415">
        <f>IF(Y415=C415,1,0)</f>
        <v/>
      </c>
    </row>
    <row r="416">
      <c r="A416">
        <f>'3 escalar'!A419</f>
        <v/>
      </c>
      <c r="B416" s="5">
        <f>'3 escalar'!U419</f>
        <v/>
      </c>
      <c r="C416">
        <f>'3 escalar'!B419</f>
        <v/>
      </c>
      <c r="D416" s="7">
        <f>'3 escalar'!C419</f>
        <v/>
      </c>
      <c r="E416" s="7">
        <f>'3 escalar'!D419</f>
        <v/>
      </c>
      <c r="F416" s="7">
        <f>'3 escalar'!E419</f>
        <v/>
      </c>
      <c r="G416" s="7">
        <f>'3 escalar'!F419</f>
        <v/>
      </c>
      <c r="H416" s="7">
        <f>'3 escalar'!G419</f>
        <v/>
      </c>
      <c r="I416" s="7">
        <f>'3 escalar'!H419</f>
        <v/>
      </c>
      <c r="J416" s="7">
        <f>'3 escalar'!I419</f>
        <v/>
      </c>
      <c r="K416" s="7">
        <f>'3 escalar'!J419</f>
        <v/>
      </c>
      <c r="L416" s="7">
        <f>'3 escalar'!K419</f>
        <v/>
      </c>
      <c r="M416" s="7">
        <f>'3 escalar'!L419</f>
        <v/>
      </c>
      <c r="N416" s="7">
        <f>'3 escalar'!M419</f>
        <v/>
      </c>
      <c r="O416" s="7">
        <f>'3 escalar'!N419</f>
        <v/>
      </c>
      <c r="P416" s="7">
        <f>'3 escalar'!O419</f>
        <v/>
      </c>
      <c r="Q416" s="7">
        <f>'3 escalar'!P419</f>
        <v/>
      </c>
      <c r="R416" s="7">
        <f>'3 escalar'!Q419</f>
        <v/>
      </c>
      <c r="S416" s="7">
        <f>'3 escalar'!R419</f>
        <v/>
      </c>
      <c r="T416" s="7">
        <f>'3 escalar'!S419</f>
        <v/>
      </c>
      <c r="U416" s="7">
        <f>'3 escalar'!T419</f>
        <v/>
      </c>
      <c r="V416" s="6">
        <f>$AC$12+D416*$AC$13+E416*$AC$14+F416*$AC$15+G416*$AC$16+H416*$AC$17+I416*$AC$18+J416*$AC$19+K416*$AC$20+L416*$AC$21+M416*$AC$22+N416*$AC$23+O416*$AC$24+P416*$AC$25+Q416*$AC$26+R416*$AC$27+S416*$AC$28+T416*$AC$29+U416*$AC$30</f>
        <v/>
      </c>
      <c r="W416" s="6">
        <f>1/(1+EXP(-V416))</f>
        <v/>
      </c>
      <c r="X416" s="8">
        <f>-IF(C416=1,LN(W416),LN(1-W416))</f>
        <v/>
      </c>
      <c r="Y416" s="9">
        <f>IF(W416&gt;$AC$32,1,0)</f>
        <v/>
      </c>
      <c r="Z416">
        <f>IF(Y416=C416,1,0)</f>
        <v/>
      </c>
    </row>
    <row r="417">
      <c r="A417">
        <f>'3 escalar'!A420</f>
        <v/>
      </c>
      <c r="B417" s="5">
        <f>'3 escalar'!U420</f>
        <v/>
      </c>
      <c r="C417">
        <f>'3 escalar'!B420</f>
        <v/>
      </c>
      <c r="D417" s="7">
        <f>'3 escalar'!C420</f>
        <v/>
      </c>
      <c r="E417" s="7">
        <f>'3 escalar'!D420</f>
        <v/>
      </c>
      <c r="F417" s="7">
        <f>'3 escalar'!E420</f>
        <v/>
      </c>
      <c r="G417" s="7">
        <f>'3 escalar'!F420</f>
        <v/>
      </c>
      <c r="H417" s="7">
        <f>'3 escalar'!G420</f>
        <v/>
      </c>
      <c r="I417" s="7">
        <f>'3 escalar'!H420</f>
        <v/>
      </c>
      <c r="J417" s="7">
        <f>'3 escalar'!I420</f>
        <v/>
      </c>
      <c r="K417" s="7">
        <f>'3 escalar'!J420</f>
        <v/>
      </c>
      <c r="L417" s="7">
        <f>'3 escalar'!K420</f>
        <v/>
      </c>
      <c r="M417" s="7">
        <f>'3 escalar'!L420</f>
        <v/>
      </c>
      <c r="N417" s="7">
        <f>'3 escalar'!M420</f>
        <v/>
      </c>
      <c r="O417" s="7">
        <f>'3 escalar'!N420</f>
        <v/>
      </c>
      <c r="P417" s="7">
        <f>'3 escalar'!O420</f>
        <v/>
      </c>
      <c r="Q417" s="7">
        <f>'3 escalar'!P420</f>
        <v/>
      </c>
      <c r="R417" s="7">
        <f>'3 escalar'!Q420</f>
        <v/>
      </c>
      <c r="S417" s="7">
        <f>'3 escalar'!R420</f>
        <v/>
      </c>
      <c r="T417" s="7">
        <f>'3 escalar'!S420</f>
        <v/>
      </c>
      <c r="U417" s="7">
        <f>'3 escalar'!T420</f>
        <v/>
      </c>
      <c r="V417" s="6">
        <f>$AC$12+D417*$AC$13+E417*$AC$14+F417*$AC$15+G417*$AC$16+H417*$AC$17+I417*$AC$18+J417*$AC$19+K417*$AC$20+L417*$AC$21+M417*$AC$22+N417*$AC$23+O417*$AC$24+P417*$AC$25+Q417*$AC$26+R417*$AC$27+S417*$AC$28+T417*$AC$29+U417*$AC$30</f>
        <v/>
      </c>
      <c r="W417" s="6">
        <f>1/(1+EXP(-V417))</f>
        <v/>
      </c>
      <c r="X417" s="8">
        <f>-IF(C417=1,LN(W417),LN(1-W417))</f>
        <v/>
      </c>
      <c r="Y417" s="9">
        <f>IF(W417&gt;$AC$32,1,0)</f>
        <v/>
      </c>
      <c r="Z417">
        <f>IF(Y417=C417,1,0)</f>
        <v/>
      </c>
    </row>
    <row r="418">
      <c r="A418">
        <f>'3 escalar'!A421</f>
        <v/>
      </c>
      <c r="B418" s="5">
        <f>'3 escalar'!U421</f>
        <v/>
      </c>
      <c r="C418">
        <f>'3 escalar'!B421</f>
        <v/>
      </c>
      <c r="D418" s="7">
        <f>'3 escalar'!C421</f>
        <v/>
      </c>
      <c r="E418" s="7">
        <f>'3 escalar'!D421</f>
        <v/>
      </c>
      <c r="F418" s="7">
        <f>'3 escalar'!E421</f>
        <v/>
      </c>
      <c r="G418" s="7">
        <f>'3 escalar'!F421</f>
        <v/>
      </c>
      <c r="H418" s="7">
        <f>'3 escalar'!G421</f>
        <v/>
      </c>
      <c r="I418" s="7">
        <f>'3 escalar'!H421</f>
        <v/>
      </c>
      <c r="J418" s="7">
        <f>'3 escalar'!I421</f>
        <v/>
      </c>
      <c r="K418" s="7">
        <f>'3 escalar'!J421</f>
        <v/>
      </c>
      <c r="L418" s="7">
        <f>'3 escalar'!K421</f>
        <v/>
      </c>
      <c r="M418" s="7">
        <f>'3 escalar'!L421</f>
        <v/>
      </c>
      <c r="N418" s="7">
        <f>'3 escalar'!M421</f>
        <v/>
      </c>
      <c r="O418" s="7">
        <f>'3 escalar'!N421</f>
        <v/>
      </c>
      <c r="P418" s="7">
        <f>'3 escalar'!O421</f>
        <v/>
      </c>
      <c r="Q418" s="7">
        <f>'3 escalar'!P421</f>
        <v/>
      </c>
      <c r="R418" s="7">
        <f>'3 escalar'!Q421</f>
        <v/>
      </c>
      <c r="S418" s="7">
        <f>'3 escalar'!R421</f>
        <v/>
      </c>
      <c r="T418" s="7">
        <f>'3 escalar'!S421</f>
        <v/>
      </c>
      <c r="U418" s="7">
        <f>'3 escalar'!T421</f>
        <v/>
      </c>
      <c r="V418" s="6">
        <f>$AC$12+D418*$AC$13+E418*$AC$14+F418*$AC$15+G418*$AC$16+H418*$AC$17+I418*$AC$18+J418*$AC$19+K418*$AC$20+L418*$AC$21+M418*$AC$22+N418*$AC$23+O418*$AC$24+P418*$AC$25+Q418*$AC$26+R418*$AC$27+S418*$AC$28+T418*$AC$29+U418*$AC$30</f>
        <v/>
      </c>
      <c r="W418" s="6">
        <f>1/(1+EXP(-V418))</f>
        <v/>
      </c>
      <c r="X418" s="8">
        <f>-IF(C418=1,LN(W418),LN(1-W418))</f>
        <v/>
      </c>
      <c r="Y418" s="9">
        <f>IF(W418&gt;$AC$32,1,0)</f>
        <v/>
      </c>
      <c r="Z418">
        <f>IF(Y418=C418,1,0)</f>
        <v/>
      </c>
    </row>
    <row r="419">
      <c r="A419">
        <f>'3 escalar'!A422</f>
        <v/>
      </c>
      <c r="B419" s="5">
        <f>'3 escalar'!U422</f>
        <v/>
      </c>
      <c r="C419">
        <f>'3 escalar'!B422</f>
        <v/>
      </c>
      <c r="D419" s="7">
        <f>'3 escalar'!C422</f>
        <v/>
      </c>
      <c r="E419" s="7">
        <f>'3 escalar'!D422</f>
        <v/>
      </c>
      <c r="F419" s="7">
        <f>'3 escalar'!E422</f>
        <v/>
      </c>
      <c r="G419" s="7">
        <f>'3 escalar'!F422</f>
        <v/>
      </c>
      <c r="H419" s="7">
        <f>'3 escalar'!G422</f>
        <v/>
      </c>
      <c r="I419" s="7">
        <f>'3 escalar'!H422</f>
        <v/>
      </c>
      <c r="J419" s="7">
        <f>'3 escalar'!I422</f>
        <v/>
      </c>
      <c r="K419" s="7">
        <f>'3 escalar'!J422</f>
        <v/>
      </c>
      <c r="L419" s="7">
        <f>'3 escalar'!K422</f>
        <v/>
      </c>
      <c r="M419" s="7">
        <f>'3 escalar'!L422</f>
        <v/>
      </c>
      <c r="N419" s="7">
        <f>'3 escalar'!M422</f>
        <v/>
      </c>
      <c r="O419" s="7">
        <f>'3 escalar'!N422</f>
        <v/>
      </c>
      <c r="P419" s="7">
        <f>'3 escalar'!O422</f>
        <v/>
      </c>
      <c r="Q419" s="7">
        <f>'3 escalar'!P422</f>
        <v/>
      </c>
      <c r="R419" s="7">
        <f>'3 escalar'!Q422</f>
        <v/>
      </c>
      <c r="S419" s="7">
        <f>'3 escalar'!R422</f>
        <v/>
      </c>
      <c r="T419" s="7">
        <f>'3 escalar'!S422</f>
        <v/>
      </c>
      <c r="U419" s="7">
        <f>'3 escalar'!T422</f>
        <v/>
      </c>
      <c r="V419" s="6">
        <f>$AC$12+D419*$AC$13+E419*$AC$14+F419*$AC$15+G419*$AC$16+H419*$AC$17+I419*$AC$18+J419*$AC$19+K419*$AC$20+L419*$AC$21+M419*$AC$22+N419*$AC$23+O419*$AC$24+P419*$AC$25+Q419*$AC$26+R419*$AC$27+S419*$AC$28+T419*$AC$29+U419*$AC$30</f>
        <v/>
      </c>
      <c r="W419" s="6">
        <f>1/(1+EXP(-V419))</f>
        <v/>
      </c>
      <c r="X419" s="8">
        <f>-IF(C419=1,LN(W419),LN(1-W419))</f>
        <v/>
      </c>
      <c r="Y419" s="9">
        <f>IF(W419&gt;$AC$32,1,0)</f>
        <v/>
      </c>
      <c r="Z419">
        <f>IF(Y419=C419,1,0)</f>
        <v/>
      </c>
    </row>
    <row r="420">
      <c r="A420">
        <f>'3 escalar'!A423</f>
        <v/>
      </c>
      <c r="B420" s="5">
        <f>'3 escalar'!U423</f>
        <v/>
      </c>
      <c r="C420">
        <f>'3 escalar'!B423</f>
        <v/>
      </c>
      <c r="D420" s="7">
        <f>'3 escalar'!C423</f>
        <v/>
      </c>
      <c r="E420" s="7">
        <f>'3 escalar'!D423</f>
        <v/>
      </c>
      <c r="F420" s="7">
        <f>'3 escalar'!E423</f>
        <v/>
      </c>
      <c r="G420" s="7">
        <f>'3 escalar'!F423</f>
        <v/>
      </c>
      <c r="H420" s="7">
        <f>'3 escalar'!G423</f>
        <v/>
      </c>
      <c r="I420" s="7">
        <f>'3 escalar'!H423</f>
        <v/>
      </c>
      <c r="J420" s="7">
        <f>'3 escalar'!I423</f>
        <v/>
      </c>
      <c r="K420" s="7">
        <f>'3 escalar'!J423</f>
        <v/>
      </c>
      <c r="L420" s="7">
        <f>'3 escalar'!K423</f>
        <v/>
      </c>
      <c r="M420" s="7">
        <f>'3 escalar'!L423</f>
        <v/>
      </c>
      <c r="N420" s="7">
        <f>'3 escalar'!M423</f>
        <v/>
      </c>
      <c r="O420" s="7">
        <f>'3 escalar'!N423</f>
        <v/>
      </c>
      <c r="P420" s="7">
        <f>'3 escalar'!O423</f>
        <v/>
      </c>
      <c r="Q420" s="7">
        <f>'3 escalar'!P423</f>
        <v/>
      </c>
      <c r="R420" s="7">
        <f>'3 escalar'!Q423</f>
        <v/>
      </c>
      <c r="S420" s="7">
        <f>'3 escalar'!R423</f>
        <v/>
      </c>
      <c r="T420" s="7">
        <f>'3 escalar'!S423</f>
        <v/>
      </c>
      <c r="U420" s="7">
        <f>'3 escalar'!T423</f>
        <v/>
      </c>
      <c r="V420" s="6">
        <f>$AC$12+D420*$AC$13+E420*$AC$14+F420*$AC$15+G420*$AC$16+H420*$AC$17+I420*$AC$18+J420*$AC$19+K420*$AC$20+L420*$AC$21+M420*$AC$22+N420*$AC$23+O420*$AC$24+P420*$AC$25+Q420*$AC$26+R420*$AC$27+S420*$AC$28+T420*$AC$29+U420*$AC$30</f>
        <v/>
      </c>
      <c r="W420" s="6">
        <f>1/(1+EXP(-V420))</f>
        <v/>
      </c>
      <c r="X420" s="8">
        <f>-IF(C420=1,LN(W420),LN(1-W420))</f>
        <v/>
      </c>
      <c r="Y420" s="9">
        <f>IF(W420&gt;$AC$32,1,0)</f>
        <v/>
      </c>
      <c r="Z420">
        <f>IF(Y420=C420,1,0)</f>
        <v/>
      </c>
    </row>
    <row r="421">
      <c r="A421">
        <f>'3 escalar'!A424</f>
        <v/>
      </c>
      <c r="B421" s="5">
        <f>'3 escalar'!U424</f>
        <v/>
      </c>
      <c r="C421">
        <f>'3 escalar'!B424</f>
        <v/>
      </c>
      <c r="D421" s="7">
        <f>'3 escalar'!C424</f>
        <v/>
      </c>
      <c r="E421" s="7">
        <f>'3 escalar'!D424</f>
        <v/>
      </c>
      <c r="F421" s="7">
        <f>'3 escalar'!E424</f>
        <v/>
      </c>
      <c r="G421" s="7">
        <f>'3 escalar'!F424</f>
        <v/>
      </c>
      <c r="H421" s="7">
        <f>'3 escalar'!G424</f>
        <v/>
      </c>
      <c r="I421" s="7">
        <f>'3 escalar'!H424</f>
        <v/>
      </c>
      <c r="J421" s="7">
        <f>'3 escalar'!I424</f>
        <v/>
      </c>
      <c r="K421" s="7">
        <f>'3 escalar'!J424</f>
        <v/>
      </c>
      <c r="L421" s="7">
        <f>'3 escalar'!K424</f>
        <v/>
      </c>
      <c r="M421" s="7">
        <f>'3 escalar'!L424</f>
        <v/>
      </c>
      <c r="N421" s="7">
        <f>'3 escalar'!M424</f>
        <v/>
      </c>
      <c r="O421" s="7">
        <f>'3 escalar'!N424</f>
        <v/>
      </c>
      <c r="P421" s="7">
        <f>'3 escalar'!O424</f>
        <v/>
      </c>
      <c r="Q421" s="7">
        <f>'3 escalar'!P424</f>
        <v/>
      </c>
      <c r="R421" s="7">
        <f>'3 escalar'!Q424</f>
        <v/>
      </c>
      <c r="S421" s="7">
        <f>'3 escalar'!R424</f>
        <v/>
      </c>
      <c r="T421" s="7">
        <f>'3 escalar'!S424</f>
        <v/>
      </c>
      <c r="U421" s="7">
        <f>'3 escalar'!T424</f>
        <v/>
      </c>
      <c r="V421" s="6">
        <f>$AC$12+D421*$AC$13+E421*$AC$14+F421*$AC$15+G421*$AC$16+H421*$AC$17+I421*$AC$18+J421*$AC$19+K421*$AC$20+L421*$AC$21+M421*$AC$22+N421*$AC$23+O421*$AC$24+P421*$AC$25+Q421*$AC$26+R421*$AC$27+S421*$AC$28+T421*$AC$29+U421*$AC$30</f>
        <v/>
      </c>
      <c r="W421" s="6">
        <f>1/(1+EXP(-V421))</f>
        <v/>
      </c>
      <c r="X421" s="8">
        <f>-IF(C421=1,LN(W421),LN(1-W421))</f>
        <v/>
      </c>
      <c r="Y421" s="9">
        <f>IF(W421&gt;$AC$32,1,0)</f>
        <v/>
      </c>
      <c r="Z421">
        <f>IF(Y421=C421,1,0)</f>
        <v/>
      </c>
    </row>
    <row r="422">
      <c r="A422">
        <f>'3 escalar'!A425</f>
        <v/>
      </c>
      <c r="B422" s="5">
        <f>'3 escalar'!U425</f>
        <v/>
      </c>
      <c r="C422">
        <f>'3 escalar'!B425</f>
        <v/>
      </c>
      <c r="D422" s="7">
        <f>'3 escalar'!C425</f>
        <v/>
      </c>
      <c r="E422" s="7">
        <f>'3 escalar'!D425</f>
        <v/>
      </c>
      <c r="F422" s="7">
        <f>'3 escalar'!E425</f>
        <v/>
      </c>
      <c r="G422" s="7">
        <f>'3 escalar'!F425</f>
        <v/>
      </c>
      <c r="H422" s="7">
        <f>'3 escalar'!G425</f>
        <v/>
      </c>
      <c r="I422" s="7">
        <f>'3 escalar'!H425</f>
        <v/>
      </c>
      <c r="J422" s="7">
        <f>'3 escalar'!I425</f>
        <v/>
      </c>
      <c r="K422" s="7">
        <f>'3 escalar'!J425</f>
        <v/>
      </c>
      <c r="L422" s="7">
        <f>'3 escalar'!K425</f>
        <v/>
      </c>
      <c r="M422" s="7">
        <f>'3 escalar'!L425</f>
        <v/>
      </c>
      <c r="N422" s="7">
        <f>'3 escalar'!M425</f>
        <v/>
      </c>
      <c r="O422" s="7">
        <f>'3 escalar'!N425</f>
        <v/>
      </c>
      <c r="P422" s="7">
        <f>'3 escalar'!O425</f>
        <v/>
      </c>
      <c r="Q422" s="7">
        <f>'3 escalar'!P425</f>
        <v/>
      </c>
      <c r="R422" s="7">
        <f>'3 escalar'!Q425</f>
        <v/>
      </c>
      <c r="S422" s="7">
        <f>'3 escalar'!R425</f>
        <v/>
      </c>
      <c r="T422" s="7">
        <f>'3 escalar'!S425</f>
        <v/>
      </c>
      <c r="U422" s="7">
        <f>'3 escalar'!T425</f>
        <v/>
      </c>
      <c r="V422" s="6">
        <f>$AC$12+D422*$AC$13+E422*$AC$14+F422*$AC$15+G422*$AC$16+H422*$AC$17+I422*$AC$18+J422*$AC$19+K422*$AC$20+L422*$AC$21+M422*$AC$22+N422*$AC$23+O422*$AC$24+P422*$AC$25+Q422*$AC$26+R422*$AC$27+S422*$AC$28+T422*$AC$29+U422*$AC$30</f>
        <v/>
      </c>
      <c r="W422" s="6">
        <f>1/(1+EXP(-V422))</f>
        <v/>
      </c>
      <c r="X422" s="8">
        <f>-IF(C422=1,LN(W422),LN(1-W422))</f>
        <v/>
      </c>
      <c r="Y422" s="9">
        <f>IF(W422&gt;$AC$32,1,0)</f>
        <v/>
      </c>
      <c r="Z422">
        <f>IF(Y422=C422,1,0)</f>
        <v/>
      </c>
    </row>
    <row r="423">
      <c r="A423">
        <f>'3 escalar'!A426</f>
        <v/>
      </c>
      <c r="B423" s="5">
        <f>'3 escalar'!U426</f>
        <v/>
      </c>
      <c r="C423">
        <f>'3 escalar'!B426</f>
        <v/>
      </c>
      <c r="D423" s="7">
        <f>'3 escalar'!C426</f>
        <v/>
      </c>
      <c r="E423" s="7">
        <f>'3 escalar'!D426</f>
        <v/>
      </c>
      <c r="F423" s="7">
        <f>'3 escalar'!E426</f>
        <v/>
      </c>
      <c r="G423" s="7">
        <f>'3 escalar'!F426</f>
        <v/>
      </c>
      <c r="H423" s="7">
        <f>'3 escalar'!G426</f>
        <v/>
      </c>
      <c r="I423" s="7">
        <f>'3 escalar'!H426</f>
        <v/>
      </c>
      <c r="J423" s="7">
        <f>'3 escalar'!I426</f>
        <v/>
      </c>
      <c r="K423" s="7">
        <f>'3 escalar'!J426</f>
        <v/>
      </c>
      <c r="L423" s="7">
        <f>'3 escalar'!K426</f>
        <v/>
      </c>
      <c r="M423" s="7">
        <f>'3 escalar'!L426</f>
        <v/>
      </c>
      <c r="N423" s="7">
        <f>'3 escalar'!M426</f>
        <v/>
      </c>
      <c r="O423" s="7">
        <f>'3 escalar'!N426</f>
        <v/>
      </c>
      <c r="P423" s="7">
        <f>'3 escalar'!O426</f>
        <v/>
      </c>
      <c r="Q423" s="7">
        <f>'3 escalar'!P426</f>
        <v/>
      </c>
      <c r="R423" s="7">
        <f>'3 escalar'!Q426</f>
        <v/>
      </c>
      <c r="S423" s="7">
        <f>'3 escalar'!R426</f>
        <v/>
      </c>
      <c r="T423" s="7">
        <f>'3 escalar'!S426</f>
        <v/>
      </c>
      <c r="U423" s="7">
        <f>'3 escalar'!T426</f>
        <v/>
      </c>
      <c r="V423" s="6">
        <f>$AC$12+D423*$AC$13+E423*$AC$14+F423*$AC$15+G423*$AC$16+H423*$AC$17+I423*$AC$18+J423*$AC$19+K423*$AC$20+L423*$AC$21+M423*$AC$22+N423*$AC$23+O423*$AC$24+P423*$AC$25+Q423*$AC$26+R423*$AC$27+S423*$AC$28+T423*$AC$29+U423*$AC$30</f>
        <v/>
      </c>
      <c r="W423" s="6">
        <f>1/(1+EXP(-V423))</f>
        <v/>
      </c>
      <c r="X423" s="8">
        <f>-IF(C423=1,LN(W423),LN(1-W423))</f>
        <v/>
      </c>
      <c r="Y423" s="9">
        <f>IF(W423&gt;$AC$32,1,0)</f>
        <v/>
      </c>
      <c r="Z423">
        <f>IF(Y423=C423,1,0)</f>
        <v/>
      </c>
    </row>
    <row r="424">
      <c r="A424">
        <f>'3 escalar'!A427</f>
        <v/>
      </c>
      <c r="B424" s="5">
        <f>'3 escalar'!U427</f>
        <v/>
      </c>
      <c r="C424">
        <f>'3 escalar'!B427</f>
        <v/>
      </c>
      <c r="D424" s="7">
        <f>'3 escalar'!C427</f>
        <v/>
      </c>
      <c r="E424" s="7">
        <f>'3 escalar'!D427</f>
        <v/>
      </c>
      <c r="F424" s="7">
        <f>'3 escalar'!E427</f>
        <v/>
      </c>
      <c r="G424" s="7">
        <f>'3 escalar'!F427</f>
        <v/>
      </c>
      <c r="H424" s="7">
        <f>'3 escalar'!G427</f>
        <v/>
      </c>
      <c r="I424" s="7">
        <f>'3 escalar'!H427</f>
        <v/>
      </c>
      <c r="J424" s="7">
        <f>'3 escalar'!I427</f>
        <v/>
      </c>
      <c r="K424" s="7">
        <f>'3 escalar'!J427</f>
        <v/>
      </c>
      <c r="L424" s="7">
        <f>'3 escalar'!K427</f>
        <v/>
      </c>
      <c r="M424" s="7">
        <f>'3 escalar'!L427</f>
        <v/>
      </c>
      <c r="N424" s="7">
        <f>'3 escalar'!M427</f>
        <v/>
      </c>
      <c r="O424" s="7">
        <f>'3 escalar'!N427</f>
        <v/>
      </c>
      <c r="P424" s="7">
        <f>'3 escalar'!O427</f>
        <v/>
      </c>
      <c r="Q424" s="7">
        <f>'3 escalar'!P427</f>
        <v/>
      </c>
      <c r="R424" s="7">
        <f>'3 escalar'!Q427</f>
        <v/>
      </c>
      <c r="S424" s="7">
        <f>'3 escalar'!R427</f>
        <v/>
      </c>
      <c r="T424" s="7">
        <f>'3 escalar'!S427</f>
        <v/>
      </c>
      <c r="U424" s="7">
        <f>'3 escalar'!T427</f>
        <v/>
      </c>
      <c r="V424" s="6">
        <f>$AC$12+D424*$AC$13+E424*$AC$14+F424*$AC$15+G424*$AC$16+H424*$AC$17+I424*$AC$18+J424*$AC$19+K424*$AC$20+L424*$AC$21+M424*$AC$22+N424*$AC$23+O424*$AC$24+P424*$AC$25+Q424*$AC$26+R424*$AC$27+S424*$AC$28+T424*$AC$29+U424*$AC$30</f>
        <v/>
      </c>
      <c r="W424" s="6">
        <f>1/(1+EXP(-V424))</f>
        <v/>
      </c>
      <c r="X424" s="8">
        <f>-IF(C424=1,LN(W424),LN(1-W424))</f>
        <v/>
      </c>
      <c r="Y424" s="9">
        <f>IF(W424&gt;$AC$32,1,0)</f>
        <v/>
      </c>
      <c r="Z424">
        <f>IF(Y424=C424,1,0)</f>
        <v/>
      </c>
    </row>
    <row r="425">
      <c r="A425">
        <f>'3 escalar'!A428</f>
        <v/>
      </c>
      <c r="B425" s="5">
        <f>'3 escalar'!U428</f>
        <v/>
      </c>
      <c r="C425">
        <f>'3 escalar'!B428</f>
        <v/>
      </c>
      <c r="D425" s="7">
        <f>'3 escalar'!C428</f>
        <v/>
      </c>
      <c r="E425" s="7">
        <f>'3 escalar'!D428</f>
        <v/>
      </c>
      <c r="F425" s="7">
        <f>'3 escalar'!E428</f>
        <v/>
      </c>
      <c r="G425" s="7">
        <f>'3 escalar'!F428</f>
        <v/>
      </c>
      <c r="H425" s="7">
        <f>'3 escalar'!G428</f>
        <v/>
      </c>
      <c r="I425" s="7">
        <f>'3 escalar'!H428</f>
        <v/>
      </c>
      <c r="J425" s="7">
        <f>'3 escalar'!I428</f>
        <v/>
      </c>
      <c r="K425" s="7">
        <f>'3 escalar'!J428</f>
        <v/>
      </c>
      <c r="L425" s="7">
        <f>'3 escalar'!K428</f>
        <v/>
      </c>
      <c r="M425" s="7">
        <f>'3 escalar'!L428</f>
        <v/>
      </c>
      <c r="N425" s="7">
        <f>'3 escalar'!M428</f>
        <v/>
      </c>
      <c r="O425" s="7">
        <f>'3 escalar'!N428</f>
        <v/>
      </c>
      <c r="P425" s="7">
        <f>'3 escalar'!O428</f>
        <v/>
      </c>
      <c r="Q425" s="7">
        <f>'3 escalar'!P428</f>
        <v/>
      </c>
      <c r="R425" s="7">
        <f>'3 escalar'!Q428</f>
        <v/>
      </c>
      <c r="S425" s="7">
        <f>'3 escalar'!R428</f>
        <v/>
      </c>
      <c r="T425" s="7">
        <f>'3 escalar'!S428</f>
        <v/>
      </c>
      <c r="U425" s="7">
        <f>'3 escalar'!T428</f>
        <v/>
      </c>
      <c r="V425" s="6">
        <f>$AC$12+D425*$AC$13+E425*$AC$14+F425*$AC$15+G425*$AC$16+H425*$AC$17+I425*$AC$18+J425*$AC$19+K425*$AC$20+L425*$AC$21+M425*$AC$22+N425*$AC$23+O425*$AC$24+P425*$AC$25+Q425*$AC$26+R425*$AC$27+S425*$AC$28+T425*$AC$29+U425*$AC$30</f>
        <v/>
      </c>
      <c r="W425" s="6">
        <f>1/(1+EXP(-V425))</f>
        <v/>
      </c>
      <c r="X425" s="8">
        <f>-IF(C425=1,LN(W425),LN(1-W425))</f>
        <v/>
      </c>
      <c r="Y425" s="9">
        <f>IF(W425&gt;$AC$32,1,0)</f>
        <v/>
      </c>
      <c r="Z425">
        <f>IF(Y425=C425,1,0)</f>
        <v/>
      </c>
    </row>
    <row r="426">
      <c r="A426">
        <f>'3 escalar'!A429</f>
        <v/>
      </c>
      <c r="B426" s="5">
        <f>'3 escalar'!U429</f>
        <v/>
      </c>
      <c r="C426">
        <f>'3 escalar'!B429</f>
        <v/>
      </c>
      <c r="D426" s="7">
        <f>'3 escalar'!C429</f>
        <v/>
      </c>
      <c r="E426" s="7">
        <f>'3 escalar'!D429</f>
        <v/>
      </c>
      <c r="F426" s="7">
        <f>'3 escalar'!E429</f>
        <v/>
      </c>
      <c r="G426" s="7">
        <f>'3 escalar'!F429</f>
        <v/>
      </c>
      <c r="H426" s="7">
        <f>'3 escalar'!G429</f>
        <v/>
      </c>
      <c r="I426" s="7">
        <f>'3 escalar'!H429</f>
        <v/>
      </c>
      <c r="J426" s="7">
        <f>'3 escalar'!I429</f>
        <v/>
      </c>
      <c r="K426" s="7">
        <f>'3 escalar'!J429</f>
        <v/>
      </c>
      <c r="L426" s="7">
        <f>'3 escalar'!K429</f>
        <v/>
      </c>
      <c r="M426" s="7">
        <f>'3 escalar'!L429</f>
        <v/>
      </c>
      <c r="N426" s="7">
        <f>'3 escalar'!M429</f>
        <v/>
      </c>
      <c r="O426" s="7">
        <f>'3 escalar'!N429</f>
        <v/>
      </c>
      <c r="P426" s="7">
        <f>'3 escalar'!O429</f>
        <v/>
      </c>
      <c r="Q426" s="7">
        <f>'3 escalar'!P429</f>
        <v/>
      </c>
      <c r="R426" s="7">
        <f>'3 escalar'!Q429</f>
        <v/>
      </c>
      <c r="S426" s="7">
        <f>'3 escalar'!R429</f>
        <v/>
      </c>
      <c r="T426" s="7">
        <f>'3 escalar'!S429</f>
        <v/>
      </c>
      <c r="U426" s="7">
        <f>'3 escalar'!T429</f>
        <v/>
      </c>
      <c r="V426" s="6">
        <f>$AC$12+D426*$AC$13+E426*$AC$14+F426*$AC$15+G426*$AC$16+H426*$AC$17+I426*$AC$18+J426*$AC$19+K426*$AC$20+L426*$AC$21+M426*$AC$22+N426*$AC$23+O426*$AC$24+P426*$AC$25+Q426*$AC$26+R426*$AC$27+S426*$AC$28+T426*$AC$29+U426*$AC$30</f>
        <v/>
      </c>
      <c r="W426" s="6">
        <f>1/(1+EXP(-V426))</f>
        <v/>
      </c>
      <c r="X426" s="8">
        <f>-IF(C426=1,LN(W426),LN(1-W426))</f>
        <v/>
      </c>
      <c r="Y426" s="9">
        <f>IF(W426&gt;$AC$32,1,0)</f>
        <v/>
      </c>
      <c r="Z426">
        <f>IF(Y426=C426,1,0)</f>
        <v/>
      </c>
    </row>
    <row r="427">
      <c r="A427">
        <f>'3 escalar'!A430</f>
        <v/>
      </c>
      <c r="B427" s="5">
        <f>'3 escalar'!U430</f>
        <v/>
      </c>
      <c r="C427">
        <f>'3 escalar'!B430</f>
        <v/>
      </c>
      <c r="D427" s="7">
        <f>'3 escalar'!C430</f>
        <v/>
      </c>
      <c r="E427" s="7">
        <f>'3 escalar'!D430</f>
        <v/>
      </c>
      <c r="F427" s="7">
        <f>'3 escalar'!E430</f>
        <v/>
      </c>
      <c r="G427" s="7">
        <f>'3 escalar'!F430</f>
        <v/>
      </c>
      <c r="H427" s="7">
        <f>'3 escalar'!G430</f>
        <v/>
      </c>
      <c r="I427" s="7">
        <f>'3 escalar'!H430</f>
        <v/>
      </c>
      <c r="J427" s="7">
        <f>'3 escalar'!I430</f>
        <v/>
      </c>
      <c r="K427" s="7">
        <f>'3 escalar'!J430</f>
        <v/>
      </c>
      <c r="L427" s="7">
        <f>'3 escalar'!K430</f>
        <v/>
      </c>
      <c r="M427" s="7">
        <f>'3 escalar'!L430</f>
        <v/>
      </c>
      <c r="N427" s="7">
        <f>'3 escalar'!M430</f>
        <v/>
      </c>
      <c r="O427" s="7">
        <f>'3 escalar'!N430</f>
        <v/>
      </c>
      <c r="P427" s="7">
        <f>'3 escalar'!O430</f>
        <v/>
      </c>
      <c r="Q427" s="7">
        <f>'3 escalar'!P430</f>
        <v/>
      </c>
      <c r="R427" s="7">
        <f>'3 escalar'!Q430</f>
        <v/>
      </c>
      <c r="S427" s="7">
        <f>'3 escalar'!R430</f>
        <v/>
      </c>
      <c r="T427" s="7">
        <f>'3 escalar'!S430</f>
        <v/>
      </c>
      <c r="U427" s="7">
        <f>'3 escalar'!T430</f>
        <v/>
      </c>
      <c r="V427" s="6">
        <f>$AC$12+D427*$AC$13+E427*$AC$14+F427*$AC$15+G427*$AC$16+H427*$AC$17+I427*$AC$18+J427*$AC$19+K427*$AC$20+L427*$AC$21+M427*$AC$22+N427*$AC$23+O427*$AC$24+P427*$AC$25+Q427*$AC$26+R427*$AC$27+S427*$AC$28+T427*$AC$29+U427*$AC$30</f>
        <v/>
      </c>
      <c r="W427" s="6">
        <f>1/(1+EXP(-V427))</f>
        <v/>
      </c>
      <c r="X427" s="8">
        <f>-IF(C427=1,LN(W427),LN(1-W427))</f>
        <v/>
      </c>
      <c r="Y427" s="9">
        <f>IF(W427&gt;$AC$32,1,0)</f>
        <v/>
      </c>
      <c r="Z427">
        <f>IF(Y427=C427,1,0)</f>
        <v/>
      </c>
    </row>
    <row r="428">
      <c r="A428">
        <f>'3 escalar'!A431</f>
        <v/>
      </c>
      <c r="B428" s="5">
        <f>'3 escalar'!U431</f>
        <v/>
      </c>
      <c r="C428">
        <f>'3 escalar'!B431</f>
        <v/>
      </c>
      <c r="D428" s="7">
        <f>'3 escalar'!C431</f>
        <v/>
      </c>
      <c r="E428" s="7">
        <f>'3 escalar'!D431</f>
        <v/>
      </c>
      <c r="F428" s="7">
        <f>'3 escalar'!E431</f>
        <v/>
      </c>
      <c r="G428" s="7">
        <f>'3 escalar'!F431</f>
        <v/>
      </c>
      <c r="H428" s="7">
        <f>'3 escalar'!G431</f>
        <v/>
      </c>
      <c r="I428" s="7">
        <f>'3 escalar'!H431</f>
        <v/>
      </c>
      <c r="J428" s="7">
        <f>'3 escalar'!I431</f>
        <v/>
      </c>
      <c r="K428" s="7">
        <f>'3 escalar'!J431</f>
        <v/>
      </c>
      <c r="L428" s="7">
        <f>'3 escalar'!K431</f>
        <v/>
      </c>
      <c r="M428" s="7">
        <f>'3 escalar'!L431</f>
        <v/>
      </c>
      <c r="N428" s="7">
        <f>'3 escalar'!M431</f>
        <v/>
      </c>
      <c r="O428" s="7">
        <f>'3 escalar'!N431</f>
        <v/>
      </c>
      <c r="P428" s="7">
        <f>'3 escalar'!O431</f>
        <v/>
      </c>
      <c r="Q428" s="7">
        <f>'3 escalar'!P431</f>
        <v/>
      </c>
      <c r="R428" s="7">
        <f>'3 escalar'!Q431</f>
        <v/>
      </c>
      <c r="S428" s="7">
        <f>'3 escalar'!R431</f>
        <v/>
      </c>
      <c r="T428" s="7">
        <f>'3 escalar'!S431</f>
        <v/>
      </c>
      <c r="U428" s="7">
        <f>'3 escalar'!T431</f>
        <v/>
      </c>
      <c r="V428" s="6">
        <f>$AC$12+D428*$AC$13+E428*$AC$14+F428*$AC$15+G428*$AC$16+H428*$AC$17+I428*$AC$18+J428*$AC$19+K428*$AC$20+L428*$AC$21+M428*$AC$22+N428*$AC$23+O428*$AC$24+P428*$AC$25+Q428*$AC$26+R428*$AC$27+S428*$AC$28+T428*$AC$29+U428*$AC$30</f>
        <v/>
      </c>
      <c r="W428" s="6">
        <f>1/(1+EXP(-V428))</f>
        <v/>
      </c>
      <c r="X428" s="8">
        <f>-IF(C428=1,LN(W428),LN(1-W428))</f>
        <v/>
      </c>
      <c r="Y428" s="9">
        <f>IF(W428&gt;$AC$32,1,0)</f>
        <v/>
      </c>
      <c r="Z428">
        <f>IF(Y428=C428,1,0)</f>
        <v/>
      </c>
    </row>
    <row r="429">
      <c r="A429">
        <f>'3 escalar'!A432</f>
        <v/>
      </c>
      <c r="B429" s="5">
        <f>'3 escalar'!U432</f>
        <v/>
      </c>
      <c r="C429">
        <f>'3 escalar'!B432</f>
        <v/>
      </c>
      <c r="D429" s="7">
        <f>'3 escalar'!C432</f>
        <v/>
      </c>
      <c r="E429" s="7">
        <f>'3 escalar'!D432</f>
        <v/>
      </c>
      <c r="F429" s="7">
        <f>'3 escalar'!E432</f>
        <v/>
      </c>
      <c r="G429" s="7">
        <f>'3 escalar'!F432</f>
        <v/>
      </c>
      <c r="H429" s="7">
        <f>'3 escalar'!G432</f>
        <v/>
      </c>
      <c r="I429" s="7">
        <f>'3 escalar'!H432</f>
        <v/>
      </c>
      <c r="J429" s="7">
        <f>'3 escalar'!I432</f>
        <v/>
      </c>
      <c r="K429" s="7">
        <f>'3 escalar'!J432</f>
        <v/>
      </c>
      <c r="L429" s="7">
        <f>'3 escalar'!K432</f>
        <v/>
      </c>
      <c r="M429" s="7">
        <f>'3 escalar'!L432</f>
        <v/>
      </c>
      <c r="N429" s="7">
        <f>'3 escalar'!M432</f>
        <v/>
      </c>
      <c r="O429" s="7">
        <f>'3 escalar'!N432</f>
        <v/>
      </c>
      <c r="P429" s="7">
        <f>'3 escalar'!O432</f>
        <v/>
      </c>
      <c r="Q429" s="7">
        <f>'3 escalar'!P432</f>
        <v/>
      </c>
      <c r="R429" s="7">
        <f>'3 escalar'!Q432</f>
        <v/>
      </c>
      <c r="S429" s="7">
        <f>'3 escalar'!R432</f>
        <v/>
      </c>
      <c r="T429" s="7">
        <f>'3 escalar'!S432</f>
        <v/>
      </c>
      <c r="U429" s="7">
        <f>'3 escalar'!T432</f>
        <v/>
      </c>
      <c r="V429" s="6">
        <f>$AC$12+D429*$AC$13+E429*$AC$14+F429*$AC$15+G429*$AC$16+H429*$AC$17+I429*$AC$18+J429*$AC$19+K429*$AC$20+L429*$AC$21+M429*$AC$22+N429*$AC$23+O429*$AC$24+P429*$AC$25+Q429*$AC$26+R429*$AC$27+S429*$AC$28+T429*$AC$29+U429*$AC$30</f>
        <v/>
      </c>
      <c r="W429" s="6">
        <f>1/(1+EXP(-V429))</f>
        <v/>
      </c>
      <c r="X429" s="8">
        <f>-IF(C429=1,LN(W429),LN(1-W429))</f>
        <v/>
      </c>
      <c r="Y429" s="9">
        <f>IF(W429&gt;$AC$32,1,0)</f>
        <v/>
      </c>
      <c r="Z429">
        <f>IF(Y429=C429,1,0)</f>
        <v/>
      </c>
    </row>
    <row r="430">
      <c r="A430">
        <f>'3 escalar'!A433</f>
        <v/>
      </c>
      <c r="B430" s="5">
        <f>'3 escalar'!U433</f>
        <v/>
      </c>
      <c r="C430">
        <f>'3 escalar'!B433</f>
        <v/>
      </c>
      <c r="D430" s="7">
        <f>'3 escalar'!C433</f>
        <v/>
      </c>
      <c r="E430" s="7">
        <f>'3 escalar'!D433</f>
        <v/>
      </c>
      <c r="F430" s="7">
        <f>'3 escalar'!E433</f>
        <v/>
      </c>
      <c r="G430" s="7">
        <f>'3 escalar'!F433</f>
        <v/>
      </c>
      <c r="H430" s="7">
        <f>'3 escalar'!G433</f>
        <v/>
      </c>
      <c r="I430" s="7">
        <f>'3 escalar'!H433</f>
        <v/>
      </c>
      <c r="J430" s="7">
        <f>'3 escalar'!I433</f>
        <v/>
      </c>
      <c r="K430" s="7">
        <f>'3 escalar'!J433</f>
        <v/>
      </c>
      <c r="L430" s="7">
        <f>'3 escalar'!K433</f>
        <v/>
      </c>
      <c r="M430" s="7">
        <f>'3 escalar'!L433</f>
        <v/>
      </c>
      <c r="N430" s="7">
        <f>'3 escalar'!M433</f>
        <v/>
      </c>
      <c r="O430" s="7">
        <f>'3 escalar'!N433</f>
        <v/>
      </c>
      <c r="P430" s="7">
        <f>'3 escalar'!O433</f>
        <v/>
      </c>
      <c r="Q430" s="7">
        <f>'3 escalar'!P433</f>
        <v/>
      </c>
      <c r="R430" s="7">
        <f>'3 escalar'!Q433</f>
        <v/>
      </c>
      <c r="S430" s="7">
        <f>'3 escalar'!R433</f>
        <v/>
      </c>
      <c r="T430" s="7">
        <f>'3 escalar'!S433</f>
        <v/>
      </c>
      <c r="U430" s="7">
        <f>'3 escalar'!T433</f>
        <v/>
      </c>
      <c r="V430" s="6">
        <f>$AC$12+D430*$AC$13+E430*$AC$14+F430*$AC$15+G430*$AC$16+H430*$AC$17+I430*$AC$18+J430*$AC$19+K430*$AC$20+L430*$AC$21+M430*$AC$22+N430*$AC$23+O430*$AC$24+P430*$AC$25+Q430*$AC$26+R430*$AC$27+S430*$AC$28+T430*$AC$29+U430*$AC$30</f>
        <v/>
      </c>
      <c r="W430" s="6">
        <f>1/(1+EXP(-V430))</f>
        <v/>
      </c>
      <c r="X430" s="8">
        <f>-IF(C430=1,LN(W430),LN(1-W430))</f>
        <v/>
      </c>
      <c r="Y430" s="9">
        <f>IF(W430&gt;$AC$32,1,0)</f>
        <v/>
      </c>
      <c r="Z430">
        <f>IF(Y430=C430,1,0)</f>
        <v/>
      </c>
    </row>
    <row r="431">
      <c r="A431">
        <f>'3 escalar'!A434</f>
        <v/>
      </c>
      <c r="B431" s="5">
        <f>'3 escalar'!U434</f>
        <v/>
      </c>
      <c r="C431">
        <f>'3 escalar'!B434</f>
        <v/>
      </c>
      <c r="D431" s="7">
        <f>'3 escalar'!C434</f>
        <v/>
      </c>
      <c r="E431" s="7">
        <f>'3 escalar'!D434</f>
        <v/>
      </c>
      <c r="F431" s="7">
        <f>'3 escalar'!E434</f>
        <v/>
      </c>
      <c r="G431" s="7">
        <f>'3 escalar'!F434</f>
        <v/>
      </c>
      <c r="H431" s="7">
        <f>'3 escalar'!G434</f>
        <v/>
      </c>
      <c r="I431" s="7">
        <f>'3 escalar'!H434</f>
        <v/>
      </c>
      <c r="J431" s="7">
        <f>'3 escalar'!I434</f>
        <v/>
      </c>
      <c r="K431" s="7">
        <f>'3 escalar'!J434</f>
        <v/>
      </c>
      <c r="L431" s="7">
        <f>'3 escalar'!K434</f>
        <v/>
      </c>
      <c r="M431" s="7">
        <f>'3 escalar'!L434</f>
        <v/>
      </c>
      <c r="N431" s="7">
        <f>'3 escalar'!M434</f>
        <v/>
      </c>
      <c r="O431" s="7">
        <f>'3 escalar'!N434</f>
        <v/>
      </c>
      <c r="P431" s="7">
        <f>'3 escalar'!O434</f>
        <v/>
      </c>
      <c r="Q431" s="7">
        <f>'3 escalar'!P434</f>
        <v/>
      </c>
      <c r="R431" s="7">
        <f>'3 escalar'!Q434</f>
        <v/>
      </c>
      <c r="S431" s="7">
        <f>'3 escalar'!R434</f>
        <v/>
      </c>
      <c r="T431" s="7">
        <f>'3 escalar'!S434</f>
        <v/>
      </c>
      <c r="U431" s="7">
        <f>'3 escalar'!T434</f>
        <v/>
      </c>
      <c r="V431" s="6">
        <f>$AC$12+D431*$AC$13+E431*$AC$14+F431*$AC$15+G431*$AC$16+H431*$AC$17+I431*$AC$18+J431*$AC$19+K431*$AC$20+L431*$AC$21+M431*$AC$22+N431*$AC$23+O431*$AC$24+P431*$AC$25+Q431*$AC$26+R431*$AC$27+S431*$AC$28+T431*$AC$29+U431*$AC$30</f>
        <v/>
      </c>
      <c r="W431" s="6">
        <f>1/(1+EXP(-V431))</f>
        <v/>
      </c>
      <c r="X431" s="8">
        <f>-IF(C431=1,LN(W431),LN(1-W431))</f>
        <v/>
      </c>
      <c r="Y431" s="9">
        <f>IF(W431&gt;$AC$32,1,0)</f>
        <v/>
      </c>
      <c r="Z431">
        <f>IF(Y431=C431,1,0)</f>
        <v/>
      </c>
    </row>
    <row r="432">
      <c r="A432">
        <f>'3 escalar'!A435</f>
        <v/>
      </c>
      <c r="B432" s="5">
        <f>'3 escalar'!U435</f>
        <v/>
      </c>
      <c r="C432">
        <f>'3 escalar'!B435</f>
        <v/>
      </c>
      <c r="D432" s="7">
        <f>'3 escalar'!C435</f>
        <v/>
      </c>
      <c r="E432" s="7">
        <f>'3 escalar'!D435</f>
        <v/>
      </c>
      <c r="F432" s="7">
        <f>'3 escalar'!E435</f>
        <v/>
      </c>
      <c r="G432" s="7">
        <f>'3 escalar'!F435</f>
        <v/>
      </c>
      <c r="H432" s="7">
        <f>'3 escalar'!G435</f>
        <v/>
      </c>
      <c r="I432" s="7">
        <f>'3 escalar'!H435</f>
        <v/>
      </c>
      <c r="J432" s="7">
        <f>'3 escalar'!I435</f>
        <v/>
      </c>
      <c r="K432" s="7">
        <f>'3 escalar'!J435</f>
        <v/>
      </c>
      <c r="L432" s="7">
        <f>'3 escalar'!K435</f>
        <v/>
      </c>
      <c r="M432" s="7">
        <f>'3 escalar'!L435</f>
        <v/>
      </c>
      <c r="N432" s="7">
        <f>'3 escalar'!M435</f>
        <v/>
      </c>
      <c r="O432" s="7">
        <f>'3 escalar'!N435</f>
        <v/>
      </c>
      <c r="P432" s="7">
        <f>'3 escalar'!O435</f>
        <v/>
      </c>
      <c r="Q432" s="7">
        <f>'3 escalar'!P435</f>
        <v/>
      </c>
      <c r="R432" s="7">
        <f>'3 escalar'!Q435</f>
        <v/>
      </c>
      <c r="S432" s="7">
        <f>'3 escalar'!R435</f>
        <v/>
      </c>
      <c r="T432" s="7">
        <f>'3 escalar'!S435</f>
        <v/>
      </c>
      <c r="U432" s="7">
        <f>'3 escalar'!T435</f>
        <v/>
      </c>
      <c r="V432" s="6">
        <f>$AC$12+D432*$AC$13+E432*$AC$14+F432*$AC$15+G432*$AC$16+H432*$AC$17+I432*$AC$18+J432*$AC$19+K432*$AC$20+L432*$AC$21+M432*$AC$22+N432*$AC$23+O432*$AC$24+P432*$AC$25+Q432*$AC$26+R432*$AC$27+S432*$AC$28+T432*$AC$29+U432*$AC$30</f>
        <v/>
      </c>
      <c r="W432" s="6">
        <f>1/(1+EXP(-V432))</f>
        <v/>
      </c>
      <c r="X432" s="8">
        <f>-IF(C432=1,LN(W432),LN(1-W432))</f>
        <v/>
      </c>
      <c r="Y432" s="9">
        <f>IF(W432&gt;$AC$32,1,0)</f>
        <v/>
      </c>
      <c r="Z432">
        <f>IF(Y432=C432,1,0)</f>
        <v/>
      </c>
    </row>
    <row r="433">
      <c r="A433">
        <f>'3 escalar'!A436</f>
        <v/>
      </c>
      <c r="B433" s="5">
        <f>'3 escalar'!U436</f>
        <v/>
      </c>
      <c r="C433">
        <f>'3 escalar'!B436</f>
        <v/>
      </c>
      <c r="D433" s="7">
        <f>'3 escalar'!C436</f>
        <v/>
      </c>
      <c r="E433" s="7">
        <f>'3 escalar'!D436</f>
        <v/>
      </c>
      <c r="F433" s="7">
        <f>'3 escalar'!E436</f>
        <v/>
      </c>
      <c r="G433" s="7">
        <f>'3 escalar'!F436</f>
        <v/>
      </c>
      <c r="H433" s="7">
        <f>'3 escalar'!G436</f>
        <v/>
      </c>
      <c r="I433" s="7">
        <f>'3 escalar'!H436</f>
        <v/>
      </c>
      <c r="J433" s="7">
        <f>'3 escalar'!I436</f>
        <v/>
      </c>
      <c r="K433" s="7">
        <f>'3 escalar'!J436</f>
        <v/>
      </c>
      <c r="L433" s="7">
        <f>'3 escalar'!K436</f>
        <v/>
      </c>
      <c r="M433" s="7">
        <f>'3 escalar'!L436</f>
        <v/>
      </c>
      <c r="N433" s="7">
        <f>'3 escalar'!M436</f>
        <v/>
      </c>
      <c r="O433" s="7">
        <f>'3 escalar'!N436</f>
        <v/>
      </c>
      <c r="P433" s="7">
        <f>'3 escalar'!O436</f>
        <v/>
      </c>
      <c r="Q433" s="7">
        <f>'3 escalar'!P436</f>
        <v/>
      </c>
      <c r="R433" s="7">
        <f>'3 escalar'!Q436</f>
        <v/>
      </c>
      <c r="S433" s="7">
        <f>'3 escalar'!R436</f>
        <v/>
      </c>
      <c r="T433" s="7">
        <f>'3 escalar'!S436</f>
        <v/>
      </c>
      <c r="U433" s="7">
        <f>'3 escalar'!T436</f>
        <v/>
      </c>
      <c r="V433" s="6">
        <f>$AC$12+D433*$AC$13+E433*$AC$14+F433*$AC$15+G433*$AC$16+H433*$AC$17+I433*$AC$18+J433*$AC$19+K433*$AC$20+L433*$AC$21+M433*$AC$22+N433*$AC$23+O433*$AC$24+P433*$AC$25+Q433*$AC$26+R433*$AC$27+S433*$AC$28+T433*$AC$29+U433*$AC$30</f>
        <v/>
      </c>
      <c r="W433" s="6">
        <f>1/(1+EXP(-V433))</f>
        <v/>
      </c>
      <c r="X433" s="8">
        <f>-IF(C433=1,LN(W433),LN(1-W433))</f>
        <v/>
      </c>
      <c r="Y433" s="9">
        <f>IF(W433&gt;$AC$32,1,0)</f>
        <v/>
      </c>
      <c r="Z433">
        <f>IF(Y433=C433,1,0)</f>
        <v/>
      </c>
    </row>
    <row r="434">
      <c r="A434">
        <f>'3 escalar'!A437</f>
        <v/>
      </c>
      <c r="B434" s="5">
        <f>'3 escalar'!U437</f>
        <v/>
      </c>
      <c r="C434">
        <f>'3 escalar'!B437</f>
        <v/>
      </c>
      <c r="D434" s="7">
        <f>'3 escalar'!C437</f>
        <v/>
      </c>
      <c r="E434" s="7">
        <f>'3 escalar'!D437</f>
        <v/>
      </c>
      <c r="F434" s="7">
        <f>'3 escalar'!E437</f>
        <v/>
      </c>
      <c r="G434" s="7">
        <f>'3 escalar'!F437</f>
        <v/>
      </c>
      <c r="H434" s="7">
        <f>'3 escalar'!G437</f>
        <v/>
      </c>
      <c r="I434" s="7">
        <f>'3 escalar'!H437</f>
        <v/>
      </c>
      <c r="J434" s="7">
        <f>'3 escalar'!I437</f>
        <v/>
      </c>
      <c r="K434" s="7">
        <f>'3 escalar'!J437</f>
        <v/>
      </c>
      <c r="L434" s="7">
        <f>'3 escalar'!K437</f>
        <v/>
      </c>
      <c r="M434" s="7">
        <f>'3 escalar'!L437</f>
        <v/>
      </c>
      <c r="N434" s="7">
        <f>'3 escalar'!M437</f>
        <v/>
      </c>
      <c r="O434" s="7">
        <f>'3 escalar'!N437</f>
        <v/>
      </c>
      <c r="P434" s="7">
        <f>'3 escalar'!O437</f>
        <v/>
      </c>
      <c r="Q434" s="7">
        <f>'3 escalar'!P437</f>
        <v/>
      </c>
      <c r="R434" s="7">
        <f>'3 escalar'!Q437</f>
        <v/>
      </c>
      <c r="S434" s="7">
        <f>'3 escalar'!R437</f>
        <v/>
      </c>
      <c r="T434" s="7">
        <f>'3 escalar'!S437</f>
        <v/>
      </c>
      <c r="U434" s="7">
        <f>'3 escalar'!T437</f>
        <v/>
      </c>
      <c r="V434" s="6">
        <f>$AC$12+D434*$AC$13+E434*$AC$14+F434*$AC$15+G434*$AC$16+H434*$AC$17+I434*$AC$18+J434*$AC$19+K434*$AC$20+L434*$AC$21+M434*$AC$22+N434*$AC$23+O434*$AC$24+P434*$AC$25+Q434*$AC$26+R434*$AC$27+S434*$AC$28+T434*$AC$29+U434*$AC$30</f>
        <v/>
      </c>
      <c r="W434" s="6">
        <f>1/(1+EXP(-V434))</f>
        <v/>
      </c>
      <c r="X434" s="8">
        <f>-IF(C434=1,LN(W434),LN(1-W434))</f>
        <v/>
      </c>
      <c r="Y434" s="9">
        <f>IF(W434&gt;$AC$32,1,0)</f>
        <v/>
      </c>
      <c r="Z434">
        <f>IF(Y434=C434,1,0)</f>
        <v/>
      </c>
    </row>
    <row r="435">
      <c r="A435">
        <f>'3 escalar'!A438</f>
        <v/>
      </c>
      <c r="B435" s="5">
        <f>'3 escalar'!U438</f>
        <v/>
      </c>
      <c r="C435">
        <f>'3 escalar'!B438</f>
        <v/>
      </c>
      <c r="D435" s="7">
        <f>'3 escalar'!C438</f>
        <v/>
      </c>
      <c r="E435" s="7">
        <f>'3 escalar'!D438</f>
        <v/>
      </c>
      <c r="F435" s="7">
        <f>'3 escalar'!E438</f>
        <v/>
      </c>
      <c r="G435" s="7">
        <f>'3 escalar'!F438</f>
        <v/>
      </c>
      <c r="H435" s="7">
        <f>'3 escalar'!G438</f>
        <v/>
      </c>
      <c r="I435" s="7">
        <f>'3 escalar'!H438</f>
        <v/>
      </c>
      <c r="J435" s="7">
        <f>'3 escalar'!I438</f>
        <v/>
      </c>
      <c r="K435" s="7">
        <f>'3 escalar'!J438</f>
        <v/>
      </c>
      <c r="L435" s="7">
        <f>'3 escalar'!K438</f>
        <v/>
      </c>
      <c r="M435" s="7">
        <f>'3 escalar'!L438</f>
        <v/>
      </c>
      <c r="N435" s="7">
        <f>'3 escalar'!M438</f>
        <v/>
      </c>
      <c r="O435" s="7">
        <f>'3 escalar'!N438</f>
        <v/>
      </c>
      <c r="P435" s="7">
        <f>'3 escalar'!O438</f>
        <v/>
      </c>
      <c r="Q435" s="7">
        <f>'3 escalar'!P438</f>
        <v/>
      </c>
      <c r="R435" s="7">
        <f>'3 escalar'!Q438</f>
        <v/>
      </c>
      <c r="S435" s="7">
        <f>'3 escalar'!R438</f>
        <v/>
      </c>
      <c r="T435" s="7">
        <f>'3 escalar'!S438</f>
        <v/>
      </c>
      <c r="U435" s="7">
        <f>'3 escalar'!T438</f>
        <v/>
      </c>
      <c r="V435" s="6">
        <f>$AC$12+D435*$AC$13+E435*$AC$14+F435*$AC$15+G435*$AC$16+H435*$AC$17+I435*$AC$18+J435*$AC$19+K435*$AC$20+L435*$AC$21+M435*$AC$22+N435*$AC$23+O435*$AC$24+P435*$AC$25+Q435*$AC$26+R435*$AC$27+S435*$AC$28+T435*$AC$29+U435*$AC$30</f>
        <v/>
      </c>
      <c r="W435" s="6">
        <f>1/(1+EXP(-V435))</f>
        <v/>
      </c>
      <c r="X435" s="8">
        <f>-IF(C435=1,LN(W435),LN(1-W435))</f>
        <v/>
      </c>
      <c r="Y435" s="9">
        <f>IF(W435&gt;$AC$32,1,0)</f>
        <v/>
      </c>
      <c r="Z435">
        <f>IF(Y435=C435,1,0)</f>
        <v/>
      </c>
    </row>
    <row r="436">
      <c r="A436">
        <f>'3 escalar'!A439</f>
        <v/>
      </c>
      <c r="B436" s="5">
        <f>'3 escalar'!U439</f>
        <v/>
      </c>
      <c r="C436">
        <f>'3 escalar'!B439</f>
        <v/>
      </c>
      <c r="D436" s="7">
        <f>'3 escalar'!C439</f>
        <v/>
      </c>
      <c r="E436" s="7">
        <f>'3 escalar'!D439</f>
        <v/>
      </c>
      <c r="F436" s="7">
        <f>'3 escalar'!E439</f>
        <v/>
      </c>
      <c r="G436" s="7">
        <f>'3 escalar'!F439</f>
        <v/>
      </c>
      <c r="H436" s="7">
        <f>'3 escalar'!G439</f>
        <v/>
      </c>
      <c r="I436" s="7">
        <f>'3 escalar'!H439</f>
        <v/>
      </c>
      <c r="J436" s="7">
        <f>'3 escalar'!I439</f>
        <v/>
      </c>
      <c r="K436" s="7">
        <f>'3 escalar'!J439</f>
        <v/>
      </c>
      <c r="L436" s="7">
        <f>'3 escalar'!K439</f>
        <v/>
      </c>
      <c r="M436" s="7">
        <f>'3 escalar'!L439</f>
        <v/>
      </c>
      <c r="N436" s="7">
        <f>'3 escalar'!M439</f>
        <v/>
      </c>
      <c r="O436" s="7">
        <f>'3 escalar'!N439</f>
        <v/>
      </c>
      <c r="P436" s="7">
        <f>'3 escalar'!O439</f>
        <v/>
      </c>
      <c r="Q436" s="7">
        <f>'3 escalar'!P439</f>
        <v/>
      </c>
      <c r="R436" s="7">
        <f>'3 escalar'!Q439</f>
        <v/>
      </c>
      <c r="S436" s="7">
        <f>'3 escalar'!R439</f>
        <v/>
      </c>
      <c r="T436" s="7">
        <f>'3 escalar'!S439</f>
        <v/>
      </c>
      <c r="U436" s="7">
        <f>'3 escalar'!T439</f>
        <v/>
      </c>
      <c r="V436" s="6">
        <f>$AC$12+D436*$AC$13+E436*$AC$14+F436*$AC$15+G436*$AC$16+H436*$AC$17+I436*$AC$18+J436*$AC$19+K436*$AC$20+L436*$AC$21+M436*$AC$22+N436*$AC$23+O436*$AC$24+P436*$AC$25+Q436*$AC$26+R436*$AC$27+S436*$AC$28+T436*$AC$29+U436*$AC$30</f>
        <v/>
      </c>
      <c r="W436" s="6">
        <f>1/(1+EXP(-V436))</f>
        <v/>
      </c>
      <c r="X436" s="8">
        <f>-IF(C436=1,LN(W436),LN(1-W436))</f>
        <v/>
      </c>
      <c r="Y436" s="9">
        <f>IF(W436&gt;$AC$32,1,0)</f>
        <v/>
      </c>
      <c r="Z436">
        <f>IF(Y436=C436,1,0)</f>
        <v/>
      </c>
    </row>
    <row r="437">
      <c r="A437">
        <f>'3 escalar'!A440</f>
        <v/>
      </c>
      <c r="B437" s="5">
        <f>'3 escalar'!U440</f>
        <v/>
      </c>
      <c r="C437">
        <f>'3 escalar'!B440</f>
        <v/>
      </c>
      <c r="D437" s="7">
        <f>'3 escalar'!C440</f>
        <v/>
      </c>
      <c r="E437" s="7">
        <f>'3 escalar'!D440</f>
        <v/>
      </c>
      <c r="F437" s="7">
        <f>'3 escalar'!E440</f>
        <v/>
      </c>
      <c r="G437" s="7">
        <f>'3 escalar'!F440</f>
        <v/>
      </c>
      <c r="H437" s="7">
        <f>'3 escalar'!G440</f>
        <v/>
      </c>
      <c r="I437" s="7">
        <f>'3 escalar'!H440</f>
        <v/>
      </c>
      <c r="J437" s="7">
        <f>'3 escalar'!I440</f>
        <v/>
      </c>
      <c r="K437" s="7">
        <f>'3 escalar'!J440</f>
        <v/>
      </c>
      <c r="L437" s="7">
        <f>'3 escalar'!K440</f>
        <v/>
      </c>
      <c r="M437" s="7">
        <f>'3 escalar'!L440</f>
        <v/>
      </c>
      <c r="N437" s="7">
        <f>'3 escalar'!M440</f>
        <v/>
      </c>
      <c r="O437" s="7">
        <f>'3 escalar'!N440</f>
        <v/>
      </c>
      <c r="P437" s="7">
        <f>'3 escalar'!O440</f>
        <v/>
      </c>
      <c r="Q437" s="7">
        <f>'3 escalar'!P440</f>
        <v/>
      </c>
      <c r="R437" s="7">
        <f>'3 escalar'!Q440</f>
        <v/>
      </c>
      <c r="S437" s="7">
        <f>'3 escalar'!R440</f>
        <v/>
      </c>
      <c r="T437" s="7">
        <f>'3 escalar'!S440</f>
        <v/>
      </c>
      <c r="U437" s="7">
        <f>'3 escalar'!T440</f>
        <v/>
      </c>
      <c r="V437" s="6">
        <f>$AC$12+D437*$AC$13+E437*$AC$14+F437*$AC$15+G437*$AC$16+H437*$AC$17+I437*$AC$18+J437*$AC$19+K437*$AC$20+L437*$AC$21+M437*$AC$22+N437*$AC$23+O437*$AC$24+P437*$AC$25+Q437*$AC$26+R437*$AC$27+S437*$AC$28+T437*$AC$29+U437*$AC$30</f>
        <v/>
      </c>
      <c r="W437" s="6">
        <f>1/(1+EXP(-V437))</f>
        <v/>
      </c>
      <c r="X437" s="8">
        <f>-IF(C437=1,LN(W437),LN(1-W437))</f>
        <v/>
      </c>
      <c r="Y437" s="9">
        <f>IF(W437&gt;$AC$32,1,0)</f>
        <v/>
      </c>
      <c r="Z437">
        <f>IF(Y437=C437,1,0)</f>
        <v/>
      </c>
    </row>
    <row r="438">
      <c r="A438">
        <f>'3 escalar'!A441</f>
        <v/>
      </c>
      <c r="B438" s="5">
        <f>'3 escalar'!U441</f>
        <v/>
      </c>
      <c r="C438">
        <f>'3 escalar'!B441</f>
        <v/>
      </c>
      <c r="D438" s="7">
        <f>'3 escalar'!C441</f>
        <v/>
      </c>
      <c r="E438" s="7">
        <f>'3 escalar'!D441</f>
        <v/>
      </c>
      <c r="F438" s="7">
        <f>'3 escalar'!E441</f>
        <v/>
      </c>
      <c r="G438" s="7">
        <f>'3 escalar'!F441</f>
        <v/>
      </c>
      <c r="H438" s="7">
        <f>'3 escalar'!G441</f>
        <v/>
      </c>
      <c r="I438" s="7">
        <f>'3 escalar'!H441</f>
        <v/>
      </c>
      <c r="J438" s="7">
        <f>'3 escalar'!I441</f>
        <v/>
      </c>
      <c r="K438" s="7">
        <f>'3 escalar'!J441</f>
        <v/>
      </c>
      <c r="L438" s="7">
        <f>'3 escalar'!K441</f>
        <v/>
      </c>
      <c r="M438" s="7">
        <f>'3 escalar'!L441</f>
        <v/>
      </c>
      <c r="N438" s="7">
        <f>'3 escalar'!M441</f>
        <v/>
      </c>
      <c r="O438" s="7">
        <f>'3 escalar'!N441</f>
        <v/>
      </c>
      <c r="P438" s="7">
        <f>'3 escalar'!O441</f>
        <v/>
      </c>
      <c r="Q438" s="7">
        <f>'3 escalar'!P441</f>
        <v/>
      </c>
      <c r="R438" s="7">
        <f>'3 escalar'!Q441</f>
        <v/>
      </c>
      <c r="S438" s="7">
        <f>'3 escalar'!R441</f>
        <v/>
      </c>
      <c r="T438" s="7">
        <f>'3 escalar'!S441</f>
        <v/>
      </c>
      <c r="U438" s="7">
        <f>'3 escalar'!T441</f>
        <v/>
      </c>
      <c r="V438" s="6">
        <f>$AC$12+D438*$AC$13+E438*$AC$14+F438*$AC$15+G438*$AC$16+H438*$AC$17+I438*$AC$18+J438*$AC$19+K438*$AC$20+L438*$AC$21+M438*$AC$22+N438*$AC$23+O438*$AC$24+P438*$AC$25+Q438*$AC$26+R438*$AC$27+S438*$AC$28+T438*$AC$29+U438*$AC$30</f>
        <v/>
      </c>
      <c r="W438" s="6">
        <f>1/(1+EXP(-V438))</f>
        <v/>
      </c>
      <c r="X438" s="8">
        <f>-IF(C438=1,LN(W438),LN(1-W438))</f>
        <v/>
      </c>
      <c r="Y438" s="9">
        <f>IF(W438&gt;$AC$32,1,0)</f>
        <v/>
      </c>
      <c r="Z438">
        <f>IF(Y438=C438,1,0)</f>
        <v/>
      </c>
    </row>
    <row r="439">
      <c r="A439">
        <f>'3 escalar'!A442</f>
        <v/>
      </c>
      <c r="B439" s="5">
        <f>'3 escalar'!U442</f>
        <v/>
      </c>
      <c r="C439">
        <f>'3 escalar'!B442</f>
        <v/>
      </c>
      <c r="D439" s="7">
        <f>'3 escalar'!C442</f>
        <v/>
      </c>
      <c r="E439" s="7">
        <f>'3 escalar'!D442</f>
        <v/>
      </c>
      <c r="F439" s="7">
        <f>'3 escalar'!E442</f>
        <v/>
      </c>
      <c r="G439" s="7">
        <f>'3 escalar'!F442</f>
        <v/>
      </c>
      <c r="H439" s="7">
        <f>'3 escalar'!G442</f>
        <v/>
      </c>
      <c r="I439" s="7">
        <f>'3 escalar'!H442</f>
        <v/>
      </c>
      <c r="J439" s="7">
        <f>'3 escalar'!I442</f>
        <v/>
      </c>
      <c r="K439" s="7">
        <f>'3 escalar'!J442</f>
        <v/>
      </c>
      <c r="L439" s="7">
        <f>'3 escalar'!K442</f>
        <v/>
      </c>
      <c r="M439" s="7">
        <f>'3 escalar'!L442</f>
        <v/>
      </c>
      <c r="N439" s="7">
        <f>'3 escalar'!M442</f>
        <v/>
      </c>
      <c r="O439" s="7">
        <f>'3 escalar'!N442</f>
        <v/>
      </c>
      <c r="P439" s="7">
        <f>'3 escalar'!O442</f>
        <v/>
      </c>
      <c r="Q439" s="7">
        <f>'3 escalar'!P442</f>
        <v/>
      </c>
      <c r="R439" s="7">
        <f>'3 escalar'!Q442</f>
        <v/>
      </c>
      <c r="S439" s="7">
        <f>'3 escalar'!R442</f>
        <v/>
      </c>
      <c r="T439" s="7">
        <f>'3 escalar'!S442</f>
        <v/>
      </c>
      <c r="U439" s="7">
        <f>'3 escalar'!T442</f>
        <v/>
      </c>
      <c r="V439" s="6">
        <f>$AC$12+D439*$AC$13+E439*$AC$14+F439*$AC$15+G439*$AC$16+H439*$AC$17+I439*$AC$18+J439*$AC$19+K439*$AC$20+L439*$AC$21+M439*$AC$22+N439*$AC$23+O439*$AC$24+P439*$AC$25+Q439*$AC$26+R439*$AC$27+S439*$AC$28+T439*$AC$29+U439*$AC$30</f>
        <v/>
      </c>
      <c r="W439" s="6">
        <f>1/(1+EXP(-V439))</f>
        <v/>
      </c>
      <c r="X439" s="8">
        <f>-IF(C439=1,LN(W439),LN(1-W439))</f>
        <v/>
      </c>
      <c r="Y439" s="9">
        <f>IF(W439&gt;$AC$32,1,0)</f>
        <v/>
      </c>
      <c r="Z439">
        <f>IF(Y439=C439,1,0)</f>
        <v/>
      </c>
    </row>
    <row r="440">
      <c r="A440">
        <f>'3 escalar'!A443</f>
        <v/>
      </c>
      <c r="B440" s="5">
        <f>'3 escalar'!U443</f>
        <v/>
      </c>
      <c r="C440">
        <f>'3 escalar'!B443</f>
        <v/>
      </c>
      <c r="D440" s="7">
        <f>'3 escalar'!C443</f>
        <v/>
      </c>
      <c r="E440" s="7">
        <f>'3 escalar'!D443</f>
        <v/>
      </c>
      <c r="F440" s="7">
        <f>'3 escalar'!E443</f>
        <v/>
      </c>
      <c r="G440" s="7">
        <f>'3 escalar'!F443</f>
        <v/>
      </c>
      <c r="H440" s="7">
        <f>'3 escalar'!G443</f>
        <v/>
      </c>
      <c r="I440" s="7">
        <f>'3 escalar'!H443</f>
        <v/>
      </c>
      <c r="J440" s="7">
        <f>'3 escalar'!I443</f>
        <v/>
      </c>
      <c r="K440" s="7">
        <f>'3 escalar'!J443</f>
        <v/>
      </c>
      <c r="L440" s="7">
        <f>'3 escalar'!K443</f>
        <v/>
      </c>
      <c r="M440" s="7">
        <f>'3 escalar'!L443</f>
        <v/>
      </c>
      <c r="N440" s="7">
        <f>'3 escalar'!M443</f>
        <v/>
      </c>
      <c r="O440" s="7">
        <f>'3 escalar'!N443</f>
        <v/>
      </c>
      <c r="P440" s="7">
        <f>'3 escalar'!O443</f>
        <v/>
      </c>
      <c r="Q440" s="7">
        <f>'3 escalar'!P443</f>
        <v/>
      </c>
      <c r="R440" s="7">
        <f>'3 escalar'!Q443</f>
        <v/>
      </c>
      <c r="S440" s="7">
        <f>'3 escalar'!R443</f>
        <v/>
      </c>
      <c r="T440" s="7">
        <f>'3 escalar'!S443</f>
        <v/>
      </c>
      <c r="U440" s="7">
        <f>'3 escalar'!T443</f>
        <v/>
      </c>
      <c r="V440" s="6">
        <f>$AC$12+D440*$AC$13+E440*$AC$14+F440*$AC$15+G440*$AC$16+H440*$AC$17+I440*$AC$18+J440*$AC$19+K440*$AC$20+L440*$AC$21+M440*$AC$22+N440*$AC$23+O440*$AC$24+P440*$AC$25+Q440*$AC$26+R440*$AC$27+S440*$AC$28+T440*$AC$29+U440*$AC$30</f>
        <v/>
      </c>
      <c r="W440" s="6">
        <f>1/(1+EXP(-V440))</f>
        <v/>
      </c>
      <c r="X440" s="8">
        <f>-IF(C440=1,LN(W440),LN(1-W440))</f>
        <v/>
      </c>
      <c r="Y440" s="9">
        <f>IF(W440&gt;$AC$32,1,0)</f>
        <v/>
      </c>
      <c r="Z440">
        <f>IF(Y440=C440,1,0)</f>
        <v/>
      </c>
    </row>
    <row r="441">
      <c r="A441">
        <f>'3 escalar'!A444</f>
        <v/>
      </c>
      <c r="B441" s="5">
        <f>'3 escalar'!U444</f>
        <v/>
      </c>
      <c r="C441">
        <f>'3 escalar'!B444</f>
        <v/>
      </c>
      <c r="D441" s="7">
        <f>'3 escalar'!C444</f>
        <v/>
      </c>
      <c r="E441" s="7">
        <f>'3 escalar'!D444</f>
        <v/>
      </c>
      <c r="F441" s="7">
        <f>'3 escalar'!E444</f>
        <v/>
      </c>
      <c r="G441" s="7">
        <f>'3 escalar'!F444</f>
        <v/>
      </c>
      <c r="H441" s="7">
        <f>'3 escalar'!G444</f>
        <v/>
      </c>
      <c r="I441" s="7">
        <f>'3 escalar'!H444</f>
        <v/>
      </c>
      <c r="J441" s="7">
        <f>'3 escalar'!I444</f>
        <v/>
      </c>
      <c r="K441" s="7">
        <f>'3 escalar'!J444</f>
        <v/>
      </c>
      <c r="L441" s="7">
        <f>'3 escalar'!K444</f>
        <v/>
      </c>
      <c r="M441" s="7">
        <f>'3 escalar'!L444</f>
        <v/>
      </c>
      <c r="N441" s="7">
        <f>'3 escalar'!M444</f>
        <v/>
      </c>
      <c r="O441" s="7">
        <f>'3 escalar'!N444</f>
        <v/>
      </c>
      <c r="P441" s="7">
        <f>'3 escalar'!O444</f>
        <v/>
      </c>
      <c r="Q441" s="7">
        <f>'3 escalar'!P444</f>
        <v/>
      </c>
      <c r="R441" s="7">
        <f>'3 escalar'!Q444</f>
        <v/>
      </c>
      <c r="S441" s="7">
        <f>'3 escalar'!R444</f>
        <v/>
      </c>
      <c r="T441" s="7">
        <f>'3 escalar'!S444</f>
        <v/>
      </c>
      <c r="U441" s="7">
        <f>'3 escalar'!T444</f>
        <v/>
      </c>
      <c r="V441" s="6">
        <f>$AC$12+D441*$AC$13+E441*$AC$14+F441*$AC$15+G441*$AC$16+H441*$AC$17+I441*$AC$18+J441*$AC$19+K441*$AC$20+L441*$AC$21+M441*$AC$22+N441*$AC$23+O441*$AC$24+P441*$AC$25+Q441*$AC$26+R441*$AC$27+S441*$AC$28+T441*$AC$29+U441*$AC$30</f>
        <v/>
      </c>
      <c r="W441" s="6">
        <f>1/(1+EXP(-V441))</f>
        <v/>
      </c>
      <c r="X441" s="8">
        <f>-IF(C441=1,LN(W441),LN(1-W441))</f>
        <v/>
      </c>
      <c r="Y441" s="9">
        <f>IF(W441&gt;$AC$32,1,0)</f>
        <v/>
      </c>
      <c r="Z441">
        <f>IF(Y441=C441,1,0)</f>
        <v/>
      </c>
    </row>
    <row r="442">
      <c r="A442">
        <f>'3 escalar'!A445</f>
        <v/>
      </c>
      <c r="B442" s="5">
        <f>'3 escalar'!U445</f>
        <v/>
      </c>
      <c r="C442">
        <f>'3 escalar'!B445</f>
        <v/>
      </c>
      <c r="D442" s="7">
        <f>'3 escalar'!C445</f>
        <v/>
      </c>
      <c r="E442" s="7">
        <f>'3 escalar'!D445</f>
        <v/>
      </c>
      <c r="F442" s="7">
        <f>'3 escalar'!E445</f>
        <v/>
      </c>
      <c r="G442" s="7">
        <f>'3 escalar'!F445</f>
        <v/>
      </c>
      <c r="H442" s="7">
        <f>'3 escalar'!G445</f>
        <v/>
      </c>
      <c r="I442" s="7">
        <f>'3 escalar'!H445</f>
        <v/>
      </c>
      <c r="J442" s="7">
        <f>'3 escalar'!I445</f>
        <v/>
      </c>
      <c r="K442" s="7">
        <f>'3 escalar'!J445</f>
        <v/>
      </c>
      <c r="L442" s="7">
        <f>'3 escalar'!K445</f>
        <v/>
      </c>
      <c r="M442" s="7">
        <f>'3 escalar'!L445</f>
        <v/>
      </c>
      <c r="N442" s="7">
        <f>'3 escalar'!M445</f>
        <v/>
      </c>
      <c r="O442" s="7">
        <f>'3 escalar'!N445</f>
        <v/>
      </c>
      <c r="P442" s="7">
        <f>'3 escalar'!O445</f>
        <v/>
      </c>
      <c r="Q442" s="7">
        <f>'3 escalar'!P445</f>
        <v/>
      </c>
      <c r="R442" s="7">
        <f>'3 escalar'!Q445</f>
        <v/>
      </c>
      <c r="S442" s="7">
        <f>'3 escalar'!R445</f>
        <v/>
      </c>
      <c r="T442" s="7">
        <f>'3 escalar'!S445</f>
        <v/>
      </c>
      <c r="U442" s="7">
        <f>'3 escalar'!T445</f>
        <v/>
      </c>
      <c r="V442" s="6">
        <f>$AC$12+D442*$AC$13+E442*$AC$14+F442*$AC$15+G442*$AC$16+H442*$AC$17+I442*$AC$18+J442*$AC$19+K442*$AC$20+L442*$AC$21+M442*$AC$22+N442*$AC$23+O442*$AC$24+P442*$AC$25+Q442*$AC$26+R442*$AC$27+S442*$AC$28+T442*$AC$29+U442*$AC$30</f>
        <v/>
      </c>
      <c r="W442" s="6">
        <f>1/(1+EXP(-V442))</f>
        <v/>
      </c>
      <c r="X442" s="8">
        <f>-IF(C442=1,LN(W442),LN(1-W442))</f>
        <v/>
      </c>
      <c r="Y442" s="9">
        <f>IF(W442&gt;$AC$32,1,0)</f>
        <v/>
      </c>
      <c r="Z442">
        <f>IF(Y442=C442,1,0)</f>
        <v/>
      </c>
    </row>
    <row r="443">
      <c r="A443">
        <f>'3 escalar'!A446</f>
        <v/>
      </c>
      <c r="B443" s="5">
        <f>'3 escalar'!U446</f>
        <v/>
      </c>
      <c r="C443">
        <f>'3 escalar'!B446</f>
        <v/>
      </c>
      <c r="D443" s="7">
        <f>'3 escalar'!C446</f>
        <v/>
      </c>
      <c r="E443" s="7">
        <f>'3 escalar'!D446</f>
        <v/>
      </c>
      <c r="F443" s="7">
        <f>'3 escalar'!E446</f>
        <v/>
      </c>
      <c r="G443" s="7">
        <f>'3 escalar'!F446</f>
        <v/>
      </c>
      <c r="H443" s="7">
        <f>'3 escalar'!G446</f>
        <v/>
      </c>
      <c r="I443" s="7">
        <f>'3 escalar'!H446</f>
        <v/>
      </c>
      <c r="J443" s="7">
        <f>'3 escalar'!I446</f>
        <v/>
      </c>
      <c r="K443" s="7">
        <f>'3 escalar'!J446</f>
        <v/>
      </c>
      <c r="L443" s="7">
        <f>'3 escalar'!K446</f>
        <v/>
      </c>
      <c r="M443" s="7">
        <f>'3 escalar'!L446</f>
        <v/>
      </c>
      <c r="N443" s="7">
        <f>'3 escalar'!M446</f>
        <v/>
      </c>
      <c r="O443" s="7">
        <f>'3 escalar'!N446</f>
        <v/>
      </c>
      <c r="P443" s="7">
        <f>'3 escalar'!O446</f>
        <v/>
      </c>
      <c r="Q443" s="7">
        <f>'3 escalar'!P446</f>
        <v/>
      </c>
      <c r="R443" s="7">
        <f>'3 escalar'!Q446</f>
        <v/>
      </c>
      <c r="S443" s="7">
        <f>'3 escalar'!R446</f>
        <v/>
      </c>
      <c r="T443" s="7">
        <f>'3 escalar'!S446</f>
        <v/>
      </c>
      <c r="U443" s="7">
        <f>'3 escalar'!T446</f>
        <v/>
      </c>
      <c r="V443" s="6">
        <f>$AC$12+D443*$AC$13+E443*$AC$14+F443*$AC$15+G443*$AC$16+H443*$AC$17+I443*$AC$18+J443*$AC$19+K443*$AC$20+L443*$AC$21+M443*$AC$22+N443*$AC$23+O443*$AC$24+P443*$AC$25+Q443*$AC$26+R443*$AC$27+S443*$AC$28+T443*$AC$29+U443*$AC$30</f>
        <v/>
      </c>
      <c r="W443" s="6">
        <f>1/(1+EXP(-V443))</f>
        <v/>
      </c>
      <c r="X443" s="8">
        <f>-IF(C443=1,LN(W443),LN(1-W443))</f>
        <v/>
      </c>
      <c r="Y443" s="9">
        <f>IF(W443&gt;$AC$32,1,0)</f>
        <v/>
      </c>
      <c r="Z443">
        <f>IF(Y443=C443,1,0)</f>
        <v/>
      </c>
    </row>
    <row r="444">
      <c r="A444">
        <f>'3 escalar'!A447</f>
        <v/>
      </c>
      <c r="B444" s="5">
        <f>'3 escalar'!U447</f>
        <v/>
      </c>
      <c r="C444">
        <f>'3 escalar'!B447</f>
        <v/>
      </c>
      <c r="D444" s="7">
        <f>'3 escalar'!C447</f>
        <v/>
      </c>
      <c r="E444" s="7">
        <f>'3 escalar'!D447</f>
        <v/>
      </c>
      <c r="F444" s="7">
        <f>'3 escalar'!E447</f>
        <v/>
      </c>
      <c r="G444" s="7">
        <f>'3 escalar'!F447</f>
        <v/>
      </c>
      <c r="H444" s="7">
        <f>'3 escalar'!G447</f>
        <v/>
      </c>
      <c r="I444" s="7">
        <f>'3 escalar'!H447</f>
        <v/>
      </c>
      <c r="J444" s="7">
        <f>'3 escalar'!I447</f>
        <v/>
      </c>
      <c r="K444" s="7">
        <f>'3 escalar'!J447</f>
        <v/>
      </c>
      <c r="L444" s="7">
        <f>'3 escalar'!K447</f>
        <v/>
      </c>
      <c r="M444" s="7">
        <f>'3 escalar'!L447</f>
        <v/>
      </c>
      <c r="N444" s="7">
        <f>'3 escalar'!M447</f>
        <v/>
      </c>
      <c r="O444" s="7">
        <f>'3 escalar'!N447</f>
        <v/>
      </c>
      <c r="P444" s="7">
        <f>'3 escalar'!O447</f>
        <v/>
      </c>
      <c r="Q444" s="7">
        <f>'3 escalar'!P447</f>
        <v/>
      </c>
      <c r="R444" s="7">
        <f>'3 escalar'!Q447</f>
        <v/>
      </c>
      <c r="S444" s="7">
        <f>'3 escalar'!R447</f>
        <v/>
      </c>
      <c r="T444" s="7">
        <f>'3 escalar'!S447</f>
        <v/>
      </c>
      <c r="U444" s="7">
        <f>'3 escalar'!T447</f>
        <v/>
      </c>
      <c r="V444" s="6">
        <f>$AC$12+D444*$AC$13+E444*$AC$14+F444*$AC$15+G444*$AC$16+H444*$AC$17+I444*$AC$18+J444*$AC$19+K444*$AC$20+L444*$AC$21+M444*$AC$22+N444*$AC$23+O444*$AC$24+P444*$AC$25+Q444*$AC$26+R444*$AC$27+S444*$AC$28+T444*$AC$29+U444*$AC$30</f>
        <v/>
      </c>
      <c r="W444" s="6">
        <f>1/(1+EXP(-V444))</f>
        <v/>
      </c>
      <c r="X444" s="8">
        <f>-IF(C444=1,LN(W444),LN(1-W444))</f>
        <v/>
      </c>
      <c r="Y444" s="9">
        <f>IF(W444&gt;$AC$32,1,0)</f>
        <v/>
      </c>
      <c r="Z444">
        <f>IF(Y444=C444,1,0)</f>
        <v/>
      </c>
    </row>
    <row r="445">
      <c r="A445">
        <f>'3 escalar'!A448</f>
        <v/>
      </c>
      <c r="B445" s="5">
        <f>'3 escalar'!U448</f>
        <v/>
      </c>
      <c r="C445">
        <f>'3 escalar'!B448</f>
        <v/>
      </c>
      <c r="D445" s="7">
        <f>'3 escalar'!C448</f>
        <v/>
      </c>
      <c r="E445" s="7">
        <f>'3 escalar'!D448</f>
        <v/>
      </c>
      <c r="F445" s="7">
        <f>'3 escalar'!E448</f>
        <v/>
      </c>
      <c r="G445" s="7">
        <f>'3 escalar'!F448</f>
        <v/>
      </c>
      <c r="H445" s="7">
        <f>'3 escalar'!G448</f>
        <v/>
      </c>
      <c r="I445" s="7">
        <f>'3 escalar'!H448</f>
        <v/>
      </c>
      <c r="J445" s="7">
        <f>'3 escalar'!I448</f>
        <v/>
      </c>
      <c r="K445" s="7">
        <f>'3 escalar'!J448</f>
        <v/>
      </c>
      <c r="L445" s="7">
        <f>'3 escalar'!K448</f>
        <v/>
      </c>
      <c r="M445" s="7">
        <f>'3 escalar'!L448</f>
        <v/>
      </c>
      <c r="N445" s="7">
        <f>'3 escalar'!M448</f>
        <v/>
      </c>
      <c r="O445" s="7">
        <f>'3 escalar'!N448</f>
        <v/>
      </c>
      <c r="P445" s="7">
        <f>'3 escalar'!O448</f>
        <v/>
      </c>
      <c r="Q445" s="7">
        <f>'3 escalar'!P448</f>
        <v/>
      </c>
      <c r="R445" s="7">
        <f>'3 escalar'!Q448</f>
        <v/>
      </c>
      <c r="S445" s="7">
        <f>'3 escalar'!R448</f>
        <v/>
      </c>
      <c r="T445" s="7">
        <f>'3 escalar'!S448</f>
        <v/>
      </c>
      <c r="U445" s="7">
        <f>'3 escalar'!T448</f>
        <v/>
      </c>
      <c r="V445" s="6">
        <f>$AC$12+D445*$AC$13+E445*$AC$14+F445*$AC$15+G445*$AC$16+H445*$AC$17+I445*$AC$18+J445*$AC$19+K445*$AC$20+L445*$AC$21+M445*$AC$22+N445*$AC$23+O445*$AC$24+P445*$AC$25+Q445*$AC$26+R445*$AC$27+S445*$AC$28+T445*$AC$29+U445*$AC$30</f>
        <v/>
      </c>
      <c r="W445" s="6">
        <f>1/(1+EXP(-V445))</f>
        <v/>
      </c>
      <c r="X445" s="8">
        <f>-IF(C445=1,LN(W445),LN(1-W445))</f>
        <v/>
      </c>
      <c r="Y445" s="9">
        <f>IF(W445&gt;$AC$32,1,0)</f>
        <v/>
      </c>
      <c r="Z445">
        <f>IF(Y445=C445,1,0)</f>
        <v/>
      </c>
    </row>
    <row r="446">
      <c r="A446">
        <f>'3 escalar'!A449</f>
        <v/>
      </c>
      <c r="B446" s="5">
        <f>'3 escalar'!U449</f>
        <v/>
      </c>
      <c r="C446">
        <f>'3 escalar'!B449</f>
        <v/>
      </c>
      <c r="D446" s="7">
        <f>'3 escalar'!C449</f>
        <v/>
      </c>
      <c r="E446" s="7">
        <f>'3 escalar'!D449</f>
        <v/>
      </c>
      <c r="F446" s="7">
        <f>'3 escalar'!E449</f>
        <v/>
      </c>
      <c r="G446" s="7">
        <f>'3 escalar'!F449</f>
        <v/>
      </c>
      <c r="H446" s="7">
        <f>'3 escalar'!G449</f>
        <v/>
      </c>
      <c r="I446" s="7">
        <f>'3 escalar'!H449</f>
        <v/>
      </c>
      <c r="J446" s="7">
        <f>'3 escalar'!I449</f>
        <v/>
      </c>
      <c r="K446" s="7">
        <f>'3 escalar'!J449</f>
        <v/>
      </c>
      <c r="L446" s="7">
        <f>'3 escalar'!K449</f>
        <v/>
      </c>
      <c r="M446" s="7">
        <f>'3 escalar'!L449</f>
        <v/>
      </c>
      <c r="N446" s="7">
        <f>'3 escalar'!M449</f>
        <v/>
      </c>
      <c r="O446" s="7">
        <f>'3 escalar'!N449</f>
        <v/>
      </c>
      <c r="P446" s="7">
        <f>'3 escalar'!O449</f>
        <v/>
      </c>
      <c r="Q446" s="7">
        <f>'3 escalar'!P449</f>
        <v/>
      </c>
      <c r="R446" s="7">
        <f>'3 escalar'!Q449</f>
        <v/>
      </c>
      <c r="S446" s="7">
        <f>'3 escalar'!R449</f>
        <v/>
      </c>
      <c r="T446" s="7">
        <f>'3 escalar'!S449</f>
        <v/>
      </c>
      <c r="U446" s="7">
        <f>'3 escalar'!T449</f>
        <v/>
      </c>
      <c r="V446" s="6">
        <f>$AC$12+D446*$AC$13+E446*$AC$14+F446*$AC$15+G446*$AC$16+H446*$AC$17+I446*$AC$18+J446*$AC$19+K446*$AC$20+L446*$AC$21+M446*$AC$22+N446*$AC$23+O446*$AC$24+P446*$AC$25+Q446*$AC$26+R446*$AC$27+S446*$AC$28+T446*$AC$29+U446*$AC$30</f>
        <v/>
      </c>
      <c r="W446" s="6">
        <f>1/(1+EXP(-V446))</f>
        <v/>
      </c>
      <c r="X446" s="8">
        <f>-IF(C446=1,LN(W446),LN(1-W446))</f>
        <v/>
      </c>
      <c r="Y446" s="9">
        <f>IF(W446&gt;$AC$32,1,0)</f>
        <v/>
      </c>
      <c r="Z446">
        <f>IF(Y446=C446,1,0)</f>
        <v/>
      </c>
    </row>
    <row r="447">
      <c r="A447">
        <f>'3 escalar'!A450</f>
        <v/>
      </c>
      <c r="B447" s="5">
        <f>'3 escalar'!U450</f>
        <v/>
      </c>
      <c r="C447">
        <f>'3 escalar'!B450</f>
        <v/>
      </c>
      <c r="D447" s="7">
        <f>'3 escalar'!C450</f>
        <v/>
      </c>
      <c r="E447" s="7">
        <f>'3 escalar'!D450</f>
        <v/>
      </c>
      <c r="F447" s="7">
        <f>'3 escalar'!E450</f>
        <v/>
      </c>
      <c r="G447" s="7">
        <f>'3 escalar'!F450</f>
        <v/>
      </c>
      <c r="H447" s="7">
        <f>'3 escalar'!G450</f>
        <v/>
      </c>
      <c r="I447" s="7">
        <f>'3 escalar'!H450</f>
        <v/>
      </c>
      <c r="J447" s="7">
        <f>'3 escalar'!I450</f>
        <v/>
      </c>
      <c r="K447" s="7">
        <f>'3 escalar'!J450</f>
        <v/>
      </c>
      <c r="L447" s="7">
        <f>'3 escalar'!K450</f>
        <v/>
      </c>
      <c r="M447" s="7">
        <f>'3 escalar'!L450</f>
        <v/>
      </c>
      <c r="N447" s="7">
        <f>'3 escalar'!M450</f>
        <v/>
      </c>
      <c r="O447" s="7">
        <f>'3 escalar'!N450</f>
        <v/>
      </c>
      <c r="P447" s="7">
        <f>'3 escalar'!O450</f>
        <v/>
      </c>
      <c r="Q447" s="7">
        <f>'3 escalar'!P450</f>
        <v/>
      </c>
      <c r="R447" s="7">
        <f>'3 escalar'!Q450</f>
        <v/>
      </c>
      <c r="S447" s="7">
        <f>'3 escalar'!R450</f>
        <v/>
      </c>
      <c r="T447" s="7">
        <f>'3 escalar'!S450</f>
        <v/>
      </c>
      <c r="U447" s="7">
        <f>'3 escalar'!T450</f>
        <v/>
      </c>
      <c r="V447" s="6">
        <f>$AC$12+D447*$AC$13+E447*$AC$14+F447*$AC$15+G447*$AC$16+H447*$AC$17+I447*$AC$18+J447*$AC$19+K447*$AC$20+L447*$AC$21+M447*$AC$22+N447*$AC$23+O447*$AC$24+P447*$AC$25+Q447*$AC$26+R447*$AC$27+S447*$AC$28+T447*$AC$29+U447*$AC$30</f>
        <v/>
      </c>
      <c r="W447" s="6">
        <f>1/(1+EXP(-V447))</f>
        <v/>
      </c>
      <c r="X447" s="8">
        <f>-IF(C447=1,LN(W447),LN(1-W447))</f>
        <v/>
      </c>
      <c r="Y447" s="9">
        <f>IF(W447&gt;$AC$32,1,0)</f>
        <v/>
      </c>
      <c r="Z447">
        <f>IF(Y447=C447,1,0)</f>
        <v/>
      </c>
    </row>
    <row r="448">
      <c r="A448">
        <f>'3 escalar'!A451</f>
        <v/>
      </c>
      <c r="B448" s="5">
        <f>'3 escalar'!U451</f>
        <v/>
      </c>
      <c r="C448">
        <f>'3 escalar'!B451</f>
        <v/>
      </c>
      <c r="D448" s="7">
        <f>'3 escalar'!C451</f>
        <v/>
      </c>
      <c r="E448" s="7">
        <f>'3 escalar'!D451</f>
        <v/>
      </c>
      <c r="F448" s="7">
        <f>'3 escalar'!E451</f>
        <v/>
      </c>
      <c r="G448" s="7">
        <f>'3 escalar'!F451</f>
        <v/>
      </c>
      <c r="H448" s="7">
        <f>'3 escalar'!G451</f>
        <v/>
      </c>
      <c r="I448" s="7">
        <f>'3 escalar'!H451</f>
        <v/>
      </c>
      <c r="J448" s="7">
        <f>'3 escalar'!I451</f>
        <v/>
      </c>
      <c r="K448" s="7">
        <f>'3 escalar'!J451</f>
        <v/>
      </c>
      <c r="L448" s="7">
        <f>'3 escalar'!K451</f>
        <v/>
      </c>
      <c r="M448" s="7">
        <f>'3 escalar'!L451</f>
        <v/>
      </c>
      <c r="N448" s="7">
        <f>'3 escalar'!M451</f>
        <v/>
      </c>
      <c r="O448" s="7">
        <f>'3 escalar'!N451</f>
        <v/>
      </c>
      <c r="P448" s="7">
        <f>'3 escalar'!O451</f>
        <v/>
      </c>
      <c r="Q448" s="7">
        <f>'3 escalar'!P451</f>
        <v/>
      </c>
      <c r="R448" s="7">
        <f>'3 escalar'!Q451</f>
        <v/>
      </c>
      <c r="S448" s="7">
        <f>'3 escalar'!R451</f>
        <v/>
      </c>
      <c r="T448" s="7">
        <f>'3 escalar'!S451</f>
        <v/>
      </c>
      <c r="U448" s="7">
        <f>'3 escalar'!T451</f>
        <v/>
      </c>
      <c r="V448" s="6">
        <f>$AC$12+D448*$AC$13+E448*$AC$14+F448*$AC$15+G448*$AC$16+H448*$AC$17+I448*$AC$18+J448*$AC$19+K448*$AC$20+L448*$AC$21+M448*$AC$22+N448*$AC$23+O448*$AC$24+P448*$AC$25+Q448*$AC$26+R448*$AC$27+S448*$AC$28+T448*$AC$29+U448*$AC$30</f>
        <v/>
      </c>
      <c r="W448" s="6">
        <f>1/(1+EXP(-V448))</f>
        <v/>
      </c>
      <c r="X448" s="8">
        <f>-IF(C448=1,LN(W448),LN(1-W448))</f>
        <v/>
      </c>
      <c r="Y448" s="9">
        <f>IF(W448&gt;$AC$32,1,0)</f>
        <v/>
      </c>
      <c r="Z448">
        <f>IF(Y448=C448,1,0)</f>
        <v/>
      </c>
    </row>
    <row r="449">
      <c r="A449">
        <f>'3 escalar'!A452</f>
        <v/>
      </c>
      <c r="B449" s="5">
        <f>'3 escalar'!U452</f>
        <v/>
      </c>
      <c r="C449">
        <f>'3 escalar'!B452</f>
        <v/>
      </c>
      <c r="D449" s="7">
        <f>'3 escalar'!C452</f>
        <v/>
      </c>
      <c r="E449" s="7">
        <f>'3 escalar'!D452</f>
        <v/>
      </c>
      <c r="F449" s="7">
        <f>'3 escalar'!E452</f>
        <v/>
      </c>
      <c r="G449" s="7">
        <f>'3 escalar'!F452</f>
        <v/>
      </c>
      <c r="H449" s="7">
        <f>'3 escalar'!G452</f>
        <v/>
      </c>
      <c r="I449" s="7">
        <f>'3 escalar'!H452</f>
        <v/>
      </c>
      <c r="J449" s="7">
        <f>'3 escalar'!I452</f>
        <v/>
      </c>
      <c r="K449" s="7">
        <f>'3 escalar'!J452</f>
        <v/>
      </c>
      <c r="L449" s="7">
        <f>'3 escalar'!K452</f>
        <v/>
      </c>
      <c r="M449" s="7">
        <f>'3 escalar'!L452</f>
        <v/>
      </c>
      <c r="N449" s="7">
        <f>'3 escalar'!M452</f>
        <v/>
      </c>
      <c r="O449" s="7">
        <f>'3 escalar'!N452</f>
        <v/>
      </c>
      <c r="P449" s="7">
        <f>'3 escalar'!O452</f>
        <v/>
      </c>
      <c r="Q449" s="7">
        <f>'3 escalar'!P452</f>
        <v/>
      </c>
      <c r="R449" s="7">
        <f>'3 escalar'!Q452</f>
        <v/>
      </c>
      <c r="S449" s="7">
        <f>'3 escalar'!R452</f>
        <v/>
      </c>
      <c r="T449" s="7">
        <f>'3 escalar'!S452</f>
        <v/>
      </c>
      <c r="U449" s="7">
        <f>'3 escalar'!T452</f>
        <v/>
      </c>
      <c r="V449" s="6">
        <f>$AC$12+D449*$AC$13+E449*$AC$14+F449*$AC$15+G449*$AC$16+H449*$AC$17+I449*$AC$18+J449*$AC$19+K449*$AC$20+L449*$AC$21+M449*$AC$22+N449*$AC$23+O449*$AC$24+P449*$AC$25+Q449*$AC$26+R449*$AC$27+S449*$AC$28+T449*$AC$29+U449*$AC$30</f>
        <v/>
      </c>
      <c r="W449" s="6">
        <f>1/(1+EXP(-V449))</f>
        <v/>
      </c>
      <c r="X449" s="8">
        <f>-IF(C449=1,LN(W449),LN(1-W449))</f>
        <v/>
      </c>
      <c r="Y449" s="9">
        <f>IF(W449&gt;$AC$32,1,0)</f>
        <v/>
      </c>
      <c r="Z449">
        <f>IF(Y449=C449,1,0)</f>
        <v/>
      </c>
    </row>
    <row r="450">
      <c r="A450">
        <f>'3 escalar'!A453</f>
        <v/>
      </c>
      <c r="B450" s="5">
        <f>'3 escalar'!U453</f>
        <v/>
      </c>
      <c r="C450">
        <f>'3 escalar'!B453</f>
        <v/>
      </c>
      <c r="D450" s="7">
        <f>'3 escalar'!C453</f>
        <v/>
      </c>
      <c r="E450" s="7">
        <f>'3 escalar'!D453</f>
        <v/>
      </c>
      <c r="F450" s="7">
        <f>'3 escalar'!E453</f>
        <v/>
      </c>
      <c r="G450" s="7">
        <f>'3 escalar'!F453</f>
        <v/>
      </c>
      <c r="H450" s="7">
        <f>'3 escalar'!G453</f>
        <v/>
      </c>
      <c r="I450" s="7">
        <f>'3 escalar'!H453</f>
        <v/>
      </c>
      <c r="J450" s="7">
        <f>'3 escalar'!I453</f>
        <v/>
      </c>
      <c r="K450" s="7">
        <f>'3 escalar'!J453</f>
        <v/>
      </c>
      <c r="L450" s="7">
        <f>'3 escalar'!K453</f>
        <v/>
      </c>
      <c r="M450" s="7">
        <f>'3 escalar'!L453</f>
        <v/>
      </c>
      <c r="N450" s="7">
        <f>'3 escalar'!M453</f>
        <v/>
      </c>
      <c r="O450" s="7">
        <f>'3 escalar'!N453</f>
        <v/>
      </c>
      <c r="P450" s="7">
        <f>'3 escalar'!O453</f>
        <v/>
      </c>
      <c r="Q450" s="7">
        <f>'3 escalar'!P453</f>
        <v/>
      </c>
      <c r="R450" s="7">
        <f>'3 escalar'!Q453</f>
        <v/>
      </c>
      <c r="S450" s="7">
        <f>'3 escalar'!R453</f>
        <v/>
      </c>
      <c r="T450" s="7">
        <f>'3 escalar'!S453</f>
        <v/>
      </c>
      <c r="U450" s="7">
        <f>'3 escalar'!T453</f>
        <v/>
      </c>
      <c r="V450" s="6">
        <f>$AC$12+D450*$AC$13+E450*$AC$14+F450*$AC$15+G450*$AC$16+H450*$AC$17+I450*$AC$18+J450*$AC$19+K450*$AC$20+L450*$AC$21+M450*$AC$22+N450*$AC$23+O450*$AC$24+P450*$AC$25+Q450*$AC$26+R450*$AC$27+S450*$AC$28+T450*$AC$29+U450*$AC$30</f>
        <v/>
      </c>
      <c r="W450" s="6">
        <f>1/(1+EXP(-V450))</f>
        <v/>
      </c>
      <c r="X450" s="8">
        <f>-IF(C450=1,LN(W450),LN(1-W450))</f>
        <v/>
      </c>
      <c r="Y450" s="9">
        <f>IF(W450&gt;$AC$32,1,0)</f>
        <v/>
      </c>
      <c r="Z450">
        <f>IF(Y450=C450,1,0)</f>
        <v/>
      </c>
    </row>
    <row r="451">
      <c r="A451">
        <f>'3 escalar'!A454</f>
        <v/>
      </c>
      <c r="B451" s="5">
        <f>'3 escalar'!U454</f>
        <v/>
      </c>
      <c r="C451">
        <f>'3 escalar'!B454</f>
        <v/>
      </c>
      <c r="D451" s="7">
        <f>'3 escalar'!C454</f>
        <v/>
      </c>
      <c r="E451" s="7">
        <f>'3 escalar'!D454</f>
        <v/>
      </c>
      <c r="F451" s="7">
        <f>'3 escalar'!E454</f>
        <v/>
      </c>
      <c r="G451" s="7">
        <f>'3 escalar'!F454</f>
        <v/>
      </c>
      <c r="H451" s="7">
        <f>'3 escalar'!G454</f>
        <v/>
      </c>
      <c r="I451" s="7">
        <f>'3 escalar'!H454</f>
        <v/>
      </c>
      <c r="J451" s="7">
        <f>'3 escalar'!I454</f>
        <v/>
      </c>
      <c r="K451" s="7">
        <f>'3 escalar'!J454</f>
        <v/>
      </c>
      <c r="L451" s="7">
        <f>'3 escalar'!K454</f>
        <v/>
      </c>
      <c r="M451" s="7">
        <f>'3 escalar'!L454</f>
        <v/>
      </c>
      <c r="N451" s="7">
        <f>'3 escalar'!M454</f>
        <v/>
      </c>
      <c r="O451" s="7">
        <f>'3 escalar'!N454</f>
        <v/>
      </c>
      <c r="P451" s="7">
        <f>'3 escalar'!O454</f>
        <v/>
      </c>
      <c r="Q451" s="7">
        <f>'3 escalar'!P454</f>
        <v/>
      </c>
      <c r="R451" s="7">
        <f>'3 escalar'!Q454</f>
        <v/>
      </c>
      <c r="S451" s="7">
        <f>'3 escalar'!R454</f>
        <v/>
      </c>
      <c r="T451" s="7">
        <f>'3 escalar'!S454</f>
        <v/>
      </c>
      <c r="U451" s="7">
        <f>'3 escalar'!T454</f>
        <v/>
      </c>
      <c r="V451" s="6">
        <f>$AC$12+D451*$AC$13+E451*$AC$14+F451*$AC$15+G451*$AC$16+H451*$AC$17+I451*$AC$18+J451*$AC$19+K451*$AC$20+L451*$AC$21+M451*$AC$22+N451*$AC$23+O451*$AC$24+P451*$AC$25+Q451*$AC$26+R451*$AC$27+S451*$AC$28+T451*$AC$29+U451*$AC$30</f>
        <v/>
      </c>
      <c r="W451" s="6">
        <f>1/(1+EXP(-V451))</f>
        <v/>
      </c>
      <c r="X451" s="8">
        <f>-IF(C451=1,LN(W451),LN(1-W451))</f>
        <v/>
      </c>
      <c r="Y451" s="9">
        <f>IF(W451&gt;$AC$32,1,0)</f>
        <v/>
      </c>
      <c r="Z451">
        <f>IF(Y451=C451,1,0)</f>
        <v/>
      </c>
    </row>
    <row r="452">
      <c r="A452">
        <f>'3 escalar'!A455</f>
        <v/>
      </c>
      <c r="B452" s="5">
        <f>'3 escalar'!U455</f>
        <v/>
      </c>
      <c r="C452">
        <f>'3 escalar'!B455</f>
        <v/>
      </c>
      <c r="D452" s="7">
        <f>'3 escalar'!C455</f>
        <v/>
      </c>
      <c r="E452" s="7">
        <f>'3 escalar'!D455</f>
        <v/>
      </c>
      <c r="F452" s="7">
        <f>'3 escalar'!E455</f>
        <v/>
      </c>
      <c r="G452" s="7">
        <f>'3 escalar'!F455</f>
        <v/>
      </c>
      <c r="H452" s="7">
        <f>'3 escalar'!G455</f>
        <v/>
      </c>
      <c r="I452" s="7">
        <f>'3 escalar'!H455</f>
        <v/>
      </c>
      <c r="J452" s="7">
        <f>'3 escalar'!I455</f>
        <v/>
      </c>
      <c r="K452" s="7">
        <f>'3 escalar'!J455</f>
        <v/>
      </c>
      <c r="L452" s="7">
        <f>'3 escalar'!K455</f>
        <v/>
      </c>
      <c r="M452" s="7">
        <f>'3 escalar'!L455</f>
        <v/>
      </c>
      <c r="N452" s="7">
        <f>'3 escalar'!M455</f>
        <v/>
      </c>
      <c r="O452" s="7">
        <f>'3 escalar'!N455</f>
        <v/>
      </c>
      <c r="P452" s="7">
        <f>'3 escalar'!O455</f>
        <v/>
      </c>
      <c r="Q452" s="7">
        <f>'3 escalar'!P455</f>
        <v/>
      </c>
      <c r="R452" s="7">
        <f>'3 escalar'!Q455</f>
        <v/>
      </c>
      <c r="S452" s="7">
        <f>'3 escalar'!R455</f>
        <v/>
      </c>
      <c r="T452" s="7">
        <f>'3 escalar'!S455</f>
        <v/>
      </c>
      <c r="U452" s="7">
        <f>'3 escalar'!T455</f>
        <v/>
      </c>
      <c r="V452" s="6">
        <f>$AC$12+D452*$AC$13+E452*$AC$14+F452*$AC$15+G452*$AC$16+H452*$AC$17+I452*$AC$18+J452*$AC$19+K452*$AC$20+L452*$AC$21+M452*$AC$22+N452*$AC$23+O452*$AC$24+P452*$AC$25+Q452*$AC$26+R452*$AC$27+S452*$AC$28+T452*$AC$29+U452*$AC$30</f>
        <v/>
      </c>
      <c r="W452" s="6">
        <f>1/(1+EXP(-V452))</f>
        <v/>
      </c>
      <c r="X452" s="8">
        <f>-IF(C452=1,LN(W452),LN(1-W452))</f>
        <v/>
      </c>
      <c r="Y452" s="9">
        <f>IF(W452&gt;$AC$32,1,0)</f>
        <v/>
      </c>
      <c r="Z452">
        <f>IF(Y452=C452,1,0)</f>
        <v/>
      </c>
    </row>
    <row r="453">
      <c r="A453">
        <f>'3 escalar'!A456</f>
        <v/>
      </c>
      <c r="B453" s="5">
        <f>'3 escalar'!U456</f>
        <v/>
      </c>
      <c r="C453">
        <f>'3 escalar'!B456</f>
        <v/>
      </c>
      <c r="D453" s="7">
        <f>'3 escalar'!C456</f>
        <v/>
      </c>
      <c r="E453" s="7">
        <f>'3 escalar'!D456</f>
        <v/>
      </c>
      <c r="F453" s="7">
        <f>'3 escalar'!E456</f>
        <v/>
      </c>
      <c r="G453" s="7">
        <f>'3 escalar'!F456</f>
        <v/>
      </c>
      <c r="H453" s="7">
        <f>'3 escalar'!G456</f>
        <v/>
      </c>
      <c r="I453" s="7">
        <f>'3 escalar'!H456</f>
        <v/>
      </c>
      <c r="J453" s="7">
        <f>'3 escalar'!I456</f>
        <v/>
      </c>
      <c r="K453" s="7">
        <f>'3 escalar'!J456</f>
        <v/>
      </c>
      <c r="L453" s="7">
        <f>'3 escalar'!K456</f>
        <v/>
      </c>
      <c r="M453" s="7">
        <f>'3 escalar'!L456</f>
        <v/>
      </c>
      <c r="N453" s="7">
        <f>'3 escalar'!M456</f>
        <v/>
      </c>
      <c r="O453" s="7">
        <f>'3 escalar'!N456</f>
        <v/>
      </c>
      <c r="P453" s="7">
        <f>'3 escalar'!O456</f>
        <v/>
      </c>
      <c r="Q453" s="7">
        <f>'3 escalar'!P456</f>
        <v/>
      </c>
      <c r="R453" s="7">
        <f>'3 escalar'!Q456</f>
        <v/>
      </c>
      <c r="S453" s="7">
        <f>'3 escalar'!R456</f>
        <v/>
      </c>
      <c r="T453" s="7">
        <f>'3 escalar'!S456</f>
        <v/>
      </c>
      <c r="U453" s="7">
        <f>'3 escalar'!T456</f>
        <v/>
      </c>
      <c r="V453" s="6">
        <f>$AC$12+D453*$AC$13+E453*$AC$14+F453*$AC$15+G453*$AC$16+H453*$AC$17+I453*$AC$18+J453*$AC$19+K453*$AC$20+L453*$AC$21+M453*$AC$22+N453*$AC$23+O453*$AC$24+P453*$AC$25+Q453*$AC$26+R453*$AC$27+S453*$AC$28+T453*$AC$29+U453*$AC$30</f>
        <v/>
      </c>
      <c r="W453" s="6">
        <f>1/(1+EXP(-V453))</f>
        <v/>
      </c>
      <c r="X453" s="8">
        <f>-IF(C453=1,LN(W453),LN(1-W453))</f>
        <v/>
      </c>
      <c r="Y453" s="9">
        <f>IF(W453&gt;$AC$32,1,0)</f>
        <v/>
      </c>
      <c r="Z453">
        <f>IF(Y453=C453,1,0)</f>
        <v/>
      </c>
    </row>
    <row r="454">
      <c r="A454">
        <f>'3 escalar'!A457</f>
        <v/>
      </c>
      <c r="B454" s="5">
        <f>'3 escalar'!U457</f>
        <v/>
      </c>
      <c r="C454">
        <f>'3 escalar'!B457</f>
        <v/>
      </c>
      <c r="D454" s="7">
        <f>'3 escalar'!C457</f>
        <v/>
      </c>
      <c r="E454" s="7">
        <f>'3 escalar'!D457</f>
        <v/>
      </c>
      <c r="F454" s="7">
        <f>'3 escalar'!E457</f>
        <v/>
      </c>
      <c r="G454" s="7">
        <f>'3 escalar'!F457</f>
        <v/>
      </c>
      <c r="H454" s="7">
        <f>'3 escalar'!G457</f>
        <v/>
      </c>
      <c r="I454" s="7">
        <f>'3 escalar'!H457</f>
        <v/>
      </c>
      <c r="J454" s="7">
        <f>'3 escalar'!I457</f>
        <v/>
      </c>
      <c r="K454" s="7">
        <f>'3 escalar'!J457</f>
        <v/>
      </c>
      <c r="L454" s="7">
        <f>'3 escalar'!K457</f>
        <v/>
      </c>
      <c r="M454" s="7">
        <f>'3 escalar'!L457</f>
        <v/>
      </c>
      <c r="N454" s="7">
        <f>'3 escalar'!M457</f>
        <v/>
      </c>
      <c r="O454" s="7">
        <f>'3 escalar'!N457</f>
        <v/>
      </c>
      <c r="P454" s="7">
        <f>'3 escalar'!O457</f>
        <v/>
      </c>
      <c r="Q454" s="7">
        <f>'3 escalar'!P457</f>
        <v/>
      </c>
      <c r="R454" s="7">
        <f>'3 escalar'!Q457</f>
        <v/>
      </c>
      <c r="S454" s="7">
        <f>'3 escalar'!R457</f>
        <v/>
      </c>
      <c r="T454" s="7">
        <f>'3 escalar'!S457</f>
        <v/>
      </c>
      <c r="U454" s="7">
        <f>'3 escalar'!T457</f>
        <v/>
      </c>
      <c r="V454" s="6">
        <f>$AC$12+D454*$AC$13+E454*$AC$14+F454*$AC$15+G454*$AC$16+H454*$AC$17+I454*$AC$18+J454*$AC$19+K454*$AC$20+L454*$AC$21+M454*$AC$22+N454*$AC$23+O454*$AC$24+P454*$AC$25+Q454*$AC$26+R454*$AC$27+S454*$AC$28+T454*$AC$29+U454*$AC$30</f>
        <v/>
      </c>
      <c r="W454" s="6">
        <f>1/(1+EXP(-V454))</f>
        <v/>
      </c>
      <c r="X454" s="8">
        <f>-IF(C454=1,LN(W454),LN(1-W454))</f>
        <v/>
      </c>
      <c r="Y454" s="9">
        <f>IF(W454&gt;$AC$32,1,0)</f>
        <v/>
      </c>
      <c r="Z454">
        <f>IF(Y454=C454,1,0)</f>
        <v/>
      </c>
    </row>
    <row r="455">
      <c r="A455">
        <f>'3 escalar'!A458</f>
        <v/>
      </c>
      <c r="B455" s="5">
        <f>'3 escalar'!U458</f>
        <v/>
      </c>
      <c r="C455">
        <f>'3 escalar'!B458</f>
        <v/>
      </c>
      <c r="D455" s="7">
        <f>'3 escalar'!C458</f>
        <v/>
      </c>
      <c r="E455" s="7">
        <f>'3 escalar'!D458</f>
        <v/>
      </c>
      <c r="F455" s="7">
        <f>'3 escalar'!E458</f>
        <v/>
      </c>
      <c r="G455" s="7">
        <f>'3 escalar'!F458</f>
        <v/>
      </c>
      <c r="H455" s="7">
        <f>'3 escalar'!G458</f>
        <v/>
      </c>
      <c r="I455" s="7">
        <f>'3 escalar'!H458</f>
        <v/>
      </c>
      <c r="J455" s="7">
        <f>'3 escalar'!I458</f>
        <v/>
      </c>
      <c r="K455" s="7">
        <f>'3 escalar'!J458</f>
        <v/>
      </c>
      <c r="L455" s="7">
        <f>'3 escalar'!K458</f>
        <v/>
      </c>
      <c r="M455" s="7">
        <f>'3 escalar'!L458</f>
        <v/>
      </c>
      <c r="N455" s="7">
        <f>'3 escalar'!M458</f>
        <v/>
      </c>
      <c r="O455" s="7">
        <f>'3 escalar'!N458</f>
        <v/>
      </c>
      <c r="P455" s="7">
        <f>'3 escalar'!O458</f>
        <v/>
      </c>
      <c r="Q455" s="7">
        <f>'3 escalar'!P458</f>
        <v/>
      </c>
      <c r="R455" s="7">
        <f>'3 escalar'!Q458</f>
        <v/>
      </c>
      <c r="S455" s="7">
        <f>'3 escalar'!R458</f>
        <v/>
      </c>
      <c r="T455" s="7">
        <f>'3 escalar'!S458</f>
        <v/>
      </c>
      <c r="U455" s="7">
        <f>'3 escalar'!T458</f>
        <v/>
      </c>
      <c r="V455" s="6">
        <f>$AC$12+D455*$AC$13+E455*$AC$14+F455*$AC$15+G455*$AC$16+H455*$AC$17+I455*$AC$18+J455*$AC$19+K455*$AC$20+L455*$AC$21+M455*$AC$22+N455*$AC$23+O455*$AC$24+P455*$AC$25+Q455*$AC$26+R455*$AC$27+S455*$AC$28+T455*$AC$29+U455*$AC$30</f>
        <v/>
      </c>
      <c r="W455" s="6">
        <f>1/(1+EXP(-V455))</f>
        <v/>
      </c>
      <c r="X455" s="8">
        <f>-IF(C455=1,LN(W455),LN(1-W455))</f>
        <v/>
      </c>
      <c r="Y455" s="9">
        <f>IF(W455&gt;$AC$32,1,0)</f>
        <v/>
      </c>
      <c r="Z455">
        <f>IF(Y455=C455,1,0)</f>
        <v/>
      </c>
    </row>
    <row r="456">
      <c r="A456">
        <f>'3 escalar'!A459</f>
        <v/>
      </c>
      <c r="B456" s="5">
        <f>'3 escalar'!U459</f>
        <v/>
      </c>
      <c r="C456">
        <f>'3 escalar'!B459</f>
        <v/>
      </c>
      <c r="D456" s="7">
        <f>'3 escalar'!C459</f>
        <v/>
      </c>
      <c r="E456" s="7">
        <f>'3 escalar'!D459</f>
        <v/>
      </c>
      <c r="F456" s="7">
        <f>'3 escalar'!E459</f>
        <v/>
      </c>
      <c r="G456" s="7">
        <f>'3 escalar'!F459</f>
        <v/>
      </c>
      <c r="H456" s="7">
        <f>'3 escalar'!G459</f>
        <v/>
      </c>
      <c r="I456" s="7">
        <f>'3 escalar'!H459</f>
        <v/>
      </c>
      <c r="J456" s="7">
        <f>'3 escalar'!I459</f>
        <v/>
      </c>
      <c r="K456" s="7">
        <f>'3 escalar'!J459</f>
        <v/>
      </c>
      <c r="L456" s="7">
        <f>'3 escalar'!K459</f>
        <v/>
      </c>
      <c r="M456" s="7">
        <f>'3 escalar'!L459</f>
        <v/>
      </c>
      <c r="N456" s="7">
        <f>'3 escalar'!M459</f>
        <v/>
      </c>
      <c r="O456" s="7">
        <f>'3 escalar'!N459</f>
        <v/>
      </c>
      <c r="P456" s="7">
        <f>'3 escalar'!O459</f>
        <v/>
      </c>
      <c r="Q456" s="7">
        <f>'3 escalar'!P459</f>
        <v/>
      </c>
      <c r="R456" s="7">
        <f>'3 escalar'!Q459</f>
        <v/>
      </c>
      <c r="S456" s="7">
        <f>'3 escalar'!R459</f>
        <v/>
      </c>
      <c r="T456" s="7">
        <f>'3 escalar'!S459</f>
        <v/>
      </c>
      <c r="U456" s="7">
        <f>'3 escalar'!T459</f>
        <v/>
      </c>
      <c r="V456" s="6">
        <f>$AC$12+D456*$AC$13+E456*$AC$14+F456*$AC$15+G456*$AC$16+H456*$AC$17+I456*$AC$18+J456*$AC$19+K456*$AC$20+L456*$AC$21+M456*$AC$22+N456*$AC$23+O456*$AC$24+P456*$AC$25+Q456*$AC$26+R456*$AC$27+S456*$AC$28+T456*$AC$29+U456*$AC$30</f>
        <v/>
      </c>
      <c r="W456" s="6">
        <f>1/(1+EXP(-V456))</f>
        <v/>
      </c>
      <c r="X456" s="8">
        <f>-IF(C456=1,LN(W456),LN(1-W456))</f>
        <v/>
      </c>
      <c r="Y456" s="9">
        <f>IF(W456&gt;$AC$32,1,0)</f>
        <v/>
      </c>
      <c r="Z456">
        <f>IF(Y456=C456,1,0)</f>
        <v/>
      </c>
    </row>
    <row r="457">
      <c r="A457">
        <f>'3 escalar'!A460</f>
        <v/>
      </c>
      <c r="B457" s="5">
        <f>'3 escalar'!U460</f>
        <v/>
      </c>
      <c r="C457">
        <f>'3 escalar'!B460</f>
        <v/>
      </c>
      <c r="D457" s="7">
        <f>'3 escalar'!C460</f>
        <v/>
      </c>
      <c r="E457" s="7">
        <f>'3 escalar'!D460</f>
        <v/>
      </c>
      <c r="F457" s="7">
        <f>'3 escalar'!E460</f>
        <v/>
      </c>
      <c r="G457" s="7">
        <f>'3 escalar'!F460</f>
        <v/>
      </c>
      <c r="H457" s="7">
        <f>'3 escalar'!G460</f>
        <v/>
      </c>
      <c r="I457" s="7">
        <f>'3 escalar'!H460</f>
        <v/>
      </c>
      <c r="J457" s="7">
        <f>'3 escalar'!I460</f>
        <v/>
      </c>
      <c r="K457" s="7">
        <f>'3 escalar'!J460</f>
        <v/>
      </c>
      <c r="L457" s="7">
        <f>'3 escalar'!K460</f>
        <v/>
      </c>
      <c r="M457" s="7">
        <f>'3 escalar'!L460</f>
        <v/>
      </c>
      <c r="N457" s="7">
        <f>'3 escalar'!M460</f>
        <v/>
      </c>
      <c r="O457" s="7">
        <f>'3 escalar'!N460</f>
        <v/>
      </c>
      <c r="P457" s="7">
        <f>'3 escalar'!O460</f>
        <v/>
      </c>
      <c r="Q457" s="7">
        <f>'3 escalar'!P460</f>
        <v/>
      </c>
      <c r="R457" s="7">
        <f>'3 escalar'!Q460</f>
        <v/>
      </c>
      <c r="S457" s="7">
        <f>'3 escalar'!R460</f>
        <v/>
      </c>
      <c r="T457" s="7">
        <f>'3 escalar'!S460</f>
        <v/>
      </c>
      <c r="U457" s="7">
        <f>'3 escalar'!T460</f>
        <v/>
      </c>
      <c r="V457" s="6">
        <f>$AC$12+D457*$AC$13+E457*$AC$14+F457*$AC$15+G457*$AC$16+H457*$AC$17+I457*$AC$18+J457*$AC$19+K457*$AC$20+L457*$AC$21+M457*$AC$22+N457*$AC$23+O457*$AC$24+P457*$AC$25+Q457*$AC$26+R457*$AC$27+S457*$AC$28+T457*$AC$29+U457*$AC$30</f>
        <v/>
      </c>
      <c r="W457" s="6">
        <f>1/(1+EXP(-V457))</f>
        <v/>
      </c>
      <c r="X457" s="8">
        <f>-IF(C457=1,LN(W457),LN(1-W457))</f>
        <v/>
      </c>
      <c r="Y457" s="9">
        <f>IF(W457&gt;$AC$32,1,0)</f>
        <v/>
      </c>
      <c r="Z457">
        <f>IF(Y457=C457,1,0)</f>
        <v/>
      </c>
    </row>
    <row r="458">
      <c r="A458">
        <f>'3 escalar'!A461</f>
        <v/>
      </c>
      <c r="B458" s="5">
        <f>'3 escalar'!U461</f>
        <v/>
      </c>
      <c r="C458">
        <f>'3 escalar'!B461</f>
        <v/>
      </c>
      <c r="D458" s="7">
        <f>'3 escalar'!C461</f>
        <v/>
      </c>
      <c r="E458" s="7">
        <f>'3 escalar'!D461</f>
        <v/>
      </c>
      <c r="F458" s="7">
        <f>'3 escalar'!E461</f>
        <v/>
      </c>
      <c r="G458" s="7">
        <f>'3 escalar'!F461</f>
        <v/>
      </c>
      <c r="H458" s="7">
        <f>'3 escalar'!G461</f>
        <v/>
      </c>
      <c r="I458" s="7">
        <f>'3 escalar'!H461</f>
        <v/>
      </c>
      <c r="J458" s="7">
        <f>'3 escalar'!I461</f>
        <v/>
      </c>
      <c r="K458" s="7">
        <f>'3 escalar'!J461</f>
        <v/>
      </c>
      <c r="L458" s="7">
        <f>'3 escalar'!K461</f>
        <v/>
      </c>
      <c r="M458" s="7">
        <f>'3 escalar'!L461</f>
        <v/>
      </c>
      <c r="N458" s="7">
        <f>'3 escalar'!M461</f>
        <v/>
      </c>
      <c r="O458" s="7">
        <f>'3 escalar'!N461</f>
        <v/>
      </c>
      <c r="P458" s="7">
        <f>'3 escalar'!O461</f>
        <v/>
      </c>
      <c r="Q458" s="7">
        <f>'3 escalar'!P461</f>
        <v/>
      </c>
      <c r="R458" s="7">
        <f>'3 escalar'!Q461</f>
        <v/>
      </c>
      <c r="S458" s="7">
        <f>'3 escalar'!R461</f>
        <v/>
      </c>
      <c r="T458" s="7">
        <f>'3 escalar'!S461</f>
        <v/>
      </c>
      <c r="U458" s="7">
        <f>'3 escalar'!T461</f>
        <v/>
      </c>
      <c r="V458" s="6">
        <f>$AC$12+D458*$AC$13+E458*$AC$14+F458*$AC$15+G458*$AC$16+H458*$AC$17+I458*$AC$18+J458*$AC$19+K458*$AC$20+L458*$AC$21+M458*$AC$22+N458*$AC$23+O458*$AC$24+P458*$AC$25+Q458*$AC$26+R458*$AC$27+S458*$AC$28+T458*$AC$29+U458*$AC$30</f>
        <v/>
      </c>
      <c r="W458" s="6">
        <f>1/(1+EXP(-V458))</f>
        <v/>
      </c>
      <c r="X458" s="8">
        <f>-IF(C458=1,LN(W458),LN(1-W458))</f>
        <v/>
      </c>
      <c r="Y458" s="9">
        <f>IF(W458&gt;$AC$32,1,0)</f>
        <v/>
      </c>
      <c r="Z458">
        <f>IF(Y458=C458,1,0)</f>
        <v/>
      </c>
    </row>
    <row r="459">
      <c r="A459">
        <f>'3 escalar'!A462</f>
        <v/>
      </c>
      <c r="B459" s="5">
        <f>'3 escalar'!U462</f>
        <v/>
      </c>
      <c r="C459">
        <f>'3 escalar'!B462</f>
        <v/>
      </c>
      <c r="D459" s="7">
        <f>'3 escalar'!C462</f>
        <v/>
      </c>
      <c r="E459" s="7">
        <f>'3 escalar'!D462</f>
        <v/>
      </c>
      <c r="F459" s="7">
        <f>'3 escalar'!E462</f>
        <v/>
      </c>
      <c r="G459" s="7">
        <f>'3 escalar'!F462</f>
        <v/>
      </c>
      <c r="H459" s="7">
        <f>'3 escalar'!G462</f>
        <v/>
      </c>
      <c r="I459" s="7">
        <f>'3 escalar'!H462</f>
        <v/>
      </c>
      <c r="J459" s="7">
        <f>'3 escalar'!I462</f>
        <v/>
      </c>
      <c r="K459" s="7">
        <f>'3 escalar'!J462</f>
        <v/>
      </c>
      <c r="L459" s="7">
        <f>'3 escalar'!K462</f>
        <v/>
      </c>
      <c r="M459" s="7">
        <f>'3 escalar'!L462</f>
        <v/>
      </c>
      <c r="N459" s="7">
        <f>'3 escalar'!M462</f>
        <v/>
      </c>
      <c r="O459" s="7">
        <f>'3 escalar'!N462</f>
        <v/>
      </c>
      <c r="P459" s="7">
        <f>'3 escalar'!O462</f>
        <v/>
      </c>
      <c r="Q459" s="7">
        <f>'3 escalar'!P462</f>
        <v/>
      </c>
      <c r="R459" s="7">
        <f>'3 escalar'!Q462</f>
        <v/>
      </c>
      <c r="S459" s="7">
        <f>'3 escalar'!R462</f>
        <v/>
      </c>
      <c r="T459" s="7">
        <f>'3 escalar'!S462</f>
        <v/>
      </c>
      <c r="U459" s="7">
        <f>'3 escalar'!T462</f>
        <v/>
      </c>
      <c r="V459" s="6">
        <f>$AC$12+D459*$AC$13+E459*$AC$14+F459*$AC$15+G459*$AC$16+H459*$AC$17+I459*$AC$18+J459*$AC$19+K459*$AC$20+L459*$AC$21+M459*$AC$22+N459*$AC$23+O459*$AC$24+P459*$AC$25+Q459*$AC$26+R459*$AC$27+S459*$AC$28+T459*$AC$29+U459*$AC$30</f>
        <v/>
      </c>
      <c r="W459" s="6">
        <f>1/(1+EXP(-V459))</f>
        <v/>
      </c>
      <c r="X459" s="8">
        <f>-IF(C459=1,LN(W459),LN(1-W459))</f>
        <v/>
      </c>
      <c r="Y459" s="9">
        <f>IF(W459&gt;$AC$32,1,0)</f>
        <v/>
      </c>
      <c r="Z459">
        <f>IF(Y459=C459,1,0)</f>
        <v/>
      </c>
    </row>
    <row r="460">
      <c r="A460">
        <f>'3 escalar'!A463</f>
        <v/>
      </c>
      <c r="B460" s="5">
        <f>'3 escalar'!U463</f>
        <v/>
      </c>
      <c r="C460">
        <f>'3 escalar'!B463</f>
        <v/>
      </c>
      <c r="D460" s="7">
        <f>'3 escalar'!C463</f>
        <v/>
      </c>
      <c r="E460" s="7">
        <f>'3 escalar'!D463</f>
        <v/>
      </c>
      <c r="F460" s="7">
        <f>'3 escalar'!E463</f>
        <v/>
      </c>
      <c r="G460" s="7">
        <f>'3 escalar'!F463</f>
        <v/>
      </c>
      <c r="H460" s="7">
        <f>'3 escalar'!G463</f>
        <v/>
      </c>
      <c r="I460" s="7">
        <f>'3 escalar'!H463</f>
        <v/>
      </c>
      <c r="J460" s="7">
        <f>'3 escalar'!I463</f>
        <v/>
      </c>
      <c r="K460" s="7">
        <f>'3 escalar'!J463</f>
        <v/>
      </c>
      <c r="L460" s="7">
        <f>'3 escalar'!K463</f>
        <v/>
      </c>
      <c r="M460" s="7">
        <f>'3 escalar'!L463</f>
        <v/>
      </c>
      <c r="N460" s="7">
        <f>'3 escalar'!M463</f>
        <v/>
      </c>
      <c r="O460" s="7">
        <f>'3 escalar'!N463</f>
        <v/>
      </c>
      <c r="P460" s="7">
        <f>'3 escalar'!O463</f>
        <v/>
      </c>
      <c r="Q460" s="7">
        <f>'3 escalar'!P463</f>
        <v/>
      </c>
      <c r="R460" s="7">
        <f>'3 escalar'!Q463</f>
        <v/>
      </c>
      <c r="S460" s="7">
        <f>'3 escalar'!R463</f>
        <v/>
      </c>
      <c r="T460" s="7">
        <f>'3 escalar'!S463</f>
        <v/>
      </c>
      <c r="U460" s="7">
        <f>'3 escalar'!T463</f>
        <v/>
      </c>
      <c r="V460" s="6">
        <f>$AC$12+D460*$AC$13+E460*$AC$14+F460*$AC$15+G460*$AC$16+H460*$AC$17+I460*$AC$18+J460*$AC$19+K460*$AC$20+L460*$AC$21+M460*$AC$22+N460*$AC$23+O460*$AC$24+P460*$AC$25+Q460*$AC$26+R460*$AC$27+S460*$AC$28+T460*$AC$29+U460*$AC$30</f>
        <v/>
      </c>
      <c r="W460" s="6">
        <f>1/(1+EXP(-V460))</f>
        <v/>
      </c>
      <c r="X460" s="8">
        <f>-IF(C460=1,LN(W460),LN(1-W460))</f>
        <v/>
      </c>
      <c r="Y460" s="9">
        <f>IF(W460&gt;$AC$32,1,0)</f>
        <v/>
      </c>
      <c r="Z460">
        <f>IF(Y460=C460,1,0)</f>
        <v/>
      </c>
    </row>
    <row r="461">
      <c r="A461">
        <f>'3 escalar'!A464</f>
        <v/>
      </c>
      <c r="B461" s="5">
        <f>'3 escalar'!U464</f>
        <v/>
      </c>
      <c r="C461">
        <f>'3 escalar'!B464</f>
        <v/>
      </c>
      <c r="D461" s="7">
        <f>'3 escalar'!C464</f>
        <v/>
      </c>
      <c r="E461" s="7">
        <f>'3 escalar'!D464</f>
        <v/>
      </c>
      <c r="F461" s="7">
        <f>'3 escalar'!E464</f>
        <v/>
      </c>
      <c r="G461" s="7">
        <f>'3 escalar'!F464</f>
        <v/>
      </c>
      <c r="H461" s="7">
        <f>'3 escalar'!G464</f>
        <v/>
      </c>
      <c r="I461" s="7">
        <f>'3 escalar'!H464</f>
        <v/>
      </c>
      <c r="J461" s="7">
        <f>'3 escalar'!I464</f>
        <v/>
      </c>
      <c r="K461" s="7">
        <f>'3 escalar'!J464</f>
        <v/>
      </c>
      <c r="L461" s="7">
        <f>'3 escalar'!K464</f>
        <v/>
      </c>
      <c r="M461" s="7">
        <f>'3 escalar'!L464</f>
        <v/>
      </c>
      <c r="N461" s="7">
        <f>'3 escalar'!M464</f>
        <v/>
      </c>
      <c r="O461" s="7">
        <f>'3 escalar'!N464</f>
        <v/>
      </c>
      <c r="P461" s="7">
        <f>'3 escalar'!O464</f>
        <v/>
      </c>
      <c r="Q461" s="7">
        <f>'3 escalar'!P464</f>
        <v/>
      </c>
      <c r="R461" s="7">
        <f>'3 escalar'!Q464</f>
        <v/>
      </c>
      <c r="S461" s="7">
        <f>'3 escalar'!R464</f>
        <v/>
      </c>
      <c r="T461" s="7">
        <f>'3 escalar'!S464</f>
        <v/>
      </c>
      <c r="U461" s="7">
        <f>'3 escalar'!T464</f>
        <v/>
      </c>
      <c r="V461" s="6">
        <f>$AC$12+D461*$AC$13+E461*$AC$14+F461*$AC$15+G461*$AC$16+H461*$AC$17+I461*$AC$18+J461*$AC$19+K461*$AC$20+L461*$AC$21+M461*$AC$22+N461*$AC$23+O461*$AC$24+P461*$AC$25+Q461*$AC$26+R461*$AC$27+S461*$AC$28+T461*$AC$29+U461*$AC$30</f>
        <v/>
      </c>
      <c r="W461" s="6">
        <f>1/(1+EXP(-V461))</f>
        <v/>
      </c>
      <c r="X461" s="8">
        <f>-IF(C461=1,LN(W461),LN(1-W461))</f>
        <v/>
      </c>
      <c r="Y461" s="9">
        <f>IF(W461&gt;$AC$32,1,0)</f>
        <v/>
      </c>
      <c r="Z461">
        <f>IF(Y461=C461,1,0)</f>
        <v/>
      </c>
    </row>
    <row r="462">
      <c r="A462">
        <f>'3 escalar'!A465</f>
        <v/>
      </c>
      <c r="B462" s="5">
        <f>'3 escalar'!U465</f>
        <v/>
      </c>
      <c r="C462">
        <f>'3 escalar'!B465</f>
        <v/>
      </c>
      <c r="D462" s="7">
        <f>'3 escalar'!C465</f>
        <v/>
      </c>
      <c r="E462" s="7">
        <f>'3 escalar'!D465</f>
        <v/>
      </c>
      <c r="F462" s="7">
        <f>'3 escalar'!E465</f>
        <v/>
      </c>
      <c r="G462" s="7">
        <f>'3 escalar'!F465</f>
        <v/>
      </c>
      <c r="H462" s="7">
        <f>'3 escalar'!G465</f>
        <v/>
      </c>
      <c r="I462" s="7">
        <f>'3 escalar'!H465</f>
        <v/>
      </c>
      <c r="J462" s="7">
        <f>'3 escalar'!I465</f>
        <v/>
      </c>
      <c r="K462" s="7">
        <f>'3 escalar'!J465</f>
        <v/>
      </c>
      <c r="L462" s="7">
        <f>'3 escalar'!K465</f>
        <v/>
      </c>
      <c r="M462" s="7">
        <f>'3 escalar'!L465</f>
        <v/>
      </c>
      <c r="N462" s="7">
        <f>'3 escalar'!M465</f>
        <v/>
      </c>
      <c r="O462" s="7">
        <f>'3 escalar'!N465</f>
        <v/>
      </c>
      <c r="P462" s="7">
        <f>'3 escalar'!O465</f>
        <v/>
      </c>
      <c r="Q462" s="7">
        <f>'3 escalar'!P465</f>
        <v/>
      </c>
      <c r="R462" s="7">
        <f>'3 escalar'!Q465</f>
        <v/>
      </c>
      <c r="S462" s="7">
        <f>'3 escalar'!R465</f>
        <v/>
      </c>
      <c r="T462" s="7">
        <f>'3 escalar'!S465</f>
        <v/>
      </c>
      <c r="U462" s="7">
        <f>'3 escalar'!T465</f>
        <v/>
      </c>
      <c r="V462" s="6">
        <f>$AC$12+D462*$AC$13+E462*$AC$14+F462*$AC$15+G462*$AC$16+H462*$AC$17+I462*$AC$18+J462*$AC$19+K462*$AC$20+L462*$AC$21+M462*$AC$22+N462*$AC$23+O462*$AC$24+P462*$AC$25+Q462*$AC$26+R462*$AC$27+S462*$AC$28+T462*$AC$29+U462*$AC$30</f>
        <v/>
      </c>
      <c r="W462" s="6">
        <f>1/(1+EXP(-V462))</f>
        <v/>
      </c>
      <c r="X462" s="8">
        <f>-IF(C462=1,LN(W462),LN(1-W462))</f>
        <v/>
      </c>
      <c r="Y462" s="9">
        <f>IF(W462&gt;$AC$32,1,0)</f>
        <v/>
      </c>
      <c r="Z462">
        <f>IF(Y462=C462,1,0)</f>
        <v/>
      </c>
    </row>
    <row r="463">
      <c r="A463">
        <f>'3 escalar'!A466</f>
        <v/>
      </c>
      <c r="B463" s="5">
        <f>'3 escalar'!U466</f>
        <v/>
      </c>
      <c r="C463">
        <f>'3 escalar'!B466</f>
        <v/>
      </c>
      <c r="D463" s="7">
        <f>'3 escalar'!C466</f>
        <v/>
      </c>
      <c r="E463" s="7">
        <f>'3 escalar'!D466</f>
        <v/>
      </c>
      <c r="F463" s="7">
        <f>'3 escalar'!E466</f>
        <v/>
      </c>
      <c r="G463" s="7">
        <f>'3 escalar'!F466</f>
        <v/>
      </c>
      <c r="H463" s="7">
        <f>'3 escalar'!G466</f>
        <v/>
      </c>
      <c r="I463" s="7">
        <f>'3 escalar'!H466</f>
        <v/>
      </c>
      <c r="J463" s="7">
        <f>'3 escalar'!I466</f>
        <v/>
      </c>
      <c r="K463" s="7">
        <f>'3 escalar'!J466</f>
        <v/>
      </c>
      <c r="L463" s="7">
        <f>'3 escalar'!K466</f>
        <v/>
      </c>
      <c r="M463" s="7">
        <f>'3 escalar'!L466</f>
        <v/>
      </c>
      <c r="N463" s="7">
        <f>'3 escalar'!M466</f>
        <v/>
      </c>
      <c r="O463" s="7">
        <f>'3 escalar'!N466</f>
        <v/>
      </c>
      <c r="P463" s="7">
        <f>'3 escalar'!O466</f>
        <v/>
      </c>
      <c r="Q463" s="7">
        <f>'3 escalar'!P466</f>
        <v/>
      </c>
      <c r="R463" s="7">
        <f>'3 escalar'!Q466</f>
        <v/>
      </c>
      <c r="S463" s="7">
        <f>'3 escalar'!R466</f>
        <v/>
      </c>
      <c r="T463" s="7">
        <f>'3 escalar'!S466</f>
        <v/>
      </c>
      <c r="U463" s="7">
        <f>'3 escalar'!T466</f>
        <v/>
      </c>
      <c r="V463" s="6">
        <f>$AC$12+D463*$AC$13+E463*$AC$14+F463*$AC$15+G463*$AC$16+H463*$AC$17+I463*$AC$18+J463*$AC$19+K463*$AC$20+L463*$AC$21+M463*$AC$22+N463*$AC$23+O463*$AC$24+P463*$AC$25+Q463*$AC$26+R463*$AC$27+S463*$AC$28+T463*$AC$29+U463*$AC$30</f>
        <v/>
      </c>
      <c r="W463" s="6">
        <f>1/(1+EXP(-V463))</f>
        <v/>
      </c>
      <c r="X463" s="8">
        <f>-IF(C463=1,LN(W463),LN(1-W463))</f>
        <v/>
      </c>
      <c r="Y463" s="9">
        <f>IF(W463&gt;$AC$32,1,0)</f>
        <v/>
      </c>
      <c r="Z463">
        <f>IF(Y463=C463,1,0)</f>
        <v/>
      </c>
    </row>
    <row r="464">
      <c r="A464">
        <f>'3 escalar'!A467</f>
        <v/>
      </c>
      <c r="B464" s="5">
        <f>'3 escalar'!U467</f>
        <v/>
      </c>
      <c r="C464">
        <f>'3 escalar'!B467</f>
        <v/>
      </c>
      <c r="D464" s="7">
        <f>'3 escalar'!C467</f>
        <v/>
      </c>
      <c r="E464" s="7">
        <f>'3 escalar'!D467</f>
        <v/>
      </c>
      <c r="F464" s="7">
        <f>'3 escalar'!E467</f>
        <v/>
      </c>
      <c r="G464" s="7">
        <f>'3 escalar'!F467</f>
        <v/>
      </c>
      <c r="H464" s="7">
        <f>'3 escalar'!G467</f>
        <v/>
      </c>
      <c r="I464" s="7">
        <f>'3 escalar'!H467</f>
        <v/>
      </c>
      <c r="J464" s="7">
        <f>'3 escalar'!I467</f>
        <v/>
      </c>
      <c r="K464" s="7">
        <f>'3 escalar'!J467</f>
        <v/>
      </c>
      <c r="L464" s="7">
        <f>'3 escalar'!K467</f>
        <v/>
      </c>
      <c r="M464" s="7">
        <f>'3 escalar'!L467</f>
        <v/>
      </c>
      <c r="N464" s="7">
        <f>'3 escalar'!M467</f>
        <v/>
      </c>
      <c r="O464" s="7">
        <f>'3 escalar'!N467</f>
        <v/>
      </c>
      <c r="P464" s="7">
        <f>'3 escalar'!O467</f>
        <v/>
      </c>
      <c r="Q464" s="7">
        <f>'3 escalar'!P467</f>
        <v/>
      </c>
      <c r="R464" s="7">
        <f>'3 escalar'!Q467</f>
        <v/>
      </c>
      <c r="S464" s="7">
        <f>'3 escalar'!R467</f>
        <v/>
      </c>
      <c r="T464" s="7">
        <f>'3 escalar'!S467</f>
        <v/>
      </c>
      <c r="U464" s="7">
        <f>'3 escalar'!T467</f>
        <v/>
      </c>
      <c r="V464" s="6">
        <f>$AC$12+D464*$AC$13+E464*$AC$14+F464*$AC$15+G464*$AC$16+H464*$AC$17+I464*$AC$18+J464*$AC$19+K464*$AC$20+L464*$AC$21+M464*$AC$22+N464*$AC$23+O464*$AC$24+P464*$AC$25+Q464*$AC$26+R464*$AC$27+S464*$AC$28+T464*$AC$29+U464*$AC$30</f>
        <v/>
      </c>
      <c r="W464" s="6">
        <f>1/(1+EXP(-V464))</f>
        <v/>
      </c>
      <c r="X464" s="8">
        <f>-IF(C464=1,LN(W464),LN(1-W464))</f>
        <v/>
      </c>
      <c r="Y464" s="9">
        <f>IF(W464&gt;$AC$32,1,0)</f>
        <v/>
      </c>
      <c r="Z464">
        <f>IF(Y464=C464,1,0)</f>
        <v/>
      </c>
    </row>
    <row r="465">
      <c r="A465">
        <f>'3 escalar'!A468</f>
        <v/>
      </c>
      <c r="B465" s="5">
        <f>'3 escalar'!U468</f>
        <v/>
      </c>
      <c r="C465">
        <f>'3 escalar'!B468</f>
        <v/>
      </c>
      <c r="D465" s="7">
        <f>'3 escalar'!C468</f>
        <v/>
      </c>
      <c r="E465" s="7">
        <f>'3 escalar'!D468</f>
        <v/>
      </c>
      <c r="F465" s="7">
        <f>'3 escalar'!E468</f>
        <v/>
      </c>
      <c r="G465" s="7">
        <f>'3 escalar'!F468</f>
        <v/>
      </c>
      <c r="H465" s="7">
        <f>'3 escalar'!G468</f>
        <v/>
      </c>
      <c r="I465" s="7">
        <f>'3 escalar'!H468</f>
        <v/>
      </c>
      <c r="J465" s="7">
        <f>'3 escalar'!I468</f>
        <v/>
      </c>
      <c r="K465" s="7">
        <f>'3 escalar'!J468</f>
        <v/>
      </c>
      <c r="L465" s="7">
        <f>'3 escalar'!K468</f>
        <v/>
      </c>
      <c r="M465" s="7">
        <f>'3 escalar'!L468</f>
        <v/>
      </c>
      <c r="N465" s="7">
        <f>'3 escalar'!M468</f>
        <v/>
      </c>
      <c r="O465" s="7">
        <f>'3 escalar'!N468</f>
        <v/>
      </c>
      <c r="P465" s="7">
        <f>'3 escalar'!O468</f>
        <v/>
      </c>
      <c r="Q465" s="7">
        <f>'3 escalar'!P468</f>
        <v/>
      </c>
      <c r="R465" s="7">
        <f>'3 escalar'!Q468</f>
        <v/>
      </c>
      <c r="S465" s="7">
        <f>'3 escalar'!R468</f>
        <v/>
      </c>
      <c r="T465" s="7">
        <f>'3 escalar'!S468</f>
        <v/>
      </c>
      <c r="U465" s="7">
        <f>'3 escalar'!T468</f>
        <v/>
      </c>
      <c r="V465" s="6">
        <f>$AC$12+D465*$AC$13+E465*$AC$14+F465*$AC$15+G465*$AC$16+H465*$AC$17+I465*$AC$18+J465*$AC$19+K465*$AC$20+L465*$AC$21+M465*$AC$22+N465*$AC$23+O465*$AC$24+P465*$AC$25+Q465*$AC$26+R465*$AC$27+S465*$AC$28+T465*$AC$29+U465*$AC$30</f>
        <v/>
      </c>
      <c r="W465" s="6">
        <f>1/(1+EXP(-V465))</f>
        <v/>
      </c>
      <c r="X465" s="8">
        <f>-IF(C465=1,LN(W465),LN(1-W465))</f>
        <v/>
      </c>
      <c r="Y465" s="9">
        <f>IF(W465&gt;$AC$32,1,0)</f>
        <v/>
      </c>
      <c r="Z465">
        <f>IF(Y465=C465,1,0)</f>
        <v/>
      </c>
    </row>
    <row r="466">
      <c r="A466">
        <f>'3 escalar'!A469</f>
        <v/>
      </c>
      <c r="B466" s="5">
        <f>'3 escalar'!U469</f>
        <v/>
      </c>
      <c r="C466">
        <f>'3 escalar'!B469</f>
        <v/>
      </c>
      <c r="D466" s="7">
        <f>'3 escalar'!C469</f>
        <v/>
      </c>
      <c r="E466" s="7">
        <f>'3 escalar'!D469</f>
        <v/>
      </c>
      <c r="F466" s="7">
        <f>'3 escalar'!E469</f>
        <v/>
      </c>
      <c r="G466" s="7">
        <f>'3 escalar'!F469</f>
        <v/>
      </c>
      <c r="H466" s="7">
        <f>'3 escalar'!G469</f>
        <v/>
      </c>
      <c r="I466" s="7">
        <f>'3 escalar'!H469</f>
        <v/>
      </c>
      <c r="J466" s="7">
        <f>'3 escalar'!I469</f>
        <v/>
      </c>
      <c r="K466" s="7">
        <f>'3 escalar'!J469</f>
        <v/>
      </c>
      <c r="L466" s="7">
        <f>'3 escalar'!K469</f>
        <v/>
      </c>
      <c r="M466" s="7">
        <f>'3 escalar'!L469</f>
        <v/>
      </c>
      <c r="N466" s="7">
        <f>'3 escalar'!M469</f>
        <v/>
      </c>
      <c r="O466" s="7">
        <f>'3 escalar'!N469</f>
        <v/>
      </c>
      <c r="P466" s="7">
        <f>'3 escalar'!O469</f>
        <v/>
      </c>
      <c r="Q466" s="7">
        <f>'3 escalar'!P469</f>
        <v/>
      </c>
      <c r="R466" s="7">
        <f>'3 escalar'!Q469</f>
        <v/>
      </c>
      <c r="S466" s="7">
        <f>'3 escalar'!R469</f>
        <v/>
      </c>
      <c r="T466" s="7">
        <f>'3 escalar'!S469</f>
        <v/>
      </c>
      <c r="U466" s="7">
        <f>'3 escalar'!T469</f>
        <v/>
      </c>
      <c r="V466" s="6">
        <f>$AC$12+D466*$AC$13+E466*$AC$14+F466*$AC$15+G466*$AC$16+H466*$AC$17+I466*$AC$18+J466*$AC$19+K466*$AC$20+L466*$AC$21+M466*$AC$22+N466*$AC$23+O466*$AC$24+P466*$AC$25+Q466*$AC$26+R466*$AC$27+S466*$AC$28+T466*$AC$29+U466*$AC$30</f>
        <v/>
      </c>
      <c r="W466" s="6">
        <f>1/(1+EXP(-V466))</f>
        <v/>
      </c>
      <c r="X466" s="8">
        <f>-IF(C466=1,LN(W466),LN(1-W466))</f>
        <v/>
      </c>
      <c r="Y466" s="9">
        <f>IF(W466&gt;$AC$32,1,0)</f>
        <v/>
      </c>
      <c r="Z466">
        <f>IF(Y466=C466,1,0)</f>
        <v/>
      </c>
    </row>
    <row r="467">
      <c r="A467">
        <f>'3 escalar'!A470</f>
        <v/>
      </c>
      <c r="B467" s="5">
        <f>'3 escalar'!U470</f>
        <v/>
      </c>
      <c r="C467">
        <f>'3 escalar'!B470</f>
        <v/>
      </c>
      <c r="D467" s="7">
        <f>'3 escalar'!C470</f>
        <v/>
      </c>
      <c r="E467" s="7">
        <f>'3 escalar'!D470</f>
        <v/>
      </c>
      <c r="F467" s="7">
        <f>'3 escalar'!E470</f>
        <v/>
      </c>
      <c r="G467" s="7">
        <f>'3 escalar'!F470</f>
        <v/>
      </c>
      <c r="H467" s="7">
        <f>'3 escalar'!G470</f>
        <v/>
      </c>
      <c r="I467" s="7">
        <f>'3 escalar'!H470</f>
        <v/>
      </c>
      <c r="J467" s="7">
        <f>'3 escalar'!I470</f>
        <v/>
      </c>
      <c r="K467" s="7">
        <f>'3 escalar'!J470</f>
        <v/>
      </c>
      <c r="L467" s="7">
        <f>'3 escalar'!K470</f>
        <v/>
      </c>
      <c r="M467" s="7">
        <f>'3 escalar'!L470</f>
        <v/>
      </c>
      <c r="N467" s="7">
        <f>'3 escalar'!M470</f>
        <v/>
      </c>
      <c r="O467" s="7">
        <f>'3 escalar'!N470</f>
        <v/>
      </c>
      <c r="P467" s="7">
        <f>'3 escalar'!O470</f>
        <v/>
      </c>
      <c r="Q467" s="7">
        <f>'3 escalar'!P470</f>
        <v/>
      </c>
      <c r="R467" s="7">
        <f>'3 escalar'!Q470</f>
        <v/>
      </c>
      <c r="S467" s="7">
        <f>'3 escalar'!R470</f>
        <v/>
      </c>
      <c r="T467" s="7">
        <f>'3 escalar'!S470</f>
        <v/>
      </c>
      <c r="U467" s="7">
        <f>'3 escalar'!T470</f>
        <v/>
      </c>
      <c r="V467" s="6">
        <f>$AC$12+D467*$AC$13+E467*$AC$14+F467*$AC$15+G467*$AC$16+H467*$AC$17+I467*$AC$18+J467*$AC$19+K467*$AC$20+L467*$AC$21+M467*$AC$22+N467*$AC$23+O467*$AC$24+P467*$AC$25+Q467*$AC$26+R467*$AC$27+S467*$AC$28+T467*$AC$29+U467*$AC$30</f>
        <v/>
      </c>
      <c r="W467" s="6">
        <f>1/(1+EXP(-V467))</f>
        <v/>
      </c>
      <c r="X467" s="8">
        <f>-IF(C467=1,LN(W467),LN(1-W467))</f>
        <v/>
      </c>
      <c r="Y467" s="9">
        <f>IF(W467&gt;$AC$32,1,0)</f>
        <v/>
      </c>
      <c r="Z467">
        <f>IF(Y467=C467,1,0)</f>
        <v/>
      </c>
    </row>
    <row r="468">
      <c r="A468">
        <f>'3 escalar'!A471</f>
        <v/>
      </c>
      <c r="B468" s="5">
        <f>'3 escalar'!U471</f>
        <v/>
      </c>
      <c r="C468">
        <f>'3 escalar'!B471</f>
        <v/>
      </c>
      <c r="D468" s="7">
        <f>'3 escalar'!C471</f>
        <v/>
      </c>
      <c r="E468" s="7">
        <f>'3 escalar'!D471</f>
        <v/>
      </c>
      <c r="F468" s="7">
        <f>'3 escalar'!E471</f>
        <v/>
      </c>
      <c r="G468" s="7">
        <f>'3 escalar'!F471</f>
        <v/>
      </c>
      <c r="H468" s="7">
        <f>'3 escalar'!G471</f>
        <v/>
      </c>
      <c r="I468" s="7">
        <f>'3 escalar'!H471</f>
        <v/>
      </c>
      <c r="J468" s="7">
        <f>'3 escalar'!I471</f>
        <v/>
      </c>
      <c r="K468" s="7">
        <f>'3 escalar'!J471</f>
        <v/>
      </c>
      <c r="L468" s="7">
        <f>'3 escalar'!K471</f>
        <v/>
      </c>
      <c r="M468" s="7">
        <f>'3 escalar'!L471</f>
        <v/>
      </c>
      <c r="N468" s="7">
        <f>'3 escalar'!M471</f>
        <v/>
      </c>
      <c r="O468" s="7">
        <f>'3 escalar'!N471</f>
        <v/>
      </c>
      <c r="P468" s="7">
        <f>'3 escalar'!O471</f>
        <v/>
      </c>
      <c r="Q468" s="7">
        <f>'3 escalar'!P471</f>
        <v/>
      </c>
      <c r="R468" s="7">
        <f>'3 escalar'!Q471</f>
        <v/>
      </c>
      <c r="S468" s="7">
        <f>'3 escalar'!R471</f>
        <v/>
      </c>
      <c r="T468" s="7">
        <f>'3 escalar'!S471</f>
        <v/>
      </c>
      <c r="U468" s="7">
        <f>'3 escalar'!T471</f>
        <v/>
      </c>
      <c r="V468" s="6">
        <f>$AC$12+D468*$AC$13+E468*$AC$14+F468*$AC$15+G468*$AC$16+H468*$AC$17+I468*$AC$18+J468*$AC$19+K468*$AC$20+L468*$AC$21+M468*$AC$22+N468*$AC$23+O468*$AC$24+P468*$AC$25+Q468*$AC$26+R468*$AC$27+S468*$AC$28+T468*$AC$29+U468*$AC$30</f>
        <v/>
      </c>
      <c r="W468" s="6">
        <f>1/(1+EXP(-V468))</f>
        <v/>
      </c>
      <c r="X468" s="8">
        <f>-IF(C468=1,LN(W468),LN(1-W468))</f>
        <v/>
      </c>
      <c r="Y468" s="9">
        <f>IF(W468&gt;$AC$32,1,0)</f>
        <v/>
      </c>
      <c r="Z468">
        <f>IF(Y468=C468,1,0)</f>
        <v/>
      </c>
    </row>
    <row r="469">
      <c r="A469">
        <f>'3 escalar'!A472</f>
        <v/>
      </c>
      <c r="B469" s="5">
        <f>'3 escalar'!U472</f>
        <v/>
      </c>
      <c r="C469">
        <f>'3 escalar'!B472</f>
        <v/>
      </c>
      <c r="D469" s="7">
        <f>'3 escalar'!C472</f>
        <v/>
      </c>
      <c r="E469" s="7">
        <f>'3 escalar'!D472</f>
        <v/>
      </c>
      <c r="F469" s="7">
        <f>'3 escalar'!E472</f>
        <v/>
      </c>
      <c r="G469" s="7">
        <f>'3 escalar'!F472</f>
        <v/>
      </c>
      <c r="H469" s="7">
        <f>'3 escalar'!G472</f>
        <v/>
      </c>
      <c r="I469" s="7">
        <f>'3 escalar'!H472</f>
        <v/>
      </c>
      <c r="J469" s="7">
        <f>'3 escalar'!I472</f>
        <v/>
      </c>
      <c r="K469" s="7">
        <f>'3 escalar'!J472</f>
        <v/>
      </c>
      <c r="L469" s="7">
        <f>'3 escalar'!K472</f>
        <v/>
      </c>
      <c r="M469" s="7">
        <f>'3 escalar'!L472</f>
        <v/>
      </c>
      <c r="N469" s="7">
        <f>'3 escalar'!M472</f>
        <v/>
      </c>
      <c r="O469" s="7">
        <f>'3 escalar'!N472</f>
        <v/>
      </c>
      <c r="P469" s="7">
        <f>'3 escalar'!O472</f>
        <v/>
      </c>
      <c r="Q469" s="7">
        <f>'3 escalar'!P472</f>
        <v/>
      </c>
      <c r="R469" s="7">
        <f>'3 escalar'!Q472</f>
        <v/>
      </c>
      <c r="S469" s="7">
        <f>'3 escalar'!R472</f>
        <v/>
      </c>
      <c r="T469" s="7">
        <f>'3 escalar'!S472</f>
        <v/>
      </c>
      <c r="U469" s="7">
        <f>'3 escalar'!T472</f>
        <v/>
      </c>
      <c r="V469" s="6">
        <f>$AC$12+D469*$AC$13+E469*$AC$14+F469*$AC$15+G469*$AC$16+H469*$AC$17+I469*$AC$18+J469*$AC$19+K469*$AC$20+L469*$AC$21+M469*$AC$22+N469*$AC$23+O469*$AC$24+P469*$AC$25+Q469*$AC$26+R469*$AC$27+S469*$AC$28+T469*$AC$29+U469*$AC$30</f>
        <v/>
      </c>
      <c r="W469" s="6">
        <f>1/(1+EXP(-V469))</f>
        <v/>
      </c>
      <c r="X469" s="8">
        <f>-IF(C469=1,LN(W469),LN(1-W469))</f>
        <v/>
      </c>
      <c r="Y469" s="9">
        <f>IF(W469&gt;$AC$32,1,0)</f>
        <v/>
      </c>
      <c r="Z469">
        <f>IF(Y469=C469,1,0)</f>
        <v/>
      </c>
    </row>
    <row r="470">
      <c r="A470">
        <f>'3 escalar'!A473</f>
        <v/>
      </c>
      <c r="B470" s="5">
        <f>'3 escalar'!U473</f>
        <v/>
      </c>
      <c r="C470">
        <f>'3 escalar'!B473</f>
        <v/>
      </c>
      <c r="D470" s="7">
        <f>'3 escalar'!C473</f>
        <v/>
      </c>
      <c r="E470" s="7">
        <f>'3 escalar'!D473</f>
        <v/>
      </c>
      <c r="F470" s="7">
        <f>'3 escalar'!E473</f>
        <v/>
      </c>
      <c r="G470" s="7">
        <f>'3 escalar'!F473</f>
        <v/>
      </c>
      <c r="H470" s="7">
        <f>'3 escalar'!G473</f>
        <v/>
      </c>
      <c r="I470" s="7">
        <f>'3 escalar'!H473</f>
        <v/>
      </c>
      <c r="J470" s="7">
        <f>'3 escalar'!I473</f>
        <v/>
      </c>
      <c r="K470" s="7">
        <f>'3 escalar'!J473</f>
        <v/>
      </c>
      <c r="L470" s="7">
        <f>'3 escalar'!K473</f>
        <v/>
      </c>
      <c r="M470" s="7">
        <f>'3 escalar'!L473</f>
        <v/>
      </c>
      <c r="N470" s="7">
        <f>'3 escalar'!M473</f>
        <v/>
      </c>
      <c r="O470" s="7">
        <f>'3 escalar'!N473</f>
        <v/>
      </c>
      <c r="P470" s="7">
        <f>'3 escalar'!O473</f>
        <v/>
      </c>
      <c r="Q470" s="7">
        <f>'3 escalar'!P473</f>
        <v/>
      </c>
      <c r="R470" s="7">
        <f>'3 escalar'!Q473</f>
        <v/>
      </c>
      <c r="S470" s="7">
        <f>'3 escalar'!R473</f>
        <v/>
      </c>
      <c r="T470" s="7">
        <f>'3 escalar'!S473</f>
        <v/>
      </c>
      <c r="U470" s="7">
        <f>'3 escalar'!T473</f>
        <v/>
      </c>
      <c r="V470" s="6">
        <f>$AC$12+D470*$AC$13+E470*$AC$14+F470*$AC$15+G470*$AC$16+H470*$AC$17+I470*$AC$18+J470*$AC$19+K470*$AC$20+L470*$AC$21+M470*$AC$22+N470*$AC$23+O470*$AC$24+P470*$AC$25+Q470*$AC$26+R470*$AC$27+S470*$AC$28+T470*$AC$29+U470*$AC$30</f>
        <v/>
      </c>
      <c r="W470" s="6">
        <f>1/(1+EXP(-V470))</f>
        <v/>
      </c>
      <c r="X470" s="8">
        <f>-IF(C470=1,LN(W470),LN(1-W470))</f>
        <v/>
      </c>
      <c r="Y470" s="9">
        <f>IF(W470&gt;$AC$32,1,0)</f>
        <v/>
      </c>
      <c r="Z470">
        <f>IF(Y470=C470,1,0)</f>
        <v/>
      </c>
    </row>
    <row r="471">
      <c r="A471">
        <f>'3 escalar'!A474</f>
        <v/>
      </c>
      <c r="B471" s="5">
        <f>'3 escalar'!U474</f>
        <v/>
      </c>
      <c r="C471">
        <f>'3 escalar'!B474</f>
        <v/>
      </c>
      <c r="D471" s="7">
        <f>'3 escalar'!C474</f>
        <v/>
      </c>
      <c r="E471" s="7">
        <f>'3 escalar'!D474</f>
        <v/>
      </c>
      <c r="F471" s="7">
        <f>'3 escalar'!E474</f>
        <v/>
      </c>
      <c r="G471" s="7">
        <f>'3 escalar'!F474</f>
        <v/>
      </c>
      <c r="H471" s="7">
        <f>'3 escalar'!G474</f>
        <v/>
      </c>
      <c r="I471" s="7">
        <f>'3 escalar'!H474</f>
        <v/>
      </c>
      <c r="J471" s="7">
        <f>'3 escalar'!I474</f>
        <v/>
      </c>
      <c r="K471" s="7">
        <f>'3 escalar'!J474</f>
        <v/>
      </c>
      <c r="L471" s="7">
        <f>'3 escalar'!K474</f>
        <v/>
      </c>
      <c r="M471" s="7">
        <f>'3 escalar'!L474</f>
        <v/>
      </c>
      <c r="N471" s="7">
        <f>'3 escalar'!M474</f>
        <v/>
      </c>
      <c r="O471" s="7">
        <f>'3 escalar'!N474</f>
        <v/>
      </c>
      <c r="P471" s="7">
        <f>'3 escalar'!O474</f>
        <v/>
      </c>
      <c r="Q471" s="7">
        <f>'3 escalar'!P474</f>
        <v/>
      </c>
      <c r="R471" s="7">
        <f>'3 escalar'!Q474</f>
        <v/>
      </c>
      <c r="S471" s="7">
        <f>'3 escalar'!R474</f>
        <v/>
      </c>
      <c r="T471" s="7">
        <f>'3 escalar'!S474</f>
        <v/>
      </c>
      <c r="U471" s="7">
        <f>'3 escalar'!T474</f>
        <v/>
      </c>
      <c r="V471" s="6">
        <f>$AC$12+D471*$AC$13+E471*$AC$14+F471*$AC$15+G471*$AC$16+H471*$AC$17+I471*$AC$18+J471*$AC$19+K471*$AC$20+L471*$AC$21+M471*$AC$22+N471*$AC$23+O471*$AC$24+P471*$AC$25+Q471*$AC$26+R471*$AC$27+S471*$AC$28+T471*$AC$29+U471*$AC$30</f>
        <v/>
      </c>
      <c r="W471" s="6">
        <f>1/(1+EXP(-V471))</f>
        <v/>
      </c>
      <c r="X471" s="8">
        <f>-IF(C471=1,LN(W471),LN(1-W471))</f>
        <v/>
      </c>
      <c r="Y471" s="9">
        <f>IF(W471&gt;$AC$32,1,0)</f>
        <v/>
      </c>
      <c r="Z471">
        <f>IF(Y471=C471,1,0)</f>
        <v/>
      </c>
    </row>
    <row r="472">
      <c r="A472">
        <f>'3 escalar'!A475</f>
        <v/>
      </c>
      <c r="B472" s="5">
        <f>'3 escalar'!U475</f>
        <v/>
      </c>
      <c r="C472">
        <f>'3 escalar'!B475</f>
        <v/>
      </c>
      <c r="D472" s="7">
        <f>'3 escalar'!C475</f>
        <v/>
      </c>
      <c r="E472" s="7">
        <f>'3 escalar'!D475</f>
        <v/>
      </c>
      <c r="F472" s="7">
        <f>'3 escalar'!E475</f>
        <v/>
      </c>
      <c r="G472" s="7">
        <f>'3 escalar'!F475</f>
        <v/>
      </c>
      <c r="H472" s="7">
        <f>'3 escalar'!G475</f>
        <v/>
      </c>
      <c r="I472" s="7">
        <f>'3 escalar'!H475</f>
        <v/>
      </c>
      <c r="J472" s="7">
        <f>'3 escalar'!I475</f>
        <v/>
      </c>
      <c r="K472" s="7">
        <f>'3 escalar'!J475</f>
        <v/>
      </c>
      <c r="L472" s="7">
        <f>'3 escalar'!K475</f>
        <v/>
      </c>
      <c r="M472" s="7">
        <f>'3 escalar'!L475</f>
        <v/>
      </c>
      <c r="N472" s="7">
        <f>'3 escalar'!M475</f>
        <v/>
      </c>
      <c r="O472" s="7">
        <f>'3 escalar'!N475</f>
        <v/>
      </c>
      <c r="P472" s="7">
        <f>'3 escalar'!O475</f>
        <v/>
      </c>
      <c r="Q472" s="7">
        <f>'3 escalar'!P475</f>
        <v/>
      </c>
      <c r="R472" s="7">
        <f>'3 escalar'!Q475</f>
        <v/>
      </c>
      <c r="S472" s="7">
        <f>'3 escalar'!R475</f>
        <v/>
      </c>
      <c r="T472" s="7">
        <f>'3 escalar'!S475</f>
        <v/>
      </c>
      <c r="U472" s="7">
        <f>'3 escalar'!T475</f>
        <v/>
      </c>
      <c r="V472" s="6">
        <f>$AC$12+D472*$AC$13+E472*$AC$14+F472*$AC$15+G472*$AC$16+H472*$AC$17+I472*$AC$18+J472*$AC$19+K472*$AC$20+L472*$AC$21+M472*$AC$22+N472*$AC$23+O472*$AC$24+P472*$AC$25+Q472*$AC$26+R472*$AC$27+S472*$AC$28+T472*$AC$29+U472*$AC$30</f>
        <v/>
      </c>
      <c r="W472" s="6">
        <f>1/(1+EXP(-V472))</f>
        <v/>
      </c>
      <c r="X472" s="8">
        <f>-IF(C472=1,LN(W472),LN(1-W472))</f>
        <v/>
      </c>
      <c r="Y472" s="9">
        <f>IF(W472&gt;$AC$32,1,0)</f>
        <v/>
      </c>
      <c r="Z472">
        <f>IF(Y472=C472,1,0)</f>
        <v/>
      </c>
    </row>
    <row r="473">
      <c r="A473">
        <f>'3 escalar'!A476</f>
        <v/>
      </c>
      <c r="B473" s="5">
        <f>'3 escalar'!U476</f>
        <v/>
      </c>
      <c r="C473">
        <f>'3 escalar'!B476</f>
        <v/>
      </c>
      <c r="D473" s="7">
        <f>'3 escalar'!C476</f>
        <v/>
      </c>
      <c r="E473" s="7">
        <f>'3 escalar'!D476</f>
        <v/>
      </c>
      <c r="F473" s="7">
        <f>'3 escalar'!E476</f>
        <v/>
      </c>
      <c r="G473" s="7">
        <f>'3 escalar'!F476</f>
        <v/>
      </c>
      <c r="H473" s="7">
        <f>'3 escalar'!G476</f>
        <v/>
      </c>
      <c r="I473" s="7">
        <f>'3 escalar'!H476</f>
        <v/>
      </c>
      <c r="J473" s="7">
        <f>'3 escalar'!I476</f>
        <v/>
      </c>
      <c r="K473" s="7">
        <f>'3 escalar'!J476</f>
        <v/>
      </c>
      <c r="L473" s="7">
        <f>'3 escalar'!K476</f>
        <v/>
      </c>
      <c r="M473" s="7">
        <f>'3 escalar'!L476</f>
        <v/>
      </c>
      <c r="N473" s="7">
        <f>'3 escalar'!M476</f>
        <v/>
      </c>
      <c r="O473" s="7">
        <f>'3 escalar'!N476</f>
        <v/>
      </c>
      <c r="P473" s="7">
        <f>'3 escalar'!O476</f>
        <v/>
      </c>
      <c r="Q473" s="7">
        <f>'3 escalar'!P476</f>
        <v/>
      </c>
      <c r="R473" s="7">
        <f>'3 escalar'!Q476</f>
        <v/>
      </c>
      <c r="S473" s="7">
        <f>'3 escalar'!R476</f>
        <v/>
      </c>
      <c r="T473" s="7">
        <f>'3 escalar'!S476</f>
        <v/>
      </c>
      <c r="U473" s="7">
        <f>'3 escalar'!T476</f>
        <v/>
      </c>
      <c r="V473" s="6">
        <f>$AC$12+D473*$AC$13+E473*$AC$14+F473*$AC$15+G473*$AC$16+H473*$AC$17+I473*$AC$18+J473*$AC$19+K473*$AC$20+L473*$AC$21+M473*$AC$22+N473*$AC$23+O473*$AC$24+P473*$AC$25+Q473*$AC$26+R473*$AC$27+S473*$AC$28+T473*$AC$29+U473*$AC$30</f>
        <v/>
      </c>
      <c r="W473" s="6">
        <f>1/(1+EXP(-V473))</f>
        <v/>
      </c>
      <c r="X473" s="8">
        <f>-IF(C473=1,LN(W473),LN(1-W473))</f>
        <v/>
      </c>
      <c r="Y473" s="9">
        <f>IF(W473&gt;$AC$32,1,0)</f>
        <v/>
      </c>
      <c r="Z473">
        <f>IF(Y473=C473,1,0)</f>
        <v/>
      </c>
    </row>
    <row r="474">
      <c r="A474">
        <f>'3 escalar'!A477</f>
        <v/>
      </c>
      <c r="B474" s="5">
        <f>'3 escalar'!U477</f>
        <v/>
      </c>
      <c r="C474">
        <f>'3 escalar'!B477</f>
        <v/>
      </c>
      <c r="D474" s="7">
        <f>'3 escalar'!C477</f>
        <v/>
      </c>
      <c r="E474" s="7">
        <f>'3 escalar'!D477</f>
        <v/>
      </c>
      <c r="F474" s="7">
        <f>'3 escalar'!E477</f>
        <v/>
      </c>
      <c r="G474" s="7">
        <f>'3 escalar'!F477</f>
        <v/>
      </c>
      <c r="H474" s="7">
        <f>'3 escalar'!G477</f>
        <v/>
      </c>
      <c r="I474" s="7">
        <f>'3 escalar'!H477</f>
        <v/>
      </c>
      <c r="J474" s="7">
        <f>'3 escalar'!I477</f>
        <v/>
      </c>
      <c r="K474" s="7">
        <f>'3 escalar'!J477</f>
        <v/>
      </c>
      <c r="L474" s="7">
        <f>'3 escalar'!K477</f>
        <v/>
      </c>
      <c r="M474" s="7">
        <f>'3 escalar'!L477</f>
        <v/>
      </c>
      <c r="N474" s="7">
        <f>'3 escalar'!M477</f>
        <v/>
      </c>
      <c r="O474" s="7">
        <f>'3 escalar'!N477</f>
        <v/>
      </c>
      <c r="P474" s="7">
        <f>'3 escalar'!O477</f>
        <v/>
      </c>
      <c r="Q474" s="7">
        <f>'3 escalar'!P477</f>
        <v/>
      </c>
      <c r="R474" s="7">
        <f>'3 escalar'!Q477</f>
        <v/>
      </c>
      <c r="S474" s="7">
        <f>'3 escalar'!R477</f>
        <v/>
      </c>
      <c r="T474" s="7">
        <f>'3 escalar'!S477</f>
        <v/>
      </c>
      <c r="U474" s="7">
        <f>'3 escalar'!T477</f>
        <v/>
      </c>
      <c r="V474" s="6">
        <f>$AC$12+D474*$AC$13+E474*$AC$14+F474*$AC$15+G474*$AC$16+H474*$AC$17+I474*$AC$18+J474*$AC$19+K474*$AC$20+L474*$AC$21+M474*$AC$22+N474*$AC$23+O474*$AC$24+P474*$AC$25+Q474*$AC$26+R474*$AC$27+S474*$AC$28+T474*$AC$29+U474*$AC$30</f>
        <v/>
      </c>
      <c r="W474" s="6">
        <f>1/(1+EXP(-V474))</f>
        <v/>
      </c>
      <c r="X474" s="8">
        <f>-IF(C474=1,LN(W474),LN(1-W474))</f>
        <v/>
      </c>
      <c r="Y474" s="9">
        <f>IF(W474&gt;$AC$32,1,0)</f>
        <v/>
      </c>
      <c r="Z474">
        <f>IF(Y474=C474,1,0)</f>
        <v/>
      </c>
    </row>
    <row r="475">
      <c r="A475">
        <f>'3 escalar'!A478</f>
        <v/>
      </c>
      <c r="B475" s="5">
        <f>'3 escalar'!U478</f>
        <v/>
      </c>
      <c r="C475">
        <f>'3 escalar'!B478</f>
        <v/>
      </c>
      <c r="D475" s="7">
        <f>'3 escalar'!C478</f>
        <v/>
      </c>
      <c r="E475" s="7">
        <f>'3 escalar'!D478</f>
        <v/>
      </c>
      <c r="F475" s="7">
        <f>'3 escalar'!E478</f>
        <v/>
      </c>
      <c r="G475" s="7">
        <f>'3 escalar'!F478</f>
        <v/>
      </c>
      <c r="H475" s="7">
        <f>'3 escalar'!G478</f>
        <v/>
      </c>
      <c r="I475" s="7">
        <f>'3 escalar'!H478</f>
        <v/>
      </c>
      <c r="J475" s="7">
        <f>'3 escalar'!I478</f>
        <v/>
      </c>
      <c r="K475" s="7">
        <f>'3 escalar'!J478</f>
        <v/>
      </c>
      <c r="L475" s="7">
        <f>'3 escalar'!K478</f>
        <v/>
      </c>
      <c r="M475" s="7">
        <f>'3 escalar'!L478</f>
        <v/>
      </c>
      <c r="N475" s="7">
        <f>'3 escalar'!M478</f>
        <v/>
      </c>
      <c r="O475" s="7">
        <f>'3 escalar'!N478</f>
        <v/>
      </c>
      <c r="P475" s="7">
        <f>'3 escalar'!O478</f>
        <v/>
      </c>
      <c r="Q475" s="7">
        <f>'3 escalar'!P478</f>
        <v/>
      </c>
      <c r="R475" s="7">
        <f>'3 escalar'!Q478</f>
        <v/>
      </c>
      <c r="S475" s="7">
        <f>'3 escalar'!R478</f>
        <v/>
      </c>
      <c r="T475" s="7">
        <f>'3 escalar'!S478</f>
        <v/>
      </c>
      <c r="U475" s="7">
        <f>'3 escalar'!T478</f>
        <v/>
      </c>
      <c r="V475" s="6">
        <f>$AC$12+D475*$AC$13+E475*$AC$14+F475*$AC$15+G475*$AC$16+H475*$AC$17+I475*$AC$18+J475*$AC$19+K475*$AC$20+L475*$AC$21+M475*$AC$22+N475*$AC$23+O475*$AC$24+P475*$AC$25+Q475*$AC$26+R475*$AC$27+S475*$AC$28+T475*$AC$29+U475*$AC$30</f>
        <v/>
      </c>
      <c r="W475" s="6">
        <f>1/(1+EXP(-V475))</f>
        <v/>
      </c>
      <c r="X475" s="8">
        <f>-IF(C475=1,LN(W475),LN(1-W475))</f>
        <v/>
      </c>
      <c r="Y475" s="9">
        <f>IF(W475&gt;$AC$32,1,0)</f>
        <v/>
      </c>
      <c r="Z475">
        <f>IF(Y475=C475,1,0)</f>
        <v/>
      </c>
    </row>
    <row r="476">
      <c r="A476">
        <f>'3 escalar'!A479</f>
        <v/>
      </c>
      <c r="B476" s="5">
        <f>'3 escalar'!U479</f>
        <v/>
      </c>
      <c r="C476">
        <f>'3 escalar'!B479</f>
        <v/>
      </c>
      <c r="D476" s="7">
        <f>'3 escalar'!C479</f>
        <v/>
      </c>
      <c r="E476" s="7">
        <f>'3 escalar'!D479</f>
        <v/>
      </c>
      <c r="F476" s="7">
        <f>'3 escalar'!E479</f>
        <v/>
      </c>
      <c r="G476" s="7">
        <f>'3 escalar'!F479</f>
        <v/>
      </c>
      <c r="H476" s="7">
        <f>'3 escalar'!G479</f>
        <v/>
      </c>
      <c r="I476" s="7">
        <f>'3 escalar'!H479</f>
        <v/>
      </c>
      <c r="J476" s="7">
        <f>'3 escalar'!I479</f>
        <v/>
      </c>
      <c r="K476" s="7">
        <f>'3 escalar'!J479</f>
        <v/>
      </c>
      <c r="L476" s="7">
        <f>'3 escalar'!K479</f>
        <v/>
      </c>
      <c r="M476" s="7">
        <f>'3 escalar'!L479</f>
        <v/>
      </c>
      <c r="N476" s="7">
        <f>'3 escalar'!M479</f>
        <v/>
      </c>
      <c r="O476" s="7">
        <f>'3 escalar'!N479</f>
        <v/>
      </c>
      <c r="P476" s="7">
        <f>'3 escalar'!O479</f>
        <v/>
      </c>
      <c r="Q476" s="7">
        <f>'3 escalar'!P479</f>
        <v/>
      </c>
      <c r="R476" s="7">
        <f>'3 escalar'!Q479</f>
        <v/>
      </c>
      <c r="S476" s="7">
        <f>'3 escalar'!R479</f>
        <v/>
      </c>
      <c r="T476" s="7">
        <f>'3 escalar'!S479</f>
        <v/>
      </c>
      <c r="U476" s="7">
        <f>'3 escalar'!T479</f>
        <v/>
      </c>
      <c r="V476" s="6">
        <f>$AC$12+D476*$AC$13+E476*$AC$14+F476*$AC$15+G476*$AC$16+H476*$AC$17+I476*$AC$18+J476*$AC$19+K476*$AC$20+L476*$AC$21+M476*$AC$22+N476*$AC$23+O476*$AC$24+P476*$AC$25+Q476*$AC$26+R476*$AC$27+S476*$AC$28+T476*$AC$29+U476*$AC$30</f>
        <v/>
      </c>
      <c r="W476" s="6">
        <f>1/(1+EXP(-V476))</f>
        <v/>
      </c>
      <c r="X476" s="8">
        <f>-IF(C476=1,LN(W476),LN(1-W476))</f>
        <v/>
      </c>
      <c r="Y476" s="9">
        <f>IF(W476&gt;$AC$32,1,0)</f>
        <v/>
      </c>
      <c r="Z476">
        <f>IF(Y476=C476,1,0)</f>
        <v/>
      </c>
    </row>
    <row r="477">
      <c r="A477">
        <f>'3 escalar'!A480</f>
        <v/>
      </c>
      <c r="B477" s="5">
        <f>'3 escalar'!U480</f>
        <v/>
      </c>
      <c r="C477">
        <f>'3 escalar'!B480</f>
        <v/>
      </c>
      <c r="D477" s="7">
        <f>'3 escalar'!C480</f>
        <v/>
      </c>
      <c r="E477" s="7">
        <f>'3 escalar'!D480</f>
        <v/>
      </c>
      <c r="F477" s="7">
        <f>'3 escalar'!E480</f>
        <v/>
      </c>
      <c r="G477" s="7">
        <f>'3 escalar'!F480</f>
        <v/>
      </c>
      <c r="H477" s="7">
        <f>'3 escalar'!G480</f>
        <v/>
      </c>
      <c r="I477" s="7">
        <f>'3 escalar'!H480</f>
        <v/>
      </c>
      <c r="J477" s="7">
        <f>'3 escalar'!I480</f>
        <v/>
      </c>
      <c r="K477" s="7">
        <f>'3 escalar'!J480</f>
        <v/>
      </c>
      <c r="L477" s="7">
        <f>'3 escalar'!K480</f>
        <v/>
      </c>
      <c r="M477" s="7">
        <f>'3 escalar'!L480</f>
        <v/>
      </c>
      <c r="N477" s="7">
        <f>'3 escalar'!M480</f>
        <v/>
      </c>
      <c r="O477" s="7">
        <f>'3 escalar'!N480</f>
        <v/>
      </c>
      <c r="P477" s="7">
        <f>'3 escalar'!O480</f>
        <v/>
      </c>
      <c r="Q477" s="7">
        <f>'3 escalar'!P480</f>
        <v/>
      </c>
      <c r="R477" s="7">
        <f>'3 escalar'!Q480</f>
        <v/>
      </c>
      <c r="S477" s="7">
        <f>'3 escalar'!R480</f>
        <v/>
      </c>
      <c r="T477" s="7">
        <f>'3 escalar'!S480</f>
        <v/>
      </c>
      <c r="U477" s="7">
        <f>'3 escalar'!T480</f>
        <v/>
      </c>
      <c r="V477" s="6">
        <f>$AC$12+D477*$AC$13+E477*$AC$14+F477*$AC$15+G477*$AC$16+H477*$AC$17+I477*$AC$18+J477*$AC$19+K477*$AC$20+L477*$AC$21+M477*$AC$22+N477*$AC$23+O477*$AC$24+P477*$AC$25+Q477*$AC$26+R477*$AC$27+S477*$AC$28+T477*$AC$29+U477*$AC$30</f>
        <v/>
      </c>
      <c r="W477" s="6">
        <f>1/(1+EXP(-V477))</f>
        <v/>
      </c>
      <c r="X477" s="8">
        <f>-IF(C477=1,LN(W477),LN(1-W477))</f>
        <v/>
      </c>
      <c r="Y477" s="9">
        <f>IF(W477&gt;$AC$32,1,0)</f>
        <v/>
      </c>
      <c r="Z477">
        <f>IF(Y477=C477,1,0)</f>
        <v/>
      </c>
    </row>
    <row r="478">
      <c r="A478">
        <f>'3 escalar'!A481</f>
        <v/>
      </c>
      <c r="B478" s="5">
        <f>'3 escalar'!U481</f>
        <v/>
      </c>
      <c r="C478">
        <f>'3 escalar'!B481</f>
        <v/>
      </c>
      <c r="D478" s="7">
        <f>'3 escalar'!C481</f>
        <v/>
      </c>
      <c r="E478" s="7">
        <f>'3 escalar'!D481</f>
        <v/>
      </c>
      <c r="F478" s="7">
        <f>'3 escalar'!E481</f>
        <v/>
      </c>
      <c r="G478" s="7">
        <f>'3 escalar'!F481</f>
        <v/>
      </c>
      <c r="H478" s="7">
        <f>'3 escalar'!G481</f>
        <v/>
      </c>
      <c r="I478" s="7">
        <f>'3 escalar'!H481</f>
        <v/>
      </c>
      <c r="J478" s="7">
        <f>'3 escalar'!I481</f>
        <v/>
      </c>
      <c r="K478" s="7">
        <f>'3 escalar'!J481</f>
        <v/>
      </c>
      <c r="L478" s="7">
        <f>'3 escalar'!K481</f>
        <v/>
      </c>
      <c r="M478" s="7">
        <f>'3 escalar'!L481</f>
        <v/>
      </c>
      <c r="N478" s="7">
        <f>'3 escalar'!M481</f>
        <v/>
      </c>
      <c r="O478" s="7">
        <f>'3 escalar'!N481</f>
        <v/>
      </c>
      <c r="P478" s="7">
        <f>'3 escalar'!O481</f>
        <v/>
      </c>
      <c r="Q478" s="7">
        <f>'3 escalar'!P481</f>
        <v/>
      </c>
      <c r="R478" s="7">
        <f>'3 escalar'!Q481</f>
        <v/>
      </c>
      <c r="S478" s="7">
        <f>'3 escalar'!R481</f>
        <v/>
      </c>
      <c r="T478" s="7">
        <f>'3 escalar'!S481</f>
        <v/>
      </c>
      <c r="U478" s="7">
        <f>'3 escalar'!T481</f>
        <v/>
      </c>
      <c r="V478" s="6">
        <f>$AC$12+D478*$AC$13+E478*$AC$14+F478*$AC$15+G478*$AC$16+H478*$AC$17+I478*$AC$18+J478*$AC$19+K478*$AC$20+L478*$AC$21+M478*$AC$22+N478*$AC$23+O478*$AC$24+P478*$AC$25+Q478*$AC$26+R478*$AC$27+S478*$AC$28+T478*$AC$29+U478*$AC$30</f>
        <v/>
      </c>
      <c r="W478" s="6">
        <f>1/(1+EXP(-V478))</f>
        <v/>
      </c>
      <c r="X478" s="8">
        <f>-IF(C478=1,LN(W478),LN(1-W478))</f>
        <v/>
      </c>
      <c r="Y478" s="9">
        <f>IF(W478&gt;$AC$32,1,0)</f>
        <v/>
      </c>
      <c r="Z478">
        <f>IF(Y478=C478,1,0)</f>
        <v/>
      </c>
    </row>
    <row r="479">
      <c r="A479">
        <f>'3 escalar'!A482</f>
        <v/>
      </c>
      <c r="B479" s="5">
        <f>'3 escalar'!U482</f>
        <v/>
      </c>
      <c r="C479">
        <f>'3 escalar'!B482</f>
        <v/>
      </c>
      <c r="D479" s="7">
        <f>'3 escalar'!C482</f>
        <v/>
      </c>
      <c r="E479" s="7">
        <f>'3 escalar'!D482</f>
        <v/>
      </c>
      <c r="F479" s="7">
        <f>'3 escalar'!E482</f>
        <v/>
      </c>
      <c r="G479" s="7">
        <f>'3 escalar'!F482</f>
        <v/>
      </c>
      <c r="H479" s="7">
        <f>'3 escalar'!G482</f>
        <v/>
      </c>
      <c r="I479" s="7">
        <f>'3 escalar'!H482</f>
        <v/>
      </c>
      <c r="J479" s="7">
        <f>'3 escalar'!I482</f>
        <v/>
      </c>
      <c r="K479" s="7">
        <f>'3 escalar'!J482</f>
        <v/>
      </c>
      <c r="L479" s="7">
        <f>'3 escalar'!K482</f>
        <v/>
      </c>
      <c r="M479" s="7">
        <f>'3 escalar'!L482</f>
        <v/>
      </c>
      <c r="N479" s="7">
        <f>'3 escalar'!M482</f>
        <v/>
      </c>
      <c r="O479" s="7">
        <f>'3 escalar'!N482</f>
        <v/>
      </c>
      <c r="P479" s="7">
        <f>'3 escalar'!O482</f>
        <v/>
      </c>
      <c r="Q479" s="7">
        <f>'3 escalar'!P482</f>
        <v/>
      </c>
      <c r="R479" s="7">
        <f>'3 escalar'!Q482</f>
        <v/>
      </c>
      <c r="S479" s="7">
        <f>'3 escalar'!R482</f>
        <v/>
      </c>
      <c r="T479" s="7">
        <f>'3 escalar'!S482</f>
        <v/>
      </c>
      <c r="U479" s="7">
        <f>'3 escalar'!T482</f>
        <v/>
      </c>
      <c r="V479" s="6">
        <f>$AC$12+D479*$AC$13+E479*$AC$14+F479*$AC$15+G479*$AC$16+H479*$AC$17+I479*$AC$18+J479*$AC$19+K479*$AC$20+L479*$AC$21+M479*$AC$22+N479*$AC$23+O479*$AC$24+P479*$AC$25+Q479*$AC$26+R479*$AC$27+S479*$AC$28+T479*$AC$29+U479*$AC$30</f>
        <v/>
      </c>
      <c r="W479" s="6">
        <f>1/(1+EXP(-V479))</f>
        <v/>
      </c>
      <c r="X479" s="8">
        <f>-IF(C479=1,LN(W479),LN(1-W479))</f>
        <v/>
      </c>
      <c r="Y479" s="9">
        <f>IF(W479&gt;$AC$32,1,0)</f>
        <v/>
      </c>
      <c r="Z479">
        <f>IF(Y479=C479,1,0)</f>
        <v/>
      </c>
    </row>
    <row r="480">
      <c r="A480">
        <f>'3 escalar'!A483</f>
        <v/>
      </c>
      <c r="B480" s="5">
        <f>'3 escalar'!U483</f>
        <v/>
      </c>
      <c r="C480">
        <f>'3 escalar'!B483</f>
        <v/>
      </c>
      <c r="D480" s="7">
        <f>'3 escalar'!C483</f>
        <v/>
      </c>
      <c r="E480" s="7">
        <f>'3 escalar'!D483</f>
        <v/>
      </c>
      <c r="F480" s="7">
        <f>'3 escalar'!E483</f>
        <v/>
      </c>
      <c r="G480" s="7">
        <f>'3 escalar'!F483</f>
        <v/>
      </c>
      <c r="H480" s="7">
        <f>'3 escalar'!G483</f>
        <v/>
      </c>
      <c r="I480" s="7">
        <f>'3 escalar'!H483</f>
        <v/>
      </c>
      <c r="J480" s="7">
        <f>'3 escalar'!I483</f>
        <v/>
      </c>
      <c r="K480" s="7">
        <f>'3 escalar'!J483</f>
        <v/>
      </c>
      <c r="L480" s="7">
        <f>'3 escalar'!K483</f>
        <v/>
      </c>
      <c r="M480" s="7">
        <f>'3 escalar'!L483</f>
        <v/>
      </c>
      <c r="N480" s="7">
        <f>'3 escalar'!M483</f>
        <v/>
      </c>
      <c r="O480" s="7">
        <f>'3 escalar'!N483</f>
        <v/>
      </c>
      <c r="P480" s="7">
        <f>'3 escalar'!O483</f>
        <v/>
      </c>
      <c r="Q480" s="7">
        <f>'3 escalar'!P483</f>
        <v/>
      </c>
      <c r="R480" s="7">
        <f>'3 escalar'!Q483</f>
        <v/>
      </c>
      <c r="S480" s="7">
        <f>'3 escalar'!R483</f>
        <v/>
      </c>
      <c r="T480" s="7">
        <f>'3 escalar'!S483</f>
        <v/>
      </c>
      <c r="U480" s="7">
        <f>'3 escalar'!T483</f>
        <v/>
      </c>
      <c r="V480" s="6">
        <f>$AC$12+D480*$AC$13+E480*$AC$14+F480*$AC$15+G480*$AC$16+H480*$AC$17+I480*$AC$18+J480*$AC$19+K480*$AC$20+L480*$AC$21+M480*$AC$22+N480*$AC$23+O480*$AC$24+P480*$AC$25+Q480*$AC$26+R480*$AC$27+S480*$AC$28+T480*$AC$29+U480*$AC$30</f>
        <v/>
      </c>
      <c r="W480" s="6">
        <f>1/(1+EXP(-V480))</f>
        <v/>
      </c>
      <c r="X480" s="8">
        <f>-IF(C480=1,LN(W480),LN(1-W480))</f>
        <v/>
      </c>
      <c r="Y480" s="9">
        <f>IF(W480&gt;$AC$32,1,0)</f>
        <v/>
      </c>
      <c r="Z480">
        <f>IF(Y480=C480,1,0)</f>
        <v/>
      </c>
    </row>
    <row r="481">
      <c r="A481">
        <f>'3 escalar'!A484</f>
        <v/>
      </c>
      <c r="B481" s="5">
        <f>'3 escalar'!U484</f>
        <v/>
      </c>
      <c r="C481">
        <f>'3 escalar'!B484</f>
        <v/>
      </c>
      <c r="D481" s="7">
        <f>'3 escalar'!C484</f>
        <v/>
      </c>
      <c r="E481" s="7">
        <f>'3 escalar'!D484</f>
        <v/>
      </c>
      <c r="F481" s="7">
        <f>'3 escalar'!E484</f>
        <v/>
      </c>
      <c r="G481" s="7">
        <f>'3 escalar'!F484</f>
        <v/>
      </c>
      <c r="H481" s="7">
        <f>'3 escalar'!G484</f>
        <v/>
      </c>
      <c r="I481" s="7">
        <f>'3 escalar'!H484</f>
        <v/>
      </c>
      <c r="J481" s="7">
        <f>'3 escalar'!I484</f>
        <v/>
      </c>
      <c r="K481" s="7">
        <f>'3 escalar'!J484</f>
        <v/>
      </c>
      <c r="L481" s="7">
        <f>'3 escalar'!K484</f>
        <v/>
      </c>
      <c r="M481" s="7">
        <f>'3 escalar'!L484</f>
        <v/>
      </c>
      <c r="N481" s="7">
        <f>'3 escalar'!M484</f>
        <v/>
      </c>
      <c r="O481" s="7">
        <f>'3 escalar'!N484</f>
        <v/>
      </c>
      <c r="P481" s="7">
        <f>'3 escalar'!O484</f>
        <v/>
      </c>
      <c r="Q481" s="7">
        <f>'3 escalar'!P484</f>
        <v/>
      </c>
      <c r="R481" s="7">
        <f>'3 escalar'!Q484</f>
        <v/>
      </c>
      <c r="S481" s="7">
        <f>'3 escalar'!R484</f>
        <v/>
      </c>
      <c r="T481" s="7">
        <f>'3 escalar'!S484</f>
        <v/>
      </c>
      <c r="U481" s="7">
        <f>'3 escalar'!T484</f>
        <v/>
      </c>
      <c r="V481" s="6">
        <f>$AC$12+D481*$AC$13+E481*$AC$14+F481*$AC$15+G481*$AC$16+H481*$AC$17+I481*$AC$18+J481*$AC$19+K481*$AC$20+L481*$AC$21+M481*$AC$22+N481*$AC$23+O481*$AC$24+P481*$AC$25+Q481*$AC$26+R481*$AC$27+S481*$AC$28+T481*$AC$29+U481*$AC$30</f>
        <v/>
      </c>
      <c r="W481" s="6">
        <f>1/(1+EXP(-V481))</f>
        <v/>
      </c>
      <c r="X481" s="8">
        <f>-IF(C481=1,LN(W481),LN(1-W481))</f>
        <v/>
      </c>
      <c r="Y481" s="9">
        <f>IF(W481&gt;$AC$32,1,0)</f>
        <v/>
      </c>
      <c r="Z481">
        <f>IF(Y481=C481,1,0)</f>
        <v/>
      </c>
    </row>
    <row r="482">
      <c r="A482">
        <f>'3 escalar'!A485</f>
        <v/>
      </c>
      <c r="B482" s="5">
        <f>'3 escalar'!U485</f>
        <v/>
      </c>
      <c r="C482">
        <f>'3 escalar'!B485</f>
        <v/>
      </c>
      <c r="D482" s="7">
        <f>'3 escalar'!C485</f>
        <v/>
      </c>
      <c r="E482" s="7">
        <f>'3 escalar'!D485</f>
        <v/>
      </c>
      <c r="F482" s="7">
        <f>'3 escalar'!E485</f>
        <v/>
      </c>
      <c r="G482" s="7">
        <f>'3 escalar'!F485</f>
        <v/>
      </c>
      <c r="H482" s="7">
        <f>'3 escalar'!G485</f>
        <v/>
      </c>
      <c r="I482" s="7">
        <f>'3 escalar'!H485</f>
        <v/>
      </c>
      <c r="J482" s="7">
        <f>'3 escalar'!I485</f>
        <v/>
      </c>
      <c r="K482" s="7">
        <f>'3 escalar'!J485</f>
        <v/>
      </c>
      <c r="L482" s="7">
        <f>'3 escalar'!K485</f>
        <v/>
      </c>
      <c r="M482" s="7">
        <f>'3 escalar'!L485</f>
        <v/>
      </c>
      <c r="N482" s="7">
        <f>'3 escalar'!M485</f>
        <v/>
      </c>
      <c r="O482" s="7">
        <f>'3 escalar'!N485</f>
        <v/>
      </c>
      <c r="P482" s="7">
        <f>'3 escalar'!O485</f>
        <v/>
      </c>
      <c r="Q482" s="7">
        <f>'3 escalar'!P485</f>
        <v/>
      </c>
      <c r="R482" s="7">
        <f>'3 escalar'!Q485</f>
        <v/>
      </c>
      <c r="S482" s="7">
        <f>'3 escalar'!R485</f>
        <v/>
      </c>
      <c r="T482" s="7">
        <f>'3 escalar'!S485</f>
        <v/>
      </c>
      <c r="U482" s="7">
        <f>'3 escalar'!T485</f>
        <v/>
      </c>
      <c r="V482" s="6">
        <f>$AC$12+D482*$AC$13+E482*$AC$14+F482*$AC$15+G482*$AC$16+H482*$AC$17+I482*$AC$18+J482*$AC$19+K482*$AC$20+L482*$AC$21+M482*$AC$22+N482*$AC$23+O482*$AC$24+P482*$AC$25+Q482*$AC$26+R482*$AC$27+S482*$AC$28+T482*$AC$29+U482*$AC$30</f>
        <v/>
      </c>
      <c r="W482" s="6">
        <f>1/(1+EXP(-V482))</f>
        <v/>
      </c>
      <c r="X482" s="8">
        <f>-IF(C482=1,LN(W482),LN(1-W482))</f>
        <v/>
      </c>
      <c r="Y482" s="9">
        <f>IF(W482&gt;$AC$32,1,0)</f>
        <v/>
      </c>
      <c r="Z482">
        <f>IF(Y482=C482,1,0)</f>
        <v/>
      </c>
    </row>
    <row r="483">
      <c r="A483">
        <f>'3 escalar'!A486</f>
        <v/>
      </c>
      <c r="B483" s="5">
        <f>'3 escalar'!U486</f>
        <v/>
      </c>
      <c r="C483">
        <f>'3 escalar'!B486</f>
        <v/>
      </c>
      <c r="D483" s="7">
        <f>'3 escalar'!C486</f>
        <v/>
      </c>
      <c r="E483" s="7">
        <f>'3 escalar'!D486</f>
        <v/>
      </c>
      <c r="F483" s="7">
        <f>'3 escalar'!E486</f>
        <v/>
      </c>
      <c r="G483" s="7">
        <f>'3 escalar'!F486</f>
        <v/>
      </c>
      <c r="H483" s="7">
        <f>'3 escalar'!G486</f>
        <v/>
      </c>
      <c r="I483" s="7">
        <f>'3 escalar'!H486</f>
        <v/>
      </c>
      <c r="J483" s="7">
        <f>'3 escalar'!I486</f>
        <v/>
      </c>
      <c r="K483" s="7">
        <f>'3 escalar'!J486</f>
        <v/>
      </c>
      <c r="L483" s="7">
        <f>'3 escalar'!K486</f>
        <v/>
      </c>
      <c r="M483" s="7">
        <f>'3 escalar'!L486</f>
        <v/>
      </c>
      <c r="N483" s="7">
        <f>'3 escalar'!M486</f>
        <v/>
      </c>
      <c r="O483" s="7">
        <f>'3 escalar'!N486</f>
        <v/>
      </c>
      <c r="P483" s="7">
        <f>'3 escalar'!O486</f>
        <v/>
      </c>
      <c r="Q483" s="7">
        <f>'3 escalar'!P486</f>
        <v/>
      </c>
      <c r="R483" s="7">
        <f>'3 escalar'!Q486</f>
        <v/>
      </c>
      <c r="S483" s="7">
        <f>'3 escalar'!R486</f>
        <v/>
      </c>
      <c r="T483" s="7">
        <f>'3 escalar'!S486</f>
        <v/>
      </c>
      <c r="U483" s="7">
        <f>'3 escalar'!T486</f>
        <v/>
      </c>
      <c r="V483" s="6">
        <f>$AC$12+D483*$AC$13+E483*$AC$14+F483*$AC$15+G483*$AC$16+H483*$AC$17+I483*$AC$18+J483*$AC$19+K483*$AC$20+L483*$AC$21+M483*$AC$22+N483*$AC$23+O483*$AC$24+P483*$AC$25+Q483*$AC$26+R483*$AC$27+S483*$AC$28+T483*$AC$29+U483*$AC$30</f>
        <v/>
      </c>
      <c r="W483" s="6">
        <f>1/(1+EXP(-V483))</f>
        <v/>
      </c>
      <c r="X483" s="8">
        <f>-IF(C483=1,LN(W483),LN(1-W483))</f>
        <v/>
      </c>
      <c r="Y483" s="9">
        <f>IF(W483&gt;$AC$32,1,0)</f>
        <v/>
      </c>
      <c r="Z483">
        <f>IF(Y483=C483,1,0)</f>
        <v/>
      </c>
    </row>
    <row r="484">
      <c r="A484">
        <f>'3 escalar'!A487</f>
        <v/>
      </c>
      <c r="B484" s="5">
        <f>'3 escalar'!U487</f>
        <v/>
      </c>
      <c r="C484">
        <f>'3 escalar'!B487</f>
        <v/>
      </c>
      <c r="D484" s="7">
        <f>'3 escalar'!C487</f>
        <v/>
      </c>
      <c r="E484" s="7">
        <f>'3 escalar'!D487</f>
        <v/>
      </c>
      <c r="F484" s="7">
        <f>'3 escalar'!E487</f>
        <v/>
      </c>
      <c r="G484" s="7">
        <f>'3 escalar'!F487</f>
        <v/>
      </c>
      <c r="H484" s="7">
        <f>'3 escalar'!G487</f>
        <v/>
      </c>
      <c r="I484" s="7">
        <f>'3 escalar'!H487</f>
        <v/>
      </c>
      <c r="J484" s="7">
        <f>'3 escalar'!I487</f>
        <v/>
      </c>
      <c r="K484" s="7">
        <f>'3 escalar'!J487</f>
        <v/>
      </c>
      <c r="L484" s="7">
        <f>'3 escalar'!K487</f>
        <v/>
      </c>
      <c r="M484" s="7">
        <f>'3 escalar'!L487</f>
        <v/>
      </c>
      <c r="N484" s="7">
        <f>'3 escalar'!M487</f>
        <v/>
      </c>
      <c r="O484" s="7">
        <f>'3 escalar'!N487</f>
        <v/>
      </c>
      <c r="P484" s="7">
        <f>'3 escalar'!O487</f>
        <v/>
      </c>
      <c r="Q484" s="7">
        <f>'3 escalar'!P487</f>
        <v/>
      </c>
      <c r="R484" s="7">
        <f>'3 escalar'!Q487</f>
        <v/>
      </c>
      <c r="S484" s="7">
        <f>'3 escalar'!R487</f>
        <v/>
      </c>
      <c r="T484" s="7">
        <f>'3 escalar'!S487</f>
        <v/>
      </c>
      <c r="U484" s="7">
        <f>'3 escalar'!T487</f>
        <v/>
      </c>
      <c r="V484" s="6">
        <f>$AC$12+D484*$AC$13+E484*$AC$14+F484*$AC$15+G484*$AC$16+H484*$AC$17+I484*$AC$18+J484*$AC$19+K484*$AC$20+L484*$AC$21+M484*$AC$22+N484*$AC$23+O484*$AC$24+P484*$AC$25+Q484*$AC$26+R484*$AC$27+S484*$AC$28+T484*$AC$29+U484*$AC$30</f>
        <v/>
      </c>
      <c r="W484" s="6">
        <f>1/(1+EXP(-V484))</f>
        <v/>
      </c>
      <c r="X484" s="8">
        <f>-IF(C484=1,LN(W484),LN(1-W484))</f>
        <v/>
      </c>
      <c r="Y484" s="9">
        <f>IF(W484&gt;$AC$32,1,0)</f>
        <v/>
      </c>
      <c r="Z484">
        <f>IF(Y484=C484,1,0)</f>
        <v/>
      </c>
    </row>
    <row r="485">
      <c r="A485">
        <f>'3 escalar'!A488</f>
        <v/>
      </c>
      <c r="B485" s="5">
        <f>'3 escalar'!U488</f>
        <v/>
      </c>
      <c r="C485">
        <f>'3 escalar'!B488</f>
        <v/>
      </c>
      <c r="D485" s="7">
        <f>'3 escalar'!C488</f>
        <v/>
      </c>
      <c r="E485" s="7">
        <f>'3 escalar'!D488</f>
        <v/>
      </c>
      <c r="F485" s="7">
        <f>'3 escalar'!E488</f>
        <v/>
      </c>
      <c r="G485" s="7">
        <f>'3 escalar'!F488</f>
        <v/>
      </c>
      <c r="H485" s="7">
        <f>'3 escalar'!G488</f>
        <v/>
      </c>
      <c r="I485" s="7">
        <f>'3 escalar'!H488</f>
        <v/>
      </c>
      <c r="J485" s="7">
        <f>'3 escalar'!I488</f>
        <v/>
      </c>
      <c r="K485" s="7">
        <f>'3 escalar'!J488</f>
        <v/>
      </c>
      <c r="L485" s="7">
        <f>'3 escalar'!K488</f>
        <v/>
      </c>
      <c r="M485" s="7">
        <f>'3 escalar'!L488</f>
        <v/>
      </c>
      <c r="N485" s="7">
        <f>'3 escalar'!M488</f>
        <v/>
      </c>
      <c r="O485" s="7">
        <f>'3 escalar'!N488</f>
        <v/>
      </c>
      <c r="P485" s="7">
        <f>'3 escalar'!O488</f>
        <v/>
      </c>
      <c r="Q485" s="7">
        <f>'3 escalar'!P488</f>
        <v/>
      </c>
      <c r="R485" s="7">
        <f>'3 escalar'!Q488</f>
        <v/>
      </c>
      <c r="S485" s="7">
        <f>'3 escalar'!R488</f>
        <v/>
      </c>
      <c r="T485" s="7">
        <f>'3 escalar'!S488</f>
        <v/>
      </c>
      <c r="U485" s="7">
        <f>'3 escalar'!T488</f>
        <v/>
      </c>
      <c r="V485" s="6">
        <f>$AC$12+D485*$AC$13+E485*$AC$14+F485*$AC$15+G485*$AC$16+H485*$AC$17+I485*$AC$18+J485*$AC$19+K485*$AC$20+L485*$AC$21+M485*$AC$22+N485*$AC$23+O485*$AC$24+P485*$AC$25+Q485*$AC$26+R485*$AC$27+S485*$AC$28+T485*$AC$29+U485*$AC$30</f>
        <v/>
      </c>
      <c r="W485" s="6">
        <f>1/(1+EXP(-V485))</f>
        <v/>
      </c>
      <c r="X485" s="8">
        <f>-IF(C485=1,LN(W485),LN(1-W485))</f>
        <v/>
      </c>
      <c r="Y485" s="9">
        <f>IF(W485&gt;$AC$32,1,0)</f>
        <v/>
      </c>
      <c r="Z485">
        <f>IF(Y485=C485,1,0)</f>
        <v/>
      </c>
    </row>
    <row r="486">
      <c r="A486">
        <f>'3 escalar'!A489</f>
        <v/>
      </c>
      <c r="B486" s="5">
        <f>'3 escalar'!U489</f>
        <v/>
      </c>
      <c r="C486">
        <f>'3 escalar'!B489</f>
        <v/>
      </c>
      <c r="D486" s="7">
        <f>'3 escalar'!C489</f>
        <v/>
      </c>
      <c r="E486" s="7">
        <f>'3 escalar'!D489</f>
        <v/>
      </c>
      <c r="F486" s="7">
        <f>'3 escalar'!E489</f>
        <v/>
      </c>
      <c r="G486" s="7">
        <f>'3 escalar'!F489</f>
        <v/>
      </c>
      <c r="H486" s="7">
        <f>'3 escalar'!G489</f>
        <v/>
      </c>
      <c r="I486" s="7">
        <f>'3 escalar'!H489</f>
        <v/>
      </c>
      <c r="J486" s="7">
        <f>'3 escalar'!I489</f>
        <v/>
      </c>
      <c r="K486" s="7">
        <f>'3 escalar'!J489</f>
        <v/>
      </c>
      <c r="L486" s="7">
        <f>'3 escalar'!K489</f>
        <v/>
      </c>
      <c r="M486" s="7">
        <f>'3 escalar'!L489</f>
        <v/>
      </c>
      <c r="N486" s="7">
        <f>'3 escalar'!M489</f>
        <v/>
      </c>
      <c r="O486" s="7">
        <f>'3 escalar'!N489</f>
        <v/>
      </c>
      <c r="P486" s="7">
        <f>'3 escalar'!O489</f>
        <v/>
      </c>
      <c r="Q486" s="7">
        <f>'3 escalar'!P489</f>
        <v/>
      </c>
      <c r="R486" s="7">
        <f>'3 escalar'!Q489</f>
        <v/>
      </c>
      <c r="S486" s="7">
        <f>'3 escalar'!R489</f>
        <v/>
      </c>
      <c r="T486" s="7">
        <f>'3 escalar'!S489</f>
        <v/>
      </c>
      <c r="U486" s="7">
        <f>'3 escalar'!T489</f>
        <v/>
      </c>
      <c r="V486" s="6">
        <f>$AC$12+D486*$AC$13+E486*$AC$14+F486*$AC$15+G486*$AC$16+H486*$AC$17+I486*$AC$18+J486*$AC$19+K486*$AC$20+L486*$AC$21+M486*$AC$22+N486*$AC$23+O486*$AC$24+P486*$AC$25+Q486*$AC$26+R486*$AC$27+S486*$AC$28+T486*$AC$29+U486*$AC$30</f>
        <v/>
      </c>
      <c r="W486" s="6">
        <f>1/(1+EXP(-V486))</f>
        <v/>
      </c>
      <c r="X486" s="8">
        <f>-IF(C486=1,LN(W486),LN(1-W486))</f>
        <v/>
      </c>
      <c r="Y486" s="9">
        <f>IF(W486&gt;$AC$32,1,0)</f>
        <v/>
      </c>
      <c r="Z486">
        <f>IF(Y486=C486,1,0)</f>
        <v/>
      </c>
    </row>
    <row r="487">
      <c r="A487">
        <f>'3 escalar'!A490</f>
        <v/>
      </c>
      <c r="B487" s="5">
        <f>'3 escalar'!U490</f>
        <v/>
      </c>
      <c r="C487">
        <f>'3 escalar'!B490</f>
        <v/>
      </c>
      <c r="D487" s="7">
        <f>'3 escalar'!C490</f>
        <v/>
      </c>
      <c r="E487" s="7">
        <f>'3 escalar'!D490</f>
        <v/>
      </c>
      <c r="F487" s="7">
        <f>'3 escalar'!E490</f>
        <v/>
      </c>
      <c r="G487" s="7">
        <f>'3 escalar'!F490</f>
        <v/>
      </c>
      <c r="H487" s="7">
        <f>'3 escalar'!G490</f>
        <v/>
      </c>
      <c r="I487" s="7">
        <f>'3 escalar'!H490</f>
        <v/>
      </c>
      <c r="J487" s="7">
        <f>'3 escalar'!I490</f>
        <v/>
      </c>
      <c r="K487" s="7">
        <f>'3 escalar'!J490</f>
        <v/>
      </c>
      <c r="L487" s="7">
        <f>'3 escalar'!K490</f>
        <v/>
      </c>
      <c r="M487" s="7">
        <f>'3 escalar'!L490</f>
        <v/>
      </c>
      <c r="N487" s="7">
        <f>'3 escalar'!M490</f>
        <v/>
      </c>
      <c r="O487" s="7">
        <f>'3 escalar'!N490</f>
        <v/>
      </c>
      <c r="P487" s="7">
        <f>'3 escalar'!O490</f>
        <v/>
      </c>
      <c r="Q487" s="7">
        <f>'3 escalar'!P490</f>
        <v/>
      </c>
      <c r="R487" s="7">
        <f>'3 escalar'!Q490</f>
        <v/>
      </c>
      <c r="S487" s="7">
        <f>'3 escalar'!R490</f>
        <v/>
      </c>
      <c r="T487" s="7">
        <f>'3 escalar'!S490</f>
        <v/>
      </c>
      <c r="U487" s="7">
        <f>'3 escalar'!T490</f>
        <v/>
      </c>
      <c r="V487" s="6">
        <f>$AC$12+D487*$AC$13+E487*$AC$14+F487*$AC$15+G487*$AC$16+H487*$AC$17+I487*$AC$18+J487*$AC$19+K487*$AC$20+L487*$AC$21+M487*$AC$22+N487*$AC$23+O487*$AC$24+P487*$AC$25+Q487*$AC$26+R487*$AC$27+S487*$AC$28+T487*$AC$29+U487*$AC$30</f>
        <v/>
      </c>
      <c r="W487" s="6">
        <f>1/(1+EXP(-V487))</f>
        <v/>
      </c>
      <c r="X487" s="8">
        <f>-IF(C487=1,LN(W487),LN(1-W487))</f>
        <v/>
      </c>
      <c r="Y487" s="9">
        <f>IF(W487&gt;$AC$32,1,0)</f>
        <v/>
      </c>
      <c r="Z487">
        <f>IF(Y487=C487,1,0)</f>
        <v/>
      </c>
    </row>
    <row r="488">
      <c r="A488">
        <f>'3 escalar'!A491</f>
        <v/>
      </c>
      <c r="B488" s="5">
        <f>'3 escalar'!U491</f>
        <v/>
      </c>
      <c r="C488">
        <f>'3 escalar'!B491</f>
        <v/>
      </c>
      <c r="D488" s="7">
        <f>'3 escalar'!C491</f>
        <v/>
      </c>
      <c r="E488" s="7">
        <f>'3 escalar'!D491</f>
        <v/>
      </c>
      <c r="F488" s="7">
        <f>'3 escalar'!E491</f>
        <v/>
      </c>
      <c r="G488" s="7">
        <f>'3 escalar'!F491</f>
        <v/>
      </c>
      <c r="H488" s="7">
        <f>'3 escalar'!G491</f>
        <v/>
      </c>
      <c r="I488" s="7">
        <f>'3 escalar'!H491</f>
        <v/>
      </c>
      <c r="J488" s="7">
        <f>'3 escalar'!I491</f>
        <v/>
      </c>
      <c r="K488" s="7">
        <f>'3 escalar'!J491</f>
        <v/>
      </c>
      <c r="L488" s="7">
        <f>'3 escalar'!K491</f>
        <v/>
      </c>
      <c r="M488" s="7">
        <f>'3 escalar'!L491</f>
        <v/>
      </c>
      <c r="N488" s="7">
        <f>'3 escalar'!M491</f>
        <v/>
      </c>
      <c r="O488" s="7">
        <f>'3 escalar'!N491</f>
        <v/>
      </c>
      <c r="P488" s="7">
        <f>'3 escalar'!O491</f>
        <v/>
      </c>
      <c r="Q488" s="7">
        <f>'3 escalar'!P491</f>
        <v/>
      </c>
      <c r="R488" s="7">
        <f>'3 escalar'!Q491</f>
        <v/>
      </c>
      <c r="S488" s="7">
        <f>'3 escalar'!R491</f>
        <v/>
      </c>
      <c r="T488" s="7">
        <f>'3 escalar'!S491</f>
        <v/>
      </c>
      <c r="U488" s="7">
        <f>'3 escalar'!T491</f>
        <v/>
      </c>
      <c r="V488" s="6">
        <f>$AC$12+D488*$AC$13+E488*$AC$14+F488*$AC$15+G488*$AC$16+H488*$AC$17+I488*$AC$18+J488*$AC$19+K488*$AC$20+L488*$AC$21+M488*$AC$22+N488*$AC$23+O488*$AC$24+P488*$AC$25+Q488*$AC$26+R488*$AC$27+S488*$AC$28+T488*$AC$29+U488*$AC$30</f>
        <v/>
      </c>
      <c r="W488" s="6">
        <f>1/(1+EXP(-V488))</f>
        <v/>
      </c>
      <c r="X488" s="8">
        <f>-IF(C488=1,LN(W488),LN(1-W488))</f>
        <v/>
      </c>
      <c r="Y488" s="9">
        <f>IF(W488&gt;$AC$32,1,0)</f>
        <v/>
      </c>
      <c r="Z488">
        <f>IF(Y488=C488,1,0)</f>
        <v/>
      </c>
    </row>
    <row r="489">
      <c r="A489">
        <f>'3 escalar'!A492</f>
        <v/>
      </c>
      <c r="B489" s="5">
        <f>'3 escalar'!U492</f>
        <v/>
      </c>
      <c r="C489">
        <f>'3 escalar'!B492</f>
        <v/>
      </c>
      <c r="D489" s="7">
        <f>'3 escalar'!C492</f>
        <v/>
      </c>
      <c r="E489" s="7">
        <f>'3 escalar'!D492</f>
        <v/>
      </c>
      <c r="F489" s="7">
        <f>'3 escalar'!E492</f>
        <v/>
      </c>
      <c r="G489" s="7">
        <f>'3 escalar'!F492</f>
        <v/>
      </c>
      <c r="H489" s="7">
        <f>'3 escalar'!G492</f>
        <v/>
      </c>
      <c r="I489" s="7">
        <f>'3 escalar'!H492</f>
        <v/>
      </c>
      <c r="J489" s="7">
        <f>'3 escalar'!I492</f>
        <v/>
      </c>
      <c r="K489" s="7">
        <f>'3 escalar'!J492</f>
        <v/>
      </c>
      <c r="L489" s="7">
        <f>'3 escalar'!K492</f>
        <v/>
      </c>
      <c r="M489" s="7">
        <f>'3 escalar'!L492</f>
        <v/>
      </c>
      <c r="N489" s="7">
        <f>'3 escalar'!M492</f>
        <v/>
      </c>
      <c r="O489" s="7">
        <f>'3 escalar'!N492</f>
        <v/>
      </c>
      <c r="P489" s="7">
        <f>'3 escalar'!O492</f>
        <v/>
      </c>
      <c r="Q489" s="7">
        <f>'3 escalar'!P492</f>
        <v/>
      </c>
      <c r="R489" s="7">
        <f>'3 escalar'!Q492</f>
        <v/>
      </c>
      <c r="S489" s="7">
        <f>'3 escalar'!R492</f>
        <v/>
      </c>
      <c r="T489" s="7">
        <f>'3 escalar'!S492</f>
        <v/>
      </c>
      <c r="U489" s="7">
        <f>'3 escalar'!T492</f>
        <v/>
      </c>
      <c r="V489" s="6">
        <f>$AC$12+D489*$AC$13+E489*$AC$14+F489*$AC$15+G489*$AC$16+H489*$AC$17+I489*$AC$18+J489*$AC$19+K489*$AC$20+L489*$AC$21+M489*$AC$22+N489*$AC$23+O489*$AC$24+P489*$AC$25+Q489*$AC$26+R489*$AC$27+S489*$AC$28+T489*$AC$29+U489*$AC$30</f>
        <v/>
      </c>
      <c r="W489" s="6">
        <f>1/(1+EXP(-V489))</f>
        <v/>
      </c>
      <c r="X489" s="8">
        <f>-IF(C489=1,LN(W489),LN(1-W489))</f>
        <v/>
      </c>
      <c r="Y489" s="9">
        <f>IF(W489&gt;$AC$32,1,0)</f>
        <v/>
      </c>
      <c r="Z489">
        <f>IF(Y489=C489,1,0)</f>
        <v/>
      </c>
    </row>
    <row r="490">
      <c r="A490">
        <f>'3 escalar'!A493</f>
        <v/>
      </c>
      <c r="B490" s="5">
        <f>'3 escalar'!U493</f>
        <v/>
      </c>
      <c r="C490">
        <f>'3 escalar'!B493</f>
        <v/>
      </c>
      <c r="D490" s="7">
        <f>'3 escalar'!C493</f>
        <v/>
      </c>
      <c r="E490" s="7">
        <f>'3 escalar'!D493</f>
        <v/>
      </c>
      <c r="F490" s="7">
        <f>'3 escalar'!E493</f>
        <v/>
      </c>
      <c r="G490" s="7">
        <f>'3 escalar'!F493</f>
        <v/>
      </c>
      <c r="H490" s="7">
        <f>'3 escalar'!G493</f>
        <v/>
      </c>
      <c r="I490" s="7">
        <f>'3 escalar'!H493</f>
        <v/>
      </c>
      <c r="J490" s="7">
        <f>'3 escalar'!I493</f>
        <v/>
      </c>
      <c r="K490" s="7">
        <f>'3 escalar'!J493</f>
        <v/>
      </c>
      <c r="L490" s="7">
        <f>'3 escalar'!K493</f>
        <v/>
      </c>
      <c r="M490" s="7">
        <f>'3 escalar'!L493</f>
        <v/>
      </c>
      <c r="N490" s="7">
        <f>'3 escalar'!M493</f>
        <v/>
      </c>
      <c r="O490" s="7">
        <f>'3 escalar'!N493</f>
        <v/>
      </c>
      <c r="P490" s="7">
        <f>'3 escalar'!O493</f>
        <v/>
      </c>
      <c r="Q490" s="7">
        <f>'3 escalar'!P493</f>
        <v/>
      </c>
      <c r="R490" s="7">
        <f>'3 escalar'!Q493</f>
        <v/>
      </c>
      <c r="S490" s="7">
        <f>'3 escalar'!R493</f>
        <v/>
      </c>
      <c r="T490" s="7">
        <f>'3 escalar'!S493</f>
        <v/>
      </c>
      <c r="U490" s="7">
        <f>'3 escalar'!T493</f>
        <v/>
      </c>
      <c r="V490" s="6">
        <f>$AC$12+D490*$AC$13+E490*$AC$14+F490*$AC$15+G490*$AC$16+H490*$AC$17+I490*$AC$18+J490*$AC$19+K490*$AC$20+L490*$AC$21+M490*$AC$22+N490*$AC$23+O490*$AC$24+P490*$AC$25+Q490*$AC$26+R490*$AC$27+S490*$AC$28+T490*$AC$29+U490*$AC$30</f>
        <v/>
      </c>
      <c r="W490" s="6">
        <f>1/(1+EXP(-V490))</f>
        <v/>
      </c>
      <c r="X490" s="8">
        <f>-IF(C490=1,LN(W490),LN(1-W490))</f>
        <v/>
      </c>
      <c r="Y490" s="9">
        <f>IF(W490&gt;$AC$32,1,0)</f>
        <v/>
      </c>
      <c r="Z490">
        <f>IF(Y490=C490,1,0)</f>
        <v/>
      </c>
    </row>
    <row r="491">
      <c r="A491">
        <f>'3 escalar'!A494</f>
        <v/>
      </c>
      <c r="B491" s="5">
        <f>'3 escalar'!U494</f>
        <v/>
      </c>
      <c r="C491">
        <f>'3 escalar'!B494</f>
        <v/>
      </c>
      <c r="D491" s="7">
        <f>'3 escalar'!C494</f>
        <v/>
      </c>
      <c r="E491" s="7">
        <f>'3 escalar'!D494</f>
        <v/>
      </c>
      <c r="F491" s="7">
        <f>'3 escalar'!E494</f>
        <v/>
      </c>
      <c r="G491" s="7">
        <f>'3 escalar'!F494</f>
        <v/>
      </c>
      <c r="H491" s="7">
        <f>'3 escalar'!G494</f>
        <v/>
      </c>
      <c r="I491" s="7">
        <f>'3 escalar'!H494</f>
        <v/>
      </c>
      <c r="J491" s="7">
        <f>'3 escalar'!I494</f>
        <v/>
      </c>
      <c r="K491" s="7">
        <f>'3 escalar'!J494</f>
        <v/>
      </c>
      <c r="L491" s="7">
        <f>'3 escalar'!K494</f>
        <v/>
      </c>
      <c r="M491" s="7">
        <f>'3 escalar'!L494</f>
        <v/>
      </c>
      <c r="N491" s="7">
        <f>'3 escalar'!M494</f>
        <v/>
      </c>
      <c r="O491" s="7">
        <f>'3 escalar'!N494</f>
        <v/>
      </c>
      <c r="P491" s="7">
        <f>'3 escalar'!O494</f>
        <v/>
      </c>
      <c r="Q491" s="7">
        <f>'3 escalar'!P494</f>
        <v/>
      </c>
      <c r="R491" s="7">
        <f>'3 escalar'!Q494</f>
        <v/>
      </c>
      <c r="S491" s="7">
        <f>'3 escalar'!R494</f>
        <v/>
      </c>
      <c r="T491" s="7">
        <f>'3 escalar'!S494</f>
        <v/>
      </c>
      <c r="U491" s="7">
        <f>'3 escalar'!T494</f>
        <v/>
      </c>
      <c r="V491" s="6">
        <f>$AC$12+D491*$AC$13+E491*$AC$14+F491*$AC$15+G491*$AC$16+H491*$AC$17+I491*$AC$18+J491*$AC$19+K491*$AC$20+L491*$AC$21+M491*$AC$22+N491*$AC$23+O491*$AC$24+P491*$AC$25+Q491*$AC$26+R491*$AC$27+S491*$AC$28+T491*$AC$29+U491*$AC$30</f>
        <v/>
      </c>
      <c r="W491" s="6">
        <f>1/(1+EXP(-V491))</f>
        <v/>
      </c>
      <c r="X491" s="8">
        <f>-IF(C491=1,LN(W491),LN(1-W491))</f>
        <v/>
      </c>
      <c r="Y491" s="9">
        <f>IF(W491&gt;$AC$32,1,0)</f>
        <v/>
      </c>
      <c r="Z491">
        <f>IF(Y491=C491,1,0)</f>
        <v/>
      </c>
    </row>
    <row r="492">
      <c r="A492">
        <f>'3 escalar'!A495</f>
        <v/>
      </c>
      <c r="B492" s="5">
        <f>'3 escalar'!U495</f>
        <v/>
      </c>
      <c r="C492">
        <f>'3 escalar'!B495</f>
        <v/>
      </c>
      <c r="D492" s="7">
        <f>'3 escalar'!C495</f>
        <v/>
      </c>
      <c r="E492" s="7">
        <f>'3 escalar'!D495</f>
        <v/>
      </c>
      <c r="F492" s="7">
        <f>'3 escalar'!E495</f>
        <v/>
      </c>
      <c r="G492" s="7">
        <f>'3 escalar'!F495</f>
        <v/>
      </c>
      <c r="H492" s="7">
        <f>'3 escalar'!G495</f>
        <v/>
      </c>
      <c r="I492" s="7">
        <f>'3 escalar'!H495</f>
        <v/>
      </c>
      <c r="J492" s="7">
        <f>'3 escalar'!I495</f>
        <v/>
      </c>
      <c r="K492" s="7">
        <f>'3 escalar'!J495</f>
        <v/>
      </c>
      <c r="L492" s="7">
        <f>'3 escalar'!K495</f>
        <v/>
      </c>
      <c r="M492" s="7">
        <f>'3 escalar'!L495</f>
        <v/>
      </c>
      <c r="N492" s="7">
        <f>'3 escalar'!M495</f>
        <v/>
      </c>
      <c r="O492" s="7">
        <f>'3 escalar'!N495</f>
        <v/>
      </c>
      <c r="P492" s="7">
        <f>'3 escalar'!O495</f>
        <v/>
      </c>
      <c r="Q492" s="7">
        <f>'3 escalar'!P495</f>
        <v/>
      </c>
      <c r="R492" s="7">
        <f>'3 escalar'!Q495</f>
        <v/>
      </c>
      <c r="S492" s="7">
        <f>'3 escalar'!R495</f>
        <v/>
      </c>
      <c r="T492" s="7">
        <f>'3 escalar'!S495</f>
        <v/>
      </c>
      <c r="U492" s="7">
        <f>'3 escalar'!T495</f>
        <v/>
      </c>
      <c r="V492" s="6">
        <f>$AC$12+D492*$AC$13+E492*$AC$14+F492*$AC$15+G492*$AC$16+H492*$AC$17+I492*$AC$18+J492*$AC$19+K492*$AC$20+L492*$AC$21+M492*$AC$22+N492*$AC$23+O492*$AC$24+P492*$AC$25+Q492*$AC$26+R492*$AC$27+S492*$AC$28+T492*$AC$29+U492*$AC$30</f>
        <v/>
      </c>
      <c r="W492" s="6">
        <f>1/(1+EXP(-V492))</f>
        <v/>
      </c>
      <c r="X492" s="8">
        <f>-IF(C492=1,LN(W492),LN(1-W492))</f>
        <v/>
      </c>
      <c r="Y492" s="9">
        <f>IF(W492&gt;$AC$32,1,0)</f>
        <v/>
      </c>
      <c r="Z492">
        <f>IF(Y492=C492,1,0)</f>
        <v/>
      </c>
    </row>
    <row r="493">
      <c r="A493">
        <f>'3 escalar'!A496</f>
        <v/>
      </c>
      <c r="B493" s="5">
        <f>'3 escalar'!U496</f>
        <v/>
      </c>
      <c r="C493">
        <f>'3 escalar'!B496</f>
        <v/>
      </c>
      <c r="D493" s="7">
        <f>'3 escalar'!C496</f>
        <v/>
      </c>
      <c r="E493" s="7">
        <f>'3 escalar'!D496</f>
        <v/>
      </c>
      <c r="F493" s="7">
        <f>'3 escalar'!E496</f>
        <v/>
      </c>
      <c r="G493" s="7">
        <f>'3 escalar'!F496</f>
        <v/>
      </c>
      <c r="H493" s="7">
        <f>'3 escalar'!G496</f>
        <v/>
      </c>
      <c r="I493" s="7">
        <f>'3 escalar'!H496</f>
        <v/>
      </c>
      <c r="J493" s="7">
        <f>'3 escalar'!I496</f>
        <v/>
      </c>
      <c r="K493" s="7">
        <f>'3 escalar'!J496</f>
        <v/>
      </c>
      <c r="L493" s="7">
        <f>'3 escalar'!K496</f>
        <v/>
      </c>
      <c r="M493" s="7">
        <f>'3 escalar'!L496</f>
        <v/>
      </c>
      <c r="N493" s="7">
        <f>'3 escalar'!M496</f>
        <v/>
      </c>
      <c r="O493" s="7">
        <f>'3 escalar'!N496</f>
        <v/>
      </c>
      <c r="P493" s="7">
        <f>'3 escalar'!O496</f>
        <v/>
      </c>
      <c r="Q493" s="7">
        <f>'3 escalar'!P496</f>
        <v/>
      </c>
      <c r="R493" s="7">
        <f>'3 escalar'!Q496</f>
        <v/>
      </c>
      <c r="S493" s="7">
        <f>'3 escalar'!R496</f>
        <v/>
      </c>
      <c r="T493" s="7">
        <f>'3 escalar'!S496</f>
        <v/>
      </c>
      <c r="U493" s="7">
        <f>'3 escalar'!T496</f>
        <v/>
      </c>
      <c r="V493" s="6">
        <f>$AC$12+D493*$AC$13+E493*$AC$14+F493*$AC$15+G493*$AC$16+H493*$AC$17+I493*$AC$18+J493*$AC$19+K493*$AC$20+L493*$AC$21+M493*$AC$22+N493*$AC$23+O493*$AC$24+P493*$AC$25+Q493*$AC$26+R493*$AC$27+S493*$AC$28+T493*$AC$29+U493*$AC$30</f>
        <v/>
      </c>
      <c r="W493" s="6">
        <f>1/(1+EXP(-V493))</f>
        <v/>
      </c>
      <c r="X493" s="8">
        <f>-IF(C493=1,LN(W493),LN(1-W493))</f>
        <v/>
      </c>
      <c r="Y493" s="9">
        <f>IF(W493&gt;$AC$32,1,0)</f>
        <v/>
      </c>
      <c r="Z493">
        <f>IF(Y493=C493,1,0)</f>
        <v/>
      </c>
    </row>
    <row r="494">
      <c r="A494">
        <f>'3 escalar'!A497</f>
        <v/>
      </c>
      <c r="B494" s="5">
        <f>'3 escalar'!U497</f>
        <v/>
      </c>
      <c r="C494">
        <f>'3 escalar'!B497</f>
        <v/>
      </c>
      <c r="D494" s="7">
        <f>'3 escalar'!C497</f>
        <v/>
      </c>
      <c r="E494" s="7">
        <f>'3 escalar'!D497</f>
        <v/>
      </c>
      <c r="F494" s="7">
        <f>'3 escalar'!E497</f>
        <v/>
      </c>
      <c r="G494" s="7">
        <f>'3 escalar'!F497</f>
        <v/>
      </c>
      <c r="H494" s="7">
        <f>'3 escalar'!G497</f>
        <v/>
      </c>
      <c r="I494" s="7">
        <f>'3 escalar'!H497</f>
        <v/>
      </c>
      <c r="J494" s="7">
        <f>'3 escalar'!I497</f>
        <v/>
      </c>
      <c r="K494" s="7">
        <f>'3 escalar'!J497</f>
        <v/>
      </c>
      <c r="L494" s="7">
        <f>'3 escalar'!K497</f>
        <v/>
      </c>
      <c r="M494" s="7">
        <f>'3 escalar'!L497</f>
        <v/>
      </c>
      <c r="N494" s="7">
        <f>'3 escalar'!M497</f>
        <v/>
      </c>
      <c r="O494" s="7">
        <f>'3 escalar'!N497</f>
        <v/>
      </c>
      <c r="P494" s="7">
        <f>'3 escalar'!O497</f>
        <v/>
      </c>
      <c r="Q494" s="7">
        <f>'3 escalar'!P497</f>
        <v/>
      </c>
      <c r="R494" s="7">
        <f>'3 escalar'!Q497</f>
        <v/>
      </c>
      <c r="S494" s="7">
        <f>'3 escalar'!R497</f>
        <v/>
      </c>
      <c r="T494" s="7">
        <f>'3 escalar'!S497</f>
        <v/>
      </c>
      <c r="U494" s="7">
        <f>'3 escalar'!T497</f>
        <v/>
      </c>
      <c r="V494" s="6">
        <f>$AC$12+D494*$AC$13+E494*$AC$14+F494*$AC$15+G494*$AC$16+H494*$AC$17+I494*$AC$18+J494*$AC$19+K494*$AC$20+L494*$AC$21+M494*$AC$22+N494*$AC$23+O494*$AC$24+P494*$AC$25+Q494*$AC$26+R494*$AC$27+S494*$AC$28+T494*$AC$29+U494*$AC$30</f>
        <v/>
      </c>
      <c r="W494" s="6">
        <f>1/(1+EXP(-V494))</f>
        <v/>
      </c>
      <c r="X494" s="8">
        <f>-IF(C494=1,LN(W494),LN(1-W494))</f>
        <v/>
      </c>
      <c r="Y494" s="9">
        <f>IF(W494&gt;$AC$32,1,0)</f>
        <v/>
      </c>
      <c r="Z494">
        <f>IF(Y494=C494,1,0)</f>
        <v/>
      </c>
    </row>
    <row r="495">
      <c r="A495">
        <f>'3 escalar'!A498</f>
        <v/>
      </c>
      <c r="B495" s="5">
        <f>'3 escalar'!U498</f>
        <v/>
      </c>
      <c r="C495">
        <f>'3 escalar'!B498</f>
        <v/>
      </c>
      <c r="D495" s="7">
        <f>'3 escalar'!C498</f>
        <v/>
      </c>
      <c r="E495" s="7">
        <f>'3 escalar'!D498</f>
        <v/>
      </c>
      <c r="F495" s="7">
        <f>'3 escalar'!E498</f>
        <v/>
      </c>
      <c r="G495" s="7">
        <f>'3 escalar'!F498</f>
        <v/>
      </c>
      <c r="H495" s="7">
        <f>'3 escalar'!G498</f>
        <v/>
      </c>
      <c r="I495" s="7">
        <f>'3 escalar'!H498</f>
        <v/>
      </c>
      <c r="J495" s="7">
        <f>'3 escalar'!I498</f>
        <v/>
      </c>
      <c r="K495" s="7">
        <f>'3 escalar'!J498</f>
        <v/>
      </c>
      <c r="L495" s="7">
        <f>'3 escalar'!K498</f>
        <v/>
      </c>
      <c r="M495" s="7">
        <f>'3 escalar'!L498</f>
        <v/>
      </c>
      <c r="N495" s="7">
        <f>'3 escalar'!M498</f>
        <v/>
      </c>
      <c r="O495" s="7">
        <f>'3 escalar'!N498</f>
        <v/>
      </c>
      <c r="P495" s="7">
        <f>'3 escalar'!O498</f>
        <v/>
      </c>
      <c r="Q495" s="7">
        <f>'3 escalar'!P498</f>
        <v/>
      </c>
      <c r="R495" s="7">
        <f>'3 escalar'!Q498</f>
        <v/>
      </c>
      <c r="S495" s="7">
        <f>'3 escalar'!R498</f>
        <v/>
      </c>
      <c r="T495" s="7">
        <f>'3 escalar'!S498</f>
        <v/>
      </c>
      <c r="U495" s="7">
        <f>'3 escalar'!T498</f>
        <v/>
      </c>
      <c r="V495" s="6">
        <f>$AC$12+D495*$AC$13+E495*$AC$14+F495*$AC$15+G495*$AC$16+H495*$AC$17+I495*$AC$18+J495*$AC$19+K495*$AC$20+L495*$AC$21+M495*$AC$22+N495*$AC$23+O495*$AC$24+P495*$AC$25+Q495*$AC$26+R495*$AC$27+S495*$AC$28+T495*$AC$29+U495*$AC$30</f>
        <v/>
      </c>
      <c r="W495" s="6">
        <f>1/(1+EXP(-V495))</f>
        <v/>
      </c>
      <c r="X495" s="8">
        <f>-IF(C495=1,LN(W495),LN(1-W495))</f>
        <v/>
      </c>
      <c r="Y495" s="9">
        <f>IF(W495&gt;$AC$32,1,0)</f>
        <v/>
      </c>
      <c r="Z495">
        <f>IF(Y495=C495,1,0)</f>
        <v/>
      </c>
    </row>
    <row r="496">
      <c r="A496">
        <f>'3 escalar'!A499</f>
        <v/>
      </c>
      <c r="B496" s="5">
        <f>'3 escalar'!U499</f>
        <v/>
      </c>
      <c r="C496">
        <f>'3 escalar'!B499</f>
        <v/>
      </c>
      <c r="D496" s="7">
        <f>'3 escalar'!C499</f>
        <v/>
      </c>
      <c r="E496" s="7">
        <f>'3 escalar'!D499</f>
        <v/>
      </c>
      <c r="F496" s="7">
        <f>'3 escalar'!E499</f>
        <v/>
      </c>
      <c r="G496" s="7">
        <f>'3 escalar'!F499</f>
        <v/>
      </c>
      <c r="H496" s="7">
        <f>'3 escalar'!G499</f>
        <v/>
      </c>
      <c r="I496" s="7">
        <f>'3 escalar'!H499</f>
        <v/>
      </c>
      <c r="J496" s="7">
        <f>'3 escalar'!I499</f>
        <v/>
      </c>
      <c r="K496" s="7">
        <f>'3 escalar'!J499</f>
        <v/>
      </c>
      <c r="L496" s="7">
        <f>'3 escalar'!K499</f>
        <v/>
      </c>
      <c r="M496" s="7">
        <f>'3 escalar'!L499</f>
        <v/>
      </c>
      <c r="N496" s="7">
        <f>'3 escalar'!M499</f>
        <v/>
      </c>
      <c r="O496" s="7">
        <f>'3 escalar'!N499</f>
        <v/>
      </c>
      <c r="P496" s="7">
        <f>'3 escalar'!O499</f>
        <v/>
      </c>
      <c r="Q496" s="7">
        <f>'3 escalar'!P499</f>
        <v/>
      </c>
      <c r="R496" s="7">
        <f>'3 escalar'!Q499</f>
        <v/>
      </c>
      <c r="S496" s="7">
        <f>'3 escalar'!R499</f>
        <v/>
      </c>
      <c r="T496" s="7">
        <f>'3 escalar'!S499</f>
        <v/>
      </c>
      <c r="U496" s="7">
        <f>'3 escalar'!T499</f>
        <v/>
      </c>
      <c r="V496" s="6">
        <f>$AC$12+D496*$AC$13+E496*$AC$14+F496*$AC$15+G496*$AC$16+H496*$AC$17+I496*$AC$18+J496*$AC$19+K496*$AC$20+L496*$AC$21+M496*$AC$22+N496*$AC$23+O496*$AC$24+P496*$AC$25+Q496*$AC$26+R496*$AC$27+S496*$AC$28+T496*$AC$29+U496*$AC$30</f>
        <v/>
      </c>
      <c r="W496" s="6">
        <f>1/(1+EXP(-V496))</f>
        <v/>
      </c>
      <c r="X496" s="8">
        <f>-IF(C496=1,LN(W496),LN(1-W496))</f>
        <v/>
      </c>
      <c r="Y496" s="9">
        <f>IF(W496&gt;$AC$32,1,0)</f>
        <v/>
      </c>
      <c r="Z496">
        <f>IF(Y496=C496,1,0)</f>
        <v/>
      </c>
    </row>
    <row r="497">
      <c r="A497">
        <f>'3 escalar'!A500</f>
        <v/>
      </c>
      <c r="B497" s="5">
        <f>'3 escalar'!U500</f>
        <v/>
      </c>
      <c r="C497">
        <f>'3 escalar'!B500</f>
        <v/>
      </c>
      <c r="D497" s="7">
        <f>'3 escalar'!C500</f>
        <v/>
      </c>
      <c r="E497" s="7">
        <f>'3 escalar'!D500</f>
        <v/>
      </c>
      <c r="F497" s="7">
        <f>'3 escalar'!E500</f>
        <v/>
      </c>
      <c r="G497" s="7">
        <f>'3 escalar'!F500</f>
        <v/>
      </c>
      <c r="H497" s="7">
        <f>'3 escalar'!G500</f>
        <v/>
      </c>
      <c r="I497" s="7">
        <f>'3 escalar'!H500</f>
        <v/>
      </c>
      <c r="J497" s="7">
        <f>'3 escalar'!I500</f>
        <v/>
      </c>
      <c r="K497" s="7">
        <f>'3 escalar'!J500</f>
        <v/>
      </c>
      <c r="L497" s="7">
        <f>'3 escalar'!K500</f>
        <v/>
      </c>
      <c r="M497" s="7">
        <f>'3 escalar'!L500</f>
        <v/>
      </c>
      <c r="N497" s="7">
        <f>'3 escalar'!M500</f>
        <v/>
      </c>
      <c r="O497" s="7">
        <f>'3 escalar'!N500</f>
        <v/>
      </c>
      <c r="P497" s="7">
        <f>'3 escalar'!O500</f>
        <v/>
      </c>
      <c r="Q497" s="7">
        <f>'3 escalar'!P500</f>
        <v/>
      </c>
      <c r="R497" s="7">
        <f>'3 escalar'!Q500</f>
        <v/>
      </c>
      <c r="S497" s="7">
        <f>'3 escalar'!R500</f>
        <v/>
      </c>
      <c r="T497" s="7">
        <f>'3 escalar'!S500</f>
        <v/>
      </c>
      <c r="U497" s="7">
        <f>'3 escalar'!T500</f>
        <v/>
      </c>
      <c r="V497" s="6">
        <f>$AC$12+D497*$AC$13+E497*$AC$14+F497*$AC$15+G497*$AC$16+H497*$AC$17+I497*$AC$18+J497*$AC$19+K497*$AC$20+L497*$AC$21+M497*$AC$22+N497*$AC$23+O497*$AC$24+P497*$AC$25+Q497*$AC$26+R497*$AC$27+S497*$AC$28+T497*$AC$29+U497*$AC$30</f>
        <v/>
      </c>
      <c r="W497" s="6">
        <f>1/(1+EXP(-V497))</f>
        <v/>
      </c>
      <c r="X497" s="8">
        <f>-IF(C497=1,LN(W497),LN(1-W497))</f>
        <v/>
      </c>
      <c r="Y497" s="9">
        <f>IF(W497&gt;$AC$32,1,0)</f>
        <v/>
      </c>
      <c r="Z497">
        <f>IF(Y497=C497,1,0)</f>
        <v/>
      </c>
    </row>
    <row r="498">
      <c r="A498">
        <f>'3 escalar'!A501</f>
        <v/>
      </c>
      <c r="B498" s="5">
        <f>'3 escalar'!U501</f>
        <v/>
      </c>
      <c r="C498">
        <f>'3 escalar'!B501</f>
        <v/>
      </c>
      <c r="D498" s="7">
        <f>'3 escalar'!C501</f>
        <v/>
      </c>
      <c r="E498" s="7">
        <f>'3 escalar'!D501</f>
        <v/>
      </c>
      <c r="F498" s="7">
        <f>'3 escalar'!E501</f>
        <v/>
      </c>
      <c r="G498" s="7">
        <f>'3 escalar'!F501</f>
        <v/>
      </c>
      <c r="H498" s="7">
        <f>'3 escalar'!G501</f>
        <v/>
      </c>
      <c r="I498" s="7">
        <f>'3 escalar'!H501</f>
        <v/>
      </c>
      <c r="J498" s="7">
        <f>'3 escalar'!I501</f>
        <v/>
      </c>
      <c r="K498" s="7">
        <f>'3 escalar'!J501</f>
        <v/>
      </c>
      <c r="L498" s="7">
        <f>'3 escalar'!K501</f>
        <v/>
      </c>
      <c r="M498" s="7">
        <f>'3 escalar'!L501</f>
        <v/>
      </c>
      <c r="N498" s="7">
        <f>'3 escalar'!M501</f>
        <v/>
      </c>
      <c r="O498" s="7">
        <f>'3 escalar'!N501</f>
        <v/>
      </c>
      <c r="P498" s="7">
        <f>'3 escalar'!O501</f>
        <v/>
      </c>
      <c r="Q498" s="7">
        <f>'3 escalar'!P501</f>
        <v/>
      </c>
      <c r="R498" s="7">
        <f>'3 escalar'!Q501</f>
        <v/>
      </c>
      <c r="S498" s="7">
        <f>'3 escalar'!R501</f>
        <v/>
      </c>
      <c r="T498" s="7">
        <f>'3 escalar'!S501</f>
        <v/>
      </c>
      <c r="U498" s="7">
        <f>'3 escalar'!T501</f>
        <v/>
      </c>
      <c r="V498" s="6">
        <f>$AC$12+D498*$AC$13+E498*$AC$14+F498*$AC$15+G498*$AC$16+H498*$AC$17+I498*$AC$18+J498*$AC$19+K498*$AC$20+L498*$AC$21+M498*$AC$22+N498*$AC$23+O498*$AC$24+P498*$AC$25+Q498*$AC$26+R498*$AC$27+S498*$AC$28+T498*$AC$29+U498*$AC$30</f>
        <v/>
      </c>
      <c r="W498" s="6">
        <f>1/(1+EXP(-V498))</f>
        <v/>
      </c>
      <c r="X498" s="8">
        <f>-IF(C498=1,LN(W498),LN(1-W498))</f>
        <v/>
      </c>
      <c r="Y498" s="9">
        <f>IF(W498&gt;$AC$32,1,0)</f>
        <v/>
      </c>
      <c r="Z498">
        <f>IF(Y498=C498,1,0)</f>
        <v/>
      </c>
    </row>
    <row r="499">
      <c r="A499">
        <f>'3 escalar'!A502</f>
        <v/>
      </c>
      <c r="B499" s="5">
        <f>'3 escalar'!U502</f>
        <v/>
      </c>
      <c r="C499">
        <f>'3 escalar'!B502</f>
        <v/>
      </c>
      <c r="D499" s="7">
        <f>'3 escalar'!C502</f>
        <v/>
      </c>
      <c r="E499" s="7">
        <f>'3 escalar'!D502</f>
        <v/>
      </c>
      <c r="F499" s="7">
        <f>'3 escalar'!E502</f>
        <v/>
      </c>
      <c r="G499" s="7">
        <f>'3 escalar'!F502</f>
        <v/>
      </c>
      <c r="H499" s="7">
        <f>'3 escalar'!G502</f>
        <v/>
      </c>
      <c r="I499" s="7">
        <f>'3 escalar'!H502</f>
        <v/>
      </c>
      <c r="J499" s="7">
        <f>'3 escalar'!I502</f>
        <v/>
      </c>
      <c r="K499" s="7">
        <f>'3 escalar'!J502</f>
        <v/>
      </c>
      <c r="L499" s="7">
        <f>'3 escalar'!K502</f>
        <v/>
      </c>
      <c r="M499" s="7">
        <f>'3 escalar'!L502</f>
        <v/>
      </c>
      <c r="N499" s="7">
        <f>'3 escalar'!M502</f>
        <v/>
      </c>
      <c r="O499" s="7">
        <f>'3 escalar'!N502</f>
        <v/>
      </c>
      <c r="P499" s="7">
        <f>'3 escalar'!O502</f>
        <v/>
      </c>
      <c r="Q499" s="7">
        <f>'3 escalar'!P502</f>
        <v/>
      </c>
      <c r="R499" s="7">
        <f>'3 escalar'!Q502</f>
        <v/>
      </c>
      <c r="S499" s="7">
        <f>'3 escalar'!R502</f>
        <v/>
      </c>
      <c r="T499" s="7">
        <f>'3 escalar'!S502</f>
        <v/>
      </c>
      <c r="U499" s="7">
        <f>'3 escalar'!T502</f>
        <v/>
      </c>
      <c r="V499" s="6">
        <f>$AC$12+D499*$AC$13+E499*$AC$14+F499*$AC$15+G499*$AC$16+H499*$AC$17+I499*$AC$18+J499*$AC$19+K499*$AC$20+L499*$AC$21+M499*$AC$22+N499*$AC$23+O499*$AC$24+P499*$AC$25+Q499*$AC$26+R499*$AC$27+S499*$AC$28+T499*$AC$29+U499*$AC$30</f>
        <v/>
      </c>
      <c r="W499" s="6">
        <f>1/(1+EXP(-V499))</f>
        <v/>
      </c>
      <c r="X499" s="8">
        <f>-IF(C499=1,LN(W499),LN(1-W499))</f>
        <v/>
      </c>
      <c r="Y499" s="9">
        <f>IF(W499&gt;$AC$32,1,0)</f>
        <v/>
      </c>
      <c r="Z499">
        <f>IF(Y499=C499,1,0)</f>
        <v/>
      </c>
    </row>
    <row r="500">
      <c r="A500">
        <f>'3 escalar'!A503</f>
        <v/>
      </c>
      <c r="B500" s="5">
        <f>'3 escalar'!U503</f>
        <v/>
      </c>
      <c r="C500">
        <f>'3 escalar'!B503</f>
        <v/>
      </c>
      <c r="D500" s="7">
        <f>'3 escalar'!C503</f>
        <v/>
      </c>
      <c r="E500" s="7">
        <f>'3 escalar'!D503</f>
        <v/>
      </c>
      <c r="F500" s="7">
        <f>'3 escalar'!E503</f>
        <v/>
      </c>
      <c r="G500" s="7">
        <f>'3 escalar'!F503</f>
        <v/>
      </c>
      <c r="H500" s="7">
        <f>'3 escalar'!G503</f>
        <v/>
      </c>
      <c r="I500" s="7">
        <f>'3 escalar'!H503</f>
        <v/>
      </c>
      <c r="J500" s="7">
        <f>'3 escalar'!I503</f>
        <v/>
      </c>
      <c r="K500" s="7">
        <f>'3 escalar'!J503</f>
        <v/>
      </c>
      <c r="L500" s="7">
        <f>'3 escalar'!K503</f>
        <v/>
      </c>
      <c r="M500" s="7">
        <f>'3 escalar'!L503</f>
        <v/>
      </c>
      <c r="N500" s="7">
        <f>'3 escalar'!M503</f>
        <v/>
      </c>
      <c r="O500" s="7">
        <f>'3 escalar'!N503</f>
        <v/>
      </c>
      <c r="P500" s="7">
        <f>'3 escalar'!O503</f>
        <v/>
      </c>
      <c r="Q500" s="7">
        <f>'3 escalar'!P503</f>
        <v/>
      </c>
      <c r="R500" s="7">
        <f>'3 escalar'!Q503</f>
        <v/>
      </c>
      <c r="S500" s="7">
        <f>'3 escalar'!R503</f>
        <v/>
      </c>
      <c r="T500" s="7">
        <f>'3 escalar'!S503</f>
        <v/>
      </c>
      <c r="U500" s="7">
        <f>'3 escalar'!T503</f>
        <v/>
      </c>
      <c r="V500" s="6">
        <f>$AC$12+D500*$AC$13+E500*$AC$14+F500*$AC$15+G500*$AC$16+H500*$AC$17+I500*$AC$18+J500*$AC$19+K500*$AC$20+L500*$AC$21+M500*$AC$22+N500*$AC$23+O500*$AC$24+P500*$AC$25+Q500*$AC$26+R500*$AC$27+S500*$AC$28+T500*$AC$29+U500*$AC$30</f>
        <v/>
      </c>
      <c r="W500" s="6">
        <f>1/(1+EXP(-V500))</f>
        <v/>
      </c>
      <c r="X500" s="8">
        <f>-IF(C500=1,LN(W500),LN(1-W500))</f>
        <v/>
      </c>
      <c r="Y500" s="9">
        <f>IF(W500&gt;$AC$32,1,0)</f>
        <v/>
      </c>
      <c r="Z500">
        <f>IF(Y500=C500,1,0)</f>
        <v/>
      </c>
    </row>
    <row r="501">
      <c r="A501">
        <f>'3 escalar'!A504</f>
        <v/>
      </c>
      <c r="B501" s="5">
        <f>'3 escalar'!U504</f>
        <v/>
      </c>
      <c r="C501">
        <f>'3 escalar'!B504</f>
        <v/>
      </c>
      <c r="D501" s="7">
        <f>'3 escalar'!C504</f>
        <v/>
      </c>
      <c r="E501" s="7">
        <f>'3 escalar'!D504</f>
        <v/>
      </c>
      <c r="F501" s="7">
        <f>'3 escalar'!E504</f>
        <v/>
      </c>
      <c r="G501" s="7">
        <f>'3 escalar'!F504</f>
        <v/>
      </c>
      <c r="H501" s="7">
        <f>'3 escalar'!G504</f>
        <v/>
      </c>
      <c r="I501" s="7">
        <f>'3 escalar'!H504</f>
        <v/>
      </c>
      <c r="J501" s="7">
        <f>'3 escalar'!I504</f>
        <v/>
      </c>
      <c r="K501" s="7">
        <f>'3 escalar'!J504</f>
        <v/>
      </c>
      <c r="L501" s="7">
        <f>'3 escalar'!K504</f>
        <v/>
      </c>
      <c r="M501" s="7">
        <f>'3 escalar'!L504</f>
        <v/>
      </c>
      <c r="N501" s="7">
        <f>'3 escalar'!M504</f>
        <v/>
      </c>
      <c r="O501" s="7">
        <f>'3 escalar'!N504</f>
        <v/>
      </c>
      <c r="P501" s="7">
        <f>'3 escalar'!O504</f>
        <v/>
      </c>
      <c r="Q501" s="7">
        <f>'3 escalar'!P504</f>
        <v/>
      </c>
      <c r="R501" s="7">
        <f>'3 escalar'!Q504</f>
        <v/>
      </c>
      <c r="S501" s="7">
        <f>'3 escalar'!R504</f>
        <v/>
      </c>
      <c r="T501" s="7">
        <f>'3 escalar'!S504</f>
        <v/>
      </c>
      <c r="U501" s="7">
        <f>'3 escalar'!T504</f>
        <v/>
      </c>
      <c r="V501" s="6">
        <f>$AC$12+D501*$AC$13+E501*$AC$14+F501*$AC$15+G501*$AC$16+H501*$AC$17+I501*$AC$18+J501*$AC$19+K501*$AC$20+L501*$AC$21+M501*$AC$22+N501*$AC$23+O501*$AC$24+P501*$AC$25+Q501*$AC$26+R501*$AC$27+S501*$AC$28+T501*$AC$29+U501*$AC$30</f>
        <v/>
      </c>
      <c r="W501" s="6">
        <f>1/(1+EXP(-V501))</f>
        <v/>
      </c>
      <c r="X501" s="8">
        <f>-IF(C501=1,LN(W501),LN(1-W501))</f>
        <v/>
      </c>
      <c r="Y501" s="9">
        <f>IF(W501&gt;$AC$32,1,0)</f>
        <v/>
      </c>
      <c r="Z501">
        <f>IF(Y501=C501,1,0)</f>
        <v/>
      </c>
    </row>
    <row r="502">
      <c r="A502">
        <f>'3 escalar'!A505</f>
        <v/>
      </c>
      <c r="B502" s="5">
        <f>'3 escalar'!U505</f>
        <v/>
      </c>
      <c r="C502">
        <f>'3 escalar'!B505</f>
        <v/>
      </c>
      <c r="D502" s="7">
        <f>'3 escalar'!C505</f>
        <v/>
      </c>
      <c r="E502" s="7">
        <f>'3 escalar'!D505</f>
        <v/>
      </c>
      <c r="F502" s="7">
        <f>'3 escalar'!E505</f>
        <v/>
      </c>
      <c r="G502" s="7">
        <f>'3 escalar'!F505</f>
        <v/>
      </c>
      <c r="H502" s="7">
        <f>'3 escalar'!G505</f>
        <v/>
      </c>
      <c r="I502" s="7">
        <f>'3 escalar'!H505</f>
        <v/>
      </c>
      <c r="J502" s="7">
        <f>'3 escalar'!I505</f>
        <v/>
      </c>
      <c r="K502" s="7">
        <f>'3 escalar'!J505</f>
        <v/>
      </c>
      <c r="L502" s="7">
        <f>'3 escalar'!K505</f>
        <v/>
      </c>
      <c r="M502" s="7">
        <f>'3 escalar'!L505</f>
        <v/>
      </c>
      <c r="N502" s="7">
        <f>'3 escalar'!M505</f>
        <v/>
      </c>
      <c r="O502" s="7">
        <f>'3 escalar'!N505</f>
        <v/>
      </c>
      <c r="P502" s="7">
        <f>'3 escalar'!O505</f>
        <v/>
      </c>
      <c r="Q502" s="7">
        <f>'3 escalar'!P505</f>
        <v/>
      </c>
      <c r="R502" s="7">
        <f>'3 escalar'!Q505</f>
        <v/>
      </c>
      <c r="S502" s="7">
        <f>'3 escalar'!R505</f>
        <v/>
      </c>
      <c r="T502" s="7">
        <f>'3 escalar'!S505</f>
        <v/>
      </c>
      <c r="U502" s="7">
        <f>'3 escalar'!T505</f>
        <v/>
      </c>
      <c r="V502" s="6">
        <f>$AC$12+D502*$AC$13+E502*$AC$14+F502*$AC$15+G502*$AC$16+H502*$AC$17+I502*$AC$18+J502*$AC$19+K502*$AC$20+L502*$AC$21+M502*$AC$22+N502*$AC$23+O502*$AC$24+P502*$AC$25+Q502*$AC$26+R502*$AC$27+S502*$AC$28+T502*$AC$29+U502*$AC$30</f>
        <v/>
      </c>
      <c r="W502" s="6">
        <f>1/(1+EXP(-V502))</f>
        <v/>
      </c>
      <c r="X502" s="8">
        <f>-IF(C502=1,LN(W502),LN(1-W502))</f>
        <v/>
      </c>
      <c r="Y502" s="9">
        <f>IF(W502&gt;$AC$32,1,0)</f>
        <v/>
      </c>
      <c r="Z502">
        <f>IF(Y502=C502,1,0)</f>
        <v/>
      </c>
    </row>
    <row r="503">
      <c r="A503">
        <f>'3 escalar'!A506</f>
        <v/>
      </c>
      <c r="B503" s="5">
        <f>'3 escalar'!U506</f>
        <v/>
      </c>
      <c r="C503">
        <f>'3 escalar'!B506</f>
        <v/>
      </c>
      <c r="D503" s="7">
        <f>'3 escalar'!C506</f>
        <v/>
      </c>
      <c r="E503" s="7">
        <f>'3 escalar'!D506</f>
        <v/>
      </c>
      <c r="F503" s="7">
        <f>'3 escalar'!E506</f>
        <v/>
      </c>
      <c r="G503" s="7">
        <f>'3 escalar'!F506</f>
        <v/>
      </c>
      <c r="H503" s="7">
        <f>'3 escalar'!G506</f>
        <v/>
      </c>
      <c r="I503" s="7">
        <f>'3 escalar'!H506</f>
        <v/>
      </c>
      <c r="J503" s="7">
        <f>'3 escalar'!I506</f>
        <v/>
      </c>
      <c r="K503" s="7">
        <f>'3 escalar'!J506</f>
        <v/>
      </c>
      <c r="L503" s="7">
        <f>'3 escalar'!K506</f>
        <v/>
      </c>
      <c r="M503" s="7">
        <f>'3 escalar'!L506</f>
        <v/>
      </c>
      <c r="N503" s="7">
        <f>'3 escalar'!M506</f>
        <v/>
      </c>
      <c r="O503" s="7">
        <f>'3 escalar'!N506</f>
        <v/>
      </c>
      <c r="P503" s="7">
        <f>'3 escalar'!O506</f>
        <v/>
      </c>
      <c r="Q503" s="7">
        <f>'3 escalar'!P506</f>
        <v/>
      </c>
      <c r="R503" s="7">
        <f>'3 escalar'!Q506</f>
        <v/>
      </c>
      <c r="S503" s="7">
        <f>'3 escalar'!R506</f>
        <v/>
      </c>
      <c r="T503" s="7">
        <f>'3 escalar'!S506</f>
        <v/>
      </c>
      <c r="U503" s="7">
        <f>'3 escalar'!T506</f>
        <v/>
      </c>
      <c r="V503" s="6">
        <f>$AC$12+D503*$AC$13+E503*$AC$14+F503*$AC$15+G503*$AC$16+H503*$AC$17+I503*$AC$18+J503*$AC$19+K503*$AC$20+L503*$AC$21+M503*$AC$22+N503*$AC$23+O503*$AC$24+P503*$AC$25+Q503*$AC$26+R503*$AC$27+S503*$AC$28+T503*$AC$29+U503*$AC$30</f>
        <v/>
      </c>
      <c r="W503" s="6">
        <f>1/(1+EXP(-V503))</f>
        <v/>
      </c>
      <c r="X503" s="8">
        <f>-IF(C503=1,LN(W503),LN(1-W503))</f>
        <v/>
      </c>
      <c r="Y503" s="9">
        <f>IF(W503&gt;$AC$32,1,0)</f>
        <v/>
      </c>
      <c r="Z503">
        <f>IF(Y503=C503,1,0)</f>
        <v/>
      </c>
    </row>
    <row r="504">
      <c r="A504">
        <f>'3 escalar'!A507</f>
        <v/>
      </c>
      <c r="B504" s="5">
        <f>'3 escalar'!U507</f>
        <v/>
      </c>
      <c r="C504">
        <f>'3 escalar'!B507</f>
        <v/>
      </c>
      <c r="D504" s="7">
        <f>'3 escalar'!C507</f>
        <v/>
      </c>
      <c r="E504" s="7">
        <f>'3 escalar'!D507</f>
        <v/>
      </c>
      <c r="F504" s="7">
        <f>'3 escalar'!E507</f>
        <v/>
      </c>
      <c r="G504" s="7">
        <f>'3 escalar'!F507</f>
        <v/>
      </c>
      <c r="H504" s="7">
        <f>'3 escalar'!G507</f>
        <v/>
      </c>
      <c r="I504" s="7">
        <f>'3 escalar'!H507</f>
        <v/>
      </c>
      <c r="J504" s="7">
        <f>'3 escalar'!I507</f>
        <v/>
      </c>
      <c r="K504" s="7">
        <f>'3 escalar'!J507</f>
        <v/>
      </c>
      <c r="L504" s="7">
        <f>'3 escalar'!K507</f>
        <v/>
      </c>
      <c r="M504" s="7">
        <f>'3 escalar'!L507</f>
        <v/>
      </c>
      <c r="N504" s="7">
        <f>'3 escalar'!M507</f>
        <v/>
      </c>
      <c r="O504" s="7">
        <f>'3 escalar'!N507</f>
        <v/>
      </c>
      <c r="P504" s="7">
        <f>'3 escalar'!O507</f>
        <v/>
      </c>
      <c r="Q504" s="7">
        <f>'3 escalar'!P507</f>
        <v/>
      </c>
      <c r="R504" s="7">
        <f>'3 escalar'!Q507</f>
        <v/>
      </c>
      <c r="S504" s="7">
        <f>'3 escalar'!R507</f>
        <v/>
      </c>
      <c r="T504" s="7">
        <f>'3 escalar'!S507</f>
        <v/>
      </c>
      <c r="U504" s="7">
        <f>'3 escalar'!T507</f>
        <v/>
      </c>
      <c r="V504" s="6">
        <f>$AC$12+D504*$AC$13+E504*$AC$14+F504*$AC$15+G504*$AC$16+H504*$AC$17+I504*$AC$18+J504*$AC$19+K504*$AC$20+L504*$AC$21+M504*$AC$22+N504*$AC$23+O504*$AC$24+P504*$AC$25+Q504*$AC$26+R504*$AC$27+S504*$AC$28+T504*$AC$29+U504*$AC$30</f>
        <v/>
      </c>
      <c r="W504" s="6">
        <f>1/(1+EXP(-V504))</f>
        <v/>
      </c>
      <c r="X504" s="8">
        <f>-IF(C504=1,LN(W504),LN(1-W504))</f>
        <v/>
      </c>
      <c r="Y504" s="9">
        <f>IF(W504&gt;$AC$32,1,0)</f>
        <v/>
      </c>
      <c r="Z504">
        <f>IF(Y504=C504,1,0)</f>
        <v/>
      </c>
    </row>
    <row r="505">
      <c r="A505">
        <f>'3 escalar'!A508</f>
        <v/>
      </c>
      <c r="B505" s="5">
        <f>'3 escalar'!U508</f>
        <v/>
      </c>
      <c r="C505">
        <f>'3 escalar'!B508</f>
        <v/>
      </c>
      <c r="D505" s="7">
        <f>'3 escalar'!C508</f>
        <v/>
      </c>
      <c r="E505" s="7">
        <f>'3 escalar'!D508</f>
        <v/>
      </c>
      <c r="F505" s="7">
        <f>'3 escalar'!E508</f>
        <v/>
      </c>
      <c r="G505" s="7">
        <f>'3 escalar'!F508</f>
        <v/>
      </c>
      <c r="H505" s="7">
        <f>'3 escalar'!G508</f>
        <v/>
      </c>
      <c r="I505" s="7">
        <f>'3 escalar'!H508</f>
        <v/>
      </c>
      <c r="J505" s="7">
        <f>'3 escalar'!I508</f>
        <v/>
      </c>
      <c r="K505" s="7">
        <f>'3 escalar'!J508</f>
        <v/>
      </c>
      <c r="L505" s="7">
        <f>'3 escalar'!K508</f>
        <v/>
      </c>
      <c r="M505" s="7">
        <f>'3 escalar'!L508</f>
        <v/>
      </c>
      <c r="N505" s="7">
        <f>'3 escalar'!M508</f>
        <v/>
      </c>
      <c r="O505" s="7">
        <f>'3 escalar'!N508</f>
        <v/>
      </c>
      <c r="P505" s="7">
        <f>'3 escalar'!O508</f>
        <v/>
      </c>
      <c r="Q505" s="7">
        <f>'3 escalar'!P508</f>
        <v/>
      </c>
      <c r="R505" s="7">
        <f>'3 escalar'!Q508</f>
        <v/>
      </c>
      <c r="S505" s="7">
        <f>'3 escalar'!R508</f>
        <v/>
      </c>
      <c r="T505" s="7">
        <f>'3 escalar'!S508</f>
        <v/>
      </c>
      <c r="U505" s="7">
        <f>'3 escalar'!T508</f>
        <v/>
      </c>
      <c r="V505" s="6">
        <f>$AC$12+D505*$AC$13+E505*$AC$14+F505*$AC$15+G505*$AC$16+H505*$AC$17+I505*$AC$18+J505*$AC$19+K505*$AC$20+L505*$AC$21+M505*$AC$22+N505*$AC$23+O505*$AC$24+P505*$AC$25+Q505*$AC$26+R505*$AC$27+S505*$AC$28+T505*$AC$29+U505*$AC$30</f>
        <v/>
      </c>
      <c r="W505" s="6">
        <f>1/(1+EXP(-V505))</f>
        <v/>
      </c>
      <c r="X505" s="8">
        <f>-IF(C505=1,LN(W505),LN(1-W505))</f>
        <v/>
      </c>
      <c r="Y505" s="9">
        <f>IF(W505&gt;$AC$32,1,0)</f>
        <v/>
      </c>
      <c r="Z505">
        <f>IF(Y505=C505,1,0)</f>
        <v/>
      </c>
    </row>
    <row r="506">
      <c r="A506">
        <f>'3 escalar'!A509</f>
        <v/>
      </c>
      <c r="B506" s="5">
        <f>'3 escalar'!U509</f>
        <v/>
      </c>
      <c r="C506">
        <f>'3 escalar'!B509</f>
        <v/>
      </c>
      <c r="D506" s="7">
        <f>'3 escalar'!C509</f>
        <v/>
      </c>
      <c r="E506" s="7">
        <f>'3 escalar'!D509</f>
        <v/>
      </c>
      <c r="F506" s="7">
        <f>'3 escalar'!E509</f>
        <v/>
      </c>
      <c r="G506" s="7">
        <f>'3 escalar'!F509</f>
        <v/>
      </c>
      <c r="H506" s="7">
        <f>'3 escalar'!G509</f>
        <v/>
      </c>
      <c r="I506" s="7">
        <f>'3 escalar'!H509</f>
        <v/>
      </c>
      <c r="J506" s="7">
        <f>'3 escalar'!I509</f>
        <v/>
      </c>
      <c r="K506" s="7">
        <f>'3 escalar'!J509</f>
        <v/>
      </c>
      <c r="L506" s="7">
        <f>'3 escalar'!K509</f>
        <v/>
      </c>
      <c r="M506" s="7">
        <f>'3 escalar'!L509</f>
        <v/>
      </c>
      <c r="N506" s="7">
        <f>'3 escalar'!M509</f>
        <v/>
      </c>
      <c r="O506" s="7">
        <f>'3 escalar'!N509</f>
        <v/>
      </c>
      <c r="P506" s="7">
        <f>'3 escalar'!O509</f>
        <v/>
      </c>
      <c r="Q506" s="7">
        <f>'3 escalar'!P509</f>
        <v/>
      </c>
      <c r="R506" s="7">
        <f>'3 escalar'!Q509</f>
        <v/>
      </c>
      <c r="S506" s="7">
        <f>'3 escalar'!R509</f>
        <v/>
      </c>
      <c r="T506" s="7">
        <f>'3 escalar'!S509</f>
        <v/>
      </c>
      <c r="U506" s="7">
        <f>'3 escalar'!T509</f>
        <v/>
      </c>
      <c r="V506" s="6">
        <f>$AC$12+D506*$AC$13+E506*$AC$14+F506*$AC$15+G506*$AC$16+H506*$AC$17+I506*$AC$18+J506*$AC$19+K506*$AC$20+L506*$AC$21+M506*$AC$22+N506*$AC$23+O506*$AC$24+P506*$AC$25+Q506*$AC$26+R506*$AC$27+S506*$AC$28+T506*$AC$29+U506*$AC$30</f>
        <v/>
      </c>
      <c r="W506" s="6">
        <f>1/(1+EXP(-V506))</f>
        <v/>
      </c>
      <c r="X506" s="8">
        <f>-IF(C506=1,LN(W506),LN(1-W506))</f>
        <v/>
      </c>
      <c r="Y506" s="9">
        <f>IF(W506&gt;$AC$32,1,0)</f>
        <v/>
      </c>
      <c r="Z506">
        <f>IF(Y506=C506,1,0)</f>
        <v/>
      </c>
    </row>
    <row r="507">
      <c r="A507">
        <f>'3 escalar'!A510</f>
        <v/>
      </c>
      <c r="B507" s="5">
        <f>'3 escalar'!U510</f>
        <v/>
      </c>
      <c r="C507">
        <f>'3 escalar'!B510</f>
        <v/>
      </c>
      <c r="D507" s="7">
        <f>'3 escalar'!C510</f>
        <v/>
      </c>
      <c r="E507" s="7">
        <f>'3 escalar'!D510</f>
        <v/>
      </c>
      <c r="F507" s="7">
        <f>'3 escalar'!E510</f>
        <v/>
      </c>
      <c r="G507" s="7">
        <f>'3 escalar'!F510</f>
        <v/>
      </c>
      <c r="H507" s="7">
        <f>'3 escalar'!G510</f>
        <v/>
      </c>
      <c r="I507" s="7">
        <f>'3 escalar'!H510</f>
        <v/>
      </c>
      <c r="J507" s="7">
        <f>'3 escalar'!I510</f>
        <v/>
      </c>
      <c r="K507" s="7">
        <f>'3 escalar'!J510</f>
        <v/>
      </c>
      <c r="L507" s="7">
        <f>'3 escalar'!K510</f>
        <v/>
      </c>
      <c r="M507" s="7">
        <f>'3 escalar'!L510</f>
        <v/>
      </c>
      <c r="N507" s="7">
        <f>'3 escalar'!M510</f>
        <v/>
      </c>
      <c r="O507" s="7">
        <f>'3 escalar'!N510</f>
        <v/>
      </c>
      <c r="P507" s="7">
        <f>'3 escalar'!O510</f>
        <v/>
      </c>
      <c r="Q507" s="7">
        <f>'3 escalar'!P510</f>
        <v/>
      </c>
      <c r="R507" s="7">
        <f>'3 escalar'!Q510</f>
        <v/>
      </c>
      <c r="S507" s="7">
        <f>'3 escalar'!R510</f>
        <v/>
      </c>
      <c r="T507" s="7">
        <f>'3 escalar'!S510</f>
        <v/>
      </c>
      <c r="U507" s="7">
        <f>'3 escalar'!T510</f>
        <v/>
      </c>
      <c r="V507" s="6">
        <f>$AC$12+D507*$AC$13+E507*$AC$14+F507*$AC$15+G507*$AC$16+H507*$AC$17+I507*$AC$18+J507*$AC$19+K507*$AC$20+L507*$AC$21+M507*$AC$22+N507*$AC$23+O507*$AC$24+P507*$AC$25+Q507*$AC$26+R507*$AC$27+S507*$AC$28+T507*$AC$29+U507*$AC$30</f>
        <v/>
      </c>
      <c r="W507" s="6">
        <f>1/(1+EXP(-V507))</f>
        <v/>
      </c>
      <c r="X507" s="8">
        <f>-IF(C507=1,LN(W507),LN(1-W507))</f>
        <v/>
      </c>
      <c r="Y507" s="9">
        <f>IF(W507&gt;$AC$32,1,0)</f>
        <v/>
      </c>
      <c r="Z507">
        <f>IF(Y507=C507,1,0)</f>
        <v/>
      </c>
    </row>
    <row r="508">
      <c r="A508">
        <f>'3 escalar'!A511</f>
        <v/>
      </c>
      <c r="B508" s="5">
        <f>'3 escalar'!U511</f>
        <v/>
      </c>
      <c r="C508">
        <f>'3 escalar'!B511</f>
        <v/>
      </c>
      <c r="D508" s="7">
        <f>'3 escalar'!C511</f>
        <v/>
      </c>
      <c r="E508" s="7">
        <f>'3 escalar'!D511</f>
        <v/>
      </c>
      <c r="F508" s="7">
        <f>'3 escalar'!E511</f>
        <v/>
      </c>
      <c r="G508" s="7">
        <f>'3 escalar'!F511</f>
        <v/>
      </c>
      <c r="H508" s="7">
        <f>'3 escalar'!G511</f>
        <v/>
      </c>
      <c r="I508" s="7">
        <f>'3 escalar'!H511</f>
        <v/>
      </c>
      <c r="J508" s="7">
        <f>'3 escalar'!I511</f>
        <v/>
      </c>
      <c r="K508" s="7">
        <f>'3 escalar'!J511</f>
        <v/>
      </c>
      <c r="L508" s="7">
        <f>'3 escalar'!K511</f>
        <v/>
      </c>
      <c r="M508" s="7">
        <f>'3 escalar'!L511</f>
        <v/>
      </c>
      <c r="N508" s="7">
        <f>'3 escalar'!M511</f>
        <v/>
      </c>
      <c r="O508" s="7">
        <f>'3 escalar'!N511</f>
        <v/>
      </c>
      <c r="P508" s="7">
        <f>'3 escalar'!O511</f>
        <v/>
      </c>
      <c r="Q508" s="7">
        <f>'3 escalar'!P511</f>
        <v/>
      </c>
      <c r="R508" s="7">
        <f>'3 escalar'!Q511</f>
        <v/>
      </c>
      <c r="S508" s="7">
        <f>'3 escalar'!R511</f>
        <v/>
      </c>
      <c r="T508" s="7">
        <f>'3 escalar'!S511</f>
        <v/>
      </c>
      <c r="U508" s="7">
        <f>'3 escalar'!T511</f>
        <v/>
      </c>
      <c r="V508" s="6">
        <f>$AC$12+D508*$AC$13+E508*$AC$14+F508*$AC$15+G508*$AC$16+H508*$AC$17+I508*$AC$18+J508*$AC$19+K508*$AC$20+L508*$AC$21+M508*$AC$22+N508*$AC$23+O508*$AC$24+P508*$AC$25+Q508*$AC$26+R508*$AC$27+S508*$AC$28+T508*$AC$29+U508*$AC$30</f>
        <v/>
      </c>
      <c r="W508" s="6">
        <f>1/(1+EXP(-V508))</f>
        <v/>
      </c>
      <c r="X508" s="8">
        <f>-IF(C508=1,LN(W508),LN(1-W508))</f>
        <v/>
      </c>
      <c r="Y508" s="9">
        <f>IF(W508&gt;$AC$32,1,0)</f>
        <v/>
      </c>
      <c r="Z508">
        <f>IF(Y508=C508,1,0)</f>
        <v/>
      </c>
    </row>
    <row r="509">
      <c r="A509">
        <f>'3 escalar'!A512</f>
        <v/>
      </c>
      <c r="B509" s="5">
        <f>'3 escalar'!U512</f>
        <v/>
      </c>
      <c r="C509">
        <f>'3 escalar'!B512</f>
        <v/>
      </c>
      <c r="D509" s="7">
        <f>'3 escalar'!C512</f>
        <v/>
      </c>
      <c r="E509" s="7">
        <f>'3 escalar'!D512</f>
        <v/>
      </c>
      <c r="F509" s="7">
        <f>'3 escalar'!E512</f>
        <v/>
      </c>
      <c r="G509" s="7">
        <f>'3 escalar'!F512</f>
        <v/>
      </c>
      <c r="H509" s="7">
        <f>'3 escalar'!G512</f>
        <v/>
      </c>
      <c r="I509" s="7">
        <f>'3 escalar'!H512</f>
        <v/>
      </c>
      <c r="J509" s="7">
        <f>'3 escalar'!I512</f>
        <v/>
      </c>
      <c r="K509" s="7">
        <f>'3 escalar'!J512</f>
        <v/>
      </c>
      <c r="L509" s="7">
        <f>'3 escalar'!K512</f>
        <v/>
      </c>
      <c r="M509" s="7">
        <f>'3 escalar'!L512</f>
        <v/>
      </c>
      <c r="N509" s="7">
        <f>'3 escalar'!M512</f>
        <v/>
      </c>
      <c r="O509" s="7">
        <f>'3 escalar'!N512</f>
        <v/>
      </c>
      <c r="P509" s="7">
        <f>'3 escalar'!O512</f>
        <v/>
      </c>
      <c r="Q509" s="7">
        <f>'3 escalar'!P512</f>
        <v/>
      </c>
      <c r="R509" s="7">
        <f>'3 escalar'!Q512</f>
        <v/>
      </c>
      <c r="S509" s="7">
        <f>'3 escalar'!R512</f>
        <v/>
      </c>
      <c r="T509" s="7">
        <f>'3 escalar'!S512</f>
        <v/>
      </c>
      <c r="U509" s="7">
        <f>'3 escalar'!T512</f>
        <v/>
      </c>
      <c r="V509" s="6">
        <f>$AC$12+D509*$AC$13+E509*$AC$14+F509*$AC$15+G509*$AC$16+H509*$AC$17+I509*$AC$18+J509*$AC$19+K509*$AC$20+L509*$AC$21+M509*$AC$22+N509*$AC$23+O509*$AC$24+P509*$AC$25+Q509*$AC$26+R509*$AC$27+S509*$AC$28+T509*$AC$29+U509*$AC$30</f>
        <v/>
      </c>
      <c r="W509" s="6">
        <f>1/(1+EXP(-V509))</f>
        <v/>
      </c>
      <c r="X509" s="8">
        <f>-IF(C509=1,LN(W509),LN(1-W509))</f>
        <v/>
      </c>
      <c r="Y509" s="9">
        <f>IF(W509&gt;$AC$32,1,0)</f>
        <v/>
      </c>
      <c r="Z509">
        <f>IF(Y509=C509,1,0)</f>
        <v/>
      </c>
    </row>
    <row r="510">
      <c r="A510">
        <f>'3 escalar'!A513</f>
        <v/>
      </c>
      <c r="B510" s="5">
        <f>'3 escalar'!U513</f>
        <v/>
      </c>
      <c r="C510">
        <f>'3 escalar'!B513</f>
        <v/>
      </c>
      <c r="D510" s="7">
        <f>'3 escalar'!C513</f>
        <v/>
      </c>
      <c r="E510" s="7">
        <f>'3 escalar'!D513</f>
        <v/>
      </c>
      <c r="F510" s="7">
        <f>'3 escalar'!E513</f>
        <v/>
      </c>
      <c r="G510" s="7">
        <f>'3 escalar'!F513</f>
        <v/>
      </c>
      <c r="H510" s="7">
        <f>'3 escalar'!G513</f>
        <v/>
      </c>
      <c r="I510" s="7">
        <f>'3 escalar'!H513</f>
        <v/>
      </c>
      <c r="J510" s="7">
        <f>'3 escalar'!I513</f>
        <v/>
      </c>
      <c r="K510" s="7">
        <f>'3 escalar'!J513</f>
        <v/>
      </c>
      <c r="L510" s="7">
        <f>'3 escalar'!K513</f>
        <v/>
      </c>
      <c r="M510" s="7">
        <f>'3 escalar'!L513</f>
        <v/>
      </c>
      <c r="N510" s="7">
        <f>'3 escalar'!M513</f>
        <v/>
      </c>
      <c r="O510" s="7">
        <f>'3 escalar'!N513</f>
        <v/>
      </c>
      <c r="P510" s="7">
        <f>'3 escalar'!O513</f>
        <v/>
      </c>
      <c r="Q510" s="7">
        <f>'3 escalar'!P513</f>
        <v/>
      </c>
      <c r="R510" s="7">
        <f>'3 escalar'!Q513</f>
        <v/>
      </c>
      <c r="S510" s="7">
        <f>'3 escalar'!R513</f>
        <v/>
      </c>
      <c r="T510" s="7">
        <f>'3 escalar'!S513</f>
        <v/>
      </c>
      <c r="U510" s="7">
        <f>'3 escalar'!T513</f>
        <v/>
      </c>
      <c r="V510" s="6">
        <f>$AC$12+D510*$AC$13+E510*$AC$14+F510*$AC$15+G510*$AC$16+H510*$AC$17+I510*$AC$18+J510*$AC$19+K510*$AC$20+L510*$AC$21+M510*$AC$22+N510*$AC$23+O510*$AC$24+P510*$AC$25+Q510*$AC$26+R510*$AC$27+S510*$AC$28+T510*$AC$29+U510*$AC$30</f>
        <v/>
      </c>
      <c r="W510" s="6">
        <f>1/(1+EXP(-V510))</f>
        <v/>
      </c>
      <c r="X510" s="8">
        <f>-IF(C510=1,LN(W510),LN(1-W510))</f>
        <v/>
      </c>
      <c r="Y510" s="9">
        <f>IF(W510&gt;$AC$32,1,0)</f>
        <v/>
      </c>
      <c r="Z510">
        <f>IF(Y510=C510,1,0)</f>
        <v/>
      </c>
    </row>
    <row r="511">
      <c r="A511">
        <f>'3 escalar'!A514</f>
        <v/>
      </c>
      <c r="B511" s="5">
        <f>'3 escalar'!U514</f>
        <v/>
      </c>
      <c r="C511">
        <f>'3 escalar'!B514</f>
        <v/>
      </c>
      <c r="D511" s="7">
        <f>'3 escalar'!C514</f>
        <v/>
      </c>
      <c r="E511" s="7">
        <f>'3 escalar'!D514</f>
        <v/>
      </c>
      <c r="F511" s="7">
        <f>'3 escalar'!E514</f>
        <v/>
      </c>
      <c r="G511" s="7">
        <f>'3 escalar'!F514</f>
        <v/>
      </c>
      <c r="H511" s="7">
        <f>'3 escalar'!G514</f>
        <v/>
      </c>
      <c r="I511" s="7">
        <f>'3 escalar'!H514</f>
        <v/>
      </c>
      <c r="J511" s="7">
        <f>'3 escalar'!I514</f>
        <v/>
      </c>
      <c r="K511" s="7">
        <f>'3 escalar'!J514</f>
        <v/>
      </c>
      <c r="L511" s="7">
        <f>'3 escalar'!K514</f>
        <v/>
      </c>
      <c r="M511" s="7">
        <f>'3 escalar'!L514</f>
        <v/>
      </c>
      <c r="N511" s="7">
        <f>'3 escalar'!M514</f>
        <v/>
      </c>
      <c r="O511" s="7">
        <f>'3 escalar'!N514</f>
        <v/>
      </c>
      <c r="P511" s="7">
        <f>'3 escalar'!O514</f>
        <v/>
      </c>
      <c r="Q511" s="7">
        <f>'3 escalar'!P514</f>
        <v/>
      </c>
      <c r="R511" s="7">
        <f>'3 escalar'!Q514</f>
        <v/>
      </c>
      <c r="S511" s="7">
        <f>'3 escalar'!R514</f>
        <v/>
      </c>
      <c r="T511" s="7">
        <f>'3 escalar'!S514</f>
        <v/>
      </c>
      <c r="U511" s="7">
        <f>'3 escalar'!T514</f>
        <v/>
      </c>
      <c r="V511" s="6">
        <f>$AC$12+D511*$AC$13+E511*$AC$14+F511*$AC$15+G511*$AC$16+H511*$AC$17+I511*$AC$18+J511*$AC$19+K511*$AC$20+L511*$AC$21+M511*$AC$22+N511*$AC$23+O511*$AC$24+P511*$AC$25+Q511*$AC$26+R511*$AC$27+S511*$AC$28+T511*$AC$29+U511*$AC$30</f>
        <v/>
      </c>
      <c r="W511" s="6">
        <f>1/(1+EXP(-V511))</f>
        <v/>
      </c>
      <c r="X511" s="8">
        <f>-IF(C511=1,LN(W511),LN(1-W511))</f>
        <v/>
      </c>
      <c r="Y511" s="9">
        <f>IF(W511&gt;$AC$32,1,0)</f>
        <v/>
      </c>
      <c r="Z511">
        <f>IF(Y511=C511,1,0)</f>
        <v/>
      </c>
    </row>
    <row r="512">
      <c r="A512">
        <f>'3 escalar'!A515</f>
        <v/>
      </c>
      <c r="B512" s="5">
        <f>'3 escalar'!U515</f>
        <v/>
      </c>
      <c r="C512">
        <f>'3 escalar'!B515</f>
        <v/>
      </c>
      <c r="D512" s="7">
        <f>'3 escalar'!C515</f>
        <v/>
      </c>
      <c r="E512" s="7">
        <f>'3 escalar'!D515</f>
        <v/>
      </c>
      <c r="F512" s="7">
        <f>'3 escalar'!E515</f>
        <v/>
      </c>
      <c r="G512" s="7">
        <f>'3 escalar'!F515</f>
        <v/>
      </c>
      <c r="H512" s="7">
        <f>'3 escalar'!G515</f>
        <v/>
      </c>
      <c r="I512" s="7">
        <f>'3 escalar'!H515</f>
        <v/>
      </c>
      <c r="J512" s="7">
        <f>'3 escalar'!I515</f>
        <v/>
      </c>
      <c r="K512" s="7">
        <f>'3 escalar'!J515</f>
        <v/>
      </c>
      <c r="L512" s="7">
        <f>'3 escalar'!K515</f>
        <v/>
      </c>
      <c r="M512" s="7">
        <f>'3 escalar'!L515</f>
        <v/>
      </c>
      <c r="N512" s="7">
        <f>'3 escalar'!M515</f>
        <v/>
      </c>
      <c r="O512" s="7">
        <f>'3 escalar'!N515</f>
        <v/>
      </c>
      <c r="P512" s="7">
        <f>'3 escalar'!O515</f>
        <v/>
      </c>
      <c r="Q512" s="7">
        <f>'3 escalar'!P515</f>
        <v/>
      </c>
      <c r="R512" s="7">
        <f>'3 escalar'!Q515</f>
        <v/>
      </c>
      <c r="S512" s="7">
        <f>'3 escalar'!R515</f>
        <v/>
      </c>
      <c r="T512" s="7">
        <f>'3 escalar'!S515</f>
        <v/>
      </c>
      <c r="U512" s="7">
        <f>'3 escalar'!T515</f>
        <v/>
      </c>
      <c r="V512" s="6">
        <f>$AC$12+D512*$AC$13+E512*$AC$14+F512*$AC$15+G512*$AC$16+H512*$AC$17+I512*$AC$18+J512*$AC$19+K512*$AC$20+L512*$AC$21+M512*$AC$22+N512*$AC$23+O512*$AC$24+P512*$AC$25+Q512*$AC$26+R512*$AC$27+S512*$AC$28+T512*$AC$29+U512*$AC$30</f>
        <v/>
      </c>
      <c r="W512" s="6">
        <f>1/(1+EXP(-V512))</f>
        <v/>
      </c>
      <c r="X512" s="8">
        <f>-IF(C512=1,LN(W512),LN(1-W512))</f>
        <v/>
      </c>
      <c r="Y512" s="9">
        <f>IF(W512&gt;$AC$32,1,0)</f>
        <v/>
      </c>
      <c r="Z512">
        <f>IF(Y512=C512,1,0)</f>
        <v/>
      </c>
    </row>
    <row r="513">
      <c r="A513">
        <f>'3 escalar'!A516</f>
        <v/>
      </c>
      <c r="B513" s="5">
        <f>'3 escalar'!U516</f>
        <v/>
      </c>
      <c r="C513">
        <f>'3 escalar'!B516</f>
        <v/>
      </c>
      <c r="D513" s="7">
        <f>'3 escalar'!C516</f>
        <v/>
      </c>
      <c r="E513" s="7">
        <f>'3 escalar'!D516</f>
        <v/>
      </c>
      <c r="F513" s="7">
        <f>'3 escalar'!E516</f>
        <v/>
      </c>
      <c r="G513" s="7">
        <f>'3 escalar'!F516</f>
        <v/>
      </c>
      <c r="H513" s="7">
        <f>'3 escalar'!G516</f>
        <v/>
      </c>
      <c r="I513" s="7">
        <f>'3 escalar'!H516</f>
        <v/>
      </c>
      <c r="J513" s="7">
        <f>'3 escalar'!I516</f>
        <v/>
      </c>
      <c r="K513" s="7">
        <f>'3 escalar'!J516</f>
        <v/>
      </c>
      <c r="L513" s="7">
        <f>'3 escalar'!K516</f>
        <v/>
      </c>
      <c r="M513" s="7">
        <f>'3 escalar'!L516</f>
        <v/>
      </c>
      <c r="N513" s="7">
        <f>'3 escalar'!M516</f>
        <v/>
      </c>
      <c r="O513" s="7">
        <f>'3 escalar'!N516</f>
        <v/>
      </c>
      <c r="P513" s="7">
        <f>'3 escalar'!O516</f>
        <v/>
      </c>
      <c r="Q513" s="7">
        <f>'3 escalar'!P516</f>
        <v/>
      </c>
      <c r="R513" s="7">
        <f>'3 escalar'!Q516</f>
        <v/>
      </c>
      <c r="S513" s="7">
        <f>'3 escalar'!R516</f>
        <v/>
      </c>
      <c r="T513" s="7">
        <f>'3 escalar'!S516</f>
        <v/>
      </c>
      <c r="U513" s="7">
        <f>'3 escalar'!T516</f>
        <v/>
      </c>
      <c r="V513" s="6">
        <f>$AC$12+D513*$AC$13+E513*$AC$14+F513*$AC$15+G513*$AC$16+H513*$AC$17+I513*$AC$18+J513*$AC$19+K513*$AC$20+L513*$AC$21+M513*$AC$22+N513*$AC$23+O513*$AC$24+P513*$AC$25+Q513*$AC$26+R513*$AC$27+S513*$AC$28+T513*$AC$29+U513*$AC$30</f>
        <v/>
      </c>
      <c r="W513" s="6">
        <f>1/(1+EXP(-V513))</f>
        <v/>
      </c>
      <c r="X513" s="8">
        <f>-IF(C513=1,LN(W513),LN(1-W513))</f>
        <v/>
      </c>
      <c r="Y513" s="9">
        <f>IF(W513&gt;$AC$32,1,0)</f>
        <v/>
      </c>
      <c r="Z513">
        <f>IF(Y513=C513,1,0)</f>
        <v/>
      </c>
    </row>
    <row r="514">
      <c r="A514">
        <f>'3 escalar'!A517</f>
        <v/>
      </c>
      <c r="B514" s="5">
        <f>'3 escalar'!U517</f>
        <v/>
      </c>
      <c r="C514">
        <f>'3 escalar'!B517</f>
        <v/>
      </c>
      <c r="D514" s="7">
        <f>'3 escalar'!C517</f>
        <v/>
      </c>
      <c r="E514" s="7">
        <f>'3 escalar'!D517</f>
        <v/>
      </c>
      <c r="F514" s="7">
        <f>'3 escalar'!E517</f>
        <v/>
      </c>
      <c r="G514" s="7">
        <f>'3 escalar'!F517</f>
        <v/>
      </c>
      <c r="H514" s="7">
        <f>'3 escalar'!G517</f>
        <v/>
      </c>
      <c r="I514" s="7">
        <f>'3 escalar'!H517</f>
        <v/>
      </c>
      <c r="J514" s="7">
        <f>'3 escalar'!I517</f>
        <v/>
      </c>
      <c r="K514" s="7">
        <f>'3 escalar'!J517</f>
        <v/>
      </c>
      <c r="L514" s="7">
        <f>'3 escalar'!K517</f>
        <v/>
      </c>
      <c r="M514" s="7">
        <f>'3 escalar'!L517</f>
        <v/>
      </c>
      <c r="N514" s="7">
        <f>'3 escalar'!M517</f>
        <v/>
      </c>
      <c r="O514" s="7">
        <f>'3 escalar'!N517</f>
        <v/>
      </c>
      <c r="P514" s="7">
        <f>'3 escalar'!O517</f>
        <v/>
      </c>
      <c r="Q514" s="7">
        <f>'3 escalar'!P517</f>
        <v/>
      </c>
      <c r="R514" s="7">
        <f>'3 escalar'!Q517</f>
        <v/>
      </c>
      <c r="S514" s="7">
        <f>'3 escalar'!R517</f>
        <v/>
      </c>
      <c r="T514" s="7">
        <f>'3 escalar'!S517</f>
        <v/>
      </c>
      <c r="U514" s="7">
        <f>'3 escalar'!T517</f>
        <v/>
      </c>
      <c r="V514" s="6">
        <f>$AC$12+D514*$AC$13+E514*$AC$14+F514*$AC$15+G514*$AC$16+H514*$AC$17+I514*$AC$18+J514*$AC$19+K514*$AC$20+L514*$AC$21+M514*$AC$22+N514*$AC$23+O514*$AC$24+P514*$AC$25+Q514*$AC$26+R514*$AC$27+S514*$AC$28+T514*$AC$29+U514*$AC$30</f>
        <v/>
      </c>
      <c r="W514" s="6">
        <f>1/(1+EXP(-V514))</f>
        <v/>
      </c>
      <c r="X514" s="8">
        <f>-IF(C514=1,LN(W514),LN(1-W514))</f>
        <v/>
      </c>
      <c r="Y514" s="9">
        <f>IF(W514&gt;$AC$32,1,0)</f>
        <v/>
      </c>
      <c r="Z514">
        <f>IF(Y514=C514,1,0)</f>
        <v/>
      </c>
    </row>
    <row r="515">
      <c r="A515">
        <f>'3 escalar'!A518</f>
        <v/>
      </c>
      <c r="B515" s="5">
        <f>'3 escalar'!U518</f>
        <v/>
      </c>
      <c r="C515">
        <f>'3 escalar'!B518</f>
        <v/>
      </c>
      <c r="D515" s="7">
        <f>'3 escalar'!C518</f>
        <v/>
      </c>
      <c r="E515" s="7">
        <f>'3 escalar'!D518</f>
        <v/>
      </c>
      <c r="F515" s="7">
        <f>'3 escalar'!E518</f>
        <v/>
      </c>
      <c r="G515" s="7">
        <f>'3 escalar'!F518</f>
        <v/>
      </c>
      <c r="H515" s="7">
        <f>'3 escalar'!G518</f>
        <v/>
      </c>
      <c r="I515" s="7">
        <f>'3 escalar'!H518</f>
        <v/>
      </c>
      <c r="J515" s="7">
        <f>'3 escalar'!I518</f>
        <v/>
      </c>
      <c r="K515" s="7">
        <f>'3 escalar'!J518</f>
        <v/>
      </c>
      <c r="L515" s="7">
        <f>'3 escalar'!K518</f>
        <v/>
      </c>
      <c r="M515" s="7">
        <f>'3 escalar'!L518</f>
        <v/>
      </c>
      <c r="N515" s="7">
        <f>'3 escalar'!M518</f>
        <v/>
      </c>
      <c r="O515" s="7">
        <f>'3 escalar'!N518</f>
        <v/>
      </c>
      <c r="P515" s="7">
        <f>'3 escalar'!O518</f>
        <v/>
      </c>
      <c r="Q515" s="7">
        <f>'3 escalar'!P518</f>
        <v/>
      </c>
      <c r="R515" s="7">
        <f>'3 escalar'!Q518</f>
        <v/>
      </c>
      <c r="S515" s="7">
        <f>'3 escalar'!R518</f>
        <v/>
      </c>
      <c r="T515" s="7">
        <f>'3 escalar'!S518</f>
        <v/>
      </c>
      <c r="U515" s="7">
        <f>'3 escalar'!T518</f>
        <v/>
      </c>
      <c r="V515" s="6">
        <f>$AC$12+D515*$AC$13+E515*$AC$14+F515*$AC$15+G515*$AC$16+H515*$AC$17+I515*$AC$18+J515*$AC$19+K515*$AC$20+L515*$AC$21+M515*$AC$22+N515*$AC$23+O515*$AC$24+P515*$AC$25+Q515*$AC$26+R515*$AC$27+S515*$AC$28+T515*$AC$29+U515*$AC$30</f>
        <v/>
      </c>
      <c r="W515" s="6">
        <f>1/(1+EXP(-V515))</f>
        <v/>
      </c>
      <c r="X515" s="8">
        <f>-IF(C515=1,LN(W515),LN(1-W515))</f>
        <v/>
      </c>
      <c r="Y515" s="9">
        <f>IF(W515&gt;$AC$32,1,0)</f>
        <v/>
      </c>
      <c r="Z515">
        <f>IF(Y515=C515,1,0)</f>
        <v/>
      </c>
    </row>
    <row r="516">
      <c r="A516">
        <f>'3 escalar'!A519</f>
        <v/>
      </c>
      <c r="B516" s="5">
        <f>'3 escalar'!U519</f>
        <v/>
      </c>
      <c r="C516">
        <f>'3 escalar'!B519</f>
        <v/>
      </c>
      <c r="D516" s="7">
        <f>'3 escalar'!C519</f>
        <v/>
      </c>
      <c r="E516" s="7">
        <f>'3 escalar'!D519</f>
        <v/>
      </c>
      <c r="F516" s="7">
        <f>'3 escalar'!E519</f>
        <v/>
      </c>
      <c r="G516" s="7">
        <f>'3 escalar'!F519</f>
        <v/>
      </c>
      <c r="H516" s="7">
        <f>'3 escalar'!G519</f>
        <v/>
      </c>
      <c r="I516" s="7">
        <f>'3 escalar'!H519</f>
        <v/>
      </c>
      <c r="J516" s="7">
        <f>'3 escalar'!I519</f>
        <v/>
      </c>
      <c r="K516" s="7">
        <f>'3 escalar'!J519</f>
        <v/>
      </c>
      <c r="L516" s="7">
        <f>'3 escalar'!K519</f>
        <v/>
      </c>
      <c r="M516" s="7">
        <f>'3 escalar'!L519</f>
        <v/>
      </c>
      <c r="N516" s="7">
        <f>'3 escalar'!M519</f>
        <v/>
      </c>
      <c r="O516" s="7">
        <f>'3 escalar'!N519</f>
        <v/>
      </c>
      <c r="P516" s="7">
        <f>'3 escalar'!O519</f>
        <v/>
      </c>
      <c r="Q516" s="7">
        <f>'3 escalar'!P519</f>
        <v/>
      </c>
      <c r="R516" s="7">
        <f>'3 escalar'!Q519</f>
        <v/>
      </c>
      <c r="S516" s="7">
        <f>'3 escalar'!R519</f>
        <v/>
      </c>
      <c r="T516" s="7">
        <f>'3 escalar'!S519</f>
        <v/>
      </c>
      <c r="U516" s="7">
        <f>'3 escalar'!T519</f>
        <v/>
      </c>
      <c r="V516" s="6">
        <f>$AC$12+D516*$AC$13+E516*$AC$14+F516*$AC$15+G516*$AC$16+H516*$AC$17+I516*$AC$18+J516*$AC$19+K516*$AC$20+L516*$AC$21+M516*$AC$22+N516*$AC$23+O516*$AC$24+P516*$AC$25+Q516*$AC$26+R516*$AC$27+S516*$AC$28+T516*$AC$29+U516*$AC$30</f>
        <v/>
      </c>
      <c r="W516" s="6">
        <f>1/(1+EXP(-V516))</f>
        <v/>
      </c>
      <c r="X516" s="8">
        <f>-IF(C516=1,LN(W516),LN(1-W516))</f>
        <v/>
      </c>
      <c r="Y516" s="9">
        <f>IF(W516&gt;$AC$32,1,0)</f>
        <v/>
      </c>
      <c r="Z516">
        <f>IF(Y516=C516,1,0)</f>
        <v/>
      </c>
    </row>
    <row r="517">
      <c r="A517">
        <f>'3 escalar'!A520</f>
        <v/>
      </c>
      <c r="B517" s="5">
        <f>'3 escalar'!U520</f>
        <v/>
      </c>
      <c r="C517">
        <f>'3 escalar'!B520</f>
        <v/>
      </c>
      <c r="D517" s="7">
        <f>'3 escalar'!C520</f>
        <v/>
      </c>
      <c r="E517" s="7">
        <f>'3 escalar'!D520</f>
        <v/>
      </c>
      <c r="F517" s="7">
        <f>'3 escalar'!E520</f>
        <v/>
      </c>
      <c r="G517" s="7">
        <f>'3 escalar'!F520</f>
        <v/>
      </c>
      <c r="H517" s="7">
        <f>'3 escalar'!G520</f>
        <v/>
      </c>
      <c r="I517" s="7">
        <f>'3 escalar'!H520</f>
        <v/>
      </c>
      <c r="J517" s="7">
        <f>'3 escalar'!I520</f>
        <v/>
      </c>
      <c r="K517" s="7">
        <f>'3 escalar'!J520</f>
        <v/>
      </c>
      <c r="L517" s="7">
        <f>'3 escalar'!K520</f>
        <v/>
      </c>
      <c r="M517" s="7">
        <f>'3 escalar'!L520</f>
        <v/>
      </c>
      <c r="N517" s="7">
        <f>'3 escalar'!M520</f>
        <v/>
      </c>
      <c r="O517" s="7">
        <f>'3 escalar'!N520</f>
        <v/>
      </c>
      <c r="P517" s="7">
        <f>'3 escalar'!O520</f>
        <v/>
      </c>
      <c r="Q517" s="7">
        <f>'3 escalar'!P520</f>
        <v/>
      </c>
      <c r="R517" s="7">
        <f>'3 escalar'!Q520</f>
        <v/>
      </c>
      <c r="S517" s="7">
        <f>'3 escalar'!R520</f>
        <v/>
      </c>
      <c r="T517" s="7">
        <f>'3 escalar'!S520</f>
        <v/>
      </c>
      <c r="U517" s="7">
        <f>'3 escalar'!T520</f>
        <v/>
      </c>
      <c r="V517" s="6">
        <f>$AC$12+D517*$AC$13+E517*$AC$14+F517*$AC$15+G517*$AC$16+H517*$AC$17+I517*$AC$18+J517*$AC$19+K517*$AC$20+L517*$AC$21+M517*$AC$22+N517*$AC$23+O517*$AC$24+P517*$AC$25+Q517*$AC$26+R517*$AC$27+S517*$AC$28+T517*$AC$29+U517*$AC$30</f>
        <v/>
      </c>
      <c r="W517" s="6">
        <f>1/(1+EXP(-V517))</f>
        <v/>
      </c>
      <c r="X517" s="8">
        <f>-IF(C517=1,LN(W517),LN(1-W517))</f>
        <v/>
      </c>
      <c r="Y517" s="9">
        <f>IF(W517&gt;$AC$32,1,0)</f>
        <v/>
      </c>
      <c r="Z517">
        <f>IF(Y517=C517,1,0)</f>
        <v/>
      </c>
    </row>
    <row r="518">
      <c r="A518">
        <f>'3 escalar'!A521</f>
        <v/>
      </c>
      <c r="B518" s="5">
        <f>'3 escalar'!U521</f>
        <v/>
      </c>
      <c r="C518">
        <f>'3 escalar'!B521</f>
        <v/>
      </c>
      <c r="D518" s="7">
        <f>'3 escalar'!C521</f>
        <v/>
      </c>
      <c r="E518" s="7">
        <f>'3 escalar'!D521</f>
        <v/>
      </c>
      <c r="F518" s="7">
        <f>'3 escalar'!E521</f>
        <v/>
      </c>
      <c r="G518" s="7">
        <f>'3 escalar'!F521</f>
        <v/>
      </c>
      <c r="H518" s="7">
        <f>'3 escalar'!G521</f>
        <v/>
      </c>
      <c r="I518" s="7">
        <f>'3 escalar'!H521</f>
        <v/>
      </c>
      <c r="J518" s="7">
        <f>'3 escalar'!I521</f>
        <v/>
      </c>
      <c r="K518" s="7">
        <f>'3 escalar'!J521</f>
        <v/>
      </c>
      <c r="L518" s="7">
        <f>'3 escalar'!K521</f>
        <v/>
      </c>
      <c r="M518" s="7">
        <f>'3 escalar'!L521</f>
        <v/>
      </c>
      <c r="N518" s="7">
        <f>'3 escalar'!M521</f>
        <v/>
      </c>
      <c r="O518" s="7">
        <f>'3 escalar'!N521</f>
        <v/>
      </c>
      <c r="P518" s="7">
        <f>'3 escalar'!O521</f>
        <v/>
      </c>
      <c r="Q518" s="7">
        <f>'3 escalar'!P521</f>
        <v/>
      </c>
      <c r="R518" s="7">
        <f>'3 escalar'!Q521</f>
        <v/>
      </c>
      <c r="S518" s="7">
        <f>'3 escalar'!R521</f>
        <v/>
      </c>
      <c r="T518" s="7">
        <f>'3 escalar'!S521</f>
        <v/>
      </c>
      <c r="U518" s="7">
        <f>'3 escalar'!T521</f>
        <v/>
      </c>
      <c r="V518" s="6">
        <f>$AC$12+D518*$AC$13+E518*$AC$14+F518*$AC$15+G518*$AC$16+H518*$AC$17+I518*$AC$18+J518*$AC$19+K518*$AC$20+L518*$AC$21+M518*$AC$22+N518*$AC$23+O518*$AC$24+P518*$AC$25+Q518*$AC$26+R518*$AC$27+S518*$AC$28+T518*$AC$29+U518*$AC$30</f>
        <v/>
      </c>
      <c r="W518" s="6">
        <f>1/(1+EXP(-V518))</f>
        <v/>
      </c>
      <c r="X518" s="8">
        <f>-IF(C518=1,LN(W518),LN(1-W518))</f>
        <v/>
      </c>
      <c r="Y518" s="9">
        <f>IF(W518&gt;$AC$32,1,0)</f>
        <v/>
      </c>
      <c r="Z518">
        <f>IF(Y518=C518,1,0)</f>
        <v/>
      </c>
    </row>
    <row r="519">
      <c r="A519">
        <f>'3 escalar'!A522</f>
        <v/>
      </c>
      <c r="B519" s="5">
        <f>'3 escalar'!U522</f>
        <v/>
      </c>
      <c r="C519">
        <f>'3 escalar'!B522</f>
        <v/>
      </c>
      <c r="D519" s="7">
        <f>'3 escalar'!C522</f>
        <v/>
      </c>
      <c r="E519" s="7">
        <f>'3 escalar'!D522</f>
        <v/>
      </c>
      <c r="F519" s="7">
        <f>'3 escalar'!E522</f>
        <v/>
      </c>
      <c r="G519" s="7">
        <f>'3 escalar'!F522</f>
        <v/>
      </c>
      <c r="H519" s="7">
        <f>'3 escalar'!G522</f>
        <v/>
      </c>
      <c r="I519" s="7">
        <f>'3 escalar'!H522</f>
        <v/>
      </c>
      <c r="J519" s="7">
        <f>'3 escalar'!I522</f>
        <v/>
      </c>
      <c r="K519" s="7">
        <f>'3 escalar'!J522</f>
        <v/>
      </c>
      <c r="L519" s="7">
        <f>'3 escalar'!K522</f>
        <v/>
      </c>
      <c r="M519" s="7">
        <f>'3 escalar'!L522</f>
        <v/>
      </c>
      <c r="N519" s="7">
        <f>'3 escalar'!M522</f>
        <v/>
      </c>
      <c r="O519" s="7">
        <f>'3 escalar'!N522</f>
        <v/>
      </c>
      <c r="P519" s="7">
        <f>'3 escalar'!O522</f>
        <v/>
      </c>
      <c r="Q519" s="7">
        <f>'3 escalar'!P522</f>
        <v/>
      </c>
      <c r="R519" s="7">
        <f>'3 escalar'!Q522</f>
        <v/>
      </c>
      <c r="S519" s="7">
        <f>'3 escalar'!R522</f>
        <v/>
      </c>
      <c r="T519" s="7">
        <f>'3 escalar'!S522</f>
        <v/>
      </c>
      <c r="U519" s="7">
        <f>'3 escalar'!T522</f>
        <v/>
      </c>
      <c r="V519" s="6">
        <f>$AC$12+D519*$AC$13+E519*$AC$14+F519*$AC$15+G519*$AC$16+H519*$AC$17+I519*$AC$18+J519*$AC$19+K519*$AC$20+L519*$AC$21+M519*$AC$22+N519*$AC$23+O519*$AC$24+P519*$AC$25+Q519*$AC$26+R519*$AC$27+S519*$AC$28+T519*$AC$29+U519*$AC$30</f>
        <v/>
      </c>
      <c r="W519" s="6">
        <f>1/(1+EXP(-V519))</f>
        <v/>
      </c>
      <c r="X519" s="8">
        <f>-IF(C519=1,LN(W519),LN(1-W519))</f>
        <v/>
      </c>
      <c r="Y519" s="9">
        <f>IF(W519&gt;$AC$32,1,0)</f>
        <v/>
      </c>
      <c r="Z519">
        <f>IF(Y519=C519,1,0)</f>
        <v/>
      </c>
    </row>
    <row r="520">
      <c r="A520">
        <f>'3 escalar'!A523</f>
        <v/>
      </c>
      <c r="B520" s="5">
        <f>'3 escalar'!U523</f>
        <v/>
      </c>
      <c r="C520">
        <f>'3 escalar'!B523</f>
        <v/>
      </c>
      <c r="D520" s="7">
        <f>'3 escalar'!C523</f>
        <v/>
      </c>
      <c r="E520" s="7">
        <f>'3 escalar'!D523</f>
        <v/>
      </c>
      <c r="F520" s="7">
        <f>'3 escalar'!E523</f>
        <v/>
      </c>
      <c r="G520" s="7">
        <f>'3 escalar'!F523</f>
        <v/>
      </c>
      <c r="H520" s="7">
        <f>'3 escalar'!G523</f>
        <v/>
      </c>
      <c r="I520" s="7">
        <f>'3 escalar'!H523</f>
        <v/>
      </c>
      <c r="J520" s="7">
        <f>'3 escalar'!I523</f>
        <v/>
      </c>
      <c r="K520" s="7">
        <f>'3 escalar'!J523</f>
        <v/>
      </c>
      <c r="L520" s="7">
        <f>'3 escalar'!K523</f>
        <v/>
      </c>
      <c r="M520" s="7">
        <f>'3 escalar'!L523</f>
        <v/>
      </c>
      <c r="N520" s="7">
        <f>'3 escalar'!M523</f>
        <v/>
      </c>
      <c r="O520" s="7">
        <f>'3 escalar'!N523</f>
        <v/>
      </c>
      <c r="P520" s="7">
        <f>'3 escalar'!O523</f>
        <v/>
      </c>
      <c r="Q520" s="7">
        <f>'3 escalar'!P523</f>
        <v/>
      </c>
      <c r="R520" s="7">
        <f>'3 escalar'!Q523</f>
        <v/>
      </c>
      <c r="S520" s="7">
        <f>'3 escalar'!R523</f>
        <v/>
      </c>
      <c r="T520" s="7">
        <f>'3 escalar'!S523</f>
        <v/>
      </c>
      <c r="U520" s="7">
        <f>'3 escalar'!T523</f>
        <v/>
      </c>
      <c r="V520" s="6">
        <f>$AC$12+D520*$AC$13+E520*$AC$14+F520*$AC$15+G520*$AC$16+H520*$AC$17+I520*$AC$18+J520*$AC$19+K520*$AC$20+L520*$AC$21+M520*$AC$22+N520*$AC$23+O520*$AC$24+P520*$AC$25+Q520*$AC$26+R520*$AC$27+S520*$AC$28+T520*$AC$29+U520*$AC$30</f>
        <v/>
      </c>
      <c r="W520" s="6">
        <f>1/(1+EXP(-V520))</f>
        <v/>
      </c>
      <c r="X520" s="8">
        <f>-IF(C520=1,LN(W520),LN(1-W520))</f>
        <v/>
      </c>
      <c r="Y520" s="9">
        <f>IF(W520&gt;$AC$32,1,0)</f>
        <v/>
      </c>
      <c r="Z520">
        <f>IF(Y520=C520,1,0)</f>
        <v/>
      </c>
    </row>
    <row r="521">
      <c r="A521">
        <f>'3 escalar'!A524</f>
        <v/>
      </c>
      <c r="B521" s="5">
        <f>'3 escalar'!U524</f>
        <v/>
      </c>
      <c r="C521">
        <f>'3 escalar'!B524</f>
        <v/>
      </c>
      <c r="D521" s="7">
        <f>'3 escalar'!C524</f>
        <v/>
      </c>
      <c r="E521" s="7">
        <f>'3 escalar'!D524</f>
        <v/>
      </c>
      <c r="F521" s="7">
        <f>'3 escalar'!E524</f>
        <v/>
      </c>
      <c r="G521" s="7">
        <f>'3 escalar'!F524</f>
        <v/>
      </c>
      <c r="H521" s="7">
        <f>'3 escalar'!G524</f>
        <v/>
      </c>
      <c r="I521" s="7">
        <f>'3 escalar'!H524</f>
        <v/>
      </c>
      <c r="J521" s="7">
        <f>'3 escalar'!I524</f>
        <v/>
      </c>
      <c r="K521" s="7">
        <f>'3 escalar'!J524</f>
        <v/>
      </c>
      <c r="L521" s="7">
        <f>'3 escalar'!K524</f>
        <v/>
      </c>
      <c r="M521" s="7">
        <f>'3 escalar'!L524</f>
        <v/>
      </c>
      <c r="N521" s="7">
        <f>'3 escalar'!M524</f>
        <v/>
      </c>
      <c r="O521" s="7">
        <f>'3 escalar'!N524</f>
        <v/>
      </c>
      <c r="P521" s="7">
        <f>'3 escalar'!O524</f>
        <v/>
      </c>
      <c r="Q521" s="7">
        <f>'3 escalar'!P524</f>
        <v/>
      </c>
      <c r="R521" s="7">
        <f>'3 escalar'!Q524</f>
        <v/>
      </c>
      <c r="S521" s="7">
        <f>'3 escalar'!R524</f>
        <v/>
      </c>
      <c r="T521" s="7">
        <f>'3 escalar'!S524</f>
        <v/>
      </c>
      <c r="U521" s="7">
        <f>'3 escalar'!T524</f>
        <v/>
      </c>
      <c r="V521" s="6">
        <f>$AC$12+D521*$AC$13+E521*$AC$14+F521*$AC$15+G521*$AC$16+H521*$AC$17+I521*$AC$18+J521*$AC$19+K521*$AC$20+L521*$AC$21+M521*$AC$22+N521*$AC$23+O521*$AC$24+P521*$AC$25+Q521*$AC$26+R521*$AC$27+S521*$AC$28+T521*$AC$29+U521*$AC$30</f>
        <v/>
      </c>
      <c r="W521" s="6">
        <f>1/(1+EXP(-V521))</f>
        <v/>
      </c>
      <c r="X521" s="8">
        <f>-IF(C521=1,LN(W521),LN(1-W521))</f>
        <v/>
      </c>
      <c r="Y521" s="9">
        <f>IF(W521&gt;$AC$32,1,0)</f>
        <v/>
      </c>
      <c r="Z521">
        <f>IF(Y521=C521,1,0)</f>
        <v/>
      </c>
    </row>
    <row r="522">
      <c r="A522">
        <f>'3 escalar'!A525</f>
        <v/>
      </c>
      <c r="B522" s="5">
        <f>'3 escalar'!U525</f>
        <v/>
      </c>
      <c r="C522">
        <f>'3 escalar'!B525</f>
        <v/>
      </c>
      <c r="D522" s="7">
        <f>'3 escalar'!C525</f>
        <v/>
      </c>
      <c r="E522" s="7">
        <f>'3 escalar'!D525</f>
        <v/>
      </c>
      <c r="F522" s="7">
        <f>'3 escalar'!E525</f>
        <v/>
      </c>
      <c r="G522" s="7">
        <f>'3 escalar'!F525</f>
        <v/>
      </c>
      <c r="H522" s="7">
        <f>'3 escalar'!G525</f>
        <v/>
      </c>
      <c r="I522" s="7">
        <f>'3 escalar'!H525</f>
        <v/>
      </c>
      <c r="J522" s="7">
        <f>'3 escalar'!I525</f>
        <v/>
      </c>
      <c r="K522" s="7">
        <f>'3 escalar'!J525</f>
        <v/>
      </c>
      <c r="L522" s="7">
        <f>'3 escalar'!K525</f>
        <v/>
      </c>
      <c r="M522" s="7">
        <f>'3 escalar'!L525</f>
        <v/>
      </c>
      <c r="N522" s="7">
        <f>'3 escalar'!M525</f>
        <v/>
      </c>
      <c r="O522" s="7">
        <f>'3 escalar'!N525</f>
        <v/>
      </c>
      <c r="P522" s="7">
        <f>'3 escalar'!O525</f>
        <v/>
      </c>
      <c r="Q522" s="7">
        <f>'3 escalar'!P525</f>
        <v/>
      </c>
      <c r="R522" s="7">
        <f>'3 escalar'!Q525</f>
        <v/>
      </c>
      <c r="S522" s="7">
        <f>'3 escalar'!R525</f>
        <v/>
      </c>
      <c r="T522" s="7">
        <f>'3 escalar'!S525</f>
        <v/>
      </c>
      <c r="U522" s="7">
        <f>'3 escalar'!T525</f>
        <v/>
      </c>
      <c r="V522" s="6">
        <f>$AC$12+D522*$AC$13+E522*$AC$14+F522*$AC$15+G522*$AC$16+H522*$AC$17+I522*$AC$18+J522*$AC$19+K522*$AC$20+L522*$AC$21+M522*$AC$22+N522*$AC$23+O522*$AC$24+P522*$AC$25+Q522*$AC$26+R522*$AC$27+S522*$AC$28+T522*$AC$29+U522*$AC$30</f>
        <v/>
      </c>
      <c r="W522" s="6">
        <f>1/(1+EXP(-V522))</f>
        <v/>
      </c>
      <c r="X522" s="8">
        <f>-IF(C522=1,LN(W522),LN(1-W522))</f>
        <v/>
      </c>
      <c r="Y522" s="9">
        <f>IF(W522&gt;$AC$32,1,0)</f>
        <v/>
      </c>
      <c r="Z522">
        <f>IF(Y522=C522,1,0)</f>
        <v/>
      </c>
    </row>
    <row r="523">
      <c r="A523">
        <f>'3 escalar'!A526</f>
        <v/>
      </c>
      <c r="B523" s="5">
        <f>'3 escalar'!U526</f>
        <v/>
      </c>
      <c r="C523">
        <f>'3 escalar'!B526</f>
        <v/>
      </c>
      <c r="D523" s="7">
        <f>'3 escalar'!C526</f>
        <v/>
      </c>
      <c r="E523" s="7">
        <f>'3 escalar'!D526</f>
        <v/>
      </c>
      <c r="F523" s="7">
        <f>'3 escalar'!E526</f>
        <v/>
      </c>
      <c r="G523" s="7">
        <f>'3 escalar'!F526</f>
        <v/>
      </c>
      <c r="H523" s="7">
        <f>'3 escalar'!G526</f>
        <v/>
      </c>
      <c r="I523" s="7">
        <f>'3 escalar'!H526</f>
        <v/>
      </c>
      <c r="J523" s="7">
        <f>'3 escalar'!I526</f>
        <v/>
      </c>
      <c r="K523" s="7">
        <f>'3 escalar'!J526</f>
        <v/>
      </c>
      <c r="L523" s="7">
        <f>'3 escalar'!K526</f>
        <v/>
      </c>
      <c r="M523" s="7">
        <f>'3 escalar'!L526</f>
        <v/>
      </c>
      <c r="N523" s="7">
        <f>'3 escalar'!M526</f>
        <v/>
      </c>
      <c r="O523" s="7">
        <f>'3 escalar'!N526</f>
        <v/>
      </c>
      <c r="P523" s="7">
        <f>'3 escalar'!O526</f>
        <v/>
      </c>
      <c r="Q523" s="7">
        <f>'3 escalar'!P526</f>
        <v/>
      </c>
      <c r="R523" s="7">
        <f>'3 escalar'!Q526</f>
        <v/>
      </c>
      <c r="S523" s="7">
        <f>'3 escalar'!R526</f>
        <v/>
      </c>
      <c r="T523" s="7">
        <f>'3 escalar'!S526</f>
        <v/>
      </c>
      <c r="U523" s="7">
        <f>'3 escalar'!T526</f>
        <v/>
      </c>
      <c r="V523" s="6">
        <f>$AC$12+D523*$AC$13+E523*$AC$14+F523*$AC$15+G523*$AC$16+H523*$AC$17+I523*$AC$18+J523*$AC$19+K523*$AC$20+L523*$AC$21+M523*$AC$22+N523*$AC$23+O523*$AC$24+P523*$AC$25+Q523*$AC$26+R523*$AC$27+S523*$AC$28+T523*$AC$29+U523*$AC$30</f>
        <v/>
      </c>
      <c r="W523" s="6">
        <f>1/(1+EXP(-V523))</f>
        <v/>
      </c>
      <c r="X523" s="8">
        <f>-IF(C523=1,LN(W523),LN(1-W523))</f>
        <v/>
      </c>
      <c r="Y523" s="9">
        <f>IF(W523&gt;$AC$32,1,0)</f>
        <v/>
      </c>
      <c r="Z523">
        <f>IF(Y523=C523,1,0)</f>
        <v/>
      </c>
    </row>
    <row r="524">
      <c r="A524">
        <f>'3 escalar'!A527</f>
        <v/>
      </c>
      <c r="B524" s="5">
        <f>'3 escalar'!U527</f>
        <v/>
      </c>
      <c r="C524">
        <f>'3 escalar'!B527</f>
        <v/>
      </c>
      <c r="D524" s="7">
        <f>'3 escalar'!C527</f>
        <v/>
      </c>
      <c r="E524" s="7">
        <f>'3 escalar'!D527</f>
        <v/>
      </c>
      <c r="F524" s="7">
        <f>'3 escalar'!E527</f>
        <v/>
      </c>
      <c r="G524" s="7">
        <f>'3 escalar'!F527</f>
        <v/>
      </c>
      <c r="H524" s="7">
        <f>'3 escalar'!G527</f>
        <v/>
      </c>
      <c r="I524" s="7">
        <f>'3 escalar'!H527</f>
        <v/>
      </c>
      <c r="J524" s="7">
        <f>'3 escalar'!I527</f>
        <v/>
      </c>
      <c r="K524" s="7">
        <f>'3 escalar'!J527</f>
        <v/>
      </c>
      <c r="L524" s="7">
        <f>'3 escalar'!K527</f>
        <v/>
      </c>
      <c r="M524" s="7">
        <f>'3 escalar'!L527</f>
        <v/>
      </c>
      <c r="N524" s="7">
        <f>'3 escalar'!M527</f>
        <v/>
      </c>
      <c r="O524" s="7">
        <f>'3 escalar'!N527</f>
        <v/>
      </c>
      <c r="P524" s="7">
        <f>'3 escalar'!O527</f>
        <v/>
      </c>
      <c r="Q524" s="7">
        <f>'3 escalar'!P527</f>
        <v/>
      </c>
      <c r="R524" s="7">
        <f>'3 escalar'!Q527</f>
        <v/>
      </c>
      <c r="S524" s="7">
        <f>'3 escalar'!R527</f>
        <v/>
      </c>
      <c r="T524" s="7">
        <f>'3 escalar'!S527</f>
        <v/>
      </c>
      <c r="U524" s="7">
        <f>'3 escalar'!T527</f>
        <v/>
      </c>
      <c r="V524" s="6">
        <f>$AC$12+D524*$AC$13+E524*$AC$14+F524*$AC$15+G524*$AC$16+H524*$AC$17+I524*$AC$18+J524*$AC$19+K524*$AC$20+L524*$AC$21+M524*$AC$22+N524*$AC$23+O524*$AC$24+P524*$AC$25+Q524*$AC$26+R524*$AC$27+S524*$AC$28+T524*$AC$29+U524*$AC$30</f>
        <v/>
      </c>
      <c r="W524" s="6">
        <f>1/(1+EXP(-V524))</f>
        <v/>
      </c>
      <c r="X524" s="8">
        <f>-IF(C524=1,LN(W524),LN(1-W524))</f>
        <v/>
      </c>
      <c r="Y524" s="9">
        <f>IF(W524&gt;$AC$32,1,0)</f>
        <v/>
      </c>
      <c r="Z524">
        <f>IF(Y524=C524,1,0)</f>
        <v/>
      </c>
    </row>
    <row r="525">
      <c r="A525">
        <f>'3 escalar'!A528</f>
        <v/>
      </c>
      <c r="B525" s="5">
        <f>'3 escalar'!U528</f>
        <v/>
      </c>
      <c r="C525">
        <f>'3 escalar'!B528</f>
        <v/>
      </c>
      <c r="D525" s="7">
        <f>'3 escalar'!C528</f>
        <v/>
      </c>
      <c r="E525" s="7">
        <f>'3 escalar'!D528</f>
        <v/>
      </c>
      <c r="F525" s="7">
        <f>'3 escalar'!E528</f>
        <v/>
      </c>
      <c r="G525" s="7">
        <f>'3 escalar'!F528</f>
        <v/>
      </c>
      <c r="H525" s="7">
        <f>'3 escalar'!G528</f>
        <v/>
      </c>
      <c r="I525" s="7">
        <f>'3 escalar'!H528</f>
        <v/>
      </c>
      <c r="J525" s="7">
        <f>'3 escalar'!I528</f>
        <v/>
      </c>
      <c r="K525" s="7">
        <f>'3 escalar'!J528</f>
        <v/>
      </c>
      <c r="L525" s="7">
        <f>'3 escalar'!K528</f>
        <v/>
      </c>
      <c r="M525" s="7">
        <f>'3 escalar'!L528</f>
        <v/>
      </c>
      <c r="N525" s="7">
        <f>'3 escalar'!M528</f>
        <v/>
      </c>
      <c r="O525" s="7">
        <f>'3 escalar'!N528</f>
        <v/>
      </c>
      <c r="P525" s="7">
        <f>'3 escalar'!O528</f>
        <v/>
      </c>
      <c r="Q525" s="7">
        <f>'3 escalar'!P528</f>
        <v/>
      </c>
      <c r="R525" s="7">
        <f>'3 escalar'!Q528</f>
        <v/>
      </c>
      <c r="S525" s="7">
        <f>'3 escalar'!R528</f>
        <v/>
      </c>
      <c r="T525" s="7">
        <f>'3 escalar'!S528</f>
        <v/>
      </c>
      <c r="U525" s="7">
        <f>'3 escalar'!T528</f>
        <v/>
      </c>
      <c r="V525" s="6">
        <f>$AC$12+D525*$AC$13+E525*$AC$14+F525*$AC$15+G525*$AC$16+H525*$AC$17+I525*$AC$18+J525*$AC$19+K525*$AC$20+L525*$AC$21+M525*$AC$22+N525*$AC$23+O525*$AC$24+P525*$AC$25+Q525*$AC$26+R525*$AC$27+S525*$AC$28+T525*$AC$29+U525*$AC$30</f>
        <v/>
      </c>
      <c r="W525" s="6">
        <f>1/(1+EXP(-V525))</f>
        <v/>
      </c>
      <c r="X525" s="8">
        <f>-IF(C525=1,LN(W525),LN(1-W525))</f>
        <v/>
      </c>
      <c r="Y525" s="9">
        <f>IF(W525&gt;$AC$32,1,0)</f>
        <v/>
      </c>
      <c r="Z525">
        <f>IF(Y525=C525,1,0)</f>
        <v/>
      </c>
    </row>
    <row r="526">
      <c r="A526">
        <f>'3 escalar'!A529</f>
        <v/>
      </c>
      <c r="B526" s="5">
        <f>'3 escalar'!U529</f>
        <v/>
      </c>
      <c r="C526">
        <f>'3 escalar'!B529</f>
        <v/>
      </c>
      <c r="D526" s="7">
        <f>'3 escalar'!C529</f>
        <v/>
      </c>
      <c r="E526" s="7">
        <f>'3 escalar'!D529</f>
        <v/>
      </c>
      <c r="F526" s="7">
        <f>'3 escalar'!E529</f>
        <v/>
      </c>
      <c r="G526" s="7">
        <f>'3 escalar'!F529</f>
        <v/>
      </c>
      <c r="H526" s="7">
        <f>'3 escalar'!G529</f>
        <v/>
      </c>
      <c r="I526" s="7">
        <f>'3 escalar'!H529</f>
        <v/>
      </c>
      <c r="J526" s="7">
        <f>'3 escalar'!I529</f>
        <v/>
      </c>
      <c r="K526" s="7">
        <f>'3 escalar'!J529</f>
        <v/>
      </c>
      <c r="L526" s="7">
        <f>'3 escalar'!K529</f>
        <v/>
      </c>
      <c r="M526" s="7">
        <f>'3 escalar'!L529</f>
        <v/>
      </c>
      <c r="N526" s="7">
        <f>'3 escalar'!M529</f>
        <v/>
      </c>
      <c r="O526" s="7">
        <f>'3 escalar'!N529</f>
        <v/>
      </c>
      <c r="P526" s="7">
        <f>'3 escalar'!O529</f>
        <v/>
      </c>
      <c r="Q526" s="7">
        <f>'3 escalar'!P529</f>
        <v/>
      </c>
      <c r="R526" s="7">
        <f>'3 escalar'!Q529</f>
        <v/>
      </c>
      <c r="S526" s="7">
        <f>'3 escalar'!R529</f>
        <v/>
      </c>
      <c r="T526" s="7">
        <f>'3 escalar'!S529</f>
        <v/>
      </c>
      <c r="U526" s="7">
        <f>'3 escalar'!T529</f>
        <v/>
      </c>
      <c r="V526" s="6">
        <f>$AC$12+D526*$AC$13+E526*$AC$14+F526*$AC$15+G526*$AC$16+H526*$AC$17+I526*$AC$18+J526*$AC$19+K526*$AC$20+L526*$AC$21+M526*$AC$22+N526*$AC$23+O526*$AC$24+P526*$AC$25+Q526*$AC$26+R526*$AC$27+S526*$AC$28+T526*$AC$29+U526*$AC$30</f>
        <v/>
      </c>
      <c r="W526" s="6">
        <f>1/(1+EXP(-V526))</f>
        <v/>
      </c>
      <c r="X526" s="8">
        <f>-IF(C526=1,LN(W526),LN(1-W526))</f>
        <v/>
      </c>
      <c r="Y526" s="9">
        <f>IF(W526&gt;$AC$32,1,0)</f>
        <v/>
      </c>
      <c r="Z526">
        <f>IF(Y526=C526,1,0)</f>
        <v/>
      </c>
    </row>
    <row r="527">
      <c r="A527">
        <f>'3 escalar'!A530</f>
        <v/>
      </c>
      <c r="B527" s="5">
        <f>'3 escalar'!U530</f>
        <v/>
      </c>
      <c r="C527">
        <f>'3 escalar'!B530</f>
        <v/>
      </c>
      <c r="D527" s="7">
        <f>'3 escalar'!C530</f>
        <v/>
      </c>
      <c r="E527" s="7">
        <f>'3 escalar'!D530</f>
        <v/>
      </c>
      <c r="F527" s="7">
        <f>'3 escalar'!E530</f>
        <v/>
      </c>
      <c r="G527" s="7">
        <f>'3 escalar'!F530</f>
        <v/>
      </c>
      <c r="H527" s="7">
        <f>'3 escalar'!G530</f>
        <v/>
      </c>
      <c r="I527" s="7">
        <f>'3 escalar'!H530</f>
        <v/>
      </c>
      <c r="J527" s="7">
        <f>'3 escalar'!I530</f>
        <v/>
      </c>
      <c r="K527" s="7">
        <f>'3 escalar'!J530</f>
        <v/>
      </c>
      <c r="L527" s="7">
        <f>'3 escalar'!K530</f>
        <v/>
      </c>
      <c r="M527" s="7">
        <f>'3 escalar'!L530</f>
        <v/>
      </c>
      <c r="N527" s="7">
        <f>'3 escalar'!M530</f>
        <v/>
      </c>
      <c r="O527" s="7">
        <f>'3 escalar'!N530</f>
        <v/>
      </c>
      <c r="P527" s="7">
        <f>'3 escalar'!O530</f>
        <v/>
      </c>
      <c r="Q527" s="7">
        <f>'3 escalar'!P530</f>
        <v/>
      </c>
      <c r="R527" s="7">
        <f>'3 escalar'!Q530</f>
        <v/>
      </c>
      <c r="S527" s="7">
        <f>'3 escalar'!R530</f>
        <v/>
      </c>
      <c r="T527" s="7">
        <f>'3 escalar'!S530</f>
        <v/>
      </c>
      <c r="U527" s="7">
        <f>'3 escalar'!T530</f>
        <v/>
      </c>
      <c r="V527" s="6">
        <f>$AC$12+D527*$AC$13+E527*$AC$14+F527*$AC$15+G527*$AC$16+H527*$AC$17+I527*$AC$18+J527*$AC$19+K527*$AC$20+L527*$AC$21+M527*$AC$22+N527*$AC$23+O527*$AC$24+P527*$AC$25+Q527*$AC$26+R527*$AC$27+S527*$AC$28+T527*$AC$29+U527*$AC$30</f>
        <v/>
      </c>
      <c r="W527" s="6">
        <f>1/(1+EXP(-V527))</f>
        <v/>
      </c>
      <c r="X527" s="8">
        <f>-IF(C527=1,LN(W527),LN(1-W527))</f>
        <v/>
      </c>
      <c r="Y527" s="9">
        <f>IF(W527&gt;$AC$32,1,0)</f>
        <v/>
      </c>
      <c r="Z527">
        <f>IF(Y527=C527,1,0)</f>
        <v/>
      </c>
    </row>
    <row r="528">
      <c r="A528">
        <f>'3 escalar'!A531</f>
        <v/>
      </c>
      <c r="B528" s="5">
        <f>'3 escalar'!U531</f>
        <v/>
      </c>
      <c r="C528">
        <f>'3 escalar'!B531</f>
        <v/>
      </c>
      <c r="D528" s="7">
        <f>'3 escalar'!C531</f>
        <v/>
      </c>
      <c r="E528" s="7">
        <f>'3 escalar'!D531</f>
        <v/>
      </c>
      <c r="F528" s="7">
        <f>'3 escalar'!E531</f>
        <v/>
      </c>
      <c r="G528" s="7">
        <f>'3 escalar'!F531</f>
        <v/>
      </c>
      <c r="H528" s="7">
        <f>'3 escalar'!G531</f>
        <v/>
      </c>
      <c r="I528" s="7">
        <f>'3 escalar'!H531</f>
        <v/>
      </c>
      <c r="J528" s="7">
        <f>'3 escalar'!I531</f>
        <v/>
      </c>
      <c r="K528" s="7">
        <f>'3 escalar'!J531</f>
        <v/>
      </c>
      <c r="L528" s="7">
        <f>'3 escalar'!K531</f>
        <v/>
      </c>
      <c r="M528" s="7">
        <f>'3 escalar'!L531</f>
        <v/>
      </c>
      <c r="N528" s="7">
        <f>'3 escalar'!M531</f>
        <v/>
      </c>
      <c r="O528" s="7">
        <f>'3 escalar'!N531</f>
        <v/>
      </c>
      <c r="P528" s="7">
        <f>'3 escalar'!O531</f>
        <v/>
      </c>
      <c r="Q528" s="7">
        <f>'3 escalar'!P531</f>
        <v/>
      </c>
      <c r="R528" s="7">
        <f>'3 escalar'!Q531</f>
        <v/>
      </c>
      <c r="S528" s="7">
        <f>'3 escalar'!R531</f>
        <v/>
      </c>
      <c r="T528" s="7">
        <f>'3 escalar'!S531</f>
        <v/>
      </c>
      <c r="U528" s="7">
        <f>'3 escalar'!T531</f>
        <v/>
      </c>
      <c r="V528" s="6">
        <f>$AC$12+D528*$AC$13+E528*$AC$14+F528*$AC$15+G528*$AC$16+H528*$AC$17+I528*$AC$18+J528*$AC$19+K528*$AC$20+L528*$AC$21+M528*$AC$22+N528*$AC$23+O528*$AC$24+P528*$AC$25+Q528*$AC$26+R528*$AC$27+S528*$AC$28+T528*$AC$29+U528*$AC$30</f>
        <v/>
      </c>
      <c r="W528" s="6">
        <f>1/(1+EXP(-V528))</f>
        <v/>
      </c>
      <c r="X528" s="8">
        <f>-IF(C528=1,LN(W528),LN(1-W528))</f>
        <v/>
      </c>
      <c r="Y528" s="9">
        <f>IF(W528&gt;$AC$32,1,0)</f>
        <v/>
      </c>
      <c r="Z528">
        <f>IF(Y528=C528,1,0)</f>
        <v/>
      </c>
    </row>
    <row r="529">
      <c r="A529">
        <f>'3 escalar'!A532</f>
        <v/>
      </c>
      <c r="B529" s="5">
        <f>'3 escalar'!U532</f>
        <v/>
      </c>
      <c r="C529">
        <f>'3 escalar'!B532</f>
        <v/>
      </c>
      <c r="D529" s="7">
        <f>'3 escalar'!C532</f>
        <v/>
      </c>
      <c r="E529" s="7">
        <f>'3 escalar'!D532</f>
        <v/>
      </c>
      <c r="F529" s="7">
        <f>'3 escalar'!E532</f>
        <v/>
      </c>
      <c r="G529" s="7">
        <f>'3 escalar'!F532</f>
        <v/>
      </c>
      <c r="H529" s="7">
        <f>'3 escalar'!G532</f>
        <v/>
      </c>
      <c r="I529" s="7">
        <f>'3 escalar'!H532</f>
        <v/>
      </c>
      <c r="J529" s="7">
        <f>'3 escalar'!I532</f>
        <v/>
      </c>
      <c r="K529" s="7">
        <f>'3 escalar'!J532</f>
        <v/>
      </c>
      <c r="L529" s="7">
        <f>'3 escalar'!K532</f>
        <v/>
      </c>
      <c r="M529" s="7">
        <f>'3 escalar'!L532</f>
        <v/>
      </c>
      <c r="N529" s="7">
        <f>'3 escalar'!M532</f>
        <v/>
      </c>
      <c r="O529" s="7">
        <f>'3 escalar'!N532</f>
        <v/>
      </c>
      <c r="P529" s="7">
        <f>'3 escalar'!O532</f>
        <v/>
      </c>
      <c r="Q529" s="7">
        <f>'3 escalar'!P532</f>
        <v/>
      </c>
      <c r="R529" s="7">
        <f>'3 escalar'!Q532</f>
        <v/>
      </c>
      <c r="S529" s="7">
        <f>'3 escalar'!R532</f>
        <v/>
      </c>
      <c r="T529" s="7">
        <f>'3 escalar'!S532</f>
        <v/>
      </c>
      <c r="U529" s="7">
        <f>'3 escalar'!T532</f>
        <v/>
      </c>
      <c r="V529" s="6">
        <f>$AC$12+D529*$AC$13+E529*$AC$14+F529*$AC$15+G529*$AC$16+H529*$AC$17+I529*$AC$18+J529*$AC$19+K529*$AC$20+L529*$AC$21+M529*$AC$22+N529*$AC$23+O529*$AC$24+P529*$AC$25+Q529*$AC$26+R529*$AC$27+S529*$AC$28+T529*$AC$29+U529*$AC$30</f>
        <v/>
      </c>
      <c r="W529" s="6">
        <f>1/(1+EXP(-V529))</f>
        <v/>
      </c>
      <c r="X529" s="8">
        <f>-IF(C529=1,LN(W529),LN(1-W529))</f>
        <v/>
      </c>
      <c r="Y529" s="9">
        <f>IF(W529&gt;$AC$32,1,0)</f>
        <v/>
      </c>
      <c r="Z529">
        <f>IF(Y529=C529,1,0)</f>
        <v/>
      </c>
    </row>
    <row r="530">
      <c r="A530">
        <f>'3 escalar'!A533</f>
        <v/>
      </c>
      <c r="B530" s="5">
        <f>'3 escalar'!U533</f>
        <v/>
      </c>
      <c r="C530">
        <f>'3 escalar'!B533</f>
        <v/>
      </c>
      <c r="D530" s="7">
        <f>'3 escalar'!C533</f>
        <v/>
      </c>
      <c r="E530" s="7">
        <f>'3 escalar'!D533</f>
        <v/>
      </c>
      <c r="F530" s="7">
        <f>'3 escalar'!E533</f>
        <v/>
      </c>
      <c r="G530" s="7">
        <f>'3 escalar'!F533</f>
        <v/>
      </c>
      <c r="H530" s="7">
        <f>'3 escalar'!G533</f>
        <v/>
      </c>
      <c r="I530" s="7">
        <f>'3 escalar'!H533</f>
        <v/>
      </c>
      <c r="J530" s="7">
        <f>'3 escalar'!I533</f>
        <v/>
      </c>
      <c r="K530" s="7">
        <f>'3 escalar'!J533</f>
        <v/>
      </c>
      <c r="L530" s="7">
        <f>'3 escalar'!K533</f>
        <v/>
      </c>
      <c r="M530" s="7">
        <f>'3 escalar'!L533</f>
        <v/>
      </c>
      <c r="N530" s="7">
        <f>'3 escalar'!M533</f>
        <v/>
      </c>
      <c r="O530" s="7">
        <f>'3 escalar'!N533</f>
        <v/>
      </c>
      <c r="P530" s="7">
        <f>'3 escalar'!O533</f>
        <v/>
      </c>
      <c r="Q530" s="7">
        <f>'3 escalar'!P533</f>
        <v/>
      </c>
      <c r="R530" s="7">
        <f>'3 escalar'!Q533</f>
        <v/>
      </c>
      <c r="S530" s="7">
        <f>'3 escalar'!R533</f>
        <v/>
      </c>
      <c r="T530" s="7">
        <f>'3 escalar'!S533</f>
        <v/>
      </c>
      <c r="U530" s="7">
        <f>'3 escalar'!T533</f>
        <v/>
      </c>
      <c r="V530" s="6">
        <f>$AC$12+D530*$AC$13+E530*$AC$14+F530*$AC$15+G530*$AC$16+H530*$AC$17+I530*$AC$18+J530*$AC$19+K530*$AC$20+L530*$AC$21+M530*$AC$22+N530*$AC$23+O530*$AC$24+P530*$AC$25+Q530*$AC$26+R530*$AC$27+S530*$AC$28+T530*$AC$29+U530*$AC$30</f>
        <v/>
      </c>
      <c r="W530" s="6">
        <f>1/(1+EXP(-V530))</f>
        <v/>
      </c>
      <c r="X530" s="8">
        <f>-IF(C530=1,LN(W530),LN(1-W530))</f>
        <v/>
      </c>
      <c r="Y530" s="9">
        <f>IF(W530&gt;$AC$32,1,0)</f>
        <v/>
      </c>
      <c r="Z530">
        <f>IF(Y530=C530,1,0)</f>
        <v/>
      </c>
    </row>
    <row r="531">
      <c r="A531">
        <f>'3 escalar'!A534</f>
        <v/>
      </c>
      <c r="B531" s="5">
        <f>'3 escalar'!U534</f>
        <v/>
      </c>
      <c r="C531">
        <f>'3 escalar'!B534</f>
        <v/>
      </c>
      <c r="D531" s="7">
        <f>'3 escalar'!C534</f>
        <v/>
      </c>
      <c r="E531" s="7">
        <f>'3 escalar'!D534</f>
        <v/>
      </c>
      <c r="F531" s="7">
        <f>'3 escalar'!E534</f>
        <v/>
      </c>
      <c r="G531" s="7">
        <f>'3 escalar'!F534</f>
        <v/>
      </c>
      <c r="H531" s="7">
        <f>'3 escalar'!G534</f>
        <v/>
      </c>
      <c r="I531" s="7">
        <f>'3 escalar'!H534</f>
        <v/>
      </c>
      <c r="J531" s="7">
        <f>'3 escalar'!I534</f>
        <v/>
      </c>
      <c r="K531" s="7">
        <f>'3 escalar'!J534</f>
        <v/>
      </c>
      <c r="L531" s="7">
        <f>'3 escalar'!K534</f>
        <v/>
      </c>
      <c r="M531" s="7">
        <f>'3 escalar'!L534</f>
        <v/>
      </c>
      <c r="N531" s="7">
        <f>'3 escalar'!M534</f>
        <v/>
      </c>
      <c r="O531" s="7">
        <f>'3 escalar'!N534</f>
        <v/>
      </c>
      <c r="P531" s="7">
        <f>'3 escalar'!O534</f>
        <v/>
      </c>
      <c r="Q531" s="7">
        <f>'3 escalar'!P534</f>
        <v/>
      </c>
      <c r="R531" s="7">
        <f>'3 escalar'!Q534</f>
        <v/>
      </c>
      <c r="S531" s="7">
        <f>'3 escalar'!R534</f>
        <v/>
      </c>
      <c r="T531" s="7">
        <f>'3 escalar'!S534</f>
        <v/>
      </c>
      <c r="U531" s="7">
        <f>'3 escalar'!T534</f>
        <v/>
      </c>
      <c r="V531" s="6">
        <f>$AC$12+D531*$AC$13+E531*$AC$14+F531*$AC$15+G531*$AC$16+H531*$AC$17+I531*$AC$18+J531*$AC$19+K531*$AC$20+L531*$AC$21+M531*$AC$22+N531*$AC$23+O531*$AC$24+P531*$AC$25+Q531*$AC$26+R531*$AC$27+S531*$AC$28+T531*$AC$29+U531*$AC$30</f>
        <v/>
      </c>
      <c r="W531" s="6">
        <f>1/(1+EXP(-V531))</f>
        <v/>
      </c>
      <c r="X531" s="8">
        <f>-IF(C531=1,LN(W531),LN(1-W531))</f>
        <v/>
      </c>
      <c r="Y531" s="9">
        <f>IF(W531&gt;$AC$32,1,0)</f>
        <v/>
      </c>
      <c r="Z531">
        <f>IF(Y531=C531,1,0)</f>
        <v/>
      </c>
    </row>
    <row r="532">
      <c r="A532">
        <f>'3 escalar'!A535</f>
        <v/>
      </c>
      <c r="B532" s="5">
        <f>'3 escalar'!U535</f>
        <v/>
      </c>
      <c r="C532">
        <f>'3 escalar'!B535</f>
        <v/>
      </c>
      <c r="D532" s="7">
        <f>'3 escalar'!C535</f>
        <v/>
      </c>
      <c r="E532" s="7">
        <f>'3 escalar'!D535</f>
        <v/>
      </c>
      <c r="F532" s="7">
        <f>'3 escalar'!E535</f>
        <v/>
      </c>
      <c r="G532" s="7">
        <f>'3 escalar'!F535</f>
        <v/>
      </c>
      <c r="H532" s="7">
        <f>'3 escalar'!G535</f>
        <v/>
      </c>
      <c r="I532" s="7">
        <f>'3 escalar'!H535</f>
        <v/>
      </c>
      <c r="J532" s="7">
        <f>'3 escalar'!I535</f>
        <v/>
      </c>
      <c r="K532" s="7">
        <f>'3 escalar'!J535</f>
        <v/>
      </c>
      <c r="L532" s="7">
        <f>'3 escalar'!K535</f>
        <v/>
      </c>
      <c r="M532" s="7">
        <f>'3 escalar'!L535</f>
        <v/>
      </c>
      <c r="N532" s="7">
        <f>'3 escalar'!M535</f>
        <v/>
      </c>
      <c r="O532" s="7">
        <f>'3 escalar'!N535</f>
        <v/>
      </c>
      <c r="P532" s="7">
        <f>'3 escalar'!O535</f>
        <v/>
      </c>
      <c r="Q532" s="7">
        <f>'3 escalar'!P535</f>
        <v/>
      </c>
      <c r="R532" s="7">
        <f>'3 escalar'!Q535</f>
        <v/>
      </c>
      <c r="S532" s="7">
        <f>'3 escalar'!R535</f>
        <v/>
      </c>
      <c r="T532" s="7">
        <f>'3 escalar'!S535</f>
        <v/>
      </c>
      <c r="U532" s="7">
        <f>'3 escalar'!T535</f>
        <v/>
      </c>
      <c r="V532" s="6">
        <f>$AC$12+D532*$AC$13+E532*$AC$14+F532*$AC$15+G532*$AC$16+H532*$AC$17+I532*$AC$18+J532*$AC$19+K532*$AC$20+L532*$AC$21+M532*$AC$22+N532*$AC$23+O532*$AC$24+P532*$AC$25+Q532*$AC$26+R532*$AC$27+S532*$AC$28+T532*$AC$29+U532*$AC$30</f>
        <v/>
      </c>
      <c r="W532" s="6">
        <f>1/(1+EXP(-V532))</f>
        <v/>
      </c>
      <c r="X532" s="8">
        <f>-IF(C532=1,LN(W532),LN(1-W532))</f>
        <v/>
      </c>
      <c r="Y532" s="9">
        <f>IF(W532&gt;$AC$32,1,0)</f>
        <v/>
      </c>
      <c r="Z532">
        <f>IF(Y532=C532,1,0)</f>
        <v/>
      </c>
    </row>
    <row r="533">
      <c r="A533">
        <f>'3 escalar'!A536</f>
        <v/>
      </c>
      <c r="B533" s="5">
        <f>'3 escalar'!U536</f>
        <v/>
      </c>
      <c r="C533">
        <f>'3 escalar'!B536</f>
        <v/>
      </c>
      <c r="D533" s="7">
        <f>'3 escalar'!C536</f>
        <v/>
      </c>
      <c r="E533" s="7">
        <f>'3 escalar'!D536</f>
        <v/>
      </c>
      <c r="F533" s="7">
        <f>'3 escalar'!E536</f>
        <v/>
      </c>
      <c r="G533" s="7">
        <f>'3 escalar'!F536</f>
        <v/>
      </c>
      <c r="H533" s="7">
        <f>'3 escalar'!G536</f>
        <v/>
      </c>
      <c r="I533" s="7">
        <f>'3 escalar'!H536</f>
        <v/>
      </c>
      <c r="J533" s="7">
        <f>'3 escalar'!I536</f>
        <v/>
      </c>
      <c r="K533" s="7">
        <f>'3 escalar'!J536</f>
        <v/>
      </c>
      <c r="L533" s="7">
        <f>'3 escalar'!K536</f>
        <v/>
      </c>
      <c r="M533" s="7">
        <f>'3 escalar'!L536</f>
        <v/>
      </c>
      <c r="N533" s="7">
        <f>'3 escalar'!M536</f>
        <v/>
      </c>
      <c r="O533" s="7">
        <f>'3 escalar'!N536</f>
        <v/>
      </c>
      <c r="P533" s="7">
        <f>'3 escalar'!O536</f>
        <v/>
      </c>
      <c r="Q533" s="7">
        <f>'3 escalar'!P536</f>
        <v/>
      </c>
      <c r="R533" s="7">
        <f>'3 escalar'!Q536</f>
        <v/>
      </c>
      <c r="S533" s="7">
        <f>'3 escalar'!R536</f>
        <v/>
      </c>
      <c r="T533" s="7">
        <f>'3 escalar'!S536</f>
        <v/>
      </c>
      <c r="U533" s="7">
        <f>'3 escalar'!T536</f>
        <v/>
      </c>
      <c r="V533" s="6">
        <f>$AC$12+D533*$AC$13+E533*$AC$14+F533*$AC$15+G533*$AC$16+H533*$AC$17+I533*$AC$18+J533*$AC$19+K533*$AC$20+L533*$AC$21+M533*$AC$22+N533*$AC$23+O533*$AC$24+P533*$AC$25+Q533*$AC$26+R533*$AC$27+S533*$AC$28+T533*$AC$29+U533*$AC$30</f>
        <v/>
      </c>
      <c r="W533" s="6">
        <f>1/(1+EXP(-V533))</f>
        <v/>
      </c>
      <c r="X533" s="8">
        <f>-IF(C533=1,LN(W533),LN(1-W533))</f>
        <v/>
      </c>
      <c r="Y533" s="9">
        <f>IF(W533&gt;$AC$32,1,0)</f>
        <v/>
      </c>
      <c r="Z533">
        <f>IF(Y533=C533,1,0)</f>
        <v/>
      </c>
    </row>
    <row r="534">
      <c r="A534">
        <f>'3 escalar'!A537</f>
        <v/>
      </c>
      <c r="B534" s="5">
        <f>'3 escalar'!U537</f>
        <v/>
      </c>
      <c r="C534">
        <f>'3 escalar'!B537</f>
        <v/>
      </c>
      <c r="D534" s="7">
        <f>'3 escalar'!C537</f>
        <v/>
      </c>
      <c r="E534" s="7">
        <f>'3 escalar'!D537</f>
        <v/>
      </c>
      <c r="F534" s="7">
        <f>'3 escalar'!E537</f>
        <v/>
      </c>
      <c r="G534" s="7">
        <f>'3 escalar'!F537</f>
        <v/>
      </c>
      <c r="H534" s="7">
        <f>'3 escalar'!G537</f>
        <v/>
      </c>
      <c r="I534" s="7">
        <f>'3 escalar'!H537</f>
        <v/>
      </c>
      <c r="J534" s="7">
        <f>'3 escalar'!I537</f>
        <v/>
      </c>
      <c r="K534" s="7">
        <f>'3 escalar'!J537</f>
        <v/>
      </c>
      <c r="L534" s="7">
        <f>'3 escalar'!K537</f>
        <v/>
      </c>
      <c r="M534" s="7">
        <f>'3 escalar'!L537</f>
        <v/>
      </c>
      <c r="N534" s="7">
        <f>'3 escalar'!M537</f>
        <v/>
      </c>
      <c r="O534" s="7">
        <f>'3 escalar'!N537</f>
        <v/>
      </c>
      <c r="P534" s="7">
        <f>'3 escalar'!O537</f>
        <v/>
      </c>
      <c r="Q534" s="7">
        <f>'3 escalar'!P537</f>
        <v/>
      </c>
      <c r="R534" s="7">
        <f>'3 escalar'!Q537</f>
        <v/>
      </c>
      <c r="S534" s="7">
        <f>'3 escalar'!R537</f>
        <v/>
      </c>
      <c r="T534" s="7">
        <f>'3 escalar'!S537</f>
        <v/>
      </c>
      <c r="U534" s="7">
        <f>'3 escalar'!T537</f>
        <v/>
      </c>
      <c r="V534" s="6">
        <f>$AC$12+D534*$AC$13+E534*$AC$14+F534*$AC$15+G534*$AC$16+H534*$AC$17+I534*$AC$18+J534*$AC$19+K534*$AC$20+L534*$AC$21+M534*$AC$22+N534*$AC$23+O534*$AC$24+P534*$AC$25+Q534*$AC$26+R534*$AC$27+S534*$AC$28+T534*$AC$29+U534*$AC$30</f>
        <v/>
      </c>
      <c r="W534" s="6">
        <f>1/(1+EXP(-V534))</f>
        <v/>
      </c>
      <c r="X534" s="8">
        <f>-IF(C534=1,LN(W534),LN(1-W534))</f>
        <v/>
      </c>
      <c r="Y534" s="9">
        <f>IF(W534&gt;$AC$32,1,0)</f>
        <v/>
      </c>
      <c r="Z534">
        <f>IF(Y534=C534,1,0)</f>
        <v/>
      </c>
    </row>
    <row r="535">
      <c r="A535">
        <f>'3 escalar'!A538</f>
        <v/>
      </c>
      <c r="B535" s="5">
        <f>'3 escalar'!U538</f>
        <v/>
      </c>
      <c r="C535">
        <f>'3 escalar'!B538</f>
        <v/>
      </c>
      <c r="D535" s="7">
        <f>'3 escalar'!C538</f>
        <v/>
      </c>
      <c r="E535" s="7">
        <f>'3 escalar'!D538</f>
        <v/>
      </c>
      <c r="F535" s="7">
        <f>'3 escalar'!E538</f>
        <v/>
      </c>
      <c r="G535" s="7">
        <f>'3 escalar'!F538</f>
        <v/>
      </c>
      <c r="H535" s="7">
        <f>'3 escalar'!G538</f>
        <v/>
      </c>
      <c r="I535" s="7">
        <f>'3 escalar'!H538</f>
        <v/>
      </c>
      <c r="J535" s="7">
        <f>'3 escalar'!I538</f>
        <v/>
      </c>
      <c r="K535" s="7">
        <f>'3 escalar'!J538</f>
        <v/>
      </c>
      <c r="L535" s="7">
        <f>'3 escalar'!K538</f>
        <v/>
      </c>
      <c r="M535" s="7">
        <f>'3 escalar'!L538</f>
        <v/>
      </c>
      <c r="N535" s="7">
        <f>'3 escalar'!M538</f>
        <v/>
      </c>
      <c r="O535" s="7">
        <f>'3 escalar'!N538</f>
        <v/>
      </c>
      <c r="P535" s="7">
        <f>'3 escalar'!O538</f>
        <v/>
      </c>
      <c r="Q535" s="7">
        <f>'3 escalar'!P538</f>
        <v/>
      </c>
      <c r="R535" s="7">
        <f>'3 escalar'!Q538</f>
        <v/>
      </c>
      <c r="S535" s="7">
        <f>'3 escalar'!R538</f>
        <v/>
      </c>
      <c r="T535" s="7">
        <f>'3 escalar'!S538</f>
        <v/>
      </c>
      <c r="U535" s="7">
        <f>'3 escalar'!T538</f>
        <v/>
      </c>
      <c r="V535" s="6">
        <f>$AC$12+D535*$AC$13+E535*$AC$14+F535*$AC$15+G535*$AC$16+H535*$AC$17+I535*$AC$18+J535*$AC$19+K535*$AC$20+L535*$AC$21+M535*$AC$22+N535*$AC$23+O535*$AC$24+P535*$AC$25+Q535*$AC$26+R535*$AC$27+S535*$AC$28+T535*$AC$29+U535*$AC$30</f>
        <v/>
      </c>
      <c r="W535" s="6">
        <f>1/(1+EXP(-V535))</f>
        <v/>
      </c>
      <c r="X535" s="8">
        <f>-IF(C535=1,LN(W535),LN(1-W535))</f>
        <v/>
      </c>
      <c r="Y535" s="9">
        <f>IF(W535&gt;$AC$32,1,0)</f>
        <v/>
      </c>
      <c r="Z535">
        <f>IF(Y535=C535,1,0)</f>
        <v/>
      </c>
    </row>
    <row r="536">
      <c r="A536">
        <f>'3 escalar'!A539</f>
        <v/>
      </c>
      <c r="B536" s="5">
        <f>'3 escalar'!U539</f>
        <v/>
      </c>
      <c r="C536">
        <f>'3 escalar'!B539</f>
        <v/>
      </c>
      <c r="D536" s="7">
        <f>'3 escalar'!C539</f>
        <v/>
      </c>
      <c r="E536" s="7">
        <f>'3 escalar'!D539</f>
        <v/>
      </c>
      <c r="F536" s="7">
        <f>'3 escalar'!E539</f>
        <v/>
      </c>
      <c r="G536" s="7">
        <f>'3 escalar'!F539</f>
        <v/>
      </c>
      <c r="H536" s="7">
        <f>'3 escalar'!G539</f>
        <v/>
      </c>
      <c r="I536" s="7">
        <f>'3 escalar'!H539</f>
        <v/>
      </c>
      <c r="J536" s="7">
        <f>'3 escalar'!I539</f>
        <v/>
      </c>
      <c r="K536" s="7">
        <f>'3 escalar'!J539</f>
        <v/>
      </c>
      <c r="L536" s="7">
        <f>'3 escalar'!K539</f>
        <v/>
      </c>
      <c r="M536" s="7">
        <f>'3 escalar'!L539</f>
        <v/>
      </c>
      <c r="N536" s="7">
        <f>'3 escalar'!M539</f>
        <v/>
      </c>
      <c r="O536" s="7">
        <f>'3 escalar'!N539</f>
        <v/>
      </c>
      <c r="P536" s="7">
        <f>'3 escalar'!O539</f>
        <v/>
      </c>
      <c r="Q536" s="7">
        <f>'3 escalar'!P539</f>
        <v/>
      </c>
      <c r="R536" s="7">
        <f>'3 escalar'!Q539</f>
        <v/>
      </c>
      <c r="S536" s="7">
        <f>'3 escalar'!R539</f>
        <v/>
      </c>
      <c r="T536" s="7">
        <f>'3 escalar'!S539</f>
        <v/>
      </c>
      <c r="U536" s="7">
        <f>'3 escalar'!T539</f>
        <v/>
      </c>
      <c r="V536" s="6">
        <f>$AC$12+D536*$AC$13+E536*$AC$14+F536*$AC$15+G536*$AC$16+H536*$AC$17+I536*$AC$18+J536*$AC$19+K536*$AC$20+L536*$AC$21+M536*$AC$22+N536*$AC$23+O536*$AC$24+P536*$AC$25+Q536*$AC$26+R536*$AC$27+S536*$AC$28+T536*$AC$29+U536*$AC$30</f>
        <v/>
      </c>
      <c r="W536" s="6">
        <f>1/(1+EXP(-V536))</f>
        <v/>
      </c>
      <c r="X536" s="8">
        <f>-IF(C536=1,LN(W536),LN(1-W536))</f>
        <v/>
      </c>
      <c r="Y536" s="9">
        <f>IF(W536&gt;$AC$32,1,0)</f>
        <v/>
      </c>
      <c r="Z536">
        <f>IF(Y536=C536,1,0)</f>
        <v/>
      </c>
    </row>
    <row r="537">
      <c r="A537">
        <f>'3 escalar'!A540</f>
        <v/>
      </c>
      <c r="B537" s="5">
        <f>'3 escalar'!U540</f>
        <v/>
      </c>
      <c r="C537">
        <f>'3 escalar'!B540</f>
        <v/>
      </c>
      <c r="D537" s="7">
        <f>'3 escalar'!C540</f>
        <v/>
      </c>
      <c r="E537" s="7">
        <f>'3 escalar'!D540</f>
        <v/>
      </c>
      <c r="F537" s="7">
        <f>'3 escalar'!E540</f>
        <v/>
      </c>
      <c r="G537" s="7">
        <f>'3 escalar'!F540</f>
        <v/>
      </c>
      <c r="H537" s="7">
        <f>'3 escalar'!G540</f>
        <v/>
      </c>
      <c r="I537" s="7">
        <f>'3 escalar'!H540</f>
        <v/>
      </c>
      <c r="J537" s="7">
        <f>'3 escalar'!I540</f>
        <v/>
      </c>
      <c r="K537" s="7">
        <f>'3 escalar'!J540</f>
        <v/>
      </c>
      <c r="L537" s="7">
        <f>'3 escalar'!K540</f>
        <v/>
      </c>
      <c r="M537" s="7">
        <f>'3 escalar'!L540</f>
        <v/>
      </c>
      <c r="N537" s="7">
        <f>'3 escalar'!M540</f>
        <v/>
      </c>
      <c r="O537" s="7">
        <f>'3 escalar'!N540</f>
        <v/>
      </c>
      <c r="P537" s="7">
        <f>'3 escalar'!O540</f>
        <v/>
      </c>
      <c r="Q537" s="7">
        <f>'3 escalar'!P540</f>
        <v/>
      </c>
      <c r="R537" s="7">
        <f>'3 escalar'!Q540</f>
        <v/>
      </c>
      <c r="S537" s="7">
        <f>'3 escalar'!R540</f>
        <v/>
      </c>
      <c r="T537" s="7">
        <f>'3 escalar'!S540</f>
        <v/>
      </c>
      <c r="U537" s="7">
        <f>'3 escalar'!T540</f>
        <v/>
      </c>
      <c r="V537" s="6">
        <f>$AC$12+D537*$AC$13+E537*$AC$14+F537*$AC$15+G537*$AC$16+H537*$AC$17+I537*$AC$18+J537*$AC$19+K537*$AC$20+L537*$AC$21+M537*$AC$22+N537*$AC$23+O537*$AC$24+P537*$AC$25+Q537*$AC$26+R537*$AC$27+S537*$AC$28+T537*$AC$29+U537*$AC$30</f>
        <v/>
      </c>
      <c r="W537" s="6">
        <f>1/(1+EXP(-V537))</f>
        <v/>
      </c>
      <c r="X537" s="8">
        <f>-IF(C537=1,LN(W537),LN(1-W537))</f>
        <v/>
      </c>
      <c r="Y537" s="9">
        <f>IF(W537&gt;$AC$32,1,0)</f>
        <v/>
      </c>
      <c r="Z537">
        <f>IF(Y537=C537,1,0)</f>
        <v/>
      </c>
    </row>
    <row r="538">
      <c r="A538">
        <f>'3 escalar'!A541</f>
        <v/>
      </c>
      <c r="B538" s="5">
        <f>'3 escalar'!U541</f>
        <v/>
      </c>
      <c r="C538">
        <f>'3 escalar'!B541</f>
        <v/>
      </c>
      <c r="D538" s="7">
        <f>'3 escalar'!C541</f>
        <v/>
      </c>
      <c r="E538" s="7">
        <f>'3 escalar'!D541</f>
        <v/>
      </c>
      <c r="F538" s="7">
        <f>'3 escalar'!E541</f>
        <v/>
      </c>
      <c r="G538" s="7">
        <f>'3 escalar'!F541</f>
        <v/>
      </c>
      <c r="H538" s="7">
        <f>'3 escalar'!G541</f>
        <v/>
      </c>
      <c r="I538" s="7">
        <f>'3 escalar'!H541</f>
        <v/>
      </c>
      <c r="J538" s="7">
        <f>'3 escalar'!I541</f>
        <v/>
      </c>
      <c r="K538" s="7">
        <f>'3 escalar'!J541</f>
        <v/>
      </c>
      <c r="L538" s="7">
        <f>'3 escalar'!K541</f>
        <v/>
      </c>
      <c r="M538" s="7">
        <f>'3 escalar'!L541</f>
        <v/>
      </c>
      <c r="N538" s="7">
        <f>'3 escalar'!M541</f>
        <v/>
      </c>
      <c r="O538" s="7">
        <f>'3 escalar'!N541</f>
        <v/>
      </c>
      <c r="P538" s="7">
        <f>'3 escalar'!O541</f>
        <v/>
      </c>
      <c r="Q538" s="7">
        <f>'3 escalar'!P541</f>
        <v/>
      </c>
      <c r="R538" s="7">
        <f>'3 escalar'!Q541</f>
        <v/>
      </c>
      <c r="S538" s="7">
        <f>'3 escalar'!R541</f>
        <v/>
      </c>
      <c r="T538" s="7">
        <f>'3 escalar'!S541</f>
        <v/>
      </c>
      <c r="U538" s="7">
        <f>'3 escalar'!T541</f>
        <v/>
      </c>
      <c r="V538" s="6">
        <f>$AC$12+D538*$AC$13+E538*$AC$14+F538*$AC$15+G538*$AC$16+H538*$AC$17+I538*$AC$18+J538*$AC$19+K538*$AC$20+L538*$AC$21+M538*$AC$22+N538*$AC$23+O538*$AC$24+P538*$AC$25+Q538*$AC$26+R538*$AC$27+S538*$AC$28+T538*$AC$29+U538*$AC$30</f>
        <v/>
      </c>
      <c r="W538" s="6">
        <f>1/(1+EXP(-V538))</f>
        <v/>
      </c>
      <c r="X538" s="8">
        <f>-IF(C538=1,LN(W538),LN(1-W538))</f>
        <v/>
      </c>
      <c r="Y538" s="9">
        <f>IF(W538&gt;$AC$32,1,0)</f>
        <v/>
      </c>
      <c r="Z538">
        <f>IF(Y538=C538,1,0)</f>
        <v/>
      </c>
    </row>
    <row r="539">
      <c r="A539">
        <f>'3 escalar'!A542</f>
        <v/>
      </c>
      <c r="B539" s="5">
        <f>'3 escalar'!U542</f>
        <v/>
      </c>
      <c r="C539">
        <f>'3 escalar'!B542</f>
        <v/>
      </c>
      <c r="D539" s="7">
        <f>'3 escalar'!C542</f>
        <v/>
      </c>
      <c r="E539" s="7">
        <f>'3 escalar'!D542</f>
        <v/>
      </c>
      <c r="F539" s="7">
        <f>'3 escalar'!E542</f>
        <v/>
      </c>
      <c r="G539" s="7">
        <f>'3 escalar'!F542</f>
        <v/>
      </c>
      <c r="H539" s="7">
        <f>'3 escalar'!G542</f>
        <v/>
      </c>
      <c r="I539" s="7">
        <f>'3 escalar'!H542</f>
        <v/>
      </c>
      <c r="J539" s="7">
        <f>'3 escalar'!I542</f>
        <v/>
      </c>
      <c r="K539" s="7">
        <f>'3 escalar'!J542</f>
        <v/>
      </c>
      <c r="L539" s="7">
        <f>'3 escalar'!K542</f>
        <v/>
      </c>
      <c r="M539" s="7">
        <f>'3 escalar'!L542</f>
        <v/>
      </c>
      <c r="N539" s="7">
        <f>'3 escalar'!M542</f>
        <v/>
      </c>
      <c r="O539" s="7">
        <f>'3 escalar'!N542</f>
        <v/>
      </c>
      <c r="P539" s="7">
        <f>'3 escalar'!O542</f>
        <v/>
      </c>
      <c r="Q539" s="7">
        <f>'3 escalar'!P542</f>
        <v/>
      </c>
      <c r="R539" s="7">
        <f>'3 escalar'!Q542</f>
        <v/>
      </c>
      <c r="S539" s="7">
        <f>'3 escalar'!R542</f>
        <v/>
      </c>
      <c r="T539" s="7">
        <f>'3 escalar'!S542</f>
        <v/>
      </c>
      <c r="U539" s="7">
        <f>'3 escalar'!T542</f>
        <v/>
      </c>
      <c r="V539" s="6">
        <f>$AC$12+D539*$AC$13+E539*$AC$14+F539*$AC$15+G539*$AC$16+H539*$AC$17+I539*$AC$18+J539*$AC$19+K539*$AC$20+L539*$AC$21+M539*$AC$22+N539*$AC$23+O539*$AC$24+P539*$AC$25+Q539*$AC$26+R539*$AC$27+S539*$AC$28+T539*$AC$29+U539*$AC$30</f>
        <v/>
      </c>
      <c r="W539" s="6">
        <f>1/(1+EXP(-V539))</f>
        <v/>
      </c>
      <c r="X539" s="8">
        <f>-IF(C539=1,LN(W539),LN(1-W539))</f>
        <v/>
      </c>
      <c r="Y539" s="9">
        <f>IF(W539&gt;$AC$32,1,0)</f>
        <v/>
      </c>
      <c r="Z539">
        <f>IF(Y539=C539,1,0)</f>
        <v/>
      </c>
    </row>
    <row r="540">
      <c r="A540">
        <f>'3 escalar'!A543</f>
        <v/>
      </c>
      <c r="B540" s="5">
        <f>'3 escalar'!U543</f>
        <v/>
      </c>
      <c r="C540">
        <f>'3 escalar'!B543</f>
        <v/>
      </c>
      <c r="D540" s="7">
        <f>'3 escalar'!C543</f>
        <v/>
      </c>
      <c r="E540" s="7">
        <f>'3 escalar'!D543</f>
        <v/>
      </c>
      <c r="F540" s="7">
        <f>'3 escalar'!E543</f>
        <v/>
      </c>
      <c r="G540" s="7">
        <f>'3 escalar'!F543</f>
        <v/>
      </c>
      <c r="H540" s="7">
        <f>'3 escalar'!G543</f>
        <v/>
      </c>
      <c r="I540" s="7">
        <f>'3 escalar'!H543</f>
        <v/>
      </c>
      <c r="J540" s="7">
        <f>'3 escalar'!I543</f>
        <v/>
      </c>
      <c r="K540" s="7">
        <f>'3 escalar'!J543</f>
        <v/>
      </c>
      <c r="L540" s="7">
        <f>'3 escalar'!K543</f>
        <v/>
      </c>
      <c r="M540" s="7">
        <f>'3 escalar'!L543</f>
        <v/>
      </c>
      <c r="N540" s="7">
        <f>'3 escalar'!M543</f>
        <v/>
      </c>
      <c r="O540" s="7">
        <f>'3 escalar'!N543</f>
        <v/>
      </c>
      <c r="P540" s="7">
        <f>'3 escalar'!O543</f>
        <v/>
      </c>
      <c r="Q540" s="7">
        <f>'3 escalar'!P543</f>
        <v/>
      </c>
      <c r="R540" s="7">
        <f>'3 escalar'!Q543</f>
        <v/>
      </c>
      <c r="S540" s="7">
        <f>'3 escalar'!R543</f>
        <v/>
      </c>
      <c r="T540" s="7">
        <f>'3 escalar'!S543</f>
        <v/>
      </c>
      <c r="U540" s="7">
        <f>'3 escalar'!T543</f>
        <v/>
      </c>
      <c r="V540" s="6">
        <f>$AC$12+D540*$AC$13+E540*$AC$14+F540*$AC$15+G540*$AC$16+H540*$AC$17+I540*$AC$18+J540*$AC$19+K540*$AC$20+L540*$AC$21+M540*$AC$22+N540*$AC$23+O540*$AC$24+P540*$AC$25+Q540*$AC$26+R540*$AC$27+S540*$AC$28+T540*$AC$29+U540*$AC$30</f>
        <v/>
      </c>
      <c r="W540" s="6">
        <f>1/(1+EXP(-V540))</f>
        <v/>
      </c>
      <c r="X540" s="8">
        <f>-IF(C540=1,LN(W540),LN(1-W540))</f>
        <v/>
      </c>
      <c r="Y540" s="9">
        <f>IF(W540&gt;$AC$32,1,0)</f>
        <v/>
      </c>
      <c r="Z540">
        <f>IF(Y540=C540,1,0)</f>
        <v/>
      </c>
    </row>
    <row r="541">
      <c r="A541">
        <f>'3 escalar'!A544</f>
        <v/>
      </c>
      <c r="B541" s="5">
        <f>'3 escalar'!U544</f>
        <v/>
      </c>
      <c r="C541">
        <f>'3 escalar'!B544</f>
        <v/>
      </c>
      <c r="D541" s="7">
        <f>'3 escalar'!C544</f>
        <v/>
      </c>
      <c r="E541" s="7">
        <f>'3 escalar'!D544</f>
        <v/>
      </c>
      <c r="F541" s="7">
        <f>'3 escalar'!E544</f>
        <v/>
      </c>
      <c r="G541" s="7">
        <f>'3 escalar'!F544</f>
        <v/>
      </c>
      <c r="H541" s="7">
        <f>'3 escalar'!G544</f>
        <v/>
      </c>
      <c r="I541" s="7">
        <f>'3 escalar'!H544</f>
        <v/>
      </c>
      <c r="J541" s="7">
        <f>'3 escalar'!I544</f>
        <v/>
      </c>
      <c r="K541" s="7">
        <f>'3 escalar'!J544</f>
        <v/>
      </c>
      <c r="L541" s="7">
        <f>'3 escalar'!K544</f>
        <v/>
      </c>
      <c r="M541" s="7">
        <f>'3 escalar'!L544</f>
        <v/>
      </c>
      <c r="N541" s="7">
        <f>'3 escalar'!M544</f>
        <v/>
      </c>
      <c r="O541" s="7">
        <f>'3 escalar'!N544</f>
        <v/>
      </c>
      <c r="P541" s="7">
        <f>'3 escalar'!O544</f>
        <v/>
      </c>
      <c r="Q541" s="7">
        <f>'3 escalar'!P544</f>
        <v/>
      </c>
      <c r="R541" s="7">
        <f>'3 escalar'!Q544</f>
        <v/>
      </c>
      <c r="S541" s="7">
        <f>'3 escalar'!R544</f>
        <v/>
      </c>
      <c r="T541" s="7">
        <f>'3 escalar'!S544</f>
        <v/>
      </c>
      <c r="U541" s="7">
        <f>'3 escalar'!T544</f>
        <v/>
      </c>
      <c r="V541" s="6">
        <f>$AC$12+D541*$AC$13+E541*$AC$14+F541*$AC$15+G541*$AC$16+H541*$AC$17+I541*$AC$18+J541*$AC$19+K541*$AC$20+L541*$AC$21+M541*$AC$22+N541*$AC$23+O541*$AC$24+P541*$AC$25+Q541*$AC$26+R541*$AC$27+S541*$AC$28+T541*$AC$29+U541*$AC$30</f>
        <v/>
      </c>
      <c r="W541" s="6">
        <f>1/(1+EXP(-V541))</f>
        <v/>
      </c>
      <c r="X541" s="8">
        <f>-IF(C541=1,LN(W541),LN(1-W541))</f>
        <v/>
      </c>
      <c r="Y541" s="9">
        <f>IF(W541&gt;$AC$32,1,0)</f>
        <v/>
      </c>
      <c r="Z541">
        <f>IF(Y541=C541,1,0)</f>
        <v/>
      </c>
    </row>
    <row r="542">
      <c r="A542">
        <f>'3 escalar'!A545</f>
        <v/>
      </c>
      <c r="B542" s="5">
        <f>'3 escalar'!U545</f>
        <v/>
      </c>
      <c r="C542">
        <f>'3 escalar'!B545</f>
        <v/>
      </c>
      <c r="D542" s="7">
        <f>'3 escalar'!C545</f>
        <v/>
      </c>
      <c r="E542" s="7">
        <f>'3 escalar'!D545</f>
        <v/>
      </c>
      <c r="F542" s="7">
        <f>'3 escalar'!E545</f>
        <v/>
      </c>
      <c r="G542" s="7">
        <f>'3 escalar'!F545</f>
        <v/>
      </c>
      <c r="H542" s="7">
        <f>'3 escalar'!G545</f>
        <v/>
      </c>
      <c r="I542" s="7">
        <f>'3 escalar'!H545</f>
        <v/>
      </c>
      <c r="J542" s="7">
        <f>'3 escalar'!I545</f>
        <v/>
      </c>
      <c r="K542" s="7">
        <f>'3 escalar'!J545</f>
        <v/>
      </c>
      <c r="L542" s="7">
        <f>'3 escalar'!K545</f>
        <v/>
      </c>
      <c r="M542" s="7">
        <f>'3 escalar'!L545</f>
        <v/>
      </c>
      <c r="N542" s="7">
        <f>'3 escalar'!M545</f>
        <v/>
      </c>
      <c r="O542" s="7">
        <f>'3 escalar'!N545</f>
        <v/>
      </c>
      <c r="P542" s="7">
        <f>'3 escalar'!O545</f>
        <v/>
      </c>
      <c r="Q542" s="7">
        <f>'3 escalar'!P545</f>
        <v/>
      </c>
      <c r="R542" s="7">
        <f>'3 escalar'!Q545</f>
        <v/>
      </c>
      <c r="S542" s="7">
        <f>'3 escalar'!R545</f>
        <v/>
      </c>
      <c r="T542" s="7">
        <f>'3 escalar'!S545</f>
        <v/>
      </c>
      <c r="U542" s="7">
        <f>'3 escalar'!T545</f>
        <v/>
      </c>
      <c r="V542" s="6">
        <f>$AC$12+D542*$AC$13+E542*$AC$14+F542*$AC$15+G542*$AC$16+H542*$AC$17+I542*$AC$18+J542*$AC$19+K542*$AC$20+L542*$AC$21+M542*$AC$22+N542*$AC$23+O542*$AC$24+P542*$AC$25+Q542*$AC$26+R542*$AC$27+S542*$AC$28+T542*$AC$29+U542*$AC$30</f>
        <v/>
      </c>
      <c r="W542" s="6">
        <f>1/(1+EXP(-V542))</f>
        <v/>
      </c>
      <c r="X542" s="8">
        <f>-IF(C542=1,LN(W542),LN(1-W542))</f>
        <v/>
      </c>
      <c r="Y542" s="9">
        <f>IF(W542&gt;$AC$32,1,0)</f>
        <v/>
      </c>
      <c r="Z542">
        <f>IF(Y542=C542,1,0)</f>
        <v/>
      </c>
    </row>
    <row r="543">
      <c r="A543">
        <f>'3 escalar'!A546</f>
        <v/>
      </c>
      <c r="B543" s="5">
        <f>'3 escalar'!U546</f>
        <v/>
      </c>
      <c r="C543">
        <f>'3 escalar'!B546</f>
        <v/>
      </c>
      <c r="D543" s="7">
        <f>'3 escalar'!C546</f>
        <v/>
      </c>
      <c r="E543" s="7">
        <f>'3 escalar'!D546</f>
        <v/>
      </c>
      <c r="F543" s="7">
        <f>'3 escalar'!E546</f>
        <v/>
      </c>
      <c r="G543" s="7">
        <f>'3 escalar'!F546</f>
        <v/>
      </c>
      <c r="H543" s="7">
        <f>'3 escalar'!G546</f>
        <v/>
      </c>
      <c r="I543" s="7">
        <f>'3 escalar'!H546</f>
        <v/>
      </c>
      <c r="J543" s="7">
        <f>'3 escalar'!I546</f>
        <v/>
      </c>
      <c r="K543" s="7">
        <f>'3 escalar'!J546</f>
        <v/>
      </c>
      <c r="L543" s="7">
        <f>'3 escalar'!K546</f>
        <v/>
      </c>
      <c r="M543" s="7">
        <f>'3 escalar'!L546</f>
        <v/>
      </c>
      <c r="N543" s="7">
        <f>'3 escalar'!M546</f>
        <v/>
      </c>
      <c r="O543" s="7">
        <f>'3 escalar'!N546</f>
        <v/>
      </c>
      <c r="P543" s="7">
        <f>'3 escalar'!O546</f>
        <v/>
      </c>
      <c r="Q543" s="7">
        <f>'3 escalar'!P546</f>
        <v/>
      </c>
      <c r="R543" s="7">
        <f>'3 escalar'!Q546</f>
        <v/>
      </c>
      <c r="S543" s="7">
        <f>'3 escalar'!R546</f>
        <v/>
      </c>
      <c r="T543" s="7">
        <f>'3 escalar'!S546</f>
        <v/>
      </c>
      <c r="U543" s="7">
        <f>'3 escalar'!T546</f>
        <v/>
      </c>
      <c r="V543" s="6">
        <f>$AC$12+D543*$AC$13+E543*$AC$14+F543*$AC$15+G543*$AC$16+H543*$AC$17+I543*$AC$18+J543*$AC$19+K543*$AC$20+L543*$AC$21+M543*$AC$22+N543*$AC$23+O543*$AC$24+P543*$AC$25+Q543*$AC$26+R543*$AC$27+S543*$AC$28+T543*$AC$29+U543*$AC$30</f>
        <v/>
      </c>
      <c r="W543" s="6">
        <f>1/(1+EXP(-V543))</f>
        <v/>
      </c>
      <c r="X543" s="8">
        <f>-IF(C543=1,LN(W543),LN(1-W543))</f>
        <v/>
      </c>
      <c r="Y543" s="9">
        <f>IF(W543&gt;$AC$32,1,0)</f>
        <v/>
      </c>
      <c r="Z543">
        <f>IF(Y543=C543,1,0)</f>
        <v/>
      </c>
    </row>
    <row r="544">
      <c r="A544">
        <f>'3 escalar'!A547</f>
        <v/>
      </c>
      <c r="B544" s="5">
        <f>'3 escalar'!U547</f>
        <v/>
      </c>
      <c r="C544">
        <f>'3 escalar'!B547</f>
        <v/>
      </c>
      <c r="D544" s="7">
        <f>'3 escalar'!C547</f>
        <v/>
      </c>
      <c r="E544" s="7">
        <f>'3 escalar'!D547</f>
        <v/>
      </c>
      <c r="F544" s="7">
        <f>'3 escalar'!E547</f>
        <v/>
      </c>
      <c r="G544" s="7">
        <f>'3 escalar'!F547</f>
        <v/>
      </c>
      <c r="H544" s="7">
        <f>'3 escalar'!G547</f>
        <v/>
      </c>
      <c r="I544" s="7">
        <f>'3 escalar'!H547</f>
        <v/>
      </c>
      <c r="J544" s="7">
        <f>'3 escalar'!I547</f>
        <v/>
      </c>
      <c r="K544" s="7">
        <f>'3 escalar'!J547</f>
        <v/>
      </c>
      <c r="L544" s="7">
        <f>'3 escalar'!K547</f>
        <v/>
      </c>
      <c r="M544" s="7">
        <f>'3 escalar'!L547</f>
        <v/>
      </c>
      <c r="N544" s="7">
        <f>'3 escalar'!M547</f>
        <v/>
      </c>
      <c r="O544" s="7">
        <f>'3 escalar'!N547</f>
        <v/>
      </c>
      <c r="P544" s="7">
        <f>'3 escalar'!O547</f>
        <v/>
      </c>
      <c r="Q544" s="7">
        <f>'3 escalar'!P547</f>
        <v/>
      </c>
      <c r="R544" s="7">
        <f>'3 escalar'!Q547</f>
        <v/>
      </c>
      <c r="S544" s="7">
        <f>'3 escalar'!R547</f>
        <v/>
      </c>
      <c r="T544" s="7">
        <f>'3 escalar'!S547</f>
        <v/>
      </c>
      <c r="U544" s="7">
        <f>'3 escalar'!T547</f>
        <v/>
      </c>
      <c r="V544" s="6">
        <f>$AC$12+D544*$AC$13+E544*$AC$14+F544*$AC$15+G544*$AC$16+H544*$AC$17+I544*$AC$18+J544*$AC$19+K544*$AC$20+L544*$AC$21+M544*$AC$22+N544*$AC$23+O544*$AC$24+P544*$AC$25+Q544*$AC$26+R544*$AC$27+S544*$AC$28+T544*$AC$29+U544*$AC$30</f>
        <v/>
      </c>
      <c r="W544" s="6">
        <f>1/(1+EXP(-V544))</f>
        <v/>
      </c>
      <c r="X544" s="8">
        <f>-IF(C544=1,LN(W544),LN(1-W544))</f>
        <v/>
      </c>
      <c r="Y544" s="9">
        <f>IF(W544&gt;$AC$32,1,0)</f>
        <v/>
      </c>
      <c r="Z544">
        <f>IF(Y544=C544,1,0)</f>
        <v/>
      </c>
    </row>
    <row r="545">
      <c r="A545">
        <f>'3 escalar'!A548</f>
        <v/>
      </c>
      <c r="B545" s="5">
        <f>'3 escalar'!U548</f>
        <v/>
      </c>
      <c r="C545">
        <f>'3 escalar'!B548</f>
        <v/>
      </c>
      <c r="D545" s="7">
        <f>'3 escalar'!C548</f>
        <v/>
      </c>
      <c r="E545" s="7">
        <f>'3 escalar'!D548</f>
        <v/>
      </c>
      <c r="F545" s="7">
        <f>'3 escalar'!E548</f>
        <v/>
      </c>
      <c r="G545" s="7">
        <f>'3 escalar'!F548</f>
        <v/>
      </c>
      <c r="H545" s="7">
        <f>'3 escalar'!G548</f>
        <v/>
      </c>
      <c r="I545" s="7">
        <f>'3 escalar'!H548</f>
        <v/>
      </c>
      <c r="J545" s="7">
        <f>'3 escalar'!I548</f>
        <v/>
      </c>
      <c r="K545" s="7">
        <f>'3 escalar'!J548</f>
        <v/>
      </c>
      <c r="L545" s="7">
        <f>'3 escalar'!K548</f>
        <v/>
      </c>
      <c r="M545" s="7">
        <f>'3 escalar'!L548</f>
        <v/>
      </c>
      <c r="N545" s="7">
        <f>'3 escalar'!M548</f>
        <v/>
      </c>
      <c r="O545" s="7">
        <f>'3 escalar'!N548</f>
        <v/>
      </c>
      <c r="P545" s="7">
        <f>'3 escalar'!O548</f>
        <v/>
      </c>
      <c r="Q545" s="7">
        <f>'3 escalar'!P548</f>
        <v/>
      </c>
      <c r="R545" s="7">
        <f>'3 escalar'!Q548</f>
        <v/>
      </c>
      <c r="S545" s="7">
        <f>'3 escalar'!R548</f>
        <v/>
      </c>
      <c r="T545" s="7">
        <f>'3 escalar'!S548</f>
        <v/>
      </c>
      <c r="U545" s="7">
        <f>'3 escalar'!T548</f>
        <v/>
      </c>
      <c r="V545" s="6">
        <f>$AC$12+D545*$AC$13+E545*$AC$14+F545*$AC$15+G545*$AC$16+H545*$AC$17+I545*$AC$18+J545*$AC$19+K545*$AC$20+L545*$AC$21+M545*$AC$22+N545*$AC$23+O545*$AC$24+P545*$AC$25+Q545*$AC$26+R545*$AC$27+S545*$AC$28+T545*$AC$29+U545*$AC$30</f>
        <v/>
      </c>
      <c r="W545" s="6">
        <f>1/(1+EXP(-V545))</f>
        <v/>
      </c>
      <c r="X545" s="8">
        <f>-IF(C545=1,LN(W545),LN(1-W545))</f>
        <v/>
      </c>
      <c r="Y545" s="9">
        <f>IF(W545&gt;$AC$32,1,0)</f>
        <v/>
      </c>
      <c r="Z545">
        <f>IF(Y545=C545,1,0)</f>
        <v/>
      </c>
    </row>
    <row r="546">
      <c r="A546">
        <f>'3 escalar'!A549</f>
        <v/>
      </c>
      <c r="B546" s="5">
        <f>'3 escalar'!U549</f>
        <v/>
      </c>
      <c r="C546">
        <f>'3 escalar'!B549</f>
        <v/>
      </c>
      <c r="D546" s="7">
        <f>'3 escalar'!C549</f>
        <v/>
      </c>
      <c r="E546" s="7">
        <f>'3 escalar'!D549</f>
        <v/>
      </c>
      <c r="F546" s="7">
        <f>'3 escalar'!E549</f>
        <v/>
      </c>
      <c r="G546" s="7">
        <f>'3 escalar'!F549</f>
        <v/>
      </c>
      <c r="H546" s="7">
        <f>'3 escalar'!G549</f>
        <v/>
      </c>
      <c r="I546" s="7">
        <f>'3 escalar'!H549</f>
        <v/>
      </c>
      <c r="J546" s="7">
        <f>'3 escalar'!I549</f>
        <v/>
      </c>
      <c r="K546" s="7">
        <f>'3 escalar'!J549</f>
        <v/>
      </c>
      <c r="L546" s="7">
        <f>'3 escalar'!K549</f>
        <v/>
      </c>
      <c r="M546" s="7">
        <f>'3 escalar'!L549</f>
        <v/>
      </c>
      <c r="N546" s="7">
        <f>'3 escalar'!M549</f>
        <v/>
      </c>
      <c r="O546" s="7">
        <f>'3 escalar'!N549</f>
        <v/>
      </c>
      <c r="P546" s="7">
        <f>'3 escalar'!O549</f>
        <v/>
      </c>
      <c r="Q546" s="7">
        <f>'3 escalar'!P549</f>
        <v/>
      </c>
      <c r="R546" s="7">
        <f>'3 escalar'!Q549</f>
        <v/>
      </c>
      <c r="S546" s="7">
        <f>'3 escalar'!R549</f>
        <v/>
      </c>
      <c r="T546" s="7">
        <f>'3 escalar'!S549</f>
        <v/>
      </c>
      <c r="U546" s="7">
        <f>'3 escalar'!T549</f>
        <v/>
      </c>
      <c r="V546" s="6">
        <f>$AC$12+D546*$AC$13+E546*$AC$14+F546*$AC$15+G546*$AC$16+H546*$AC$17+I546*$AC$18+J546*$AC$19+K546*$AC$20+L546*$AC$21+M546*$AC$22+N546*$AC$23+O546*$AC$24+P546*$AC$25+Q546*$AC$26+R546*$AC$27+S546*$AC$28+T546*$AC$29+U546*$AC$30</f>
        <v/>
      </c>
      <c r="W546" s="6">
        <f>1/(1+EXP(-V546))</f>
        <v/>
      </c>
      <c r="X546" s="8">
        <f>-IF(C546=1,LN(W546),LN(1-W546))</f>
        <v/>
      </c>
      <c r="Y546" s="9">
        <f>IF(W546&gt;$AC$32,1,0)</f>
        <v/>
      </c>
      <c r="Z546">
        <f>IF(Y546=C546,1,0)</f>
        <v/>
      </c>
    </row>
    <row r="547">
      <c r="A547">
        <f>'3 escalar'!A550</f>
        <v/>
      </c>
      <c r="B547" s="5">
        <f>'3 escalar'!U550</f>
        <v/>
      </c>
      <c r="C547">
        <f>'3 escalar'!B550</f>
        <v/>
      </c>
      <c r="D547" s="7">
        <f>'3 escalar'!C550</f>
        <v/>
      </c>
      <c r="E547" s="7">
        <f>'3 escalar'!D550</f>
        <v/>
      </c>
      <c r="F547" s="7">
        <f>'3 escalar'!E550</f>
        <v/>
      </c>
      <c r="G547" s="7">
        <f>'3 escalar'!F550</f>
        <v/>
      </c>
      <c r="H547" s="7">
        <f>'3 escalar'!G550</f>
        <v/>
      </c>
      <c r="I547" s="7">
        <f>'3 escalar'!H550</f>
        <v/>
      </c>
      <c r="J547" s="7">
        <f>'3 escalar'!I550</f>
        <v/>
      </c>
      <c r="K547" s="7">
        <f>'3 escalar'!J550</f>
        <v/>
      </c>
      <c r="L547" s="7">
        <f>'3 escalar'!K550</f>
        <v/>
      </c>
      <c r="M547" s="7">
        <f>'3 escalar'!L550</f>
        <v/>
      </c>
      <c r="N547" s="7">
        <f>'3 escalar'!M550</f>
        <v/>
      </c>
      <c r="O547" s="7">
        <f>'3 escalar'!N550</f>
        <v/>
      </c>
      <c r="P547" s="7">
        <f>'3 escalar'!O550</f>
        <v/>
      </c>
      <c r="Q547" s="7">
        <f>'3 escalar'!P550</f>
        <v/>
      </c>
      <c r="R547" s="7">
        <f>'3 escalar'!Q550</f>
        <v/>
      </c>
      <c r="S547" s="7">
        <f>'3 escalar'!R550</f>
        <v/>
      </c>
      <c r="T547" s="7">
        <f>'3 escalar'!S550</f>
        <v/>
      </c>
      <c r="U547" s="7">
        <f>'3 escalar'!T550</f>
        <v/>
      </c>
      <c r="V547" s="6">
        <f>$AC$12+D547*$AC$13+E547*$AC$14+F547*$AC$15+G547*$AC$16+H547*$AC$17+I547*$AC$18+J547*$AC$19+K547*$AC$20+L547*$AC$21+M547*$AC$22+N547*$AC$23+O547*$AC$24+P547*$AC$25+Q547*$AC$26+R547*$AC$27+S547*$AC$28+T547*$AC$29+U547*$AC$30</f>
        <v/>
      </c>
      <c r="W547" s="6">
        <f>1/(1+EXP(-V547))</f>
        <v/>
      </c>
      <c r="X547" s="8">
        <f>-IF(C547=1,LN(W547),LN(1-W547))</f>
        <v/>
      </c>
      <c r="Y547" s="9">
        <f>IF(W547&gt;$AC$32,1,0)</f>
        <v/>
      </c>
      <c r="Z547">
        <f>IF(Y547=C547,1,0)</f>
        <v/>
      </c>
    </row>
    <row r="548">
      <c r="A548">
        <f>'3 escalar'!A551</f>
        <v/>
      </c>
      <c r="B548" s="5">
        <f>'3 escalar'!U551</f>
        <v/>
      </c>
      <c r="C548">
        <f>'3 escalar'!B551</f>
        <v/>
      </c>
      <c r="D548" s="7">
        <f>'3 escalar'!C551</f>
        <v/>
      </c>
      <c r="E548" s="7">
        <f>'3 escalar'!D551</f>
        <v/>
      </c>
      <c r="F548" s="7">
        <f>'3 escalar'!E551</f>
        <v/>
      </c>
      <c r="G548" s="7">
        <f>'3 escalar'!F551</f>
        <v/>
      </c>
      <c r="H548" s="7">
        <f>'3 escalar'!G551</f>
        <v/>
      </c>
      <c r="I548" s="7">
        <f>'3 escalar'!H551</f>
        <v/>
      </c>
      <c r="J548" s="7">
        <f>'3 escalar'!I551</f>
        <v/>
      </c>
      <c r="K548" s="7">
        <f>'3 escalar'!J551</f>
        <v/>
      </c>
      <c r="L548" s="7">
        <f>'3 escalar'!K551</f>
        <v/>
      </c>
      <c r="M548" s="7">
        <f>'3 escalar'!L551</f>
        <v/>
      </c>
      <c r="N548" s="7">
        <f>'3 escalar'!M551</f>
        <v/>
      </c>
      <c r="O548" s="7">
        <f>'3 escalar'!N551</f>
        <v/>
      </c>
      <c r="P548" s="7">
        <f>'3 escalar'!O551</f>
        <v/>
      </c>
      <c r="Q548" s="7">
        <f>'3 escalar'!P551</f>
        <v/>
      </c>
      <c r="R548" s="7">
        <f>'3 escalar'!Q551</f>
        <v/>
      </c>
      <c r="S548" s="7">
        <f>'3 escalar'!R551</f>
        <v/>
      </c>
      <c r="T548" s="7">
        <f>'3 escalar'!S551</f>
        <v/>
      </c>
      <c r="U548" s="7">
        <f>'3 escalar'!T551</f>
        <v/>
      </c>
      <c r="V548" s="6">
        <f>$AC$12+D548*$AC$13+E548*$AC$14+F548*$AC$15+G548*$AC$16+H548*$AC$17+I548*$AC$18+J548*$AC$19+K548*$AC$20+L548*$AC$21+M548*$AC$22+N548*$AC$23+O548*$AC$24+P548*$AC$25+Q548*$AC$26+R548*$AC$27+S548*$AC$28+T548*$AC$29+U548*$AC$30</f>
        <v/>
      </c>
      <c r="W548" s="6">
        <f>1/(1+EXP(-V548))</f>
        <v/>
      </c>
      <c r="X548" s="8">
        <f>-IF(C548=1,LN(W548),LN(1-W548))</f>
        <v/>
      </c>
      <c r="Y548" s="9">
        <f>IF(W548&gt;$AC$32,1,0)</f>
        <v/>
      </c>
      <c r="Z548">
        <f>IF(Y548=C548,1,0)</f>
        <v/>
      </c>
    </row>
    <row r="549">
      <c r="A549">
        <f>'3 escalar'!A552</f>
        <v/>
      </c>
      <c r="B549" s="5">
        <f>'3 escalar'!U552</f>
        <v/>
      </c>
      <c r="C549">
        <f>'3 escalar'!B552</f>
        <v/>
      </c>
      <c r="D549" s="7">
        <f>'3 escalar'!C552</f>
        <v/>
      </c>
      <c r="E549" s="7">
        <f>'3 escalar'!D552</f>
        <v/>
      </c>
      <c r="F549" s="7">
        <f>'3 escalar'!E552</f>
        <v/>
      </c>
      <c r="G549" s="7">
        <f>'3 escalar'!F552</f>
        <v/>
      </c>
      <c r="H549" s="7">
        <f>'3 escalar'!G552</f>
        <v/>
      </c>
      <c r="I549" s="7">
        <f>'3 escalar'!H552</f>
        <v/>
      </c>
      <c r="J549" s="7">
        <f>'3 escalar'!I552</f>
        <v/>
      </c>
      <c r="K549" s="7">
        <f>'3 escalar'!J552</f>
        <v/>
      </c>
      <c r="L549" s="7">
        <f>'3 escalar'!K552</f>
        <v/>
      </c>
      <c r="M549" s="7">
        <f>'3 escalar'!L552</f>
        <v/>
      </c>
      <c r="N549" s="7">
        <f>'3 escalar'!M552</f>
        <v/>
      </c>
      <c r="O549" s="7">
        <f>'3 escalar'!N552</f>
        <v/>
      </c>
      <c r="P549" s="7">
        <f>'3 escalar'!O552</f>
        <v/>
      </c>
      <c r="Q549" s="7">
        <f>'3 escalar'!P552</f>
        <v/>
      </c>
      <c r="R549" s="7">
        <f>'3 escalar'!Q552</f>
        <v/>
      </c>
      <c r="S549" s="7">
        <f>'3 escalar'!R552</f>
        <v/>
      </c>
      <c r="T549" s="7">
        <f>'3 escalar'!S552</f>
        <v/>
      </c>
      <c r="U549" s="7">
        <f>'3 escalar'!T552</f>
        <v/>
      </c>
      <c r="V549" s="6">
        <f>$AC$12+D549*$AC$13+E549*$AC$14+F549*$AC$15+G549*$AC$16+H549*$AC$17+I549*$AC$18+J549*$AC$19+K549*$AC$20+L549*$AC$21+M549*$AC$22+N549*$AC$23+O549*$AC$24+P549*$AC$25+Q549*$AC$26+R549*$AC$27+S549*$AC$28+T549*$AC$29+U549*$AC$30</f>
        <v/>
      </c>
      <c r="W549" s="6">
        <f>1/(1+EXP(-V549))</f>
        <v/>
      </c>
      <c r="X549" s="8">
        <f>-IF(C549=1,LN(W549),LN(1-W549))</f>
        <v/>
      </c>
      <c r="Y549" s="9">
        <f>IF(W549&gt;$AC$32,1,0)</f>
        <v/>
      </c>
      <c r="Z549">
        <f>IF(Y549=C549,1,0)</f>
        <v/>
      </c>
    </row>
    <row r="550">
      <c r="A550">
        <f>'3 escalar'!A553</f>
        <v/>
      </c>
      <c r="B550" s="5">
        <f>'3 escalar'!U553</f>
        <v/>
      </c>
      <c r="C550">
        <f>'3 escalar'!B553</f>
        <v/>
      </c>
      <c r="D550" s="7">
        <f>'3 escalar'!C553</f>
        <v/>
      </c>
      <c r="E550" s="7">
        <f>'3 escalar'!D553</f>
        <v/>
      </c>
      <c r="F550" s="7">
        <f>'3 escalar'!E553</f>
        <v/>
      </c>
      <c r="G550" s="7">
        <f>'3 escalar'!F553</f>
        <v/>
      </c>
      <c r="H550" s="7">
        <f>'3 escalar'!G553</f>
        <v/>
      </c>
      <c r="I550" s="7">
        <f>'3 escalar'!H553</f>
        <v/>
      </c>
      <c r="J550" s="7">
        <f>'3 escalar'!I553</f>
        <v/>
      </c>
      <c r="K550" s="7">
        <f>'3 escalar'!J553</f>
        <v/>
      </c>
      <c r="L550" s="7">
        <f>'3 escalar'!K553</f>
        <v/>
      </c>
      <c r="M550" s="7">
        <f>'3 escalar'!L553</f>
        <v/>
      </c>
      <c r="N550" s="7">
        <f>'3 escalar'!M553</f>
        <v/>
      </c>
      <c r="O550" s="7">
        <f>'3 escalar'!N553</f>
        <v/>
      </c>
      <c r="P550" s="7">
        <f>'3 escalar'!O553</f>
        <v/>
      </c>
      <c r="Q550" s="7">
        <f>'3 escalar'!P553</f>
        <v/>
      </c>
      <c r="R550" s="7">
        <f>'3 escalar'!Q553</f>
        <v/>
      </c>
      <c r="S550" s="7">
        <f>'3 escalar'!R553</f>
        <v/>
      </c>
      <c r="T550" s="7">
        <f>'3 escalar'!S553</f>
        <v/>
      </c>
      <c r="U550" s="7">
        <f>'3 escalar'!T553</f>
        <v/>
      </c>
      <c r="V550" s="6">
        <f>$AC$12+D550*$AC$13+E550*$AC$14+F550*$AC$15+G550*$AC$16+H550*$AC$17+I550*$AC$18+J550*$AC$19+K550*$AC$20+L550*$AC$21+M550*$AC$22+N550*$AC$23+O550*$AC$24+P550*$AC$25+Q550*$AC$26+R550*$AC$27+S550*$AC$28+T550*$AC$29+U550*$AC$30</f>
        <v/>
      </c>
      <c r="W550" s="6">
        <f>1/(1+EXP(-V550))</f>
        <v/>
      </c>
      <c r="X550" s="8">
        <f>-IF(C550=1,LN(W550),LN(1-W550))</f>
        <v/>
      </c>
      <c r="Y550" s="9">
        <f>IF(W550&gt;$AC$32,1,0)</f>
        <v/>
      </c>
      <c r="Z550">
        <f>IF(Y550=C550,1,0)</f>
        <v/>
      </c>
    </row>
    <row r="551">
      <c r="A551">
        <f>'3 escalar'!A554</f>
        <v/>
      </c>
      <c r="B551" s="5">
        <f>'3 escalar'!U554</f>
        <v/>
      </c>
      <c r="C551">
        <f>'3 escalar'!B554</f>
        <v/>
      </c>
      <c r="D551" s="7">
        <f>'3 escalar'!C554</f>
        <v/>
      </c>
      <c r="E551" s="7">
        <f>'3 escalar'!D554</f>
        <v/>
      </c>
      <c r="F551" s="7">
        <f>'3 escalar'!E554</f>
        <v/>
      </c>
      <c r="G551" s="7">
        <f>'3 escalar'!F554</f>
        <v/>
      </c>
      <c r="H551" s="7">
        <f>'3 escalar'!G554</f>
        <v/>
      </c>
      <c r="I551" s="7">
        <f>'3 escalar'!H554</f>
        <v/>
      </c>
      <c r="J551" s="7">
        <f>'3 escalar'!I554</f>
        <v/>
      </c>
      <c r="K551" s="7">
        <f>'3 escalar'!J554</f>
        <v/>
      </c>
      <c r="L551" s="7">
        <f>'3 escalar'!K554</f>
        <v/>
      </c>
      <c r="M551" s="7">
        <f>'3 escalar'!L554</f>
        <v/>
      </c>
      <c r="N551" s="7">
        <f>'3 escalar'!M554</f>
        <v/>
      </c>
      <c r="O551" s="7">
        <f>'3 escalar'!N554</f>
        <v/>
      </c>
      <c r="P551" s="7">
        <f>'3 escalar'!O554</f>
        <v/>
      </c>
      <c r="Q551" s="7">
        <f>'3 escalar'!P554</f>
        <v/>
      </c>
      <c r="R551" s="7">
        <f>'3 escalar'!Q554</f>
        <v/>
      </c>
      <c r="S551" s="7">
        <f>'3 escalar'!R554</f>
        <v/>
      </c>
      <c r="T551" s="7">
        <f>'3 escalar'!S554</f>
        <v/>
      </c>
      <c r="U551" s="7">
        <f>'3 escalar'!T554</f>
        <v/>
      </c>
      <c r="V551" s="6">
        <f>$AC$12+D551*$AC$13+E551*$AC$14+F551*$AC$15+G551*$AC$16+H551*$AC$17+I551*$AC$18+J551*$AC$19+K551*$AC$20+L551*$AC$21+M551*$AC$22+N551*$AC$23+O551*$AC$24+P551*$AC$25+Q551*$AC$26+R551*$AC$27+S551*$AC$28+T551*$AC$29+U551*$AC$30</f>
        <v/>
      </c>
      <c r="W551" s="6">
        <f>1/(1+EXP(-V551))</f>
        <v/>
      </c>
      <c r="X551" s="8">
        <f>-IF(C551=1,LN(W551),LN(1-W551))</f>
        <v/>
      </c>
      <c r="Y551" s="9">
        <f>IF(W551&gt;$AC$32,1,0)</f>
        <v/>
      </c>
      <c r="Z551">
        <f>IF(Y551=C551,1,0)</f>
        <v/>
      </c>
    </row>
    <row r="552">
      <c r="A552">
        <f>'3 escalar'!A555</f>
        <v/>
      </c>
      <c r="B552" s="5">
        <f>'3 escalar'!U555</f>
        <v/>
      </c>
      <c r="C552">
        <f>'3 escalar'!B555</f>
        <v/>
      </c>
      <c r="D552" s="7">
        <f>'3 escalar'!C555</f>
        <v/>
      </c>
      <c r="E552" s="7">
        <f>'3 escalar'!D555</f>
        <v/>
      </c>
      <c r="F552" s="7">
        <f>'3 escalar'!E555</f>
        <v/>
      </c>
      <c r="G552" s="7">
        <f>'3 escalar'!F555</f>
        <v/>
      </c>
      <c r="H552" s="7">
        <f>'3 escalar'!G555</f>
        <v/>
      </c>
      <c r="I552" s="7">
        <f>'3 escalar'!H555</f>
        <v/>
      </c>
      <c r="J552" s="7">
        <f>'3 escalar'!I555</f>
        <v/>
      </c>
      <c r="K552" s="7">
        <f>'3 escalar'!J555</f>
        <v/>
      </c>
      <c r="L552" s="7">
        <f>'3 escalar'!K555</f>
        <v/>
      </c>
      <c r="M552" s="7">
        <f>'3 escalar'!L555</f>
        <v/>
      </c>
      <c r="N552" s="7">
        <f>'3 escalar'!M555</f>
        <v/>
      </c>
      <c r="O552" s="7">
        <f>'3 escalar'!N555</f>
        <v/>
      </c>
      <c r="P552" s="7">
        <f>'3 escalar'!O555</f>
        <v/>
      </c>
      <c r="Q552" s="7">
        <f>'3 escalar'!P555</f>
        <v/>
      </c>
      <c r="R552" s="7">
        <f>'3 escalar'!Q555</f>
        <v/>
      </c>
      <c r="S552" s="7">
        <f>'3 escalar'!R555</f>
        <v/>
      </c>
      <c r="T552" s="7">
        <f>'3 escalar'!S555</f>
        <v/>
      </c>
      <c r="U552" s="7">
        <f>'3 escalar'!T555</f>
        <v/>
      </c>
      <c r="V552" s="6">
        <f>$AC$12+D552*$AC$13+E552*$AC$14+F552*$AC$15+G552*$AC$16+H552*$AC$17+I552*$AC$18+J552*$AC$19+K552*$AC$20+L552*$AC$21+M552*$AC$22+N552*$AC$23+O552*$AC$24+P552*$AC$25+Q552*$AC$26+R552*$AC$27+S552*$AC$28+T552*$AC$29+U552*$AC$30</f>
        <v/>
      </c>
      <c r="W552" s="6">
        <f>1/(1+EXP(-V552))</f>
        <v/>
      </c>
      <c r="X552" s="8">
        <f>-IF(C552=1,LN(W552),LN(1-W552))</f>
        <v/>
      </c>
      <c r="Y552" s="9">
        <f>IF(W552&gt;$AC$32,1,0)</f>
        <v/>
      </c>
      <c r="Z552">
        <f>IF(Y552=C552,1,0)</f>
        <v/>
      </c>
    </row>
    <row r="553">
      <c r="A553">
        <f>'3 escalar'!A556</f>
        <v/>
      </c>
      <c r="B553" s="5">
        <f>'3 escalar'!U556</f>
        <v/>
      </c>
      <c r="C553">
        <f>'3 escalar'!B556</f>
        <v/>
      </c>
      <c r="D553" s="7">
        <f>'3 escalar'!C556</f>
        <v/>
      </c>
      <c r="E553" s="7">
        <f>'3 escalar'!D556</f>
        <v/>
      </c>
      <c r="F553" s="7">
        <f>'3 escalar'!E556</f>
        <v/>
      </c>
      <c r="G553" s="7">
        <f>'3 escalar'!F556</f>
        <v/>
      </c>
      <c r="H553" s="7">
        <f>'3 escalar'!G556</f>
        <v/>
      </c>
      <c r="I553" s="7">
        <f>'3 escalar'!H556</f>
        <v/>
      </c>
      <c r="J553" s="7">
        <f>'3 escalar'!I556</f>
        <v/>
      </c>
      <c r="K553" s="7">
        <f>'3 escalar'!J556</f>
        <v/>
      </c>
      <c r="L553" s="7">
        <f>'3 escalar'!K556</f>
        <v/>
      </c>
      <c r="M553" s="7">
        <f>'3 escalar'!L556</f>
        <v/>
      </c>
      <c r="N553" s="7">
        <f>'3 escalar'!M556</f>
        <v/>
      </c>
      <c r="O553" s="7">
        <f>'3 escalar'!N556</f>
        <v/>
      </c>
      <c r="P553" s="7">
        <f>'3 escalar'!O556</f>
        <v/>
      </c>
      <c r="Q553" s="7">
        <f>'3 escalar'!P556</f>
        <v/>
      </c>
      <c r="R553" s="7">
        <f>'3 escalar'!Q556</f>
        <v/>
      </c>
      <c r="S553" s="7">
        <f>'3 escalar'!R556</f>
        <v/>
      </c>
      <c r="T553" s="7">
        <f>'3 escalar'!S556</f>
        <v/>
      </c>
      <c r="U553" s="7">
        <f>'3 escalar'!T556</f>
        <v/>
      </c>
      <c r="V553" s="6">
        <f>$AC$12+D553*$AC$13+E553*$AC$14+F553*$AC$15+G553*$AC$16+H553*$AC$17+I553*$AC$18+J553*$AC$19+K553*$AC$20+L553*$AC$21+M553*$AC$22+N553*$AC$23+O553*$AC$24+P553*$AC$25+Q553*$AC$26+R553*$AC$27+S553*$AC$28+T553*$AC$29+U553*$AC$30</f>
        <v/>
      </c>
      <c r="W553" s="6">
        <f>1/(1+EXP(-V553))</f>
        <v/>
      </c>
      <c r="X553" s="8">
        <f>-IF(C553=1,LN(W553),LN(1-W553))</f>
        <v/>
      </c>
      <c r="Y553" s="9">
        <f>IF(W553&gt;$AC$32,1,0)</f>
        <v/>
      </c>
      <c r="Z553">
        <f>IF(Y553=C553,1,0)</f>
        <v/>
      </c>
    </row>
    <row r="554">
      <c r="A554">
        <f>'3 escalar'!A557</f>
        <v/>
      </c>
      <c r="B554" s="5">
        <f>'3 escalar'!U557</f>
        <v/>
      </c>
      <c r="C554">
        <f>'3 escalar'!B557</f>
        <v/>
      </c>
      <c r="D554" s="7">
        <f>'3 escalar'!C557</f>
        <v/>
      </c>
      <c r="E554" s="7">
        <f>'3 escalar'!D557</f>
        <v/>
      </c>
      <c r="F554" s="7">
        <f>'3 escalar'!E557</f>
        <v/>
      </c>
      <c r="G554" s="7">
        <f>'3 escalar'!F557</f>
        <v/>
      </c>
      <c r="H554" s="7">
        <f>'3 escalar'!G557</f>
        <v/>
      </c>
      <c r="I554" s="7">
        <f>'3 escalar'!H557</f>
        <v/>
      </c>
      <c r="J554" s="7">
        <f>'3 escalar'!I557</f>
        <v/>
      </c>
      <c r="K554" s="7">
        <f>'3 escalar'!J557</f>
        <v/>
      </c>
      <c r="L554" s="7">
        <f>'3 escalar'!K557</f>
        <v/>
      </c>
      <c r="M554" s="7">
        <f>'3 escalar'!L557</f>
        <v/>
      </c>
      <c r="N554" s="7">
        <f>'3 escalar'!M557</f>
        <v/>
      </c>
      <c r="O554" s="7">
        <f>'3 escalar'!N557</f>
        <v/>
      </c>
      <c r="P554" s="7">
        <f>'3 escalar'!O557</f>
        <v/>
      </c>
      <c r="Q554" s="7">
        <f>'3 escalar'!P557</f>
        <v/>
      </c>
      <c r="R554" s="7">
        <f>'3 escalar'!Q557</f>
        <v/>
      </c>
      <c r="S554" s="7">
        <f>'3 escalar'!R557</f>
        <v/>
      </c>
      <c r="T554" s="7">
        <f>'3 escalar'!S557</f>
        <v/>
      </c>
      <c r="U554" s="7">
        <f>'3 escalar'!T557</f>
        <v/>
      </c>
      <c r="V554" s="6">
        <f>$AC$12+D554*$AC$13+E554*$AC$14+F554*$AC$15+G554*$AC$16+H554*$AC$17+I554*$AC$18+J554*$AC$19+K554*$AC$20+L554*$AC$21+M554*$AC$22+N554*$AC$23+O554*$AC$24+P554*$AC$25+Q554*$AC$26+R554*$AC$27+S554*$AC$28+T554*$AC$29+U554*$AC$30</f>
        <v/>
      </c>
      <c r="W554" s="6">
        <f>1/(1+EXP(-V554))</f>
        <v/>
      </c>
      <c r="X554" s="8">
        <f>-IF(C554=1,LN(W554),LN(1-W554))</f>
        <v/>
      </c>
      <c r="Y554" s="9">
        <f>IF(W554&gt;$AC$32,1,0)</f>
        <v/>
      </c>
      <c r="Z554">
        <f>IF(Y554=C554,1,0)</f>
        <v/>
      </c>
    </row>
    <row r="555">
      <c r="A555">
        <f>'3 escalar'!A558</f>
        <v/>
      </c>
      <c r="B555" s="5">
        <f>'3 escalar'!U558</f>
        <v/>
      </c>
      <c r="C555">
        <f>'3 escalar'!B558</f>
        <v/>
      </c>
      <c r="D555" s="7">
        <f>'3 escalar'!C558</f>
        <v/>
      </c>
      <c r="E555" s="7">
        <f>'3 escalar'!D558</f>
        <v/>
      </c>
      <c r="F555" s="7">
        <f>'3 escalar'!E558</f>
        <v/>
      </c>
      <c r="G555" s="7">
        <f>'3 escalar'!F558</f>
        <v/>
      </c>
      <c r="H555" s="7">
        <f>'3 escalar'!G558</f>
        <v/>
      </c>
      <c r="I555" s="7">
        <f>'3 escalar'!H558</f>
        <v/>
      </c>
      <c r="J555" s="7">
        <f>'3 escalar'!I558</f>
        <v/>
      </c>
      <c r="K555" s="7">
        <f>'3 escalar'!J558</f>
        <v/>
      </c>
      <c r="L555" s="7">
        <f>'3 escalar'!K558</f>
        <v/>
      </c>
      <c r="M555" s="7">
        <f>'3 escalar'!L558</f>
        <v/>
      </c>
      <c r="N555" s="7">
        <f>'3 escalar'!M558</f>
        <v/>
      </c>
      <c r="O555" s="7">
        <f>'3 escalar'!N558</f>
        <v/>
      </c>
      <c r="P555" s="7">
        <f>'3 escalar'!O558</f>
        <v/>
      </c>
      <c r="Q555" s="7">
        <f>'3 escalar'!P558</f>
        <v/>
      </c>
      <c r="R555" s="7">
        <f>'3 escalar'!Q558</f>
        <v/>
      </c>
      <c r="S555" s="7">
        <f>'3 escalar'!R558</f>
        <v/>
      </c>
      <c r="T555" s="7">
        <f>'3 escalar'!S558</f>
        <v/>
      </c>
      <c r="U555" s="7">
        <f>'3 escalar'!T558</f>
        <v/>
      </c>
      <c r="V555" s="6">
        <f>$AC$12+D555*$AC$13+E555*$AC$14+F555*$AC$15+G555*$AC$16+H555*$AC$17+I555*$AC$18+J555*$AC$19+K555*$AC$20+L555*$AC$21+M555*$AC$22+N555*$AC$23+O555*$AC$24+P555*$AC$25+Q555*$AC$26+R555*$AC$27+S555*$AC$28+T555*$AC$29+U555*$AC$30</f>
        <v/>
      </c>
      <c r="W555" s="6">
        <f>1/(1+EXP(-V555))</f>
        <v/>
      </c>
      <c r="X555" s="8">
        <f>-IF(C555=1,LN(W555),LN(1-W555))</f>
        <v/>
      </c>
      <c r="Y555" s="9">
        <f>IF(W555&gt;$AC$32,1,0)</f>
        <v/>
      </c>
      <c r="Z555">
        <f>IF(Y555=C555,1,0)</f>
        <v/>
      </c>
    </row>
    <row r="556">
      <c r="A556">
        <f>'3 escalar'!A559</f>
        <v/>
      </c>
      <c r="B556" s="5">
        <f>'3 escalar'!U559</f>
        <v/>
      </c>
      <c r="C556">
        <f>'3 escalar'!B559</f>
        <v/>
      </c>
      <c r="D556" s="7">
        <f>'3 escalar'!C559</f>
        <v/>
      </c>
      <c r="E556" s="7">
        <f>'3 escalar'!D559</f>
        <v/>
      </c>
      <c r="F556" s="7">
        <f>'3 escalar'!E559</f>
        <v/>
      </c>
      <c r="G556" s="7">
        <f>'3 escalar'!F559</f>
        <v/>
      </c>
      <c r="H556" s="7">
        <f>'3 escalar'!G559</f>
        <v/>
      </c>
      <c r="I556" s="7">
        <f>'3 escalar'!H559</f>
        <v/>
      </c>
      <c r="J556" s="7">
        <f>'3 escalar'!I559</f>
        <v/>
      </c>
      <c r="K556" s="7">
        <f>'3 escalar'!J559</f>
        <v/>
      </c>
      <c r="L556" s="7">
        <f>'3 escalar'!K559</f>
        <v/>
      </c>
      <c r="M556" s="7">
        <f>'3 escalar'!L559</f>
        <v/>
      </c>
      <c r="N556" s="7">
        <f>'3 escalar'!M559</f>
        <v/>
      </c>
      <c r="O556" s="7">
        <f>'3 escalar'!N559</f>
        <v/>
      </c>
      <c r="P556" s="7">
        <f>'3 escalar'!O559</f>
        <v/>
      </c>
      <c r="Q556" s="7">
        <f>'3 escalar'!P559</f>
        <v/>
      </c>
      <c r="R556" s="7">
        <f>'3 escalar'!Q559</f>
        <v/>
      </c>
      <c r="S556" s="7">
        <f>'3 escalar'!R559</f>
        <v/>
      </c>
      <c r="T556" s="7">
        <f>'3 escalar'!S559</f>
        <v/>
      </c>
      <c r="U556" s="7">
        <f>'3 escalar'!T559</f>
        <v/>
      </c>
      <c r="V556" s="6">
        <f>$AC$12+D556*$AC$13+E556*$AC$14+F556*$AC$15+G556*$AC$16+H556*$AC$17+I556*$AC$18+J556*$AC$19+K556*$AC$20+L556*$AC$21+M556*$AC$22+N556*$AC$23+O556*$AC$24+P556*$AC$25+Q556*$AC$26+R556*$AC$27+S556*$AC$28+T556*$AC$29+U556*$AC$30</f>
        <v/>
      </c>
      <c r="W556" s="6">
        <f>1/(1+EXP(-V556))</f>
        <v/>
      </c>
      <c r="X556" s="8">
        <f>-IF(C556=1,LN(W556),LN(1-W556))</f>
        <v/>
      </c>
      <c r="Y556" s="9">
        <f>IF(W556&gt;$AC$32,1,0)</f>
        <v/>
      </c>
      <c r="Z556">
        <f>IF(Y556=C556,1,0)</f>
        <v/>
      </c>
    </row>
    <row r="557">
      <c r="A557">
        <f>'3 escalar'!A560</f>
        <v/>
      </c>
      <c r="B557" s="5">
        <f>'3 escalar'!U560</f>
        <v/>
      </c>
      <c r="C557">
        <f>'3 escalar'!B560</f>
        <v/>
      </c>
      <c r="D557" s="7">
        <f>'3 escalar'!C560</f>
        <v/>
      </c>
      <c r="E557" s="7">
        <f>'3 escalar'!D560</f>
        <v/>
      </c>
      <c r="F557" s="7">
        <f>'3 escalar'!E560</f>
        <v/>
      </c>
      <c r="G557" s="7">
        <f>'3 escalar'!F560</f>
        <v/>
      </c>
      <c r="H557" s="7">
        <f>'3 escalar'!G560</f>
        <v/>
      </c>
      <c r="I557" s="7">
        <f>'3 escalar'!H560</f>
        <v/>
      </c>
      <c r="J557" s="7">
        <f>'3 escalar'!I560</f>
        <v/>
      </c>
      <c r="K557" s="7">
        <f>'3 escalar'!J560</f>
        <v/>
      </c>
      <c r="L557" s="7">
        <f>'3 escalar'!K560</f>
        <v/>
      </c>
      <c r="M557" s="7">
        <f>'3 escalar'!L560</f>
        <v/>
      </c>
      <c r="N557" s="7">
        <f>'3 escalar'!M560</f>
        <v/>
      </c>
      <c r="O557" s="7">
        <f>'3 escalar'!N560</f>
        <v/>
      </c>
      <c r="P557" s="7">
        <f>'3 escalar'!O560</f>
        <v/>
      </c>
      <c r="Q557" s="7">
        <f>'3 escalar'!P560</f>
        <v/>
      </c>
      <c r="R557" s="7">
        <f>'3 escalar'!Q560</f>
        <v/>
      </c>
      <c r="S557" s="7">
        <f>'3 escalar'!R560</f>
        <v/>
      </c>
      <c r="T557" s="7">
        <f>'3 escalar'!S560</f>
        <v/>
      </c>
      <c r="U557" s="7">
        <f>'3 escalar'!T560</f>
        <v/>
      </c>
      <c r="V557" s="6">
        <f>$AC$12+D557*$AC$13+E557*$AC$14+F557*$AC$15+G557*$AC$16+H557*$AC$17+I557*$AC$18+J557*$AC$19+K557*$AC$20+L557*$AC$21+M557*$AC$22+N557*$AC$23+O557*$AC$24+P557*$AC$25+Q557*$AC$26+R557*$AC$27+S557*$AC$28+T557*$AC$29+U557*$AC$30</f>
        <v/>
      </c>
      <c r="W557" s="6">
        <f>1/(1+EXP(-V557))</f>
        <v/>
      </c>
      <c r="X557" s="8">
        <f>-IF(C557=1,LN(W557),LN(1-W557))</f>
        <v/>
      </c>
      <c r="Y557" s="9">
        <f>IF(W557&gt;$AC$32,1,0)</f>
        <v/>
      </c>
      <c r="Z557">
        <f>IF(Y557=C557,1,0)</f>
        <v/>
      </c>
    </row>
    <row r="558">
      <c r="A558">
        <f>'3 escalar'!A561</f>
        <v/>
      </c>
      <c r="B558" s="5">
        <f>'3 escalar'!U561</f>
        <v/>
      </c>
      <c r="C558">
        <f>'3 escalar'!B561</f>
        <v/>
      </c>
      <c r="D558" s="7">
        <f>'3 escalar'!C561</f>
        <v/>
      </c>
      <c r="E558" s="7">
        <f>'3 escalar'!D561</f>
        <v/>
      </c>
      <c r="F558" s="7">
        <f>'3 escalar'!E561</f>
        <v/>
      </c>
      <c r="G558" s="7">
        <f>'3 escalar'!F561</f>
        <v/>
      </c>
      <c r="H558" s="7">
        <f>'3 escalar'!G561</f>
        <v/>
      </c>
      <c r="I558" s="7">
        <f>'3 escalar'!H561</f>
        <v/>
      </c>
      <c r="J558" s="7">
        <f>'3 escalar'!I561</f>
        <v/>
      </c>
      <c r="K558" s="7">
        <f>'3 escalar'!J561</f>
        <v/>
      </c>
      <c r="L558" s="7">
        <f>'3 escalar'!K561</f>
        <v/>
      </c>
      <c r="M558" s="7">
        <f>'3 escalar'!L561</f>
        <v/>
      </c>
      <c r="N558" s="7">
        <f>'3 escalar'!M561</f>
        <v/>
      </c>
      <c r="O558" s="7">
        <f>'3 escalar'!N561</f>
        <v/>
      </c>
      <c r="P558" s="7">
        <f>'3 escalar'!O561</f>
        <v/>
      </c>
      <c r="Q558" s="7">
        <f>'3 escalar'!P561</f>
        <v/>
      </c>
      <c r="R558" s="7">
        <f>'3 escalar'!Q561</f>
        <v/>
      </c>
      <c r="S558" s="7">
        <f>'3 escalar'!R561</f>
        <v/>
      </c>
      <c r="T558" s="7">
        <f>'3 escalar'!S561</f>
        <v/>
      </c>
      <c r="U558" s="7">
        <f>'3 escalar'!T561</f>
        <v/>
      </c>
      <c r="V558" s="6">
        <f>$AC$12+D558*$AC$13+E558*$AC$14+F558*$AC$15+G558*$AC$16+H558*$AC$17+I558*$AC$18+J558*$AC$19+K558*$AC$20+L558*$AC$21+M558*$AC$22+N558*$AC$23+O558*$AC$24+P558*$AC$25+Q558*$AC$26+R558*$AC$27+S558*$AC$28+T558*$AC$29+U558*$AC$30</f>
        <v/>
      </c>
      <c r="W558" s="6">
        <f>1/(1+EXP(-V558))</f>
        <v/>
      </c>
      <c r="X558" s="8">
        <f>-IF(C558=1,LN(W558),LN(1-W558))</f>
        <v/>
      </c>
      <c r="Y558" s="9">
        <f>IF(W558&gt;$AC$32,1,0)</f>
        <v/>
      </c>
      <c r="Z558">
        <f>IF(Y558=C558,1,0)</f>
        <v/>
      </c>
    </row>
    <row r="559">
      <c r="A559">
        <f>'3 escalar'!A562</f>
        <v/>
      </c>
      <c r="B559" s="5">
        <f>'3 escalar'!U562</f>
        <v/>
      </c>
      <c r="C559">
        <f>'3 escalar'!B562</f>
        <v/>
      </c>
      <c r="D559" s="7">
        <f>'3 escalar'!C562</f>
        <v/>
      </c>
      <c r="E559" s="7">
        <f>'3 escalar'!D562</f>
        <v/>
      </c>
      <c r="F559" s="7">
        <f>'3 escalar'!E562</f>
        <v/>
      </c>
      <c r="G559" s="7">
        <f>'3 escalar'!F562</f>
        <v/>
      </c>
      <c r="H559" s="7">
        <f>'3 escalar'!G562</f>
        <v/>
      </c>
      <c r="I559" s="7">
        <f>'3 escalar'!H562</f>
        <v/>
      </c>
      <c r="J559" s="7">
        <f>'3 escalar'!I562</f>
        <v/>
      </c>
      <c r="K559" s="7">
        <f>'3 escalar'!J562</f>
        <v/>
      </c>
      <c r="L559" s="7">
        <f>'3 escalar'!K562</f>
        <v/>
      </c>
      <c r="M559" s="7">
        <f>'3 escalar'!L562</f>
        <v/>
      </c>
      <c r="N559" s="7">
        <f>'3 escalar'!M562</f>
        <v/>
      </c>
      <c r="O559" s="7">
        <f>'3 escalar'!N562</f>
        <v/>
      </c>
      <c r="P559" s="7">
        <f>'3 escalar'!O562</f>
        <v/>
      </c>
      <c r="Q559" s="7">
        <f>'3 escalar'!P562</f>
        <v/>
      </c>
      <c r="R559" s="7">
        <f>'3 escalar'!Q562</f>
        <v/>
      </c>
      <c r="S559" s="7">
        <f>'3 escalar'!R562</f>
        <v/>
      </c>
      <c r="T559" s="7">
        <f>'3 escalar'!S562</f>
        <v/>
      </c>
      <c r="U559" s="7">
        <f>'3 escalar'!T562</f>
        <v/>
      </c>
      <c r="V559" s="6">
        <f>$AC$12+D559*$AC$13+E559*$AC$14+F559*$AC$15+G559*$AC$16+H559*$AC$17+I559*$AC$18+J559*$AC$19+K559*$AC$20+L559*$AC$21+M559*$AC$22+N559*$AC$23+O559*$AC$24+P559*$AC$25+Q559*$AC$26+R559*$AC$27+S559*$AC$28+T559*$AC$29+U559*$AC$30</f>
        <v/>
      </c>
      <c r="W559" s="6">
        <f>1/(1+EXP(-V559))</f>
        <v/>
      </c>
      <c r="X559" s="8">
        <f>-IF(C559=1,LN(W559),LN(1-W559))</f>
        <v/>
      </c>
      <c r="Y559" s="9">
        <f>IF(W559&gt;$AC$32,1,0)</f>
        <v/>
      </c>
      <c r="Z559">
        <f>IF(Y559=C559,1,0)</f>
        <v/>
      </c>
    </row>
    <row r="560">
      <c r="A560">
        <f>'3 escalar'!A563</f>
        <v/>
      </c>
      <c r="B560" s="5">
        <f>'3 escalar'!U563</f>
        <v/>
      </c>
      <c r="C560">
        <f>'3 escalar'!B563</f>
        <v/>
      </c>
      <c r="D560" s="7">
        <f>'3 escalar'!C563</f>
        <v/>
      </c>
      <c r="E560" s="7">
        <f>'3 escalar'!D563</f>
        <v/>
      </c>
      <c r="F560" s="7">
        <f>'3 escalar'!E563</f>
        <v/>
      </c>
      <c r="G560" s="7">
        <f>'3 escalar'!F563</f>
        <v/>
      </c>
      <c r="H560" s="7">
        <f>'3 escalar'!G563</f>
        <v/>
      </c>
      <c r="I560" s="7">
        <f>'3 escalar'!H563</f>
        <v/>
      </c>
      <c r="J560" s="7">
        <f>'3 escalar'!I563</f>
        <v/>
      </c>
      <c r="K560" s="7">
        <f>'3 escalar'!J563</f>
        <v/>
      </c>
      <c r="L560" s="7">
        <f>'3 escalar'!K563</f>
        <v/>
      </c>
      <c r="M560" s="7">
        <f>'3 escalar'!L563</f>
        <v/>
      </c>
      <c r="N560" s="7">
        <f>'3 escalar'!M563</f>
        <v/>
      </c>
      <c r="O560" s="7">
        <f>'3 escalar'!N563</f>
        <v/>
      </c>
      <c r="P560" s="7">
        <f>'3 escalar'!O563</f>
        <v/>
      </c>
      <c r="Q560" s="7">
        <f>'3 escalar'!P563</f>
        <v/>
      </c>
      <c r="R560" s="7">
        <f>'3 escalar'!Q563</f>
        <v/>
      </c>
      <c r="S560" s="7">
        <f>'3 escalar'!R563</f>
        <v/>
      </c>
      <c r="T560" s="7">
        <f>'3 escalar'!S563</f>
        <v/>
      </c>
      <c r="U560" s="7">
        <f>'3 escalar'!T563</f>
        <v/>
      </c>
      <c r="V560" s="6">
        <f>$AC$12+D560*$AC$13+E560*$AC$14+F560*$AC$15+G560*$AC$16+H560*$AC$17+I560*$AC$18+J560*$AC$19+K560*$AC$20+L560*$AC$21+M560*$AC$22+N560*$AC$23+O560*$AC$24+P560*$AC$25+Q560*$AC$26+R560*$AC$27+S560*$AC$28+T560*$AC$29+U560*$AC$30</f>
        <v/>
      </c>
      <c r="W560" s="6">
        <f>1/(1+EXP(-V560))</f>
        <v/>
      </c>
      <c r="X560" s="8">
        <f>-IF(C560=1,LN(W560),LN(1-W560))</f>
        <v/>
      </c>
      <c r="Y560" s="9">
        <f>IF(W560&gt;$AC$32,1,0)</f>
        <v/>
      </c>
      <c r="Z560">
        <f>IF(Y560=C560,1,0)</f>
        <v/>
      </c>
    </row>
    <row r="561">
      <c r="A561">
        <f>'3 escalar'!A564</f>
        <v/>
      </c>
      <c r="B561" s="5">
        <f>'3 escalar'!U564</f>
        <v/>
      </c>
      <c r="C561">
        <f>'3 escalar'!B564</f>
        <v/>
      </c>
      <c r="D561" s="7">
        <f>'3 escalar'!C564</f>
        <v/>
      </c>
      <c r="E561" s="7">
        <f>'3 escalar'!D564</f>
        <v/>
      </c>
      <c r="F561" s="7">
        <f>'3 escalar'!E564</f>
        <v/>
      </c>
      <c r="G561" s="7">
        <f>'3 escalar'!F564</f>
        <v/>
      </c>
      <c r="H561" s="7">
        <f>'3 escalar'!G564</f>
        <v/>
      </c>
      <c r="I561" s="7">
        <f>'3 escalar'!H564</f>
        <v/>
      </c>
      <c r="J561" s="7">
        <f>'3 escalar'!I564</f>
        <v/>
      </c>
      <c r="K561" s="7">
        <f>'3 escalar'!J564</f>
        <v/>
      </c>
      <c r="L561" s="7">
        <f>'3 escalar'!K564</f>
        <v/>
      </c>
      <c r="M561" s="7">
        <f>'3 escalar'!L564</f>
        <v/>
      </c>
      <c r="N561" s="7">
        <f>'3 escalar'!M564</f>
        <v/>
      </c>
      <c r="O561" s="7">
        <f>'3 escalar'!N564</f>
        <v/>
      </c>
      <c r="P561" s="7">
        <f>'3 escalar'!O564</f>
        <v/>
      </c>
      <c r="Q561" s="7">
        <f>'3 escalar'!P564</f>
        <v/>
      </c>
      <c r="R561" s="7">
        <f>'3 escalar'!Q564</f>
        <v/>
      </c>
      <c r="S561" s="7">
        <f>'3 escalar'!R564</f>
        <v/>
      </c>
      <c r="T561" s="7">
        <f>'3 escalar'!S564</f>
        <v/>
      </c>
      <c r="U561" s="7">
        <f>'3 escalar'!T564</f>
        <v/>
      </c>
      <c r="V561" s="6">
        <f>$AC$12+D561*$AC$13+E561*$AC$14+F561*$AC$15+G561*$AC$16+H561*$AC$17+I561*$AC$18+J561*$AC$19+K561*$AC$20+L561*$AC$21+M561*$AC$22+N561*$AC$23+O561*$AC$24+P561*$AC$25+Q561*$AC$26+R561*$AC$27+S561*$AC$28+T561*$AC$29+U561*$AC$30</f>
        <v/>
      </c>
      <c r="W561" s="6">
        <f>1/(1+EXP(-V561))</f>
        <v/>
      </c>
      <c r="X561" s="8">
        <f>-IF(C561=1,LN(W561),LN(1-W561))</f>
        <v/>
      </c>
      <c r="Y561" s="9">
        <f>IF(W561&gt;$AC$32,1,0)</f>
        <v/>
      </c>
      <c r="Z561">
        <f>IF(Y561=C561,1,0)</f>
        <v/>
      </c>
    </row>
    <row r="562">
      <c r="A562">
        <f>'3 escalar'!A565</f>
        <v/>
      </c>
      <c r="B562" s="5">
        <f>'3 escalar'!U565</f>
        <v/>
      </c>
      <c r="C562">
        <f>'3 escalar'!B565</f>
        <v/>
      </c>
      <c r="D562" s="7">
        <f>'3 escalar'!C565</f>
        <v/>
      </c>
      <c r="E562" s="7">
        <f>'3 escalar'!D565</f>
        <v/>
      </c>
      <c r="F562" s="7">
        <f>'3 escalar'!E565</f>
        <v/>
      </c>
      <c r="G562" s="7">
        <f>'3 escalar'!F565</f>
        <v/>
      </c>
      <c r="H562" s="7">
        <f>'3 escalar'!G565</f>
        <v/>
      </c>
      <c r="I562" s="7">
        <f>'3 escalar'!H565</f>
        <v/>
      </c>
      <c r="J562" s="7">
        <f>'3 escalar'!I565</f>
        <v/>
      </c>
      <c r="K562" s="7">
        <f>'3 escalar'!J565</f>
        <v/>
      </c>
      <c r="L562" s="7">
        <f>'3 escalar'!K565</f>
        <v/>
      </c>
      <c r="M562" s="7">
        <f>'3 escalar'!L565</f>
        <v/>
      </c>
      <c r="N562" s="7">
        <f>'3 escalar'!M565</f>
        <v/>
      </c>
      <c r="O562" s="7">
        <f>'3 escalar'!N565</f>
        <v/>
      </c>
      <c r="P562" s="7">
        <f>'3 escalar'!O565</f>
        <v/>
      </c>
      <c r="Q562" s="7">
        <f>'3 escalar'!P565</f>
        <v/>
      </c>
      <c r="R562" s="7">
        <f>'3 escalar'!Q565</f>
        <v/>
      </c>
      <c r="S562" s="7">
        <f>'3 escalar'!R565</f>
        <v/>
      </c>
      <c r="T562" s="7">
        <f>'3 escalar'!S565</f>
        <v/>
      </c>
      <c r="U562" s="7">
        <f>'3 escalar'!T565</f>
        <v/>
      </c>
      <c r="V562" s="6">
        <f>$AC$12+D562*$AC$13+E562*$AC$14+F562*$AC$15+G562*$AC$16+H562*$AC$17+I562*$AC$18+J562*$AC$19+K562*$AC$20+L562*$AC$21+M562*$AC$22+N562*$AC$23+O562*$AC$24+P562*$AC$25+Q562*$AC$26+R562*$AC$27+S562*$AC$28+T562*$AC$29+U562*$AC$30</f>
        <v/>
      </c>
      <c r="W562" s="6">
        <f>1/(1+EXP(-V562))</f>
        <v/>
      </c>
      <c r="X562" s="8">
        <f>-IF(C562=1,LN(W562),LN(1-W562))</f>
        <v/>
      </c>
      <c r="Y562" s="9">
        <f>IF(W562&gt;$AC$32,1,0)</f>
        <v/>
      </c>
      <c r="Z562">
        <f>IF(Y562=C562,1,0)</f>
        <v/>
      </c>
    </row>
    <row r="563">
      <c r="A563">
        <f>'3 escalar'!A566</f>
        <v/>
      </c>
      <c r="B563" s="5">
        <f>'3 escalar'!U566</f>
        <v/>
      </c>
      <c r="C563">
        <f>'3 escalar'!B566</f>
        <v/>
      </c>
      <c r="D563" s="7">
        <f>'3 escalar'!C566</f>
        <v/>
      </c>
      <c r="E563" s="7">
        <f>'3 escalar'!D566</f>
        <v/>
      </c>
      <c r="F563" s="7">
        <f>'3 escalar'!E566</f>
        <v/>
      </c>
      <c r="G563" s="7">
        <f>'3 escalar'!F566</f>
        <v/>
      </c>
      <c r="H563" s="7">
        <f>'3 escalar'!G566</f>
        <v/>
      </c>
      <c r="I563" s="7">
        <f>'3 escalar'!H566</f>
        <v/>
      </c>
      <c r="J563" s="7">
        <f>'3 escalar'!I566</f>
        <v/>
      </c>
      <c r="K563" s="7">
        <f>'3 escalar'!J566</f>
        <v/>
      </c>
      <c r="L563" s="7">
        <f>'3 escalar'!K566</f>
        <v/>
      </c>
      <c r="M563" s="7">
        <f>'3 escalar'!L566</f>
        <v/>
      </c>
      <c r="N563" s="7">
        <f>'3 escalar'!M566</f>
        <v/>
      </c>
      <c r="O563" s="7">
        <f>'3 escalar'!N566</f>
        <v/>
      </c>
      <c r="P563" s="7">
        <f>'3 escalar'!O566</f>
        <v/>
      </c>
      <c r="Q563" s="7">
        <f>'3 escalar'!P566</f>
        <v/>
      </c>
      <c r="R563" s="7">
        <f>'3 escalar'!Q566</f>
        <v/>
      </c>
      <c r="S563" s="7">
        <f>'3 escalar'!R566</f>
        <v/>
      </c>
      <c r="T563" s="7">
        <f>'3 escalar'!S566</f>
        <v/>
      </c>
      <c r="U563" s="7">
        <f>'3 escalar'!T566</f>
        <v/>
      </c>
      <c r="V563" s="6">
        <f>$AC$12+D563*$AC$13+E563*$AC$14+F563*$AC$15+G563*$AC$16+H563*$AC$17+I563*$AC$18+J563*$AC$19+K563*$AC$20+L563*$AC$21+M563*$AC$22+N563*$AC$23+O563*$AC$24+P563*$AC$25+Q563*$AC$26+R563*$AC$27+S563*$AC$28+T563*$AC$29+U563*$AC$30</f>
        <v/>
      </c>
      <c r="W563" s="6">
        <f>1/(1+EXP(-V563))</f>
        <v/>
      </c>
      <c r="X563" s="8">
        <f>-IF(C563=1,LN(W563),LN(1-W563))</f>
        <v/>
      </c>
      <c r="Y563" s="9">
        <f>IF(W563&gt;$AC$32,1,0)</f>
        <v/>
      </c>
      <c r="Z563">
        <f>IF(Y563=C563,1,0)</f>
        <v/>
      </c>
    </row>
    <row r="564">
      <c r="A564">
        <f>'3 escalar'!A567</f>
        <v/>
      </c>
      <c r="B564" s="5">
        <f>'3 escalar'!U567</f>
        <v/>
      </c>
      <c r="C564">
        <f>'3 escalar'!B567</f>
        <v/>
      </c>
      <c r="D564" s="7">
        <f>'3 escalar'!C567</f>
        <v/>
      </c>
      <c r="E564" s="7">
        <f>'3 escalar'!D567</f>
        <v/>
      </c>
      <c r="F564" s="7">
        <f>'3 escalar'!E567</f>
        <v/>
      </c>
      <c r="G564" s="7">
        <f>'3 escalar'!F567</f>
        <v/>
      </c>
      <c r="H564" s="7">
        <f>'3 escalar'!G567</f>
        <v/>
      </c>
      <c r="I564" s="7">
        <f>'3 escalar'!H567</f>
        <v/>
      </c>
      <c r="J564" s="7">
        <f>'3 escalar'!I567</f>
        <v/>
      </c>
      <c r="K564" s="7">
        <f>'3 escalar'!J567</f>
        <v/>
      </c>
      <c r="L564" s="7">
        <f>'3 escalar'!K567</f>
        <v/>
      </c>
      <c r="M564" s="7">
        <f>'3 escalar'!L567</f>
        <v/>
      </c>
      <c r="N564" s="7">
        <f>'3 escalar'!M567</f>
        <v/>
      </c>
      <c r="O564" s="7">
        <f>'3 escalar'!N567</f>
        <v/>
      </c>
      <c r="P564" s="7">
        <f>'3 escalar'!O567</f>
        <v/>
      </c>
      <c r="Q564" s="7">
        <f>'3 escalar'!P567</f>
        <v/>
      </c>
      <c r="R564" s="7">
        <f>'3 escalar'!Q567</f>
        <v/>
      </c>
      <c r="S564" s="7">
        <f>'3 escalar'!R567</f>
        <v/>
      </c>
      <c r="T564" s="7">
        <f>'3 escalar'!S567</f>
        <v/>
      </c>
      <c r="U564" s="7">
        <f>'3 escalar'!T567</f>
        <v/>
      </c>
      <c r="V564" s="6">
        <f>$AC$12+D564*$AC$13+E564*$AC$14+F564*$AC$15+G564*$AC$16+H564*$AC$17+I564*$AC$18+J564*$AC$19+K564*$AC$20+L564*$AC$21+M564*$AC$22+N564*$AC$23+O564*$AC$24+P564*$AC$25+Q564*$AC$26+R564*$AC$27+S564*$AC$28+T564*$AC$29+U564*$AC$30</f>
        <v/>
      </c>
      <c r="W564" s="6">
        <f>1/(1+EXP(-V564))</f>
        <v/>
      </c>
      <c r="X564" s="8">
        <f>-IF(C564=1,LN(W564),LN(1-W564))</f>
        <v/>
      </c>
      <c r="Y564" s="9">
        <f>IF(W564&gt;$AC$32,1,0)</f>
        <v/>
      </c>
      <c r="Z564">
        <f>IF(Y564=C564,1,0)</f>
        <v/>
      </c>
    </row>
    <row r="565">
      <c r="A565">
        <f>'3 escalar'!A568</f>
        <v/>
      </c>
      <c r="B565" s="5">
        <f>'3 escalar'!U568</f>
        <v/>
      </c>
      <c r="C565">
        <f>'3 escalar'!B568</f>
        <v/>
      </c>
      <c r="D565" s="7">
        <f>'3 escalar'!C568</f>
        <v/>
      </c>
      <c r="E565" s="7">
        <f>'3 escalar'!D568</f>
        <v/>
      </c>
      <c r="F565" s="7">
        <f>'3 escalar'!E568</f>
        <v/>
      </c>
      <c r="G565" s="7">
        <f>'3 escalar'!F568</f>
        <v/>
      </c>
      <c r="H565" s="7">
        <f>'3 escalar'!G568</f>
        <v/>
      </c>
      <c r="I565" s="7">
        <f>'3 escalar'!H568</f>
        <v/>
      </c>
      <c r="J565" s="7">
        <f>'3 escalar'!I568</f>
        <v/>
      </c>
      <c r="K565" s="7">
        <f>'3 escalar'!J568</f>
        <v/>
      </c>
      <c r="L565" s="7">
        <f>'3 escalar'!K568</f>
        <v/>
      </c>
      <c r="M565" s="7">
        <f>'3 escalar'!L568</f>
        <v/>
      </c>
      <c r="N565" s="7">
        <f>'3 escalar'!M568</f>
        <v/>
      </c>
      <c r="O565" s="7">
        <f>'3 escalar'!N568</f>
        <v/>
      </c>
      <c r="P565" s="7">
        <f>'3 escalar'!O568</f>
        <v/>
      </c>
      <c r="Q565" s="7">
        <f>'3 escalar'!P568</f>
        <v/>
      </c>
      <c r="R565" s="7">
        <f>'3 escalar'!Q568</f>
        <v/>
      </c>
      <c r="S565" s="7">
        <f>'3 escalar'!R568</f>
        <v/>
      </c>
      <c r="T565" s="7">
        <f>'3 escalar'!S568</f>
        <v/>
      </c>
      <c r="U565" s="7">
        <f>'3 escalar'!T568</f>
        <v/>
      </c>
      <c r="V565" s="6">
        <f>$AC$12+D565*$AC$13+E565*$AC$14+F565*$AC$15+G565*$AC$16+H565*$AC$17+I565*$AC$18+J565*$AC$19+K565*$AC$20+L565*$AC$21+M565*$AC$22+N565*$AC$23+O565*$AC$24+P565*$AC$25+Q565*$AC$26+R565*$AC$27+S565*$AC$28+T565*$AC$29+U565*$AC$30</f>
        <v/>
      </c>
      <c r="W565" s="6">
        <f>1/(1+EXP(-V565))</f>
        <v/>
      </c>
      <c r="X565" s="8">
        <f>-IF(C565=1,LN(W565),LN(1-W565))</f>
        <v/>
      </c>
      <c r="Y565" s="9">
        <f>IF(W565&gt;$AC$32,1,0)</f>
        <v/>
      </c>
      <c r="Z565">
        <f>IF(Y565=C565,1,0)</f>
        <v/>
      </c>
    </row>
    <row r="566">
      <c r="A566">
        <f>'3 escalar'!A569</f>
        <v/>
      </c>
      <c r="B566" s="5">
        <f>'3 escalar'!U569</f>
        <v/>
      </c>
      <c r="C566">
        <f>'3 escalar'!B569</f>
        <v/>
      </c>
      <c r="D566" s="7">
        <f>'3 escalar'!C569</f>
        <v/>
      </c>
      <c r="E566" s="7">
        <f>'3 escalar'!D569</f>
        <v/>
      </c>
      <c r="F566" s="7">
        <f>'3 escalar'!E569</f>
        <v/>
      </c>
      <c r="G566" s="7">
        <f>'3 escalar'!F569</f>
        <v/>
      </c>
      <c r="H566" s="7">
        <f>'3 escalar'!G569</f>
        <v/>
      </c>
      <c r="I566" s="7">
        <f>'3 escalar'!H569</f>
        <v/>
      </c>
      <c r="J566" s="7">
        <f>'3 escalar'!I569</f>
        <v/>
      </c>
      <c r="K566" s="7">
        <f>'3 escalar'!J569</f>
        <v/>
      </c>
      <c r="L566" s="7">
        <f>'3 escalar'!K569</f>
        <v/>
      </c>
      <c r="M566" s="7">
        <f>'3 escalar'!L569</f>
        <v/>
      </c>
      <c r="N566" s="7">
        <f>'3 escalar'!M569</f>
        <v/>
      </c>
      <c r="O566" s="7">
        <f>'3 escalar'!N569</f>
        <v/>
      </c>
      <c r="P566" s="7">
        <f>'3 escalar'!O569</f>
        <v/>
      </c>
      <c r="Q566" s="7">
        <f>'3 escalar'!P569</f>
        <v/>
      </c>
      <c r="R566" s="7">
        <f>'3 escalar'!Q569</f>
        <v/>
      </c>
      <c r="S566" s="7">
        <f>'3 escalar'!R569</f>
        <v/>
      </c>
      <c r="T566" s="7">
        <f>'3 escalar'!S569</f>
        <v/>
      </c>
      <c r="U566" s="7">
        <f>'3 escalar'!T569</f>
        <v/>
      </c>
      <c r="V566" s="6">
        <f>$AC$12+D566*$AC$13+E566*$AC$14+F566*$AC$15+G566*$AC$16+H566*$AC$17+I566*$AC$18+J566*$AC$19+K566*$AC$20+L566*$AC$21+M566*$AC$22+N566*$AC$23+O566*$AC$24+P566*$AC$25+Q566*$AC$26+R566*$AC$27+S566*$AC$28+T566*$AC$29+U566*$AC$30</f>
        <v/>
      </c>
      <c r="W566" s="6">
        <f>1/(1+EXP(-V566))</f>
        <v/>
      </c>
      <c r="X566" s="8">
        <f>-IF(C566=1,LN(W566),LN(1-W566))</f>
        <v/>
      </c>
      <c r="Y566" s="9">
        <f>IF(W566&gt;$AC$32,1,0)</f>
        <v/>
      </c>
      <c r="Z566">
        <f>IF(Y566=C566,1,0)</f>
        <v/>
      </c>
    </row>
    <row r="567">
      <c r="A567">
        <f>'3 escalar'!A570</f>
        <v/>
      </c>
      <c r="B567" s="5">
        <f>'3 escalar'!U570</f>
        <v/>
      </c>
      <c r="C567">
        <f>'3 escalar'!B570</f>
        <v/>
      </c>
      <c r="D567" s="7">
        <f>'3 escalar'!C570</f>
        <v/>
      </c>
      <c r="E567" s="7">
        <f>'3 escalar'!D570</f>
        <v/>
      </c>
      <c r="F567" s="7">
        <f>'3 escalar'!E570</f>
        <v/>
      </c>
      <c r="G567" s="7">
        <f>'3 escalar'!F570</f>
        <v/>
      </c>
      <c r="H567" s="7">
        <f>'3 escalar'!G570</f>
        <v/>
      </c>
      <c r="I567" s="7">
        <f>'3 escalar'!H570</f>
        <v/>
      </c>
      <c r="J567" s="7">
        <f>'3 escalar'!I570</f>
        <v/>
      </c>
      <c r="K567" s="7">
        <f>'3 escalar'!J570</f>
        <v/>
      </c>
      <c r="L567" s="7">
        <f>'3 escalar'!K570</f>
        <v/>
      </c>
      <c r="M567" s="7">
        <f>'3 escalar'!L570</f>
        <v/>
      </c>
      <c r="N567" s="7">
        <f>'3 escalar'!M570</f>
        <v/>
      </c>
      <c r="O567" s="7">
        <f>'3 escalar'!N570</f>
        <v/>
      </c>
      <c r="P567" s="7">
        <f>'3 escalar'!O570</f>
        <v/>
      </c>
      <c r="Q567" s="7">
        <f>'3 escalar'!P570</f>
        <v/>
      </c>
      <c r="R567" s="7">
        <f>'3 escalar'!Q570</f>
        <v/>
      </c>
      <c r="S567" s="7">
        <f>'3 escalar'!R570</f>
        <v/>
      </c>
      <c r="T567" s="7">
        <f>'3 escalar'!S570</f>
        <v/>
      </c>
      <c r="U567" s="7">
        <f>'3 escalar'!T570</f>
        <v/>
      </c>
      <c r="V567" s="6">
        <f>$AC$12+D567*$AC$13+E567*$AC$14+F567*$AC$15+G567*$AC$16+H567*$AC$17+I567*$AC$18+J567*$AC$19+K567*$AC$20+L567*$AC$21+M567*$AC$22+N567*$AC$23+O567*$AC$24+P567*$AC$25+Q567*$AC$26+R567*$AC$27+S567*$AC$28+T567*$AC$29+U567*$AC$30</f>
        <v/>
      </c>
      <c r="W567" s="6">
        <f>1/(1+EXP(-V567))</f>
        <v/>
      </c>
      <c r="X567" s="8">
        <f>-IF(C567=1,LN(W567),LN(1-W567))</f>
        <v/>
      </c>
      <c r="Y567" s="9">
        <f>IF(W567&gt;$AC$32,1,0)</f>
        <v/>
      </c>
      <c r="Z567">
        <f>IF(Y567=C567,1,0)</f>
        <v/>
      </c>
    </row>
    <row r="568">
      <c r="A568">
        <f>'3 escalar'!A571</f>
        <v/>
      </c>
      <c r="B568" s="5">
        <f>'3 escalar'!U571</f>
        <v/>
      </c>
      <c r="C568">
        <f>'3 escalar'!B571</f>
        <v/>
      </c>
      <c r="D568" s="7">
        <f>'3 escalar'!C571</f>
        <v/>
      </c>
      <c r="E568" s="7">
        <f>'3 escalar'!D571</f>
        <v/>
      </c>
      <c r="F568" s="7">
        <f>'3 escalar'!E571</f>
        <v/>
      </c>
      <c r="G568" s="7">
        <f>'3 escalar'!F571</f>
        <v/>
      </c>
      <c r="H568" s="7">
        <f>'3 escalar'!G571</f>
        <v/>
      </c>
      <c r="I568" s="7">
        <f>'3 escalar'!H571</f>
        <v/>
      </c>
      <c r="J568" s="7">
        <f>'3 escalar'!I571</f>
        <v/>
      </c>
      <c r="K568" s="7">
        <f>'3 escalar'!J571</f>
        <v/>
      </c>
      <c r="L568" s="7">
        <f>'3 escalar'!K571</f>
        <v/>
      </c>
      <c r="M568" s="7">
        <f>'3 escalar'!L571</f>
        <v/>
      </c>
      <c r="N568" s="7">
        <f>'3 escalar'!M571</f>
        <v/>
      </c>
      <c r="O568" s="7">
        <f>'3 escalar'!N571</f>
        <v/>
      </c>
      <c r="P568" s="7">
        <f>'3 escalar'!O571</f>
        <v/>
      </c>
      <c r="Q568" s="7">
        <f>'3 escalar'!P571</f>
        <v/>
      </c>
      <c r="R568" s="7">
        <f>'3 escalar'!Q571</f>
        <v/>
      </c>
      <c r="S568" s="7">
        <f>'3 escalar'!R571</f>
        <v/>
      </c>
      <c r="T568" s="7">
        <f>'3 escalar'!S571</f>
        <v/>
      </c>
      <c r="U568" s="7">
        <f>'3 escalar'!T571</f>
        <v/>
      </c>
      <c r="V568" s="6">
        <f>$AC$12+D568*$AC$13+E568*$AC$14+F568*$AC$15+G568*$AC$16+H568*$AC$17+I568*$AC$18+J568*$AC$19+K568*$AC$20+L568*$AC$21+M568*$AC$22+N568*$AC$23+O568*$AC$24+P568*$AC$25+Q568*$AC$26+R568*$AC$27+S568*$AC$28+T568*$AC$29+U568*$AC$30</f>
        <v/>
      </c>
      <c r="W568" s="6">
        <f>1/(1+EXP(-V568))</f>
        <v/>
      </c>
      <c r="X568" s="8">
        <f>-IF(C568=1,LN(W568),LN(1-W568))</f>
        <v/>
      </c>
      <c r="Y568" s="9">
        <f>IF(W568&gt;$AC$32,1,0)</f>
        <v/>
      </c>
      <c r="Z568">
        <f>IF(Y568=C568,1,0)</f>
        <v/>
      </c>
    </row>
    <row r="569">
      <c r="A569">
        <f>'3 escalar'!A572</f>
        <v/>
      </c>
      <c r="B569" s="5">
        <f>'3 escalar'!U572</f>
        <v/>
      </c>
      <c r="C569">
        <f>'3 escalar'!B572</f>
        <v/>
      </c>
      <c r="D569" s="7">
        <f>'3 escalar'!C572</f>
        <v/>
      </c>
      <c r="E569" s="7">
        <f>'3 escalar'!D572</f>
        <v/>
      </c>
      <c r="F569" s="7">
        <f>'3 escalar'!E572</f>
        <v/>
      </c>
      <c r="G569" s="7">
        <f>'3 escalar'!F572</f>
        <v/>
      </c>
      <c r="H569" s="7">
        <f>'3 escalar'!G572</f>
        <v/>
      </c>
      <c r="I569" s="7">
        <f>'3 escalar'!H572</f>
        <v/>
      </c>
      <c r="J569" s="7">
        <f>'3 escalar'!I572</f>
        <v/>
      </c>
      <c r="K569" s="7">
        <f>'3 escalar'!J572</f>
        <v/>
      </c>
      <c r="L569" s="7">
        <f>'3 escalar'!K572</f>
        <v/>
      </c>
      <c r="M569" s="7">
        <f>'3 escalar'!L572</f>
        <v/>
      </c>
      <c r="N569" s="7">
        <f>'3 escalar'!M572</f>
        <v/>
      </c>
      <c r="O569" s="7">
        <f>'3 escalar'!N572</f>
        <v/>
      </c>
      <c r="P569" s="7">
        <f>'3 escalar'!O572</f>
        <v/>
      </c>
      <c r="Q569" s="7">
        <f>'3 escalar'!P572</f>
        <v/>
      </c>
      <c r="R569" s="7">
        <f>'3 escalar'!Q572</f>
        <v/>
      </c>
      <c r="S569" s="7">
        <f>'3 escalar'!R572</f>
        <v/>
      </c>
      <c r="T569" s="7">
        <f>'3 escalar'!S572</f>
        <v/>
      </c>
      <c r="U569" s="7">
        <f>'3 escalar'!T572</f>
        <v/>
      </c>
      <c r="V569" s="6">
        <f>$AC$12+D569*$AC$13+E569*$AC$14+F569*$AC$15+G569*$AC$16+H569*$AC$17+I569*$AC$18+J569*$AC$19+K569*$AC$20+L569*$AC$21+M569*$AC$22+N569*$AC$23+O569*$AC$24+P569*$AC$25+Q569*$AC$26+R569*$AC$27+S569*$AC$28+T569*$AC$29+U569*$AC$30</f>
        <v/>
      </c>
      <c r="W569" s="6">
        <f>1/(1+EXP(-V569))</f>
        <v/>
      </c>
      <c r="X569" s="8">
        <f>-IF(C569=1,LN(W569),LN(1-W569))</f>
        <v/>
      </c>
      <c r="Y569" s="9">
        <f>IF(W569&gt;$AC$32,1,0)</f>
        <v/>
      </c>
      <c r="Z569">
        <f>IF(Y569=C569,1,0)</f>
        <v/>
      </c>
    </row>
    <row r="570">
      <c r="A570">
        <f>'3 escalar'!A573</f>
        <v/>
      </c>
      <c r="B570" s="5">
        <f>'3 escalar'!U573</f>
        <v/>
      </c>
      <c r="C570">
        <f>'3 escalar'!B573</f>
        <v/>
      </c>
      <c r="D570" s="7">
        <f>'3 escalar'!C573</f>
        <v/>
      </c>
      <c r="E570" s="7">
        <f>'3 escalar'!D573</f>
        <v/>
      </c>
      <c r="F570" s="7">
        <f>'3 escalar'!E573</f>
        <v/>
      </c>
      <c r="G570" s="7">
        <f>'3 escalar'!F573</f>
        <v/>
      </c>
      <c r="H570" s="7">
        <f>'3 escalar'!G573</f>
        <v/>
      </c>
      <c r="I570" s="7">
        <f>'3 escalar'!H573</f>
        <v/>
      </c>
      <c r="J570" s="7">
        <f>'3 escalar'!I573</f>
        <v/>
      </c>
      <c r="K570" s="7">
        <f>'3 escalar'!J573</f>
        <v/>
      </c>
      <c r="L570" s="7">
        <f>'3 escalar'!K573</f>
        <v/>
      </c>
      <c r="M570" s="7">
        <f>'3 escalar'!L573</f>
        <v/>
      </c>
      <c r="N570" s="7">
        <f>'3 escalar'!M573</f>
        <v/>
      </c>
      <c r="O570" s="7">
        <f>'3 escalar'!N573</f>
        <v/>
      </c>
      <c r="P570" s="7">
        <f>'3 escalar'!O573</f>
        <v/>
      </c>
      <c r="Q570" s="7">
        <f>'3 escalar'!P573</f>
        <v/>
      </c>
      <c r="R570" s="7">
        <f>'3 escalar'!Q573</f>
        <v/>
      </c>
      <c r="S570" s="7">
        <f>'3 escalar'!R573</f>
        <v/>
      </c>
      <c r="T570" s="7">
        <f>'3 escalar'!S573</f>
        <v/>
      </c>
      <c r="U570" s="7">
        <f>'3 escalar'!T573</f>
        <v/>
      </c>
      <c r="V570" s="6">
        <f>$AC$12+D570*$AC$13+E570*$AC$14+F570*$AC$15+G570*$AC$16+H570*$AC$17+I570*$AC$18+J570*$AC$19+K570*$AC$20+L570*$AC$21+M570*$AC$22+N570*$AC$23+O570*$AC$24+P570*$AC$25+Q570*$AC$26+R570*$AC$27+S570*$AC$28+T570*$AC$29+U570*$AC$30</f>
        <v/>
      </c>
      <c r="W570" s="6">
        <f>1/(1+EXP(-V570))</f>
        <v/>
      </c>
      <c r="X570" s="8">
        <f>-IF(C570=1,LN(W570),LN(1-W570))</f>
        <v/>
      </c>
      <c r="Y570" s="9">
        <f>IF(W570&gt;$AC$32,1,0)</f>
        <v/>
      </c>
      <c r="Z570">
        <f>IF(Y570=C570,1,0)</f>
        <v/>
      </c>
    </row>
    <row r="571">
      <c r="A571">
        <f>'3 escalar'!A574</f>
        <v/>
      </c>
      <c r="B571" s="5">
        <f>'3 escalar'!U574</f>
        <v/>
      </c>
      <c r="C571">
        <f>'3 escalar'!B574</f>
        <v/>
      </c>
      <c r="D571" s="7">
        <f>'3 escalar'!C574</f>
        <v/>
      </c>
      <c r="E571" s="7">
        <f>'3 escalar'!D574</f>
        <v/>
      </c>
      <c r="F571" s="7">
        <f>'3 escalar'!E574</f>
        <v/>
      </c>
      <c r="G571" s="7">
        <f>'3 escalar'!F574</f>
        <v/>
      </c>
      <c r="H571" s="7">
        <f>'3 escalar'!G574</f>
        <v/>
      </c>
      <c r="I571" s="7">
        <f>'3 escalar'!H574</f>
        <v/>
      </c>
      <c r="J571" s="7">
        <f>'3 escalar'!I574</f>
        <v/>
      </c>
      <c r="K571" s="7">
        <f>'3 escalar'!J574</f>
        <v/>
      </c>
      <c r="L571" s="7">
        <f>'3 escalar'!K574</f>
        <v/>
      </c>
      <c r="M571" s="7">
        <f>'3 escalar'!L574</f>
        <v/>
      </c>
      <c r="N571" s="7">
        <f>'3 escalar'!M574</f>
        <v/>
      </c>
      <c r="O571" s="7">
        <f>'3 escalar'!N574</f>
        <v/>
      </c>
      <c r="P571" s="7">
        <f>'3 escalar'!O574</f>
        <v/>
      </c>
      <c r="Q571" s="7">
        <f>'3 escalar'!P574</f>
        <v/>
      </c>
      <c r="R571" s="7">
        <f>'3 escalar'!Q574</f>
        <v/>
      </c>
      <c r="S571" s="7">
        <f>'3 escalar'!R574</f>
        <v/>
      </c>
      <c r="T571" s="7">
        <f>'3 escalar'!S574</f>
        <v/>
      </c>
      <c r="U571" s="7">
        <f>'3 escalar'!T574</f>
        <v/>
      </c>
      <c r="V571" s="6">
        <f>$AC$12+D571*$AC$13+E571*$AC$14+F571*$AC$15+G571*$AC$16+H571*$AC$17+I571*$AC$18+J571*$AC$19+K571*$AC$20+L571*$AC$21+M571*$AC$22+N571*$AC$23+O571*$AC$24+P571*$AC$25+Q571*$AC$26+R571*$AC$27+S571*$AC$28+T571*$AC$29+U571*$AC$30</f>
        <v/>
      </c>
      <c r="W571" s="6">
        <f>1/(1+EXP(-V571))</f>
        <v/>
      </c>
      <c r="X571" s="8">
        <f>-IF(C571=1,LN(W571),LN(1-W571))</f>
        <v/>
      </c>
      <c r="Y571" s="9">
        <f>IF(W571&gt;$AC$32,1,0)</f>
        <v/>
      </c>
      <c r="Z571">
        <f>IF(Y571=C571,1,0)</f>
        <v/>
      </c>
    </row>
    <row r="572">
      <c r="A572">
        <f>'3 escalar'!A575</f>
        <v/>
      </c>
      <c r="B572" s="5">
        <f>'3 escalar'!U575</f>
        <v/>
      </c>
      <c r="C572">
        <f>'3 escalar'!B575</f>
        <v/>
      </c>
      <c r="D572" s="7">
        <f>'3 escalar'!C575</f>
        <v/>
      </c>
      <c r="E572" s="7">
        <f>'3 escalar'!D575</f>
        <v/>
      </c>
      <c r="F572" s="7">
        <f>'3 escalar'!E575</f>
        <v/>
      </c>
      <c r="G572" s="7">
        <f>'3 escalar'!F575</f>
        <v/>
      </c>
      <c r="H572" s="7">
        <f>'3 escalar'!G575</f>
        <v/>
      </c>
      <c r="I572" s="7">
        <f>'3 escalar'!H575</f>
        <v/>
      </c>
      <c r="J572" s="7">
        <f>'3 escalar'!I575</f>
        <v/>
      </c>
      <c r="K572" s="7">
        <f>'3 escalar'!J575</f>
        <v/>
      </c>
      <c r="L572" s="7">
        <f>'3 escalar'!K575</f>
        <v/>
      </c>
      <c r="M572" s="7">
        <f>'3 escalar'!L575</f>
        <v/>
      </c>
      <c r="N572" s="7">
        <f>'3 escalar'!M575</f>
        <v/>
      </c>
      <c r="O572" s="7">
        <f>'3 escalar'!N575</f>
        <v/>
      </c>
      <c r="P572" s="7">
        <f>'3 escalar'!O575</f>
        <v/>
      </c>
      <c r="Q572" s="7">
        <f>'3 escalar'!P575</f>
        <v/>
      </c>
      <c r="R572" s="7">
        <f>'3 escalar'!Q575</f>
        <v/>
      </c>
      <c r="S572" s="7">
        <f>'3 escalar'!R575</f>
        <v/>
      </c>
      <c r="T572" s="7">
        <f>'3 escalar'!S575</f>
        <v/>
      </c>
      <c r="U572" s="7">
        <f>'3 escalar'!T575</f>
        <v/>
      </c>
      <c r="V572" s="6">
        <f>$AC$12+D572*$AC$13+E572*$AC$14+F572*$AC$15+G572*$AC$16+H572*$AC$17+I572*$AC$18+J572*$AC$19+K572*$AC$20+L572*$AC$21+M572*$AC$22+N572*$AC$23+O572*$AC$24+P572*$AC$25+Q572*$AC$26+R572*$AC$27+S572*$AC$28+T572*$AC$29+U572*$AC$30</f>
        <v/>
      </c>
      <c r="W572" s="6">
        <f>1/(1+EXP(-V572))</f>
        <v/>
      </c>
      <c r="X572" s="8">
        <f>-IF(C572=1,LN(W572),LN(1-W572))</f>
        <v/>
      </c>
      <c r="Y572" s="9">
        <f>IF(W572&gt;$AC$32,1,0)</f>
        <v/>
      </c>
      <c r="Z572">
        <f>IF(Y572=C572,1,0)</f>
        <v/>
      </c>
    </row>
    <row r="573">
      <c r="A573">
        <f>'3 escalar'!A576</f>
        <v/>
      </c>
      <c r="B573" s="5">
        <f>'3 escalar'!U576</f>
        <v/>
      </c>
      <c r="C573">
        <f>'3 escalar'!B576</f>
        <v/>
      </c>
      <c r="D573" s="7">
        <f>'3 escalar'!C576</f>
        <v/>
      </c>
      <c r="E573" s="7">
        <f>'3 escalar'!D576</f>
        <v/>
      </c>
      <c r="F573" s="7">
        <f>'3 escalar'!E576</f>
        <v/>
      </c>
      <c r="G573" s="7">
        <f>'3 escalar'!F576</f>
        <v/>
      </c>
      <c r="H573" s="7">
        <f>'3 escalar'!G576</f>
        <v/>
      </c>
      <c r="I573" s="7">
        <f>'3 escalar'!H576</f>
        <v/>
      </c>
      <c r="J573" s="7">
        <f>'3 escalar'!I576</f>
        <v/>
      </c>
      <c r="K573" s="7">
        <f>'3 escalar'!J576</f>
        <v/>
      </c>
      <c r="L573" s="7">
        <f>'3 escalar'!K576</f>
        <v/>
      </c>
      <c r="M573" s="7">
        <f>'3 escalar'!L576</f>
        <v/>
      </c>
      <c r="N573" s="7">
        <f>'3 escalar'!M576</f>
        <v/>
      </c>
      <c r="O573" s="7">
        <f>'3 escalar'!N576</f>
        <v/>
      </c>
      <c r="P573" s="7">
        <f>'3 escalar'!O576</f>
        <v/>
      </c>
      <c r="Q573" s="7">
        <f>'3 escalar'!P576</f>
        <v/>
      </c>
      <c r="R573" s="7">
        <f>'3 escalar'!Q576</f>
        <v/>
      </c>
      <c r="S573" s="7">
        <f>'3 escalar'!R576</f>
        <v/>
      </c>
      <c r="T573" s="7">
        <f>'3 escalar'!S576</f>
        <v/>
      </c>
      <c r="U573" s="7">
        <f>'3 escalar'!T576</f>
        <v/>
      </c>
      <c r="V573" s="6">
        <f>$AC$12+D573*$AC$13+E573*$AC$14+F573*$AC$15+G573*$AC$16+H573*$AC$17+I573*$AC$18+J573*$AC$19+K573*$AC$20+L573*$AC$21+M573*$AC$22+N573*$AC$23+O573*$AC$24+P573*$AC$25+Q573*$AC$26+R573*$AC$27+S573*$AC$28+T573*$AC$29+U573*$AC$30</f>
        <v/>
      </c>
      <c r="W573" s="6">
        <f>1/(1+EXP(-V573))</f>
        <v/>
      </c>
      <c r="X573" s="8">
        <f>-IF(C573=1,LN(W573),LN(1-W573))</f>
        <v/>
      </c>
      <c r="Y573" s="9">
        <f>IF(W573&gt;$AC$32,1,0)</f>
        <v/>
      </c>
      <c r="Z573">
        <f>IF(Y573=C573,1,0)</f>
        <v/>
      </c>
    </row>
    <row r="574">
      <c r="A574">
        <f>'3 escalar'!A577</f>
        <v/>
      </c>
      <c r="B574" s="5">
        <f>'3 escalar'!U577</f>
        <v/>
      </c>
      <c r="C574">
        <f>'3 escalar'!B577</f>
        <v/>
      </c>
      <c r="D574" s="7">
        <f>'3 escalar'!C577</f>
        <v/>
      </c>
      <c r="E574" s="7">
        <f>'3 escalar'!D577</f>
        <v/>
      </c>
      <c r="F574" s="7">
        <f>'3 escalar'!E577</f>
        <v/>
      </c>
      <c r="G574" s="7">
        <f>'3 escalar'!F577</f>
        <v/>
      </c>
      <c r="H574" s="7">
        <f>'3 escalar'!G577</f>
        <v/>
      </c>
      <c r="I574" s="7">
        <f>'3 escalar'!H577</f>
        <v/>
      </c>
      <c r="J574" s="7">
        <f>'3 escalar'!I577</f>
        <v/>
      </c>
      <c r="K574" s="7">
        <f>'3 escalar'!J577</f>
        <v/>
      </c>
      <c r="L574" s="7">
        <f>'3 escalar'!K577</f>
        <v/>
      </c>
      <c r="M574" s="7">
        <f>'3 escalar'!L577</f>
        <v/>
      </c>
      <c r="N574" s="7">
        <f>'3 escalar'!M577</f>
        <v/>
      </c>
      <c r="O574" s="7">
        <f>'3 escalar'!N577</f>
        <v/>
      </c>
      <c r="P574" s="7">
        <f>'3 escalar'!O577</f>
        <v/>
      </c>
      <c r="Q574" s="7">
        <f>'3 escalar'!P577</f>
        <v/>
      </c>
      <c r="R574" s="7">
        <f>'3 escalar'!Q577</f>
        <v/>
      </c>
      <c r="S574" s="7">
        <f>'3 escalar'!R577</f>
        <v/>
      </c>
      <c r="T574" s="7">
        <f>'3 escalar'!S577</f>
        <v/>
      </c>
      <c r="U574" s="7">
        <f>'3 escalar'!T577</f>
        <v/>
      </c>
      <c r="V574" s="6">
        <f>$AC$12+D574*$AC$13+E574*$AC$14+F574*$AC$15+G574*$AC$16+H574*$AC$17+I574*$AC$18+J574*$AC$19+K574*$AC$20+L574*$AC$21+M574*$AC$22+N574*$AC$23+O574*$AC$24+P574*$AC$25+Q574*$AC$26+R574*$AC$27+S574*$AC$28+T574*$AC$29+U574*$AC$30</f>
        <v/>
      </c>
      <c r="W574" s="6">
        <f>1/(1+EXP(-V574))</f>
        <v/>
      </c>
      <c r="X574" s="8">
        <f>-IF(C574=1,LN(W574),LN(1-W574))</f>
        <v/>
      </c>
      <c r="Y574" s="9">
        <f>IF(W574&gt;$AC$32,1,0)</f>
        <v/>
      </c>
      <c r="Z574">
        <f>IF(Y574=C574,1,0)</f>
        <v/>
      </c>
    </row>
    <row r="575">
      <c r="A575">
        <f>'3 escalar'!A578</f>
        <v/>
      </c>
      <c r="B575" s="5">
        <f>'3 escalar'!U578</f>
        <v/>
      </c>
      <c r="C575">
        <f>'3 escalar'!B578</f>
        <v/>
      </c>
      <c r="D575" s="7">
        <f>'3 escalar'!C578</f>
        <v/>
      </c>
      <c r="E575" s="7">
        <f>'3 escalar'!D578</f>
        <v/>
      </c>
      <c r="F575" s="7">
        <f>'3 escalar'!E578</f>
        <v/>
      </c>
      <c r="G575" s="7">
        <f>'3 escalar'!F578</f>
        <v/>
      </c>
      <c r="H575" s="7">
        <f>'3 escalar'!G578</f>
        <v/>
      </c>
      <c r="I575" s="7">
        <f>'3 escalar'!H578</f>
        <v/>
      </c>
      <c r="J575" s="7">
        <f>'3 escalar'!I578</f>
        <v/>
      </c>
      <c r="K575" s="7">
        <f>'3 escalar'!J578</f>
        <v/>
      </c>
      <c r="L575" s="7">
        <f>'3 escalar'!K578</f>
        <v/>
      </c>
      <c r="M575" s="7">
        <f>'3 escalar'!L578</f>
        <v/>
      </c>
      <c r="N575" s="7">
        <f>'3 escalar'!M578</f>
        <v/>
      </c>
      <c r="O575" s="7">
        <f>'3 escalar'!N578</f>
        <v/>
      </c>
      <c r="P575" s="7">
        <f>'3 escalar'!O578</f>
        <v/>
      </c>
      <c r="Q575" s="7">
        <f>'3 escalar'!P578</f>
        <v/>
      </c>
      <c r="R575" s="7">
        <f>'3 escalar'!Q578</f>
        <v/>
      </c>
      <c r="S575" s="7">
        <f>'3 escalar'!R578</f>
        <v/>
      </c>
      <c r="T575" s="7">
        <f>'3 escalar'!S578</f>
        <v/>
      </c>
      <c r="U575" s="7">
        <f>'3 escalar'!T578</f>
        <v/>
      </c>
      <c r="V575" s="6">
        <f>$AC$12+D575*$AC$13+E575*$AC$14+F575*$AC$15+G575*$AC$16+H575*$AC$17+I575*$AC$18+J575*$AC$19+K575*$AC$20+L575*$AC$21+M575*$AC$22+N575*$AC$23+O575*$AC$24+P575*$AC$25+Q575*$AC$26+R575*$AC$27+S575*$AC$28+T575*$AC$29+U575*$AC$30</f>
        <v/>
      </c>
      <c r="W575" s="6">
        <f>1/(1+EXP(-V575))</f>
        <v/>
      </c>
      <c r="X575" s="8">
        <f>-IF(C575=1,LN(W575),LN(1-W575))</f>
        <v/>
      </c>
      <c r="Y575" s="9">
        <f>IF(W575&gt;$AC$32,1,0)</f>
        <v/>
      </c>
      <c r="Z575">
        <f>IF(Y575=C575,1,0)</f>
        <v/>
      </c>
    </row>
    <row r="576">
      <c r="A576">
        <f>'3 escalar'!A579</f>
        <v/>
      </c>
      <c r="B576" s="5">
        <f>'3 escalar'!U579</f>
        <v/>
      </c>
      <c r="C576">
        <f>'3 escalar'!B579</f>
        <v/>
      </c>
      <c r="D576" s="7">
        <f>'3 escalar'!C579</f>
        <v/>
      </c>
      <c r="E576" s="7">
        <f>'3 escalar'!D579</f>
        <v/>
      </c>
      <c r="F576" s="7">
        <f>'3 escalar'!E579</f>
        <v/>
      </c>
      <c r="G576" s="7">
        <f>'3 escalar'!F579</f>
        <v/>
      </c>
      <c r="H576" s="7">
        <f>'3 escalar'!G579</f>
        <v/>
      </c>
      <c r="I576" s="7">
        <f>'3 escalar'!H579</f>
        <v/>
      </c>
      <c r="J576" s="7">
        <f>'3 escalar'!I579</f>
        <v/>
      </c>
      <c r="K576" s="7">
        <f>'3 escalar'!J579</f>
        <v/>
      </c>
      <c r="L576" s="7">
        <f>'3 escalar'!K579</f>
        <v/>
      </c>
      <c r="M576" s="7">
        <f>'3 escalar'!L579</f>
        <v/>
      </c>
      <c r="N576" s="7">
        <f>'3 escalar'!M579</f>
        <v/>
      </c>
      <c r="O576" s="7">
        <f>'3 escalar'!N579</f>
        <v/>
      </c>
      <c r="P576" s="7">
        <f>'3 escalar'!O579</f>
        <v/>
      </c>
      <c r="Q576" s="7">
        <f>'3 escalar'!P579</f>
        <v/>
      </c>
      <c r="R576" s="7">
        <f>'3 escalar'!Q579</f>
        <v/>
      </c>
      <c r="S576" s="7">
        <f>'3 escalar'!R579</f>
        <v/>
      </c>
      <c r="T576" s="7">
        <f>'3 escalar'!S579</f>
        <v/>
      </c>
      <c r="U576" s="7">
        <f>'3 escalar'!T579</f>
        <v/>
      </c>
      <c r="V576" s="6">
        <f>$AC$12+D576*$AC$13+E576*$AC$14+F576*$AC$15+G576*$AC$16+H576*$AC$17+I576*$AC$18+J576*$AC$19+K576*$AC$20+L576*$AC$21+M576*$AC$22+N576*$AC$23+O576*$AC$24+P576*$AC$25+Q576*$AC$26+R576*$AC$27+S576*$AC$28+T576*$AC$29+U576*$AC$30</f>
        <v/>
      </c>
      <c r="W576" s="6">
        <f>1/(1+EXP(-V576))</f>
        <v/>
      </c>
      <c r="X576" s="8">
        <f>-IF(C576=1,LN(W576),LN(1-W576))</f>
        <v/>
      </c>
      <c r="Y576" s="9">
        <f>IF(W576&gt;$AC$32,1,0)</f>
        <v/>
      </c>
      <c r="Z576">
        <f>IF(Y576=C576,1,0)</f>
        <v/>
      </c>
    </row>
    <row r="577">
      <c r="A577">
        <f>'3 escalar'!A580</f>
        <v/>
      </c>
      <c r="B577" s="5">
        <f>'3 escalar'!U580</f>
        <v/>
      </c>
      <c r="C577">
        <f>'3 escalar'!B580</f>
        <v/>
      </c>
      <c r="D577" s="7">
        <f>'3 escalar'!C580</f>
        <v/>
      </c>
      <c r="E577" s="7">
        <f>'3 escalar'!D580</f>
        <v/>
      </c>
      <c r="F577" s="7">
        <f>'3 escalar'!E580</f>
        <v/>
      </c>
      <c r="G577" s="7">
        <f>'3 escalar'!F580</f>
        <v/>
      </c>
      <c r="H577" s="7">
        <f>'3 escalar'!G580</f>
        <v/>
      </c>
      <c r="I577" s="7">
        <f>'3 escalar'!H580</f>
        <v/>
      </c>
      <c r="J577" s="7">
        <f>'3 escalar'!I580</f>
        <v/>
      </c>
      <c r="K577" s="7">
        <f>'3 escalar'!J580</f>
        <v/>
      </c>
      <c r="L577" s="7">
        <f>'3 escalar'!K580</f>
        <v/>
      </c>
      <c r="M577" s="7">
        <f>'3 escalar'!L580</f>
        <v/>
      </c>
      <c r="N577" s="7">
        <f>'3 escalar'!M580</f>
        <v/>
      </c>
      <c r="O577" s="7">
        <f>'3 escalar'!N580</f>
        <v/>
      </c>
      <c r="P577" s="7">
        <f>'3 escalar'!O580</f>
        <v/>
      </c>
      <c r="Q577" s="7">
        <f>'3 escalar'!P580</f>
        <v/>
      </c>
      <c r="R577" s="7">
        <f>'3 escalar'!Q580</f>
        <v/>
      </c>
      <c r="S577" s="7">
        <f>'3 escalar'!R580</f>
        <v/>
      </c>
      <c r="T577" s="7">
        <f>'3 escalar'!S580</f>
        <v/>
      </c>
      <c r="U577" s="7">
        <f>'3 escalar'!T580</f>
        <v/>
      </c>
      <c r="V577" s="6">
        <f>$AC$12+D577*$AC$13+E577*$AC$14+F577*$AC$15+G577*$AC$16+H577*$AC$17+I577*$AC$18+J577*$AC$19+K577*$AC$20+L577*$AC$21+M577*$AC$22+N577*$AC$23+O577*$AC$24+P577*$AC$25+Q577*$AC$26+R577*$AC$27+S577*$AC$28+T577*$AC$29+U577*$AC$30</f>
        <v/>
      </c>
      <c r="W577" s="6">
        <f>1/(1+EXP(-V577))</f>
        <v/>
      </c>
      <c r="X577" s="8">
        <f>-IF(C577=1,LN(W577),LN(1-W577))</f>
        <v/>
      </c>
      <c r="Y577" s="9">
        <f>IF(W577&gt;$AC$32,1,0)</f>
        <v/>
      </c>
      <c r="Z577">
        <f>IF(Y577=C577,1,0)</f>
        <v/>
      </c>
    </row>
    <row r="578">
      <c r="A578">
        <f>'3 escalar'!A581</f>
        <v/>
      </c>
      <c r="B578" s="5">
        <f>'3 escalar'!U581</f>
        <v/>
      </c>
      <c r="C578">
        <f>'3 escalar'!B581</f>
        <v/>
      </c>
      <c r="D578" s="7">
        <f>'3 escalar'!C581</f>
        <v/>
      </c>
      <c r="E578" s="7">
        <f>'3 escalar'!D581</f>
        <v/>
      </c>
      <c r="F578" s="7">
        <f>'3 escalar'!E581</f>
        <v/>
      </c>
      <c r="G578" s="7">
        <f>'3 escalar'!F581</f>
        <v/>
      </c>
      <c r="H578" s="7">
        <f>'3 escalar'!G581</f>
        <v/>
      </c>
      <c r="I578" s="7">
        <f>'3 escalar'!H581</f>
        <v/>
      </c>
      <c r="J578" s="7">
        <f>'3 escalar'!I581</f>
        <v/>
      </c>
      <c r="K578" s="7">
        <f>'3 escalar'!J581</f>
        <v/>
      </c>
      <c r="L578" s="7">
        <f>'3 escalar'!K581</f>
        <v/>
      </c>
      <c r="M578" s="7">
        <f>'3 escalar'!L581</f>
        <v/>
      </c>
      <c r="N578" s="7">
        <f>'3 escalar'!M581</f>
        <v/>
      </c>
      <c r="O578" s="7">
        <f>'3 escalar'!N581</f>
        <v/>
      </c>
      <c r="P578" s="7">
        <f>'3 escalar'!O581</f>
        <v/>
      </c>
      <c r="Q578" s="7">
        <f>'3 escalar'!P581</f>
        <v/>
      </c>
      <c r="R578" s="7">
        <f>'3 escalar'!Q581</f>
        <v/>
      </c>
      <c r="S578" s="7">
        <f>'3 escalar'!R581</f>
        <v/>
      </c>
      <c r="T578" s="7">
        <f>'3 escalar'!S581</f>
        <v/>
      </c>
      <c r="U578" s="7">
        <f>'3 escalar'!T581</f>
        <v/>
      </c>
      <c r="V578" s="6">
        <f>$AC$12+D578*$AC$13+E578*$AC$14+F578*$AC$15+G578*$AC$16+H578*$AC$17+I578*$AC$18+J578*$AC$19+K578*$AC$20+L578*$AC$21+M578*$AC$22+N578*$AC$23+O578*$AC$24+P578*$AC$25+Q578*$AC$26+R578*$AC$27+S578*$AC$28+T578*$AC$29+U578*$AC$30</f>
        <v/>
      </c>
      <c r="W578" s="6">
        <f>1/(1+EXP(-V578))</f>
        <v/>
      </c>
      <c r="X578" s="8">
        <f>-IF(C578=1,LN(W578),LN(1-W578))</f>
        <v/>
      </c>
      <c r="Y578" s="9">
        <f>IF(W578&gt;$AC$32,1,0)</f>
        <v/>
      </c>
      <c r="Z578">
        <f>IF(Y578=C578,1,0)</f>
        <v/>
      </c>
    </row>
    <row r="579">
      <c r="A579">
        <f>'3 escalar'!A582</f>
        <v/>
      </c>
      <c r="B579" s="5">
        <f>'3 escalar'!U582</f>
        <v/>
      </c>
      <c r="C579">
        <f>'3 escalar'!B582</f>
        <v/>
      </c>
      <c r="D579" s="7">
        <f>'3 escalar'!C582</f>
        <v/>
      </c>
      <c r="E579" s="7">
        <f>'3 escalar'!D582</f>
        <v/>
      </c>
      <c r="F579" s="7">
        <f>'3 escalar'!E582</f>
        <v/>
      </c>
      <c r="G579" s="7">
        <f>'3 escalar'!F582</f>
        <v/>
      </c>
      <c r="H579" s="7">
        <f>'3 escalar'!G582</f>
        <v/>
      </c>
      <c r="I579" s="7">
        <f>'3 escalar'!H582</f>
        <v/>
      </c>
      <c r="J579" s="7">
        <f>'3 escalar'!I582</f>
        <v/>
      </c>
      <c r="K579" s="7">
        <f>'3 escalar'!J582</f>
        <v/>
      </c>
      <c r="L579" s="7">
        <f>'3 escalar'!K582</f>
        <v/>
      </c>
      <c r="M579" s="7">
        <f>'3 escalar'!L582</f>
        <v/>
      </c>
      <c r="N579" s="7">
        <f>'3 escalar'!M582</f>
        <v/>
      </c>
      <c r="O579" s="7">
        <f>'3 escalar'!N582</f>
        <v/>
      </c>
      <c r="P579" s="7">
        <f>'3 escalar'!O582</f>
        <v/>
      </c>
      <c r="Q579" s="7">
        <f>'3 escalar'!P582</f>
        <v/>
      </c>
      <c r="R579" s="7">
        <f>'3 escalar'!Q582</f>
        <v/>
      </c>
      <c r="S579" s="7">
        <f>'3 escalar'!R582</f>
        <v/>
      </c>
      <c r="T579" s="7">
        <f>'3 escalar'!S582</f>
        <v/>
      </c>
      <c r="U579" s="7">
        <f>'3 escalar'!T582</f>
        <v/>
      </c>
      <c r="V579" s="6">
        <f>$AC$12+D579*$AC$13+E579*$AC$14+F579*$AC$15+G579*$AC$16+H579*$AC$17+I579*$AC$18+J579*$AC$19+K579*$AC$20+L579*$AC$21+M579*$AC$22+N579*$AC$23+O579*$AC$24+P579*$AC$25+Q579*$AC$26+R579*$AC$27+S579*$AC$28+T579*$AC$29+U579*$AC$30</f>
        <v/>
      </c>
      <c r="W579" s="6">
        <f>1/(1+EXP(-V579))</f>
        <v/>
      </c>
      <c r="X579" s="8">
        <f>-IF(C579=1,LN(W579),LN(1-W579))</f>
        <v/>
      </c>
      <c r="Y579" s="9">
        <f>IF(W579&gt;$AC$32,1,0)</f>
        <v/>
      </c>
      <c r="Z579">
        <f>IF(Y579=C579,1,0)</f>
        <v/>
      </c>
    </row>
    <row r="580">
      <c r="A580">
        <f>'3 escalar'!A583</f>
        <v/>
      </c>
      <c r="B580" s="5">
        <f>'3 escalar'!U583</f>
        <v/>
      </c>
      <c r="C580">
        <f>'3 escalar'!B583</f>
        <v/>
      </c>
      <c r="D580" s="7">
        <f>'3 escalar'!C583</f>
        <v/>
      </c>
      <c r="E580" s="7">
        <f>'3 escalar'!D583</f>
        <v/>
      </c>
      <c r="F580" s="7">
        <f>'3 escalar'!E583</f>
        <v/>
      </c>
      <c r="G580" s="7">
        <f>'3 escalar'!F583</f>
        <v/>
      </c>
      <c r="H580" s="7">
        <f>'3 escalar'!G583</f>
        <v/>
      </c>
      <c r="I580" s="7">
        <f>'3 escalar'!H583</f>
        <v/>
      </c>
      <c r="J580" s="7">
        <f>'3 escalar'!I583</f>
        <v/>
      </c>
      <c r="K580" s="7">
        <f>'3 escalar'!J583</f>
        <v/>
      </c>
      <c r="L580" s="7">
        <f>'3 escalar'!K583</f>
        <v/>
      </c>
      <c r="M580" s="7">
        <f>'3 escalar'!L583</f>
        <v/>
      </c>
      <c r="N580" s="7">
        <f>'3 escalar'!M583</f>
        <v/>
      </c>
      <c r="O580" s="7">
        <f>'3 escalar'!N583</f>
        <v/>
      </c>
      <c r="P580" s="7">
        <f>'3 escalar'!O583</f>
        <v/>
      </c>
      <c r="Q580" s="7">
        <f>'3 escalar'!P583</f>
        <v/>
      </c>
      <c r="R580" s="7">
        <f>'3 escalar'!Q583</f>
        <v/>
      </c>
      <c r="S580" s="7">
        <f>'3 escalar'!R583</f>
        <v/>
      </c>
      <c r="T580" s="7">
        <f>'3 escalar'!S583</f>
        <v/>
      </c>
      <c r="U580" s="7">
        <f>'3 escalar'!T583</f>
        <v/>
      </c>
      <c r="V580" s="6">
        <f>$AC$12+D580*$AC$13+E580*$AC$14+F580*$AC$15+G580*$AC$16+H580*$AC$17+I580*$AC$18+J580*$AC$19+K580*$AC$20+L580*$AC$21+M580*$AC$22+N580*$AC$23+O580*$AC$24+P580*$AC$25+Q580*$AC$26+R580*$AC$27+S580*$AC$28+T580*$AC$29+U580*$AC$30</f>
        <v/>
      </c>
      <c r="W580" s="6">
        <f>1/(1+EXP(-V580))</f>
        <v/>
      </c>
      <c r="X580" s="8">
        <f>-IF(C580=1,LN(W580),LN(1-W580))</f>
        <v/>
      </c>
      <c r="Y580" s="9">
        <f>IF(W580&gt;$AC$32,1,0)</f>
        <v/>
      </c>
      <c r="Z580">
        <f>IF(Y580=C580,1,0)</f>
        <v/>
      </c>
    </row>
    <row r="581">
      <c r="A581">
        <f>'3 escalar'!A584</f>
        <v/>
      </c>
      <c r="B581" s="5">
        <f>'3 escalar'!U584</f>
        <v/>
      </c>
      <c r="C581">
        <f>'3 escalar'!B584</f>
        <v/>
      </c>
      <c r="D581" s="7">
        <f>'3 escalar'!C584</f>
        <v/>
      </c>
      <c r="E581" s="7">
        <f>'3 escalar'!D584</f>
        <v/>
      </c>
      <c r="F581" s="7">
        <f>'3 escalar'!E584</f>
        <v/>
      </c>
      <c r="G581" s="7">
        <f>'3 escalar'!F584</f>
        <v/>
      </c>
      <c r="H581" s="7">
        <f>'3 escalar'!G584</f>
        <v/>
      </c>
      <c r="I581" s="7">
        <f>'3 escalar'!H584</f>
        <v/>
      </c>
      <c r="J581" s="7">
        <f>'3 escalar'!I584</f>
        <v/>
      </c>
      <c r="K581" s="7">
        <f>'3 escalar'!J584</f>
        <v/>
      </c>
      <c r="L581" s="7">
        <f>'3 escalar'!K584</f>
        <v/>
      </c>
      <c r="M581" s="7">
        <f>'3 escalar'!L584</f>
        <v/>
      </c>
      <c r="N581" s="7">
        <f>'3 escalar'!M584</f>
        <v/>
      </c>
      <c r="O581" s="7">
        <f>'3 escalar'!N584</f>
        <v/>
      </c>
      <c r="P581" s="7">
        <f>'3 escalar'!O584</f>
        <v/>
      </c>
      <c r="Q581" s="7">
        <f>'3 escalar'!P584</f>
        <v/>
      </c>
      <c r="R581" s="7">
        <f>'3 escalar'!Q584</f>
        <v/>
      </c>
      <c r="S581" s="7">
        <f>'3 escalar'!R584</f>
        <v/>
      </c>
      <c r="T581" s="7">
        <f>'3 escalar'!S584</f>
        <v/>
      </c>
      <c r="U581" s="7">
        <f>'3 escalar'!T584</f>
        <v/>
      </c>
      <c r="V581" s="6">
        <f>$AC$12+D581*$AC$13+E581*$AC$14+F581*$AC$15+G581*$AC$16+H581*$AC$17+I581*$AC$18+J581*$AC$19+K581*$AC$20+L581*$AC$21+M581*$AC$22+N581*$AC$23+O581*$AC$24+P581*$AC$25+Q581*$AC$26+R581*$AC$27+S581*$AC$28+T581*$AC$29+U581*$AC$30</f>
        <v/>
      </c>
      <c r="W581" s="6">
        <f>1/(1+EXP(-V581))</f>
        <v/>
      </c>
      <c r="X581" s="8">
        <f>-IF(C581=1,LN(W581),LN(1-W581))</f>
        <v/>
      </c>
      <c r="Y581" s="9">
        <f>IF(W581&gt;$AC$32,1,0)</f>
        <v/>
      </c>
      <c r="Z581">
        <f>IF(Y581=C581,1,0)</f>
        <v/>
      </c>
    </row>
    <row r="582">
      <c r="A582">
        <f>'3 escalar'!A585</f>
        <v/>
      </c>
      <c r="B582" s="5">
        <f>'3 escalar'!U585</f>
        <v/>
      </c>
      <c r="C582">
        <f>'3 escalar'!B585</f>
        <v/>
      </c>
      <c r="D582" s="7">
        <f>'3 escalar'!C585</f>
        <v/>
      </c>
      <c r="E582" s="7">
        <f>'3 escalar'!D585</f>
        <v/>
      </c>
      <c r="F582" s="7">
        <f>'3 escalar'!E585</f>
        <v/>
      </c>
      <c r="G582" s="7">
        <f>'3 escalar'!F585</f>
        <v/>
      </c>
      <c r="H582" s="7">
        <f>'3 escalar'!G585</f>
        <v/>
      </c>
      <c r="I582" s="7">
        <f>'3 escalar'!H585</f>
        <v/>
      </c>
      <c r="J582" s="7">
        <f>'3 escalar'!I585</f>
        <v/>
      </c>
      <c r="K582" s="7">
        <f>'3 escalar'!J585</f>
        <v/>
      </c>
      <c r="L582" s="7">
        <f>'3 escalar'!K585</f>
        <v/>
      </c>
      <c r="M582" s="7">
        <f>'3 escalar'!L585</f>
        <v/>
      </c>
      <c r="N582" s="7">
        <f>'3 escalar'!M585</f>
        <v/>
      </c>
      <c r="O582" s="7">
        <f>'3 escalar'!N585</f>
        <v/>
      </c>
      <c r="P582" s="7">
        <f>'3 escalar'!O585</f>
        <v/>
      </c>
      <c r="Q582" s="7">
        <f>'3 escalar'!P585</f>
        <v/>
      </c>
      <c r="R582" s="7">
        <f>'3 escalar'!Q585</f>
        <v/>
      </c>
      <c r="S582" s="7">
        <f>'3 escalar'!R585</f>
        <v/>
      </c>
      <c r="T582" s="7">
        <f>'3 escalar'!S585</f>
        <v/>
      </c>
      <c r="U582" s="7">
        <f>'3 escalar'!T585</f>
        <v/>
      </c>
      <c r="V582" s="6">
        <f>$AC$12+D582*$AC$13+E582*$AC$14+F582*$AC$15+G582*$AC$16+H582*$AC$17+I582*$AC$18+J582*$AC$19+K582*$AC$20+L582*$AC$21+M582*$AC$22+N582*$AC$23+O582*$AC$24+P582*$AC$25+Q582*$AC$26+R582*$AC$27+S582*$AC$28+T582*$AC$29+U582*$AC$30</f>
        <v/>
      </c>
      <c r="W582" s="6">
        <f>1/(1+EXP(-V582))</f>
        <v/>
      </c>
      <c r="X582" s="8">
        <f>-IF(C582=1,LN(W582),LN(1-W582))</f>
        <v/>
      </c>
      <c r="Y582" s="9">
        <f>IF(W582&gt;$AC$32,1,0)</f>
        <v/>
      </c>
      <c r="Z582">
        <f>IF(Y582=C582,1,0)</f>
        <v/>
      </c>
    </row>
    <row r="583">
      <c r="A583">
        <f>'3 escalar'!A586</f>
        <v/>
      </c>
      <c r="B583" s="5">
        <f>'3 escalar'!U586</f>
        <v/>
      </c>
      <c r="C583">
        <f>'3 escalar'!B586</f>
        <v/>
      </c>
      <c r="D583" s="7">
        <f>'3 escalar'!C586</f>
        <v/>
      </c>
      <c r="E583" s="7">
        <f>'3 escalar'!D586</f>
        <v/>
      </c>
      <c r="F583" s="7">
        <f>'3 escalar'!E586</f>
        <v/>
      </c>
      <c r="G583" s="7">
        <f>'3 escalar'!F586</f>
        <v/>
      </c>
      <c r="H583" s="7">
        <f>'3 escalar'!G586</f>
        <v/>
      </c>
      <c r="I583" s="7">
        <f>'3 escalar'!H586</f>
        <v/>
      </c>
      <c r="J583" s="7">
        <f>'3 escalar'!I586</f>
        <v/>
      </c>
      <c r="K583" s="7">
        <f>'3 escalar'!J586</f>
        <v/>
      </c>
      <c r="L583" s="7">
        <f>'3 escalar'!K586</f>
        <v/>
      </c>
      <c r="M583" s="7">
        <f>'3 escalar'!L586</f>
        <v/>
      </c>
      <c r="N583" s="7">
        <f>'3 escalar'!M586</f>
        <v/>
      </c>
      <c r="O583" s="7">
        <f>'3 escalar'!N586</f>
        <v/>
      </c>
      <c r="P583" s="7">
        <f>'3 escalar'!O586</f>
        <v/>
      </c>
      <c r="Q583" s="7">
        <f>'3 escalar'!P586</f>
        <v/>
      </c>
      <c r="R583" s="7">
        <f>'3 escalar'!Q586</f>
        <v/>
      </c>
      <c r="S583" s="7">
        <f>'3 escalar'!R586</f>
        <v/>
      </c>
      <c r="T583" s="7">
        <f>'3 escalar'!S586</f>
        <v/>
      </c>
      <c r="U583" s="7">
        <f>'3 escalar'!T586</f>
        <v/>
      </c>
      <c r="V583" s="6">
        <f>$AC$12+D583*$AC$13+E583*$AC$14+F583*$AC$15+G583*$AC$16+H583*$AC$17+I583*$AC$18+J583*$AC$19+K583*$AC$20+L583*$AC$21+M583*$AC$22+N583*$AC$23+O583*$AC$24+P583*$AC$25+Q583*$AC$26+R583*$AC$27+S583*$AC$28+T583*$AC$29+U583*$AC$30</f>
        <v/>
      </c>
      <c r="W583" s="6">
        <f>1/(1+EXP(-V583))</f>
        <v/>
      </c>
      <c r="X583" s="8">
        <f>-IF(C583=1,LN(W583),LN(1-W583))</f>
        <v/>
      </c>
      <c r="Y583" s="9">
        <f>IF(W583&gt;$AC$32,1,0)</f>
        <v/>
      </c>
      <c r="Z583">
        <f>IF(Y583=C583,1,0)</f>
        <v/>
      </c>
    </row>
    <row r="584">
      <c r="A584">
        <f>'3 escalar'!A587</f>
        <v/>
      </c>
      <c r="B584" s="5">
        <f>'3 escalar'!U587</f>
        <v/>
      </c>
      <c r="C584">
        <f>'3 escalar'!B587</f>
        <v/>
      </c>
      <c r="D584" s="7">
        <f>'3 escalar'!C587</f>
        <v/>
      </c>
      <c r="E584" s="7">
        <f>'3 escalar'!D587</f>
        <v/>
      </c>
      <c r="F584" s="7">
        <f>'3 escalar'!E587</f>
        <v/>
      </c>
      <c r="G584" s="7">
        <f>'3 escalar'!F587</f>
        <v/>
      </c>
      <c r="H584" s="7">
        <f>'3 escalar'!G587</f>
        <v/>
      </c>
      <c r="I584" s="7">
        <f>'3 escalar'!H587</f>
        <v/>
      </c>
      <c r="J584" s="7">
        <f>'3 escalar'!I587</f>
        <v/>
      </c>
      <c r="K584" s="7">
        <f>'3 escalar'!J587</f>
        <v/>
      </c>
      <c r="L584" s="7">
        <f>'3 escalar'!K587</f>
        <v/>
      </c>
      <c r="M584" s="7">
        <f>'3 escalar'!L587</f>
        <v/>
      </c>
      <c r="N584" s="7">
        <f>'3 escalar'!M587</f>
        <v/>
      </c>
      <c r="O584" s="7">
        <f>'3 escalar'!N587</f>
        <v/>
      </c>
      <c r="P584" s="7">
        <f>'3 escalar'!O587</f>
        <v/>
      </c>
      <c r="Q584" s="7">
        <f>'3 escalar'!P587</f>
        <v/>
      </c>
      <c r="R584" s="7">
        <f>'3 escalar'!Q587</f>
        <v/>
      </c>
      <c r="S584" s="7">
        <f>'3 escalar'!R587</f>
        <v/>
      </c>
      <c r="T584" s="7">
        <f>'3 escalar'!S587</f>
        <v/>
      </c>
      <c r="U584" s="7">
        <f>'3 escalar'!T587</f>
        <v/>
      </c>
      <c r="V584" s="6">
        <f>$AC$12+D584*$AC$13+E584*$AC$14+F584*$AC$15+G584*$AC$16+H584*$AC$17+I584*$AC$18+J584*$AC$19+K584*$AC$20+L584*$AC$21+M584*$AC$22+N584*$AC$23+O584*$AC$24+P584*$AC$25+Q584*$AC$26+R584*$AC$27+S584*$AC$28+T584*$AC$29+U584*$AC$30</f>
        <v/>
      </c>
      <c r="W584" s="6">
        <f>1/(1+EXP(-V584))</f>
        <v/>
      </c>
      <c r="X584" s="8">
        <f>-IF(C584=1,LN(W584),LN(1-W584))</f>
        <v/>
      </c>
      <c r="Y584" s="9">
        <f>IF(W584&gt;$AC$32,1,0)</f>
        <v/>
      </c>
      <c r="Z584">
        <f>IF(Y584=C584,1,0)</f>
        <v/>
      </c>
    </row>
    <row r="585">
      <c r="A585">
        <f>'3 escalar'!A588</f>
        <v/>
      </c>
      <c r="B585" s="5">
        <f>'3 escalar'!U588</f>
        <v/>
      </c>
      <c r="C585">
        <f>'3 escalar'!B588</f>
        <v/>
      </c>
      <c r="D585" s="7">
        <f>'3 escalar'!C588</f>
        <v/>
      </c>
      <c r="E585" s="7">
        <f>'3 escalar'!D588</f>
        <v/>
      </c>
      <c r="F585" s="7">
        <f>'3 escalar'!E588</f>
        <v/>
      </c>
      <c r="G585" s="7">
        <f>'3 escalar'!F588</f>
        <v/>
      </c>
      <c r="H585" s="7">
        <f>'3 escalar'!G588</f>
        <v/>
      </c>
      <c r="I585" s="7">
        <f>'3 escalar'!H588</f>
        <v/>
      </c>
      <c r="J585" s="7">
        <f>'3 escalar'!I588</f>
        <v/>
      </c>
      <c r="K585" s="7">
        <f>'3 escalar'!J588</f>
        <v/>
      </c>
      <c r="L585" s="7">
        <f>'3 escalar'!K588</f>
        <v/>
      </c>
      <c r="M585" s="7">
        <f>'3 escalar'!L588</f>
        <v/>
      </c>
      <c r="N585" s="7">
        <f>'3 escalar'!M588</f>
        <v/>
      </c>
      <c r="O585" s="7">
        <f>'3 escalar'!N588</f>
        <v/>
      </c>
      <c r="P585" s="7">
        <f>'3 escalar'!O588</f>
        <v/>
      </c>
      <c r="Q585" s="7">
        <f>'3 escalar'!P588</f>
        <v/>
      </c>
      <c r="R585" s="7">
        <f>'3 escalar'!Q588</f>
        <v/>
      </c>
      <c r="S585" s="7">
        <f>'3 escalar'!R588</f>
        <v/>
      </c>
      <c r="T585" s="7">
        <f>'3 escalar'!S588</f>
        <v/>
      </c>
      <c r="U585" s="7">
        <f>'3 escalar'!T588</f>
        <v/>
      </c>
      <c r="V585" s="6">
        <f>$AC$12+D585*$AC$13+E585*$AC$14+F585*$AC$15+G585*$AC$16+H585*$AC$17+I585*$AC$18+J585*$AC$19+K585*$AC$20+L585*$AC$21+M585*$AC$22+N585*$AC$23+O585*$AC$24+P585*$AC$25+Q585*$AC$26+R585*$AC$27+S585*$AC$28+T585*$AC$29+U585*$AC$30</f>
        <v/>
      </c>
      <c r="W585" s="6">
        <f>1/(1+EXP(-V585))</f>
        <v/>
      </c>
      <c r="X585" s="8">
        <f>-IF(C585=1,LN(W585),LN(1-W585))</f>
        <v/>
      </c>
      <c r="Y585" s="9">
        <f>IF(W585&gt;$AC$32,1,0)</f>
        <v/>
      </c>
      <c r="Z585">
        <f>IF(Y585=C585,1,0)</f>
        <v/>
      </c>
    </row>
    <row r="586">
      <c r="A586">
        <f>'3 escalar'!A589</f>
        <v/>
      </c>
      <c r="B586" s="5">
        <f>'3 escalar'!U589</f>
        <v/>
      </c>
      <c r="C586">
        <f>'3 escalar'!B589</f>
        <v/>
      </c>
      <c r="D586" s="7">
        <f>'3 escalar'!C589</f>
        <v/>
      </c>
      <c r="E586" s="7">
        <f>'3 escalar'!D589</f>
        <v/>
      </c>
      <c r="F586" s="7">
        <f>'3 escalar'!E589</f>
        <v/>
      </c>
      <c r="G586" s="7">
        <f>'3 escalar'!F589</f>
        <v/>
      </c>
      <c r="H586" s="7">
        <f>'3 escalar'!G589</f>
        <v/>
      </c>
      <c r="I586" s="7">
        <f>'3 escalar'!H589</f>
        <v/>
      </c>
      <c r="J586" s="7">
        <f>'3 escalar'!I589</f>
        <v/>
      </c>
      <c r="K586" s="7">
        <f>'3 escalar'!J589</f>
        <v/>
      </c>
      <c r="L586" s="7">
        <f>'3 escalar'!K589</f>
        <v/>
      </c>
      <c r="M586" s="7">
        <f>'3 escalar'!L589</f>
        <v/>
      </c>
      <c r="N586" s="7">
        <f>'3 escalar'!M589</f>
        <v/>
      </c>
      <c r="O586" s="7">
        <f>'3 escalar'!N589</f>
        <v/>
      </c>
      <c r="P586" s="7">
        <f>'3 escalar'!O589</f>
        <v/>
      </c>
      <c r="Q586" s="7">
        <f>'3 escalar'!P589</f>
        <v/>
      </c>
      <c r="R586" s="7">
        <f>'3 escalar'!Q589</f>
        <v/>
      </c>
      <c r="S586" s="7">
        <f>'3 escalar'!R589</f>
        <v/>
      </c>
      <c r="T586" s="7">
        <f>'3 escalar'!S589</f>
        <v/>
      </c>
      <c r="U586" s="7">
        <f>'3 escalar'!T589</f>
        <v/>
      </c>
      <c r="V586" s="6">
        <f>$AC$12+D586*$AC$13+E586*$AC$14+F586*$AC$15+G586*$AC$16+H586*$AC$17+I586*$AC$18+J586*$AC$19+K586*$AC$20+L586*$AC$21+M586*$AC$22+N586*$AC$23+O586*$AC$24+P586*$AC$25+Q586*$AC$26+R586*$AC$27+S586*$AC$28+T586*$AC$29+U586*$AC$30</f>
        <v/>
      </c>
      <c r="W586" s="6">
        <f>1/(1+EXP(-V586))</f>
        <v/>
      </c>
      <c r="X586" s="8">
        <f>-IF(C586=1,LN(W586),LN(1-W586))</f>
        <v/>
      </c>
      <c r="Y586" s="9">
        <f>IF(W586&gt;$AC$32,1,0)</f>
        <v/>
      </c>
      <c r="Z586">
        <f>IF(Y586=C586,1,0)</f>
        <v/>
      </c>
    </row>
    <row r="587">
      <c r="A587">
        <f>'3 escalar'!A590</f>
        <v/>
      </c>
      <c r="B587" s="5">
        <f>'3 escalar'!U590</f>
        <v/>
      </c>
      <c r="C587">
        <f>'3 escalar'!B590</f>
        <v/>
      </c>
      <c r="D587" s="7">
        <f>'3 escalar'!C590</f>
        <v/>
      </c>
      <c r="E587" s="7">
        <f>'3 escalar'!D590</f>
        <v/>
      </c>
      <c r="F587" s="7">
        <f>'3 escalar'!E590</f>
        <v/>
      </c>
      <c r="G587" s="7">
        <f>'3 escalar'!F590</f>
        <v/>
      </c>
      <c r="H587" s="7">
        <f>'3 escalar'!G590</f>
        <v/>
      </c>
      <c r="I587" s="7">
        <f>'3 escalar'!H590</f>
        <v/>
      </c>
      <c r="J587" s="7">
        <f>'3 escalar'!I590</f>
        <v/>
      </c>
      <c r="K587" s="7">
        <f>'3 escalar'!J590</f>
        <v/>
      </c>
      <c r="L587" s="7">
        <f>'3 escalar'!K590</f>
        <v/>
      </c>
      <c r="M587" s="7">
        <f>'3 escalar'!L590</f>
        <v/>
      </c>
      <c r="N587" s="7">
        <f>'3 escalar'!M590</f>
        <v/>
      </c>
      <c r="O587" s="7">
        <f>'3 escalar'!N590</f>
        <v/>
      </c>
      <c r="P587" s="7">
        <f>'3 escalar'!O590</f>
        <v/>
      </c>
      <c r="Q587" s="7">
        <f>'3 escalar'!P590</f>
        <v/>
      </c>
      <c r="R587" s="7">
        <f>'3 escalar'!Q590</f>
        <v/>
      </c>
      <c r="S587" s="7">
        <f>'3 escalar'!R590</f>
        <v/>
      </c>
      <c r="T587" s="7">
        <f>'3 escalar'!S590</f>
        <v/>
      </c>
      <c r="U587" s="7">
        <f>'3 escalar'!T590</f>
        <v/>
      </c>
      <c r="V587" s="6">
        <f>$AC$12+D587*$AC$13+E587*$AC$14+F587*$AC$15+G587*$AC$16+H587*$AC$17+I587*$AC$18+J587*$AC$19+K587*$AC$20+L587*$AC$21+M587*$AC$22+N587*$AC$23+O587*$AC$24+P587*$AC$25+Q587*$AC$26+R587*$AC$27+S587*$AC$28+T587*$AC$29+U587*$AC$30</f>
        <v/>
      </c>
      <c r="W587" s="6">
        <f>1/(1+EXP(-V587))</f>
        <v/>
      </c>
      <c r="X587" s="8">
        <f>-IF(C587=1,LN(W587),LN(1-W587))</f>
        <v/>
      </c>
      <c r="Y587" s="9">
        <f>IF(W587&gt;$AC$32,1,0)</f>
        <v/>
      </c>
      <c r="Z587">
        <f>IF(Y587=C587,1,0)</f>
        <v/>
      </c>
    </row>
    <row r="588">
      <c r="A588">
        <f>'3 escalar'!A591</f>
        <v/>
      </c>
      <c r="B588" s="5">
        <f>'3 escalar'!U591</f>
        <v/>
      </c>
      <c r="C588">
        <f>'3 escalar'!B591</f>
        <v/>
      </c>
      <c r="D588" s="7">
        <f>'3 escalar'!C591</f>
        <v/>
      </c>
      <c r="E588" s="7">
        <f>'3 escalar'!D591</f>
        <v/>
      </c>
      <c r="F588" s="7">
        <f>'3 escalar'!E591</f>
        <v/>
      </c>
      <c r="G588" s="7">
        <f>'3 escalar'!F591</f>
        <v/>
      </c>
      <c r="H588" s="7">
        <f>'3 escalar'!G591</f>
        <v/>
      </c>
      <c r="I588" s="7">
        <f>'3 escalar'!H591</f>
        <v/>
      </c>
      <c r="J588" s="7">
        <f>'3 escalar'!I591</f>
        <v/>
      </c>
      <c r="K588" s="7">
        <f>'3 escalar'!J591</f>
        <v/>
      </c>
      <c r="L588" s="7">
        <f>'3 escalar'!K591</f>
        <v/>
      </c>
      <c r="M588" s="7">
        <f>'3 escalar'!L591</f>
        <v/>
      </c>
      <c r="N588" s="7">
        <f>'3 escalar'!M591</f>
        <v/>
      </c>
      <c r="O588" s="7">
        <f>'3 escalar'!N591</f>
        <v/>
      </c>
      <c r="P588" s="7">
        <f>'3 escalar'!O591</f>
        <v/>
      </c>
      <c r="Q588" s="7">
        <f>'3 escalar'!P591</f>
        <v/>
      </c>
      <c r="R588" s="7">
        <f>'3 escalar'!Q591</f>
        <v/>
      </c>
      <c r="S588" s="7">
        <f>'3 escalar'!R591</f>
        <v/>
      </c>
      <c r="T588" s="7">
        <f>'3 escalar'!S591</f>
        <v/>
      </c>
      <c r="U588" s="7">
        <f>'3 escalar'!T591</f>
        <v/>
      </c>
      <c r="V588" s="6">
        <f>$AC$12+D588*$AC$13+E588*$AC$14+F588*$AC$15+G588*$AC$16+H588*$AC$17+I588*$AC$18+J588*$AC$19+K588*$AC$20+L588*$AC$21+M588*$AC$22+N588*$AC$23+O588*$AC$24+P588*$AC$25+Q588*$AC$26+R588*$AC$27+S588*$AC$28+T588*$AC$29+U588*$AC$30</f>
        <v/>
      </c>
      <c r="W588" s="6">
        <f>1/(1+EXP(-V588))</f>
        <v/>
      </c>
      <c r="X588" s="8">
        <f>-IF(C588=1,LN(W588),LN(1-W588))</f>
        <v/>
      </c>
      <c r="Y588" s="9">
        <f>IF(W588&gt;$AC$32,1,0)</f>
        <v/>
      </c>
      <c r="Z588">
        <f>IF(Y588=C588,1,0)</f>
        <v/>
      </c>
    </row>
    <row r="589">
      <c r="A589">
        <f>'3 escalar'!A592</f>
        <v/>
      </c>
      <c r="B589" s="5">
        <f>'3 escalar'!U592</f>
        <v/>
      </c>
      <c r="C589">
        <f>'3 escalar'!B592</f>
        <v/>
      </c>
      <c r="D589" s="7">
        <f>'3 escalar'!C592</f>
        <v/>
      </c>
      <c r="E589" s="7">
        <f>'3 escalar'!D592</f>
        <v/>
      </c>
      <c r="F589" s="7">
        <f>'3 escalar'!E592</f>
        <v/>
      </c>
      <c r="G589" s="7">
        <f>'3 escalar'!F592</f>
        <v/>
      </c>
      <c r="H589" s="7">
        <f>'3 escalar'!G592</f>
        <v/>
      </c>
      <c r="I589" s="7">
        <f>'3 escalar'!H592</f>
        <v/>
      </c>
      <c r="J589" s="7">
        <f>'3 escalar'!I592</f>
        <v/>
      </c>
      <c r="K589" s="7">
        <f>'3 escalar'!J592</f>
        <v/>
      </c>
      <c r="L589" s="7">
        <f>'3 escalar'!K592</f>
        <v/>
      </c>
      <c r="M589" s="7">
        <f>'3 escalar'!L592</f>
        <v/>
      </c>
      <c r="N589" s="7">
        <f>'3 escalar'!M592</f>
        <v/>
      </c>
      <c r="O589" s="7">
        <f>'3 escalar'!N592</f>
        <v/>
      </c>
      <c r="P589" s="7">
        <f>'3 escalar'!O592</f>
        <v/>
      </c>
      <c r="Q589" s="7">
        <f>'3 escalar'!P592</f>
        <v/>
      </c>
      <c r="R589" s="7">
        <f>'3 escalar'!Q592</f>
        <v/>
      </c>
      <c r="S589" s="7">
        <f>'3 escalar'!R592</f>
        <v/>
      </c>
      <c r="T589" s="7">
        <f>'3 escalar'!S592</f>
        <v/>
      </c>
      <c r="U589" s="7">
        <f>'3 escalar'!T592</f>
        <v/>
      </c>
      <c r="V589" s="6">
        <f>$AC$12+D589*$AC$13+E589*$AC$14+F589*$AC$15+G589*$AC$16+H589*$AC$17+I589*$AC$18+J589*$AC$19+K589*$AC$20+L589*$AC$21+M589*$AC$22+N589*$AC$23+O589*$AC$24+P589*$AC$25+Q589*$AC$26+R589*$AC$27+S589*$AC$28+T589*$AC$29+U589*$AC$30</f>
        <v/>
      </c>
      <c r="W589" s="6">
        <f>1/(1+EXP(-V589))</f>
        <v/>
      </c>
      <c r="X589" s="8">
        <f>-IF(C589=1,LN(W589),LN(1-W589))</f>
        <v/>
      </c>
      <c r="Y589" s="9">
        <f>IF(W589&gt;$AC$32,1,0)</f>
        <v/>
      </c>
      <c r="Z589">
        <f>IF(Y589=C589,1,0)</f>
        <v/>
      </c>
    </row>
    <row r="590">
      <c r="A590">
        <f>'3 escalar'!A593</f>
        <v/>
      </c>
      <c r="B590" s="5">
        <f>'3 escalar'!U593</f>
        <v/>
      </c>
      <c r="C590">
        <f>'3 escalar'!B593</f>
        <v/>
      </c>
      <c r="D590" s="7">
        <f>'3 escalar'!C593</f>
        <v/>
      </c>
      <c r="E590" s="7">
        <f>'3 escalar'!D593</f>
        <v/>
      </c>
      <c r="F590" s="7">
        <f>'3 escalar'!E593</f>
        <v/>
      </c>
      <c r="G590" s="7">
        <f>'3 escalar'!F593</f>
        <v/>
      </c>
      <c r="H590" s="7">
        <f>'3 escalar'!G593</f>
        <v/>
      </c>
      <c r="I590" s="7">
        <f>'3 escalar'!H593</f>
        <v/>
      </c>
      <c r="J590" s="7">
        <f>'3 escalar'!I593</f>
        <v/>
      </c>
      <c r="K590" s="7">
        <f>'3 escalar'!J593</f>
        <v/>
      </c>
      <c r="L590" s="7">
        <f>'3 escalar'!K593</f>
        <v/>
      </c>
      <c r="M590" s="7">
        <f>'3 escalar'!L593</f>
        <v/>
      </c>
      <c r="N590" s="7">
        <f>'3 escalar'!M593</f>
        <v/>
      </c>
      <c r="O590" s="7">
        <f>'3 escalar'!N593</f>
        <v/>
      </c>
      <c r="P590" s="7">
        <f>'3 escalar'!O593</f>
        <v/>
      </c>
      <c r="Q590" s="7">
        <f>'3 escalar'!P593</f>
        <v/>
      </c>
      <c r="R590" s="7">
        <f>'3 escalar'!Q593</f>
        <v/>
      </c>
      <c r="S590" s="7">
        <f>'3 escalar'!R593</f>
        <v/>
      </c>
      <c r="T590" s="7">
        <f>'3 escalar'!S593</f>
        <v/>
      </c>
      <c r="U590" s="7">
        <f>'3 escalar'!T593</f>
        <v/>
      </c>
      <c r="V590" s="6">
        <f>$AC$12+D590*$AC$13+E590*$AC$14+F590*$AC$15+G590*$AC$16+H590*$AC$17+I590*$AC$18+J590*$AC$19+K590*$AC$20+L590*$AC$21+M590*$AC$22+N590*$AC$23+O590*$AC$24+P590*$AC$25+Q590*$AC$26+R590*$AC$27+S590*$AC$28+T590*$AC$29+U590*$AC$30</f>
        <v/>
      </c>
      <c r="W590" s="6">
        <f>1/(1+EXP(-V590))</f>
        <v/>
      </c>
      <c r="X590" s="8">
        <f>-IF(C590=1,LN(W590),LN(1-W590))</f>
        <v/>
      </c>
      <c r="Y590" s="9">
        <f>IF(W590&gt;$AC$32,1,0)</f>
        <v/>
      </c>
      <c r="Z590">
        <f>IF(Y590=C590,1,0)</f>
        <v/>
      </c>
    </row>
    <row r="591">
      <c r="A591">
        <f>'3 escalar'!A594</f>
        <v/>
      </c>
      <c r="B591" s="5">
        <f>'3 escalar'!U594</f>
        <v/>
      </c>
      <c r="C591">
        <f>'3 escalar'!B594</f>
        <v/>
      </c>
      <c r="D591" s="7">
        <f>'3 escalar'!C594</f>
        <v/>
      </c>
      <c r="E591" s="7">
        <f>'3 escalar'!D594</f>
        <v/>
      </c>
      <c r="F591" s="7">
        <f>'3 escalar'!E594</f>
        <v/>
      </c>
      <c r="G591" s="7">
        <f>'3 escalar'!F594</f>
        <v/>
      </c>
      <c r="H591" s="7">
        <f>'3 escalar'!G594</f>
        <v/>
      </c>
      <c r="I591" s="7">
        <f>'3 escalar'!H594</f>
        <v/>
      </c>
      <c r="J591" s="7">
        <f>'3 escalar'!I594</f>
        <v/>
      </c>
      <c r="K591" s="7">
        <f>'3 escalar'!J594</f>
        <v/>
      </c>
      <c r="L591" s="7">
        <f>'3 escalar'!K594</f>
        <v/>
      </c>
      <c r="M591" s="7">
        <f>'3 escalar'!L594</f>
        <v/>
      </c>
      <c r="N591" s="7">
        <f>'3 escalar'!M594</f>
        <v/>
      </c>
      <c r="O591" s="7">
        <f>'3 escalar'!N594</f>
        <v/>
      </c>
      <c r="P591" s="7">
        <f>'3 escalar'!O594</f>
        <v/>
      </c>
      <c r="Q591" s="7">
        <f>'3 escalar'!P594</f>
        <v/>
      </c>
      <c r="R591" s="7">
        <f>'3 escalar'!Q594</f>
        <v/>
      </c>
      <c r="S591" s="7">
        <f>'3 escalar'!R594</f>
        <v/>
      </c>
      <c r="T591" s="7">
        <f>'3 escalar'!S594</f>
        <v/>
      </c>
      <c r="U591" s="7">
        <f>'3 escalar'!T594</f>
        <v/>
      </c>
      <c r="V591" s="6">
        <f>$AC$12+D591*$AC$13+E591*$AC$14+F591*$AC$15+G591*$AC$16+H591*$AC$17+I591*$AC$18+J591*$AC$19+K591*$AC$20+L591*$AC$21+M591*$AC$22+N591*$AC$23+O591*$AC$24+P591*$AC$25+Q591*$AC$26+R591*$AC$27+S591*$AC$28+T591*$AC$29+U591*$AC$30</f>
        <v/>
      </c>
      <c r="W591" s="6">
        <f>1/(1+EXP(-V591))</f>
        <v/>
      </c>
      <c r="X591" s="8">
        <f>-IF(C591=1,LN(W591),LN(1-W591))</f>
        <v/>
      </c>
      <c r="Y591" s="9">
        <f>IF(W591&gt;$AC$32,1,0)</f>
        <v/>
      </c>
      <c r="Z591">
        <f>IF(Y591=C591,1,0)</f>
        <v/>
      </c>
    </row>
    <row r="592">
      <c r="A592">
        <f>'3 escalar'!A595</f>
        <v/>
      </c>
      <c r="B592" s="5">
        <f>'3 escalar'!U595</f>
        <v/>
      </c>
      <c r="C592">
        <f>'3 escalar'!B595</f>
        <v/>
      </c>
      <c r="D592" s="7">
        <f>'3 escalar'!C595</f>
        <v/>
      </c>
      <c r="E592" s="7">
        <f>'3 escalar'!D595</f>
        <v/>
      </c>
      <c r="F592" s="7">
        <f>'3 escalar'!E595</f>
        <v/>
      </c>
      <c r="G592" s="7">
        <f>'3 escalar'!F595</f>
        <v/>
      </c>
      <c r="H592" s="7">
        <f>'3 escalar'!G595</f>
        <v/>
      </c>
      <c r="I592" s="7">
        <f>'3 escalar'!H595</f>
        <v/>
      </c>
      <c r="J592" s="7">
        <f>'3 escalar'!I595</f>
        <v/>
      </c>
      <c r="K592" s="7">
        <f>'3 escalar'!J595</f>
        <v/>
      </c>
      <c r="L592" s="7">
        <f>'3 escalar'!K595</f>
        <v/>
      </c>
      <c r="M592" s="7">
        <f>'3 escalar'!L595</f>
        <v/>
      </c>
      <c r="N592" s="7">
        <f>'3 escalar'!M595</f>
        <v/>
      </c>
      <c r="O592" s="7">
        <f>'3 escalar'!N595</f>
        <v/>
      </c>
      <c r="P592" s="7">
        <f>'3 escalar'!O595</f>
        <v/>
      </c>
      <c r="Q592" s="7">
        <f>'3 escalar'!P595</f>
        <v/>
      </c>
      <c r="R592" s="7">
        <f>'3 escalar'!Q595</f>
        <v/>
      </c>
      <c r="S592" s="7">
        <f>'3 escalar'!R595</f>
        <v/>
      </c>
      <c r="T592" s="7">
        <f>'3 escalar'!S595</f>
        <v/>
      </c>
      <c r="U592" s="7">
        <f>'3 escalar'!T595</f>
        <v/>
      </c>
      <c r="V592" s="6">
        <f>$AC$12+D592*$AC$13+E592*$AC$14+F592*$AC$15+G592*$AC$16+H592*$AC$17+I592*$AC$18+J592*$AC$19+K592*$AC$20+L592*$AC$21+M592*$AC$22+N592*$AC$23+O592*$AC$24+P592*$AC$25+Q592*$AC$26+R592*$AC$27+S592*$AC$28+T592*$AC$29+U592*$AC$30</f>
        <v/>
      </c>
      <c r="W592" s="6">
        <f>1/(1+EXP(-V592))</f>
        <v/>
      </c>
      <c r="X592" s="8">
        <f>-IF(C592=1,LN(W592),LN(1-W592))</f>
        <v/>
      </c>
      <c r="Y592" s="9">
        <f>IF(W592&gt;$AC$32,1,0)</f>
        <v/>
      </c>
      <c r="Z592">
        <f>IF(Y592=C592,1,0)</f>
        <v/>
      </c>
    </row>
    <row r="593">
      <c r="A593">
        <f>'3 escalar'!A596</f>
        <v/>
      </c>
      <c r="B593" s="5">
        <f>'3 escalar'!U596</f>
        <v/>
      </c>
      <c r="C593">
        <f>'3 escalar'!B596</f>
        <v/>
      </c>
      <c r="D593" s="7">
        <f>'3 escalar'!C596</f>
        <v/>
      </c>
      <c r="E593" s="7">
        <f>'3 escalar'!D596</f>
        <v/>
      </c>
      <c r="F593" s="7">
        <f>'3 escalar'!E596</f>
        <v/>
      </c>
      <c r="G593" s="7">
        <f>'3 escalar'!F596</f>
        <v/>
      </c>
      <c r="H593" s="7">
        <f>'3 escalar'!G596</f>
        <v/>
      </c>
      <c r="I593" s="7">
        <f>'3 escalar'!H596</f>
        <v/>
      </c>
      <c r="J593" s="7">
        <f>'3 escalar'!I596</f>
        <v/>
      </c>
      <c r="K593" s="7">
        <f>'3 escalar'!J596</f>
        <v/>
      </c>
      <c r="L593" s="7">
        <f>'3 escalar'!K596</f>
        <v/>
      </c>
      <c r="M593" s="7">
        <f>'3 escalar'!L596</f>
        <v/>
      </c>
      <c r="N593" s="7">
        <f>'3 escalar'!M596</f>
        <v/>
      </c>
      <c r="O593" s="7">
        <f>'3 escalar'!N596</f>
        <v/>
      </c>
      <c r="P593" s="7">
        <f>'3 escalar'!O596</f>
        <v/>
      </c>
      <c r="Q593" s="7">
        <f>'3 escalar'!P596</f>
        <v/>
      </c>
      <c r="R593" s="7">
        <f>'3 escalar'!Q596</f>
        <v/>
      </c>
      <c r="S593" s="7">
        <f>'3 escalar'!R596</f>
        <v/>
      </c>
      <c r="T593" s="7">
        <f>'3 escalar'!S596</f>
        <v/>
      </c>
      <c r="U593" s="7">
        <f>'3 escalar'!T596</f>
        <v/>
      </c>
      <c r="V593" s="6">
        <f>$AC$12+D593*$AC$13+E593*$AC$14+F593*$AC$15+G593*$AC$16+H593*$AC$17+I593*$AC$18+J593*$AC$19+K593*$AC$20+L593*$AC$21+M593*$AC$22+N593*$AC$23+O593*$AC$24+P593*$AC$25+Q593*$AC$26+R593*$AC$27+S593*$AC$28+T593*$AC$29+U593*$AC$30</f>
        <v/>
      </c>
      <c r="W593" s="6">
        <f>1/(1+EXP(-V593))</f>
        <v/>
      </c>
      <c r="X593" s="8">
        <f>-IF(C593=1,LN(W593),LN(1-W593))</f>
        <v/>
      </c>
      <c r="Y593" s="9">
        <f>IF(W593&gt;$AC$32,1,0)</f>
        <v/>
      </c>
      <c r="Z593">
        <f>IF(Y593=C593,1,0)</f>
        <v/>
      </c>
    </row>
    <row r="594">
      <c r="A594">
        <f>'3 escalar'!A597</f>
        <v/>
      </c>
      <c r="B594" s="5">
        <f>'3 escalar'!U597</f>
        <v/>
      </c>
      <c r="C594">
        <f>'3 escalar'!B597</f>
        <v/>
      </c>
      <c r="D594" s="7">
        <f>'3 escalar'!C597</f>
        <v/>
      </c>
      <c r="E594" s="7">
        <f>'3 escalar'!D597</f>
        <v/>
      </c>
      <c r="F594" s="7">
        <f>'3 escalar'!E597</f>
        <v/>
      </c>
      <c r="G594" s="7">
        <f>'3 escalar'!F597</f>
        <v/>
      </c>
      <c r="H594" s="7">
        <f>'3 escalar'!G597</f>
        <v/>
      </c>
      <c r="I594" s="7">
        <f>'3 escalar'!H597</f>
        <v/>
      </c>
      <c r="J594" s="7">
        <f>'3 escalar'!I597</f>
        <v/>
      </c>
      <c r="K594" s="7">
        <f>'3 escalar'!J597</f>
        <v/>
      </c>
      <c r="L594" s="7">
        <f>'3 escalar'!K597</f>
        <v/>
      </c>
      <c r="M594" s="7">
        <f>'3 escalar'!L597</f>
        <v/>
      </c>
      <c r="N594" s="7">
        <f>'3 escalar'!M597</f>
        <v/>
      </c>
      <c r="O594" s="7">
        <f>'3 escalar'!N597</f>
        <v/>
      </c>
      <c r="P594" s="7">
        <f>'3 escalar'!O597</f>
        <v/>
      </c>
      <c r="Q594" s="7">
        <f>'3 escalar'!P597</f>
        <v/>
      </c>
      <c r="R594" s="7">
        <f>'3 escalar'!Q597</f>
        <v/>
      </c>
      <c r="S594" s="7">
        <f>'3 escalar'!R597</f>
        <v/>
      </c>
      <c r="T594" s="7">
        <f>'3 escalar'!S597</f>
        <v/>
      </c>
      <c r="U594" s="7">
        <f>'3 escalar'!T597</f>
        <v/>
      </c>
      <c r="V594" s="6">
        <f>$AC$12+D594*$AC$13+E594*$AC$14+F594*$AC$15+G594*$AC$16+H594*$AC$17+I594*$AC$18+J594*$AC$19+K594*$AC$20+L594*$AC$21+M594*$AC$22+N594*$AC$23+O594*$AC$24+P594*$AC$25+Q594*$AC$26+R594*$AC$27+S594*$AC$28+T594*$AC$29+U594*$AC$30</f>
        <v/>
      </c>
      <c r="W594" s="6">
        <f>1/(1+EXP(-V594))</f>
        <v/>
      </c>
      <c r="X594" s="8">
        <f>-IF(C594=1,LN(W594),LN(1-W594))</f>
        <v/>
      </c>
      <c r="Y594" s="9">
        <f>IF(W594&gt;$AC$32,1,0)</f>
        <v/>
      </c>
      <c r="Z594">
        <f>IF(Y594=C594,1,0)</f>
        <v/>
      </c>
    </row>
    <row r="595">
      <c r="A595">
        <f>'3 escalar'!A598</f>
        <v/>
      </c>
      <c r="B595" s="5">
        <f>'3 escalar'!U598</f>
        <v/>
      </c>
      <c r="C595">
        <f>'3 escalar'!B598</f>
        <v/>
      </c>
      <c r="D595" s="7">
        <f>'3 escalar'!C598</f>
        <v/>
      </c>
      <c r="E595" s="7">
        <f>'3 escalar'!D598</f>
        <v/>
      </c>
      <c r="F595" s="7">
        <f>'3 escalar'!E598</f>
        <v/>
      </c>
      <c r="G595" s="7">
        <f>'3 escalar'!F598</f>
        <v/>
      </c>
      <c r="H595" s="7">
        <f>'3 escalar'!G598</f>
        <v/>
      </c>
      <c r="I595" s="7">
        <f>'3 escalar'!H598</f>
        <v/>
      </c>
      <c r="J595" s="7">
        <f>'3 escalar'!I598</f>
        <v/>
      </c>
      <c r="K595" s="7">
        <f>'3 escalar'!J598</f>
        <v/>
      </c>
      <c r="L595" s="7">
        <f>'3 escalar'!K598</f>
        <v/>
      </c>
      <c r="M595" s="7">
        <f>'3 escalar'!L598</f>
        <v/>
      </c>
      <c r="N595" s="7">
        <f>'3 escalar'!M598</f>
        <v/>
      </c>
      <c r="O595" s="7">
        <f>'3 escalar'!N598</f>
        <v/>
      </c>
      <c r="P595" s="7">
        <f>'3 escalar'!O598</f>
        <v/>
      </c>
      <c r="Q595" s="7">
        <f>'3 escalar'!P598</f>
        <v/>
      </c>
      <c r="R595" s="7">
        <f>'3 escalar'!Q598</f>
        <v/>
      </c>
      <c r="S595" s="7">
        <f>'3 escalar'!R598</f>
        <v/>
      </c>
      <c r="T595" s="7">
        <f>'3 escalar'!S598</f>
        <v/>
      </c>
      <c r="U595" s="7">
        <f>'3 escalar'!T598</f>
        <v/>
      </c>
      <c r="V595" s="6">
        <f>$AC$12+D595*$AC$13+E595*$AC$14+F595*$AC$15+G595*$AC$16+H595*$AC$17+I595*$AC$18+J595*$AC$19+K595*$AC$20+L595*$AC$21+M595*$AC$22+N595*$AC$23+O595*$AC$24+P595*$AC$25+Q595*$AC$26+R595*$AC$27+S595*$AC$28+T595*$AC$29+U595*$AC$30</f>
        <v/>
      </c>
      <c r="W595" s="6">
        <f>1/(1+EXP(-V595))</f>
        <v/>
      </c>
      <c r="X595" s="8">
        <f>-IF(C595=1,LN(W595),LN(1-W595))</f>
        <v/>
      </c>
      <c r="Y595" s="9">
        <f>IF(W595&gt;$AC$32,1,0)</f>
        <v/>
      </c>
      <c r="Z595">
        <f>IF(Y595=C595,1,0)</f>
        <v/>
      </c>
    </row>
    <row r="596">
      <c r="A596">
        <f>'3 escalar'!A599</f>
        <v/>
      </c>
      <c r="B596" s="5">
        <f>'3 escalar'!U599</f>
        <v/>
      </c>
      <c r="C596">
        <f>'3 escalar'!B599</f>
        <v/>
      </c>
      <c r="D596" s="7">
        <f>'3 escalar'!C599</f>
        <v/>
      </c>
      <c r="E596" s="7">
        <f>'3 escalar'!D599</f>
        <v/>
      </c>
      <c r="F596" s="7">
        <f>'3 escalar'!E599</f>
        <v/>
      </c>
      <c r="G596" s="7">
        <f>'3 escalar'!F599</f>
        <v/>
      </c>
      <c r="H596" s="7">
        <f>'3 escalar'!G599</f>
        <v/>
      </c>
      <c r="I596" s="7">
        <f>'3 escalar'!H599</f>
        <v/>
      </c>
      <c r="J596" s="7">
        <f>'3 escalar'!I599</f>
        <v/>
      </c>
      <c r="K596" s="7">
        <f>'3 escalar'!J599</f>
        <v/>
      </c>
      <c r="L596" s="7">
        <f>'3 escalar'!K599</f>
        <v/>
      </c>
      <c r="M596" s="7">
        <f>'3 escalar'!L599</f>
        <v/>
      </c>
      <c r="N596" s="7">
        <f>'3 escalar'!M599</f>
        <v/>
      </c>
      <c r="O596" s="7">
        <f>'3 escalar'!N599</f>
        <v/>
      </c>
      <c r="P596" s="7">
        <f>'3 escalar'!O599</f>
        <v/>
      </c>
      <c r="Q596" s="7">
        <f>'3 escalar'!P599</f>
        <v/>
      </c>
      <c r="R596" s="7">
        <f>'3 escalar'!Q599</f>
        <v/>
      </c>
      <c r="S596" s="7">
        <f>'3 escalar'!R599</f>
        <v/>
      </c>
      <c r="T596" s="7">
        <f>'3 escalar'!S599</f>
        <v/>
      </c>
      <c r="U596" s="7">
        <f>'3 escalar'!T599</f>
        <v/>
      </c>
      <c r="V596" s="6">
        <f>$AC$12+D596*$AC$13+E596*$AC$14+F596*$AC$15+G596*$AC$16+H596*$AC$17+I596*$AC$18+J596*$AC$19+K596*$AC$20+L596*$AC$21+M596*$AC$22+N596*$AC$23+O596*$AC$24+P596*$AC$25+Q596*$AC$26+R596*$AC$27+S596*$AC$28+T596*$AC$29+U596*$AC$30</f>
        <v/>
      </c>
      <c r="W596" s="6">
        <f>1/(1+EXP(-V596))</f>
        <v/>
      </c>
      <c r="X596" s="8">
        <f>-IF(C596=1,LN(W596),LN(1-W596))</f>
        <v/>
      </c>
      <c r="Y596" s="9">
        <f>IF(W596&gt;$AC$32,1,0)</f>
        <v/>
      </c>
      <c r="Z596">
        <f>IF(Y596=C596,1,0)</f>
        <v/>
      </c>
    </row>
    <row r="597">
      <c r="A597">
        <f>'3 escalar'!A600</f>
        <v/>
      </c>
      <c r="B597" s="5">
        <f>'3 escalar'!U600</f>
        <v/>
      </c>
      <c r="C597">
        <f>'3 escalar'!B600</f>
        <v/>
      </c>
      <c r="D597" s="7">
        <f>'3 escalar'!C600</f>
        <v/>
      </c>
      <c r="E597" s="7">
        <f>'3 escalar'!D600</f>
        <v/>
      </c>
      <c r="F597" s="7">
        <f>'3 escalar'!E600</f>
        <v/>
      </c>
      <c r="G597" s="7">
        <f>'3 escalar'!F600</f>
        <v/>
      </c>
      <c r="H597" s="7">
        <f>'3 escalar'!G600</f>
        <v/>
      </c>
      <c r="I597" s="7">
        <f>'3 escalar'!H600</f>
        <v/>
      </c>
      <c r="J597" s="7">
        <f>'3 escalar'!I600</f>
        <v/>
      </c>
      <c r="K597" s="7">
        <f>'3 escalar'!J600</f>
        <v/>
      </c>
      <c r="L597" s="7">
        <f>'3 escalar'!K600</f>
        <v/>
      </c>
      <c r="M597" s="7">
        <f>'3 escalar'!L600</f>
        <v/>
      </c>
      <c r="N597" s="7">
        <f>'3 escalar'!M600</f>
        <v/>
      </c>
      <c r="O597" s="7">
        <f>'3 escalar'!N600</f>
        <v/>
      </c>
      <c r="P597" s="7">
        <f>'3 escalar'!O600</f>
        <v/>
      </c>
      <c r="Q597" s="7">
        <f>'3 escalar'!P600</f>
        <v/>
      </c>
      <c r="R597" s="7">
        <f>'3 escalar'!Q600</f>
        <v/>
      </c>
      <c r="S597" s="7">
        <f>'3 escalar'!R600</f>
        <v/>
      </c>
      <c r="T597" s="7">
        <f>'3 escalar'!S600</f>
        <v/>
      </c>
      <c r="U597" s="7">
        <f>'3 escalar'!T600</f>
        <v/>
      </c>
      <c r="V597" s="6">
        <f>$AC$12+D597*$AC$13+E597*$AC$14+F597*$AC$15+G597*$AC$16+H597*$AC$17+I597*$AC$18+J597*$AC$19+K597*$AC$20+L597*$AC$21+M597*$AC$22+N597*$AC$23+O597*$AC$24+P597*$AC$25+Q597*$AC$26+R597*$AC$27+S597*$AC$28+T597*$AC$29+U597*$AC$30</f>
        <v/>
      </c>
      <c r="W597" s="6">
        <f>1/(1+EXP(-V597))</f>
        <v/>
      </c>
      <c r="X597" s="8">
        <f>-IF(C597=1,LN(W597),LN(1-W597))</f>
        <v/>
      </c>
      <c r="Y597" s="9">
        <f>IF(W597&gt;$AC$32,1,0)</f>
        <v/>
      </c>
      <c r="Z597">
        <f>IF(Y597=C597,1,0)</f>
        <v/>
      </c>
    </row>
    <row r="598">
      <c r="A598">
        <f>'3 escalar'!A601</f>
        <v/>
      </c>
      <c r="B598" s="5">
        <f>'3 escalar'!U601</f>
        <v/>
      </c>
      <c r="C598">
        <f>'3 escalar'!B601</f>
        <v/>
      </c>
      <c r="D598" s="7">
        <f>'3 escalar'!C601</f>
        <v/>
      </c>
      <c r="E598" s="7">
        <f>'3 escalar'!D601</f>
        <v/>
      </c>
      <c r="F598" s="7">
        <f>'3 escalar'!E601</f>
        <v/>
      </c>
      <c r="G598" s="7">
        <f>'3 escalar'!F601</f>
        <v/>
      </c>
      <c r="H598" s="7">
        <f>'3 escalar'!G601</f>
        <v/>
      </c>
      <c r="I598" s="7">
        <f>'3 escalar'!H601</f>
        <v/>
      </c>
      <c r="J598" s="7">
        <f>'3 escalar'!I601</f>
        <v/>
      </c>
      <c r="K598" s="7">
        <f>'3 escalar'!J601</f>
        <v/>
      </c>
      <c r="L598" s="7">
        <f>'3 escalar'!K601</f>
        <v/>
      </c>
      <c r="M598" s="7">
        <f>'3 escalar'!L601</f>
        <v/>
      </c>
      <c r="N598" s="7">
        <f>'3 escalar'!M601</f>
        <v/>
      </c>
      <c r="O598" s="7">
        <f>'3 escalar'!N601</f>
        <v/>
      </c>
      <c r="P598" s="7">
        <f>'3 escalar'!O601</f>
        <v/>
      </c>
      <c r="Q598" s="7">
        <f>'3 escalar'!P601</f>
        <v/>
      </c>
      <c r="R598" s="7">
        <f>'3 escalar'!Q601</f>
        <v/>
      </c>
      <c r="S598" s="7">
        <f>'3 escalar'!R601</f>
        <v/>
      </c>
      <c r="T598" s="7">
        <f>'3 escalar'!S601</f>
        <v/>
      </c>
      <c r="U598" s="7">
        <f>'3 escalar'!T601</f>
        <v/>
      </c>
      <c r="V598" s="6">
        <f>$AC$12+D598*$AC$13+E598*$AC$14+F598*$AC$15+G598*$AC$16+H598*$AC$17+I598*$AC$18+J598*$AC$19+K598*$AC$20+L598*$AC$21+M598*$AC$22+N598*$AC$23+O598*$AC$24+P598*$AC$25+Q598*$AC$26+R598*$AC$27+S598*$AC$28+T598*$AC$29+U598*$AC$30</f>
        <v/>
      </c>
      <c r="W598" s="6">
        <f>1/(1+EXP(-V598))</f>
        <v/>
      </c>
      <c r="X598" s="8">
        <f>-IF(C598=1,LN(W598),LN(1-W598))</f>
        <v/>
      </c>
      <c r="Y598" s="9">
        <f>IF(W598&gt;$AC$32,1,0)</f>
        <v/>
      </c>
      <c r="Z598">
        <f>IF(Y598=C598,1,0)</f>
        <v/>
      </c>
    </row>
    <row r="599">
      <c r="A599">
        <f>'3 escalar'!A602</f>
        <v/>
      </c>
      <c r="B599" s="5">
        <f>'3 escalar'!U602</f>
        <v/>
      </c>
      <c r="C599">
        <f>'3 escalar'!B602</f>
        <v/>
      </c>
      <c r="D599" s="7">
        <f>'3 escalar'!C602</f>
        <v/>
      </c>
      <c r="E599" s="7">
        <f>'3 escalar'!D602</f>
        <v/>
      </c>
      <c r="F599" s="7">
        <f>'3 escalar'!E602</f>
        <v/>
      </c>
      <c r="G599" s="7">
        <f>'3 escalar'!F602</f>
        <v/>
      </c>
      <c r="H599" s="7">
        <f>'3 escalar'!G602</f>
        <v/>
      </c>
      <c r="I599" s="7">
        <f>'3 escalar'!H602</f>
        <v/>
      </c>
      <c r="J599" s="7">
        <f>'3 escalar'!I602</f>
        <v/>
      </c>
      <c r="K599" s="7">
        <f>'3 escalar'!J602</f>
        <v/>
      </c>
      <c r="L599" s="7">
        <f>'3 escalar'!K602</f>
        <v/>
      </c>
      <c r="M599" s="7">
        <f>'3 escalar'!L602</f>
        <v/>
      </c>
      <c r="N599" s="7">
        <f>'3 escalar'!M602</f>
        <v/>
      </c>
      <c r="O599" s="7">
        <f>'3 escalar'!N602</f>
        <v/>
      </c>
      <c r="P599" s="7">
        <f>'3 escalar'!O602</f>
        <v/>
      </c>
      <c r="Q599" s="7">
        <f>'3 escalar'!P602</f>
        <v/>
      </c>
      <c r="R599" s="7">
        <f>'3 escalar'!Q602</f>
        <v/>
      </c>
      <c r="S599" s="7">
        <f>'3 escalar'!R602</f>
        <v/>
      </c>
      <c r="T599" s="7">
        <f>'3 escalar'!S602</f>
        <v/>
      </c>
      <c r="U599" s="7">
        <f>'3 escalar'!T602</f>
        <v/>
      </c>
      <c r="V599" s="6">
        <f>$AC$12+D599*$AC$13+E599*$AC$14+F599*$AC$15+G599*$AC$16+H599*$AC$17+I599*$AC$18+J599*$AC$19+K599*$AC$20+L599*$AC$21+M599*$AC$22+N599*$AC$23+O599*$AC$24+P599*$AC$25+Q599*$AC$26+R599*$AC$27+S599*$AC$28+T599*$AC$29+U599*$AC$30</f>
        <v/>
      </c>
      <c r="W599" s="6">
        <f>1/(1+EXP(-V599))</f>
        <v/>
      </c>
      <c r="X599" s="8">
        <f>-IF(C599=1,LN(W599),LN(1-W599))</f>
        <v/>
      </c>
      <c r="Y599" s="9">
        <f>IF(W599&gt;$AC$32,1,0)</f>
        <v/>
      </c>
      <c r="Z599">
        <f>IF(Y599=C599,1,0)</f>
        <v/>
      </c>
    </row>
    <row r="600">
      <c r="A600">
        <f>'3 escalar'!A603</f>
        <v/>
      </c>
      <c r="B600" s="5">
        <f>'3 escalar'!U603</f>
        <v/>
      </c>
      <c r="C600">
        <f>'3 escalar'!B603</f>
        <v/>
      </c>
      <c r="D600" s="7">
        <f>'3 escalar'!C603</f>
        <v/>
      </c>
      <c r="E600" s="7">
        <f>'3 escalar'!D603</f>
        <v/>
      </c>
      <c r="F600" s="7">
        <f>'3 escalar'!E603</f>
        <v/>
      </c>
      <c r="G600" s="7">
        <f>'3 escalar'!F603</f>
        <v/>
      </c>
      <c r="H600" s="7">
        <f>'3 escalar'!G603</f>
        <v/>
      </c>
      <c r="I600" s="7">
        <f>'3 escalar'!H603</f>
        <v/>
      </c>
      <c r="J600" s="7">
        <f>'3 escalar'!I603</f>
        <v/>
      </c>
      <c r="K600" s="7">
        <f>'3 escalar'!J603</f>
        <v/>
      </c>
      <c r="L600" s="7">
        <f>'3 escalar'!K603</f>
        <v/>
      </c>
      <c r="M600" s="7">
        <f>'3 escalar'!L603</f>
        <v/>
      </c>
      <c r="N600" s="7">
        <f>'3 escalar'!M603</f>
        <v/>
      </c>
      <c r="O600" s="7">
        <f>'3 escalar'!N603</f>
        <v/>
      </c>
      <c r="P600" s="7">
        <f>'3 escalar'!O603</f>
        <v/>
      </c>
      <c r="Q600" s="7">
        <f>'3 escalar'!P603</f>
        <v/>
      </c>
      <c r="R600" s="7">
        <f>'3 escalar'!Q603</f>
        <v/>
      </c>
      <c r="S600" s="7">
        <f>'3 escalar'!R603</f>
        <v/>
      </c>
      <c r="T600" s="7">
        <f>'3 escalar'!S603</f>
        <v/>
      </c>
      <c r="U600" s="7">
        <f>'3 escalar'!T603</f>
        <v/>
      </c>
      <c r="V600" s="6">
        <f>$AC$12+D600*$AC$13+E600*$AC$14+F600*$AC$15+G600*$AC$16+H600*$AC$17+I600*$AC$18+J600*$AC$19+K600*$AC$20+L600*$AC$21+M600*$AC$22+N600*$AC$23+O600*$AC$24+P600*$AC$25+Q600*$AC$26+R600*$AC$27+S600*$AC$28+T600*$AC$29+U600*$AC$30</f>
        <v/>
      </c>
      <c r="W600" s="6">
        <f>1/(1+EXP(-V600))</f>
        <v/>
      </c>
      <c r="X600" s="8">
        <f>-IF(C600=1,LN(W600),LN(1-W600))</f>
        <v/>
      </c>
      <c r="Y600" s="9">
        <f>IF(W600&gt;$AC$32,1,0)</f>
        <v/>
      </c>
      <c r="Z600">
        <f>IF(Y600=C600,1,0)</f>
        <v/>
      </c>
    </row>
    <row r="601">
      <c r="A601">
        <f>'3 escalar'!A604</f>
        <v/>
      </c>
      <c r="B601" s="5">
        <f>'3 escalar'!U604</f>
        <v/>
      </c>
      <c r="C601">
        <f>'3 escalar'!B604</f>
        <v/>
      </c>
      <c r="D601" s="7">
        <f>'3 escalar'!C604</f>
        <v/>
      </c>
      <c r="E601" s="7">
        <f>'3 escalar'!D604</f>
        <v/>
      </c>
      <c r="F601" s="7">
        <f>'3 escalar'!E604</f>
        <v/>
      </c>
      <c r="G601" s="7">
        <f>'3 escalar'!F604</f>
        <v/>
      </c>
      <c r="H601" s="7">
        <f>'3 escalar'!G604</f>
        <v/>
      </c>
      <c r="I601" s="7">
        <f>'3 escalar'!H604</f>
        <v/>
      </c>
      <c r="J601" s="7">
        <f>'3 escalar'!I604</f>
        <v/>
      </c>
      <c r="K601" s="7">
        <f>'3 escalar'!J604</f>
        <v/>
      </c>
      <c r="L601" s="7">
        <f>'3 escalar'!K604</f>
        <v/>
      </c>
      <c r="M601" s="7">
        <f>'3 escalar'!L604</f>
        <v/>
      </c>
      <c r="N601" s="7">
        <f>'3 escalar'!M604</f>
        <v/>
      </c>
      <c r="O601" s="7">
        <f>'3 escalar'!N604</f>
        <v/>
      </c>
      <c r="P601" s="7">
        <f>'3 escalar'!O604</f>
        <v/>
      </c>
      <c r="Q601" s="7">
        <f>'3 escalar'!P604</f>
        <v/>
      </c>
      <c r="R601" s="7">
        <f>'3 escalar'!Q604</f>
        <v/>
      </c>
      <c r="S601" s="7">
        <f>'3 escalar'!R604</f>
        <v/>
      </c>
      <c r="T601" s="7">
        <f>'3 escalar'!S604</f>
        <v/>
      </c>
      <c r="U601" s="7">
        <f>'3 escalar'!T604</f>
        <v/>
      </c>
      <c r="V601" s="6">
        <f>$AC$12+D601*$AC$13+E601*$AC$14+F601*$AC$15+G601*$AC$16+H601*$AC$17+I601*$AC$18+J601*$AC$19+K601*$AC$20+L601*$AC$21+M601*$AC$22+N601*$AC$23+O601*$AC$24+P601*$AC$25+Q601*$AC$26+R601*$AC$27+S601*$AC$28+T601*$AC$29+U601*$AC$30</f>
        <v/>
      </c>
      <c r="W601" s="6">
        <f>1/(1+EXP(-V601))</f>
        <v/>
      </c>
      <c r="X601" s="8">
        <f>-IF(C601=1,LN(W601),LN(1-W601))</f>
        <v/>
      </c>
      <c r="Y601" s="9">
        <f>IF(W601&gt;$AC$32,1,0)</f>
        <v/>
      </c>
      <c r="Z601">
        <f>IF(Y601=C601,1,0)</f>
        <v/>
      </c>
    </row>
    <row r="602">
      <c r="A602">
        <f>'3 escalar'!A605</f>
        <v/>
      </c>
      <c r="B602" s="5">
        <f>'3 escalar'!U605</f>
        <v/>
      </c>
      <c r="C602">
        <f>'3 escalar'!B605</f>
        <v/>
      </c>
      <c r="D602" s="7">
        <f>'3 escalar'!C605</f>
        <v/>
      </c>
      <c r="E602" s="7">
        <f>'3 escalar'!D605</f>
        <v/>
      </c>
      <c r="F602" s="7">
        <f>'3 escalar'!E605</f>
        <v/>
      </c>
      <c r="G602" s="7">
        <f>'3 escalar'!F605</f>
        <v/>
      </c>
      <c r="H602" s="7">
        <f>'3 escalar'!G605</f>
        <v/>
      </c>
      <c r="I602" s="7">
        <f>'3 escalar'!H605</f>
        <v/>
      </c>
      <c r="J602" s="7">
        <f>'3 escalar'!I605</f>
        <v/>
      </c>
      <c r="K602" s="7">
        <f>'3 escalar'!J605</f>
        <v/>
      </c>
      <c r="L602" s="7">
        <f>'3 escalar'!K605</f>
        <v/>
      </c>
      <c r="M602" s="7">
        <f>'3 escalar'!L605</f>
        <v/>
      </c>
      <c r="N602" s="7">
        <f>'3 escalar'!M605</f>
        <v/>
      </c>
      <c r="O602" s="7">
        <f>'3 escalar'!N605</f>
        <v/>
      </c>
      <c r="P602" s="7">
        <f>'3 escalar'!O605</f>
        <v/>
      </c>
      <c r="Q602" s="7">
        <f>'3 escalar'!P605</f>
        <v/>
      </c>
      <c r="R602" s="7">
        <f>'3 escalar'!Q605</f>
        <v/>
      </c>
      <c r="S602" s="7">
        <f>'3 escalar'!R605</f>
        <v/>
      </c>
      <c r="T602" s="7">
        <f>'3 escalar'!S605</f>
        <v/>
      </c>
      <c r="U602" s="7">
        <f>'3 escalar'!T605</f>
        <v/>
      </c>
      <c r="V602" s="6">
        <f>$AC$12+D602*$AC$13+E602*$AC$14+F602*$AC$15+G602*$AC$16+H602*$AC$17+I602*$AC$18+J602*$AC$19+K602*$AC$20+L602*$AC$21+M602*$AC$22+N602*$AC$23+O602*$AC$24+P602*$AC$25+Q602*$AC$26+R602*$AC$27+S602*$AC$28+T602*$AC$29+U602*$AC$30</f>
        <v/>
      </c>
      <c r="W602" s="6">
        <f>1/(1+EXP(-V602))</f>
        <v/>
      </c>
      <c r="X602" s="8">
        <f>-IF(C602=1,LN(W602),LN(1-W602))</f>
        <v/>
      </c>
      <c r="Y602" s="9">
        <f>IF(W602&gt;$AC$32,1,0)</f>
        <v/>
      </c>
      <c r="Z602">
        <f>IF(Y602=C602,1,0)</f>
        <v/>
      </c>
    </row>
    <row r="603">
      <c r="A603">
        <f>'3 escalar'!A606</f>
        <v/>
      </c>
      <c r="B603" s="5">
        <f>'3 escalar'!U606</f>
        <v/>
      </c>
      <c r="C603">
        <f>'3 escalar'!B606</f>
        <v/>
      </c>
      <c r="D603" s="7">
        <f>'3 escalar'!C606</f>
        <v/>
      </c>
      <c r="E603" s="7">
        <f>'3 escalar'!D606</f>
        <v/>
      </c>
      <c r="F603" s="7">
        <f>'3 escalar'!E606</f>
        <v/>
      </c>
      <c r="G603" s="7">
        <f>'3 escalar'!F606</f>
        <v/>
      </c>
      <c r="H603" s="7">
        <f>'3 escalar'!G606</f>
        <v/>
      </c>
      <c r="I603" s="7">
        <f>'3 escalar'!H606</f>
        <v/>
      </c>
      <c r="J603" s="7">
        <f>'3 escalar'!I606</f>
        <v/>
      </c>
      <c r="K603" s="7">
        <f>'3 escalar'!J606</f>
        <v/>
      </c>
      <c r="L603" s="7">
        <f>'3 escalar'!K606</f>
        <v/>
      </c>
      <c r="M603" s="7">
        <f>'3 escalar'!L606</f>
        <v/>
      </c>
      <c r="N603" s="7">
        <f>'3 escalar'!M606</f>
        <v/>
      </c>
      <c r="O603" s="7">
        <f>'3 escalar'!N606</f>
        <v/>
      </c>
      <c r="P603" s="7">
        <f>'3 escalar'!O606</f>
        <v/>
      </c>
      <c r="Q603" s="7">
        <f>'3 escalar'!P606</f>
        <v/>
      </c>
      <c r="R603" s="7">
        <f>'3 escalar'!Q606</f>
        <v/>
      </c>
      <c r="S603" s="7">
        <f>'3 escalar'!R606</f>
        <v/>
      </c>
      <c r="T603" s="7">
        <f>'3 escalar'!S606</f>
        <v/>
      </c>
      <c r="U603" s="7">
        <f>'3 escalar'!T606</f>
        <v/>
      </c>
      <c r="V603" s="6">
        <f>$AC$12+D603*$AC$13+E603*$AC$14+F603*$AC$15+G603*$AC$16+H603*$AC$17+I603*$AC$18+J603*$AC$19+K603*$AC$20+L603*$AC$21+M603*$AC$22+N603*$AC$23+O603*$AC$24+P603*$AC$25+Q603*$AC$26+R603*$AC$27+S603*$AC$28+T603*$AC$29+U603*$AC$30</f>
        <v/>
      </c>
      <c r="W603" s="6">
        <f>1/(1+EXP(-V603))</f>
        <v/>
      </c>
      <c r="X603" s="8">
        <f>-IF(C603=1,LN(W603),LN(1-W603))</f>
        <v/>
      </c>
      <c r="Y603" s="9">
        <f>IF(W603&gt;$AC$32,1,0)</f>
        <v/>
      </c>
      <c r="Z603">
        <f>IF(Y603=C603,1,0)</f>
        <v/>
      </c>
    </row>
    <row r="604">
      <c r="A604">
        <f>'3 escalar'!A607</f>
        <v/>
      </c>
      <c r="B604" s="5">
        <f>'3 escalar'!U607</f>
        <v/>
      </c>
      <c r="C604">
        <f>'3 escalar'!B607</f>
        <v/>
      </c>
      <c r="D604" s="7">
        <f>'3 escalar'!C607</f>
        <v/>
      </c>
      <c r="E604" s="7">
        <f>'3 escalar'!D607</f>
        <v/>
      </c>
      <c r="F604" s="7">
        <f>'3 escalar'!E607</f>
        <v/>
      </c>
      <c r="G604" s="7">
        <f>'3 escalar'!F607</f>
        <v/>
      </c>
      <c r="H604" s="7">
        <f>'3 escalar'!G607</f>
        <v/>
      </c>
      <c r="I604" s="7">
        <f>'3 escalar'!H607</f>
        <v/>
      </c>
      <c r="J604" s="7">
        <f>'3 escalar'!I607</f>
        <v/>
      </c>
      <c r="K604" s="7">
        <f>'3 escalar'!J607</f>
        <v/>
      </c>
      <c r="L604" s="7">
        <f>'3 escalar'!K607</f>
        <v/>
      </c>
      <c r="M604" s="7">
        <f>'3 escalar'!L607</f>
        <v/>
      </c>
      <c r="N604" s="7">
        <f>'3 escalar'!M607</f>
        <v/>
      </c>
      <c r="O604" s="7">
        <f>'3 escalar'!N607</f>
        <v/>
      </c>
      <c r="P604" s="7">
        <f>'3 escalar'!O607</f>
        <v/>
      </c>
      <c r="Q604" s="7">
        <f>'3 escalar'!P607</f>
        <v/>
      </c>
      <c r="R604" s="7">
        <f>'3 escalar'!Q607</f>
        <v/>
      </c>
      <c r="S604" s="7">
        <f>'3 escalar'!R607</f>
        <v/>
      </c>
      <c r="T604" s="7">
        <f>'3 escalar'!S607</f>
        <v/>
      </c>
      <c r="U604" s="7">
        <f>'3 escalar'!T607</f>
        <v/>
      </c>
      <c r="V604" s="6">
        <f>$AC$12+D604*$AC$13+E604*$AC$14+F604*$AC$15+G604*$AC$16+H604*$AC$17+I604*$AC$18+J604*$AC$19+K604*$AC$20+L604*$AC$21+M604*$AC$22+N604*$AC$23+O604*$AC$24+P604*$AC$25+Q604*$AC$26+R604*$AC$27+S604*$AC$28+T604*$AC$29+U604*$AC$30</f>
        <v/>
      </c>
      <c r="W604" s="6">
        <f>1/(1+EXP(-V604))</f>
        <v/>
      </c>
      <c r="X604" s="8">
        <f>-IF(C604=1,LN(W604),LN(1-W604))</f>
        <v/>
      </c>
      <c r="Y604" s="9">
        <f>IF(W604&gt;$AC$32,1,0)</f>
        <v/>
      </c>
      <c r="Z604">
        <f>IF(Y604=C604,1,0)</f>
        <v/>
      </c>
    </row>
    <row r="605">
      <c r="A605">
        <f>'3 escalar'!A608</f>
        <v/>
      </c>
      <c r="B605" s="5">
        <f>'3 escalar'!U608</f>
        <v/>
      </c>
      <c r="C605">
        <f>'3 escalar'!B608</f>
        <v/>
      </c>
      <c r="D605" s="7">
        <f>'3 escalar'!C608</f>
        <v/>
      </c>
      <c r="E605" s="7">
        <f>'3 escalar'!D608</f>
        <v/>
      </c>
      <c r="F605" s="7">
        <f>'3 escalar'!E608</f>
        <v/>
      </c>
      <c r="G605" s="7">
        <f>'3 escalar'!F608</f>
        <v/>
      </c>
      <c r="H605" s="7">
        <f>'3 escalar'!G608</f>
        <v/>
      </c>
      <c r="I605" s="7">
        <f>'3 escalar'!H608</f>
        <v/>
      </c>
      <c r="J605" s="7">
        <f>'3 escalar'!I608</f>
        <v/>
      </c>
      <c r="K605" s="7">
        <f>'3 escalar'!J608</f>
        <v/>
      </c>
      <c r="L605" s="7">
        <f>'3 escalar'!K608</f>
        <v/>
      </c>
      <c r="M605" s="7">
        <f>'3 escalar'!L608</f>
        <v/>
      </c>
      <c r="N605" s="7">
        <f>'3 escalar'!M608</f>
        <v/>
      </c>
      <c r="O605" s="7">
        <f>'3 escalar'!N608</f>
        <v/>
      </c>
      <c r="P605" s="7">
        <f>'3 escalar'!O608</f>
        <v/>
      </c>
      <c r="Q605" s="7">
        <f>'3 escalar'!P608</f>
        <v/>
      </c>
      <c r="R605" s="7">
        <f>'3 escalar'!Q608</f>
        <v/>
      </c>
      <c r="S605" s="7">
        <f>'3 escalar'!R608</f>
        <v/>
      </c>
      <c r="T605" s="7">
        <f>'3 escalar'!S608</f>
        <v/>
      </c>
      <c r="U605" s="7">
        <f>'3 escalar'!T608</f>
        <v/>
      </c>
      <c r="V605" s="6">
        <f>$AC$12+D605*$AC$13+E605*$AC$14+F605*$AC$15+G605*$AC$16+H605*$AC$17+I605*$AC$18+J605*$AC$19+K605*$AC$20+L605*$AC$21+M605*$AC$22+N605*$AC$23+O605*$AC$24+P605*$AC$25+Q605*$AC$26+R605*$AC$27+S605*$AC$28+T605*$AC$29+U605*$AC$30</f>
        <v/>
      </c>
      <c r="W605" s="6">
        <f>1/(1+EXP(-V605))</f>
        <v/>
      </c>
      <c r="X605" s="8">
        <f>-IF(C605=1,LN(W605),LN(1-W605))</f>
        <v/>
      </c>
      <c r="Y605" s="9">
        <f>IF(W605&gt;$AC$32,1,0)</f>
        <v/>
      </c>
      <c r="Z605">
        <f>IF(Y605=C605,1,0)</f>
        <v/>
      </c>
    </row>
    <row r="606">
      <c r="A606">
        <f>'3 escalar'!A609</f>
        <v/>
      </c>
      <c r="B606" s="5">
        <f>'3 escalar'!U609</f>
        <v/>
      </c>
      <c r="C606">
        <f>'3 escalar'!B609</f>
        <v/>
      </c>
      <c r="D606" s="7">
        <f>'3 escalar'!C609</f>
        <v/>
      </c>
      <c r="E606" s="7">
        <f>'3 escalar'!D609</f>
        <v/>
      </c>
      <c r="F606" s="7">
        <f>'3 escalar'!E609</f>
        <v/>
      </c>
      <c r="G606" s="7">
        <f>'3 escalar'!F609</f>
        <v/>
      </c>
      <c r="H606" s="7">
        <f>'3 escalar'!G609</f>
        <v/>
      </c>
      <c r="I606" s="7">
        <f>'3 escalar'!H609</f>
        <v/>
      </c>
      <c r="J606" s="7">
        <f>'3 escalar'!I609</f>
        <v/>
      </c>
      <c r="K606" s="7">
        <f>'3 escalar'!J609</f>
        <v/>
      </c>
      <c r="L606" s="7">
        <f>'3 escalar'!K609</f>
        <v/>
      </c>
      <c r="M606" s="7">
        <f>'3 escalar'!L609</f>
        <v/>
      </c>
      <c r="N606" s="7">
        <f>'3 escalar'!M609</f>
        <v/>
      </c>
      <c r="O606" s="7">
        <f>'3 escalar'!N609</f>
        <v/>
      </c>
      <c r="P606" s="7">
        <f>'3 escalar'!O609</f>
        <v/>
      </c>
      <c r="Q606" s="7">
        <f>'3 escalar'!P609</f>
        <v/>
      </c>
      <c r="R606" s="7">
        <f>'3 escalar'!Q609</f>
        <v/>
      </c>
      <c r="S606" s="7">
        <f>'3 escalar'!R609</f>
        <v/>
      </c>
      <c r="T606" s="7">
        <f>'3 escalar'!S609</f>
        <v/>
      </c>
      <c r="U606" s="7">
        <f>'3 escalar'!T609</f>
        <v/>
      </c>
      <c r="V606" s="6">
        <f>$AC$12+D606*$AC$13+E606*$AC$14+F606*$AC$15+G606*$AC$16+H606*$AC$17+I606*$AC$18+J606*$AC$19+K606*$AC$20+L606*$AC$21+M606*$AC$22+N606*$AC$23+O606*$AC$24+P606*$AC$25+Q606*$AC$26+R606*$AC$27+S606*$AC$28+T606*$AC$29+U606*$AC$30</f>
        <v/>
      </c>
      <c r="W606" s="6">
        <f>1/(1+EXP(-V606))</f>
        <v/>
      </c>
      <c r="X606" s="8">
        <f>-IF(C606=1,LN(W606),LN(1-W606))</f>
        <v/>
      </c>
      <c r="Y606" s="9">
        <f>IF(W606&gt;$AC$32,1,0)</f>
        <v/>
      </c>
      <c r="Z606">
        <f>IF(Y606=C606,1,0)</f>
        <v/>
      </c>
    </row>
    <row r="607">
      <c r="A607">
        <f>'3 escalar'!A610</f>
        <v/>
      </c>
      <c r="B607" s="5">
        <f>'3 escalar'!U610</f>
        <v/>
      </c>
      <c r="C607">
        <f>'3 escalar'!B610</f>
        <v/>
      </c>
      <c r="D607" s="7">
        <f>'3 escalar'!C610</f>
        <v/>
      </c>
      <c r="E607" s="7">
        <f>'3 escalar'!D610</f>
        <v/>
      </c>
      <c r="F607" s="7">
        <f>'3 escalar'!E610</f>
        <v/>
      </c>
      <c r="G607" s="7">
        <f>'3 escalar'!F610</f>
        <v/>
      </c>
      <c r="H607" s="7">
        <f>'3 escalar'!G610</f>
        <v/>
      </c>
      <c r="I607" s="7">
        <f>'3 escalar'!H610</f>
        <v/>
      </c>
      <c r="J607" s="7">
        <f>'3 escalar'!I610</f>
        <v/>
      </c>
      <c r="K607" s="7">
        <f>'3 escalar'!J610</f>
        <v/>
      </c>
      <c r="L607" s="7">
        <f>'3 escalar'!K610</f>
        <v/>
      </c>
      <c r="M607" s="7">
        <f>'3 escalar'!L610</f>
        <v/>
      </c>
      <c r="N607" s="7">
        <f>'3 escalar'!M610</f>
        <v/>
      </c>
      <c r="O607" s="7">
        <f>'3 escalar'!N610</f>
        <v/>
      </c>
      <c r="P607" s="7">
        <f>'3 escalar'!O610</f>
        <v/>
      </c>
      <c r="Q607" s="7">
        <f>'3 escalar'!P610</f>
        <v/>
      </c>
      <c r="R607" s="7">
        <f>'3 escalar'!Q610</f>
        <v/>
      </c>
      <c r="S607" s="7">
        <f>'3 escalar'!R610</f>
        <v/>
      </c>
      <c r="T607" s="7">
        <f>'3 escalar'!S610</f>
        <v/>
      </c>
      <c r="U607" s="7">
        <f>'3 escalar'!T610</f>
        <v/>
      </c>
      <c r="V607" s="6">
        <f>$AC$12+D607*$AC$13+E607*$AC$14+F607*$AC$15+G607*$AC$16+H607*$AC$17+I607*$AC$18+J607*$AC$19+K607*$AC$20+L607*$AC$21+M607*$AC$22+N607*$AC$23+O607*$AC$24+P607*$AC$25+Q607*$AC$26+R607*$AC$27+S607*$AC$28+T607*$AC$29+U607*$AC$30</f>
        <v/>
      </c>
      <c r="W607" s="6">
        <f>1/(1+EXP(-V607))</f>
        <v/>
      </c>
      <c r="X607" s="8">
        <f>-IF(C607=1,LN(W607),LN(1-W607))</f>
        <v/>
      </c>
      <c r="Y607" s="9">
        <f>IF(W607&gt;$AC$32,1,0)</f>
        <v/>
      </c>
      <c r="Z607">
        <f>IF(Y607=C607,1,0)</f>
        <v/>
      </c>
    </row>
    <row r="608">
      <c r="A608">
        <f>'3 escalar'!A611</f>
        <v/>
      </c>
      <c r="B608" s="5">
        <f>'3 escalar'!U611</f>
        <v/>
      </c>
      <c r="C608">
        <f>'3 escalar'!B611</f>
        <v/>
      </c>
      <c r="D608" s="7">
        <f>'3 escalar'!C611</f>
        <v/>
      </c>
      <c r="E608" s="7">
        <f>'3 escalar'!D611</f>
        <v/>
      </c>
      <c r="F608" s="7">
        <f>'3 escalar'!E611</f>
        <v/>
      </c>
      <c r="G608" s="7">
        <f>'3 escalar'!F611</f>
        <v/>
      </c>
      <c r="H608" s="7">
        <f>'3 escalar'!G611</f>
        <v/>
      </c>
      <c r="I608" s="7">
        <f>'3 escalar'!H611</f>
        <v/>
      </c>
      <c r="J608" s="7">
        <f>'3 escalar'!I611</f>
        <v/>
      </c>
      <c r="K608" s="7">
        <f>'3 escalar'!J611</f>
        <v/>
      </c>
      <c r="L608" s="7">
        <f>'3 escalar'!K611</f>
        <v/>
      </c>
      <c r="M608" s="7">
        <f>'3 escalar'!L611</f>
        <v/>
      </c>
      <c r="N608" s="7">
        <f>'3 escalar'!M611</f>
        <v/>
      </c>
      <c r="O608" s="7">
        <f>'3 escalar'!N611</f>
        <v/>
      </c>
      <c r="P608" s="7">
        <f>'3 escalar'!O611</f>
        <v/>
      </c>
      <c r="Q608" s="7">
        <f>'3 escalar'!P611</f>
        <v/>
      </c>
      <c r="R608" s="7">
        <f>'3 escalar'!Q611</f>
        <v/>
      </c>
      <c r="S608" s="7">
        <f>'3 escalar'!R611</f>
        <v/>
      </c>
      <c r="T608" s="7">
        <f>'3 escalar'!S611</f>
        <v/>
      </c>
      <c r="U608" s="7">
        <f>'3 escalar'!T611</f>
        <v/>
      </c>
      <c r="V608" s="6">
        <f>$AC$12+D608*$AC$13+E608*$AC$14+F608*$AC$15+G608*$AC$16+H608*$AC$17+I608*$AC$18+J608*$AC$19+K608*$AC$20+L608*$AC$21+M608*$AC$22+N608*$AC$23+O608*$AC$24+P608*$AC$25+Q608*$AC$26+R608*$AC$27+S608*$AC$28+T608*$AC$29+U608*$AC$30</f>
        <v/>
      </c>
      <c r="W608" s="6">
        <f>1/(1+EXP(-V608))</f>
        <v/>
      </c>
      <c r="X608" s="8">
        <f>-IF(C608=1,LN(W608),LN(1-W608))</f>
        <v/>
      </c>
      <c r="Y608" s="9">
        <f>IF(W608&gt;$AC$32,1,0)</f>
        <v/>
      </c>
      <c r="Z608">
        <f>IF(Y608=C608,1,0)</f>
        <v/>
      </c>
    </row>
    <row r="609">
      <c r="A609">
        <f>'3 escalar'!A612</f>
        <v/>
      </c>
      <c r="B609" s="5">
        <f>'3 escalar'!U612</f>
        <v/>
      </c>
      <c r="C609">
        <f>'3 escalar'!B612</f>
        <v/>
      </c>
      <c r="D609" s="7">
        <f>'3 escalar'!C612</f>
        <v/>
      </c>
      <c r="E609" s="7">
        <f>'3 escalar'!D612</f>
        <v/>
      </c>
      <c r="F609" s="7">
        <f>'3 escalar'!E612</f>
        <v/>
      </c>
      <c r="G609" s="7">
        <f>'3 escalar'!F612</f>
        <v/>
      </c>
      <c r="H609" s="7">
        <f>'3 escalar'!G612</f>
        <v/>
      </c>
      <c r="I609" s="7">
        <f>'3 escalar'!H612</f>
        <v/>
      </c>
      <c r="J609" s="7">
        <f>'3 escalar'!I612</f>
        <v/>
      </c>
      <c r="K609" s="7">
        <f>'3 escalar'!J612</f>
        <v/>
      </c>
      <c r="L609" s="7">
        <f>'3 escalar'!K612</f>
        <v/>
      </c>
      <c r="M609" s="7">
        <f>'3 escalar'!L612</f>
        <v/>
      </c>
      <c r="N609" s="7">
        <f>'3 escalar'!M612</f>
        <v/>
      </c>
      <c r="O609" s="7">
        <f>'3 escalar'!N612</f>
        <v/>
      </c>
      <c r="P609" s="7">
        <f>'3 escalar'!O612</f>
        <v/>
      </c>
      <c r="Q609" s="7">
        <f>'3 escalar'!P612</f>
        <v/>
      </c>
      <c r="R609" s="7">
        <f>'3 escalar'!Q612</f>
        <v/>
      </c>
      <c r="S609" s="7">
        <f>'3 escalar'!R612</f>
        <v/>
      </c>
      <c r="T609" s="7">
        <f>'3 escalar'!S612</f>
        <v/>
      </c>
      <c r="U609" s="7">
        <f>'3 escalar'!T612</f>
        <v/>
      </c>
      <c r="V609" s="6">
        <f>$AC$12+D609*$AC$13+E609*$AC$14+F609*$AC$15+G609*$AC$16+H609*$AC$17+I609*$AC$18+J609*$AC$19+K609*$AC$20+L609*$AC$21+M609*$AC$22+N609*$AC$23+O609*$AC$24+P609*$AC$25+Q609*$AC$26+R609*$AC$27+S609*$AC$28+T609*$AC$29+U609*$AC$30</f>
        <v/>
      </c>
      <c r="W609" s="6">
        <f>1/(1+EXP(-V609))</f>
        <v/>
      </c>
      <c r="X609" s="8">
        <f>-IF(C609=1,LN(W609),LN(1-W609))</f>
        <v/>
      </c>
      <c r="Y609" s="9">
        <f>IF(W609&gt;$AC$32,1,0)</f>
        <v/>
      </c>
      <c r="Z609">
        <f>IF(Y609=C609,1,0)</f>
        <v/>
      </c>
    </row>
    <row r="610">
      <c r="A610">
        <f>'3 escalar'!A613</f>
        <v/>
      </c>
      <c r="B610" s="5">
        <f>'3 escalar'!U613</f>
        <v/>
      </c>
      <c r="C610">
        <f>'3 escalar'!B613</f>
        <v/>
      </c>
      <c r="D610" s="7">
        <f>'3 escalar'!C613</f>
        <v/>
      </c>
      <c r="E610" s="7">
        <f>'3 escalar'!D613</f>
        <v/>
      </c>
      <c r="F610" s="7">
        <f>'3 escalar'!E613</f>
        <v/>
      </c>
      <c r="G610" s="7">
        <f>'3 escalar'!F613</f>
        <v/>
      </c>
      <c r="H610" s="7">
        <f>'3 escalar'!G613</f>
        <v/>
      </c>
      <c r="I610" s="7">
        <f>'3 escalar'!H613</f>
        <v/>
      </c>
      <c r="J610" s="7">
        <f>'3 escalar'!I613</f>
        <v/>
      </c>
      <c r="K610" s="7">
        <f>'3 escalar'!J613</f>
        <v/>
      </c>
      <c r="L610" s="7">
        <f>'3 escalar'!K613</f>
        <v/>
      </c>
      <c r="M610" s="7">
        <f>'3 escalar'!L613</f>
        <v/>
      </c>
      <c r="N610" s="7">
        <f>'3 escalar'!M613</f>
        <v/>
      </c>
      <c r="O610" s="7">
        <f>'3 escalar'!N613</f>
        <v/>
      </c>
      <c r="P610" s="7">
        <f>'3 escalar'!O613</f>
        <v/>
      </c>
      <c r="Q610" s="7">
        <f>'3 escalar'!P613</f>
        <v/>
      </c>
      <c r="R610" s="7">
        <f>'3 escalar'!Q613</f>
        <v/>
      </c>
      <c r="S610" s="7">
        <f>'3 escalar'!R613</f>
        <v/>
      </c>
      <c r="T610" s="7">
        <f>'3 escalar'!S613</f>
        <v/>
      </c>
      <c r="U610" s="7">
        <f>'3 escalar'!T613</f>
        <v/>
      </c>
      <c r="V610" s="6">
        <f>$AC$12+D610*$AC$13+E610*$AC$14+F610*$AC$15+G610*$AC$16+H610*$AC$17+I610*$AC$18+J610*$AC$19+K610*$AC$20+L610*$AC$21+M610*$AC$22+N610*$AC$23+O610*$AC$24+P610*$AC$25+Q610*$AC$26+R610*$AC$27+S610*$AC$28+T610*$AC$29+U610*$AC$30</f>
        <v/>
      </c>
      <c r="W610" s="6">
        <f>1/(1+EXP(-V610))</f>
        <v/>
      </c>
      <c r="X610" s="8">
        <f>-IF(C610=1,LN(W610),LN(1-W610))</f>
        <v/>
      </c>
      <c r="Y610" s="9">
        <f>IF(W610&gt;$AC$32,1,0)</f>
        <v/>
      </c>
      <c r="Z610">
        <f>IF(Y610=C610,1,0)</f>
        <v/>
      </c>
    </row>
    <row r="611">
      <c r="A611">
        <f>'3 escalar'!A614</f>
        <v/>
      </c>
      <c r="B611" s="5">
        <f>'3 escalar'!U614</f>
        <v/>
      </c>
      <c r="C611">
        <f>'3 escalar'!B614</f>
        <v/>
      </c>
      <c r="D611" s="7">
        <f>'3 escalar'!C614</f>
        <v/>
      </c>
      <c r="E611" s="7">
        <f>'3 escalar'!D614</f>
        <v/>
      </c>
      <c r="F611" s="7">
        <f>'3 escalar'!E614</f>
        <v/>
      </c>
      <c r="G611" s="7">
        <f>'3 escalar'!F614</f>
        <v/>
      </c>
      <c r="H611" s="7">
        <f>'3 escalar'!G614</f>
        <v/>
      </c>
      <c r="I611" s="7">
        <f>'3 escalar'!H614</f>
        <v/>
      </c>
      <c r="J611" s="7">
        <f>'3 escalar'!I614</f>
        <v/>
      </c>
      <c r="K611" s="7">
        <f>'3 escalar'!J614</f>
        <v/>
      </c>
      <c r="L611" s="7">
        <f>'3 escalar'!K614</f>
        <v/>
      </c>
      <c r="M611" s="7">
        <f>'3 escalar'!L614</f>
        <v/>
      </c>
      <c r="N611" s="7">
        <f>'3 escalar'!M614</f>
        <v/>
      </c>
      <c r="O611" s="7">
        <f>'3 escalar'!N614</f>
        <v/>
      </c>
      <c r="P611" s="7">
        <f>'3 escalar'!O614</f>
        <v/>
      </c>
      <c r="Q611" s="7">
        <f>'3 escalar'!P614</f>
        <v/>
      </c>
      <c r="R611" s="7">
        <f>'3 escalar'!Q614</f>
        <v/>
      </c>
      <c r="S611" s="7">
        <f>'3 escalar'!R614</f>
        <v/>
      </c>
      <c r="T611" s="7">
        <f>'3 escalar'!S614</f>
        <v/>
      </c>
      <c r="U611" s="7">
        <f>'3 escalar'!T614</f>
        <v/>
      </c>
      <c r="V611" s="6">
        <f>$AC$12+D611*$AC$13+E611*$AC$14+F611*$AC$15+G611*$AC$16+H611*$AC$17+I611*$AC$18+J611*$AC$19+K611*$AC$20+L611*$AC$21+M611*$AC$22+N611*$AC$23+O611*$AC$24+P611*$AC$25+Q611*$AC$26+R611*$AC$27+S611*$AC$28+T611*$AC$29+U611*$AC$30</f>
        <v/>
      </c>
      <c r="W611" s="6">
        <f>1/(1+EXP(-V611))</f>
        <v/>
      </c>
      <c r="X611" s="8">
        <f>-IF(C611=1,LN(W611),LN(1-W611))</f>
        <v/>
      </c>
      <c r="Y611" s="9">
        <f>IF(W611&gt;$AC$32,1,0)</f>
        <v/>
      </c>
      <c r="Z611">
        <f>IF(Y611=C611,1,0)</f>
        <v/>
      </c>
    </row>
    <row r="612">
      <c r="A612">
        <f>'3 escalar'!A615</f>
        <v/>
      </c>
      <c r="B612" s="5">
        <f>'3 escalar'!U615</f>
        <v/>
      </c>
      <c r="C612">
        <f>'3 escalar'!B615</f>
        <v/>
      </c>
      <c r="D612" s="7">
        <f>'3 escalar'!C615</f>
        <v/>
      </c>
      <c r="E612" s="7">
        <f>'3 escalar'!D615</f>
        <v/>
      </c>
      <c r="F612" s="7">
        <f>'3 escalar'!E615</f>
        <v/>
      </c>
      <c r="G612" s="7">
        <f>'3 escalar'!F615</f>
        <v/>
      </c>
      <c r="H612" s="7">
        <f>'3 escalar'!G615</f>
        <v/>
      </c>
      <c r="I612" s="7">
        <f>'3 escalar'!H615</f>
        <v/>
      </c>
      <c r="J612" s="7">
        <f>'3 escalar'!I615</f>
        <v/>
      </c>
      <c r="K612" s="7">
        <f>'3 escalar'!J615</f>
        <v/>
      </c>
      <c r="L612" s="7">
        <f>'3 escalar'!K615</f>
        <v/>
      </c>
      <c r="M612" s="7">
        <f>'3 escalar'!L615</f>
        <v/>
      </c>
      <c r="N612" s="7">
        <f>'3 escalar'!M615</f>
        <v/>
      </c>
      <c r="O612" s="7">
        <f>'3 escalar'!N615</f>
        <v/>
      </c>
      <c r="P612" s="7">
        <f>'3 escalar'!O615</f>
        <v/>
      </c>
      <c r="Q612" s="7">
        <f>'3 escalar'!P615</f>
        <v/>
      </c>
      <c r="R612" s="7">
        <f>'3 escalar'!Q615</f>
        <v/>
      </c>
      <c r="S612" s="7">
        <f>'3 escalar'!R615</f>
        <v/>
      </c>
      <c r="T612" s="7">
        <f>'3 escalar'!S615</f>
        <v/>
      </c>
      <c r="U612" s="7">
        <f>'3 escalar'!T615</f>
        <v/>
      </c>
      <c r="V612" s="6">
        <f>$AC$12+D612*$AC$13+E612*$AC$14+F612*$AC$15+G612*$AC$16+H612*$AC$17+I612*$AC$18+J612*$AC$19+K612*$AC$20+L612*$AC$21+M612*$AC$22+N612*$AC$23+O612*$AC$24+P612*$AC$25+Q612*$AC$26+R612*$AC$27+S612*$AC$28+T612*$AC$29+U612*$AC$30</f>
        <v/>
      </c>
      <c r="W612" s="6">
        <f>1/(1+EXP(-V612))</f>
        <v/>
      </c>
      <c r="X612" s="8">
        <f>-IF(C612=1,LN(W612),LN(1-W612))</f>
        <v/>
      </c>
      <c r="Y612" s="9">
        <f>IF(W612&gt;$AC$32,1,0)</f>
        <v/>
      </c>
      <c r="Z612">
        <f>IF(Y612=C612,1,0)</f>
        <v/>
      </c>
    </row>
    <row r="613">
      <c r="A613">
        <f>'3 escalar'!A616</f>
        <v/>
      </c>
      <c r="B613" s="5">
        <f>'3 escalar'!U616</f>
        <v/>
      </c>
      <c r="C613">
        <f>'3 escalar'!B616</f>
        <v/>
      </c>
      <c r="D613" s="7">
        <f>'3 escalar'!C616</f>
        <v/>
      </c>
      <c r="E613" s="7">
        <f>'3 escalar'!D616</f>
        <v/>
      </c>
      <c r="F613" s="7">
        <f>'3 escalar'!E616</f>
        <v/>
      </c>
      <c r="G613" s="7">
        <f>'3 escalar'!F616</f>
        <v/>
      </c>
      <c r="H613" s="7">
        <f>'3 escalar'!G616</f>
        <v/>
      </c>
      <c r="I613" s="7">
        <f>'3 escalar'!H616</f>
        <v/>
      </c>
      <c r="J613" s="7">
        <f>'3 escalar'!I616</f>
        <v/>
      </c>
      <c r="K613" s="7">
        <f>'3 escalar'!J616</f>
        <v/>
      </c>
      <c r="L613" s="7">
        <f>'3 escalar'!K616</f>
        <v/>
      </c>
      <c r="M613" s="7">
        <f>'3 escalar'!L616</f>
        <v/>
      </c>
      <c r="N613" s="7">
        <f>'3 escalar'!M616</f>
        <v/>
      </c>
      <c r="O613" s="7">
        <f>'3 escalar'!N616</f>
        <v/>
      </c>
      <c r="P613" s="7">
        <f>'3 escalar'!O616</f>
        <v/>
      </c>
      <c r="Q613" s="7">
        <f>'3 escalar'!P616</f>
        <v/>
      </c>
      <c r="R613" s="7">
        <f>'3 escalar'!Q616</f>
        <v/>
      </c>
      <c r="S613" s="7">
        <f>'3 escalar'!R616</f>
        <v/>
      </c>
      <c r="T613" s="7">
        <f>'3 escalar'!S616</f>
        <v/>
      </c>
      <c r="U613" s="7">
        <f>'3 escalar'!T616</f>
        <v/>
      </c>
      <c r="V613" s="6">
        <f>$AC$12+D613*$AC$13+E613*$AC$14+F613*$AC$15+G613*$AC$16+H613*$AC$17+I613*$AC$18+J613*$AC$19+K613*$AC$20+L613*$AC$21+M613*$AC$22+N613*$AC$23+O613*$AC$24+P613*$AC$25+Q613*$AC$26+R613*$AC$27+S613*$AC$28+T613*$AC$29+U613*$AC$30</f>
        <v/>
      </c>
      <c r="W613" s="6">
        <f>1/(1+EXP(-V613))</f>
        <v/>
      </c>
      <c r="X613" s="8">
        <f>-IF(C613=1,LN(W613),LN(1-W613))</f>
        <v/>
      </c>
      <c r="Y613" s="9">
        <f>IF(W613&gt;$AC$32,1,0)</f>
        <v/>
      </c>
      <c r="Z613">
        <f>IF(Y613=C613,1,0)</f>
        <v/>
      </c>
    </row>
    <row r="614">
      <c r="A614">
        <f>'3 escalar'!A617</f>
        <v/>
      </c>
      <c r="B614" s="5">
        <f>'3 escalar'!U617</f>
        <v/>
      </c>
      <c r="C614">
        <f>'3 escalar'!B617</f>
        <v/>
      </c>
      <c r="D614" s="7">
        <f>'3 escalar'!C617</f>
        <v/>
      </c>
      <c r="E614" s="7">
        <f>'3 escalar'!D617</f>
        <v/>
      </c>
      <c r="F614" s="7">
        <f>'3 escalar'!E617</f>
        <v/>
      </c>
      <c r="G614" s="7">
        <f>'3 escalar'!F617</f>
        <v/>
      </c>
      <c r="H614" s="7">
        <f>'3 escalar'!G617</f>
        <v/>
      </c>
      <c r="I614" s="7">
        <f>'3 escalar'!H617</f>
        <v/>
      </c>
      <c r="J614" s="7">
        <f>'3 escalar'!I617</f>
        <v/>
      </c>
      <c r="K614" s="7">
        <f>'3 escalar'!J617</f>
        <v/>
      </c>
      <c r="L614" s="7">
        <f>'3 escalar'!K617</f>
        <v/>
      </c>
      <c r="M614" s="7">
        <f>'3 escalar'!L617</f>
        <v/>
      </c>
      <c r="N614" s="7">
        <f>'3 escalar'!M617</f>
        <v/>
      </c>
      <c r="O614" s="7">
        <f>'3 escalar'!N617</f>
        <v/>
      </c>
      <c r="P614" s="7">
        <f>'3 escalar'!O617</f>
        <v/>
      </c>
      <c r="Q614" s="7">
        <f>'3 escalar'!P617</f>
        <v/>
      </c>
      <c r="R614" s="7">
        <f>'3 escalar'!Q617</f>
        <v/>
      </c>
      <c r="S614" s="7">
        <f>'3 escalar'!R617</f>
        <v/>
      </c>
      <c r="T614" s="7">
        <f>'3 escalar'!S617</f>
        <v/>
      </c>
      <c r="U614" s="7">
        <f>'3 escalar'!T617</f>
        <v/>
      </c>
      <c r="V614" s="6">
        <f>$AC$12+D614*$AC$13+E614*$AC$14+F614*$AC$15+G614*$AC$16+H614*$AC$17+I614*$AC$18+J614*$AC$19+K614*$AC$20+L614*$AC$21+M614*$AC$22+N614*$AC$23+O614*$AC$24+P614*$AC$25+Q614*$AC$26+R614*$AC$27+S614*$AC$28+T614*$AC$29+U614*$AC$30</f>
        <v/>
      </c>
      <c r="W614" s="6">
        <f>1/(1+EXP(-V614))</f>
        <v/>
      </c>
      <c r="X614" s="8">
        <f>-IF(C614=1,LN(W614),LN(1-W614))</f>
        <v/>
      </c>
      <c r="Y614" s="9">
        <f>IF(W614&gt;$AC$32,1,0)</f>
        <v/>
      </c>
      <c r="Z614">
        <f>IF(Y614=C614,1,0)</f>
        <v/>
      </c>
    </row>
    <row r="615">
      <c r="A615">
        <f>'3 escalar'!A618</f>
        <v/>
      </c>
      <c r="B615" s="5">
        <f>'3 escalar'!U618</f>
        <v/>
      </c>
      <c r="C615">
        <f>'3 escalar'!B618</f>
        <v/>
      </c>
      <c r="D615" s="7">
        <f>'3 escalar'!C618</f>
        <v/>
      </c>
      <c r="E615" s="7">
        <f>'3 escalar'!D618</f>
        <v/>
      </c>
      <c r="F615" s="7">
        <f>'3 escalar'!E618</f>
        <v/>
      </c>
      <c r="G615" s="7">
        <f>'3 escalar'!F618</f>
        <v/>
      </c>
      <c r="H615" s="7">
        <f>'3 escalar'!G618</f>
        <v/>
      </c>
      <c r="I615" s="7">
        <f>'3 escalar'!H618</f>
        <v/>
      </c>
      <c r="J615" s="7">
        <f>'3 escalar'!I618</f>
        <v/>
      </c>
      <c r="K615" s="7">
        <f>'3 escalar'!J618</f>
        <v/>
      </c>
      <c r="L615" s="7">
        <f>'3 escalar'!K618</f>
        <v/>
      </c>
      <c r="M615" s="7">
        <f>'3 escalar'!L618</f>
        <v/>
      </c>
      <c r="N615" s="7">
        <f>'3 escalar'!M618</f>
        <v/>
      </c>
      <c r="O615" s="7">
        <f>'3 escalar'!N618</f>
        <v/>
      </c>
      <c r="P615" s="7">
        <f>'3 escalar'!O618</f>
        <v/>
      </c>
      <c r="Q615" s="7">
        <f>'3 escalar'!P618</f>
        <v/>
      </c>
      <c r="R615" s="7">
        <f>'3 escalar'!Q618</f>
        <v/>
      </c>
      <c r="S615" s="7">
        <f>'3 escalar'!R618</f>
        <v/>
      </c>
      <c r="T615" s="7">
        <f>'3 escalar'!S618</f>
        <v/>
      </c>
      <c r="U615" s="7">
        <f>'3 escalar'!T618</f>
        <v/>
      </c>
      <c r="V615" s="6">
        <f>$AC$12+D615*$AC$13+E615*$AC$14+F615*$AC$15+G615*$AC$16+H615*$AC$17+I615*$AC$18+J615*$AC$19+K615*$AC$20+L615*$AC$21+M615*$AC$22+N615*$AC$23+O615*$AC$24+P615*$AC$25+Q615*$AC$26+R615*$AC$27+S615*$AC$28+T615*$AC$29+U615*$AC$30</f>
        <v/>
      </c>
      <c r="W615" s="6">
        <f>1/(1+EXP(-V615))</f>
        <v/>
      </c>
      <c r="X615" s="8">
        <f>-IF(C615=1,LN(W615),LN(1-W615))</f>
        <v/>
      </c>
      <c r="Y615" s="9">
        <f>IF(W615&gt;$AC$32,1,0)</f>
        <v/>
      </c>
      <c r="Z615">
        <f>IF(Y615=C615,1,0)</f>
        <v/>
      </c>
    </row>
    <row r="616">
      <c r="A616">
        <f>'3 escalar'!A619</f>
        <v/>
      </c>
      <c r="B616" s="5">
        <f>'3 escalar'!U619</f>
        <v/>
      </c>
      <c r="C616">
        <f>'3 escalar'!B619</f>
        <v/>
      </c>
      <c r="D616" s="7">
        <f>'3 escalar'!C619</f>
        <v/>
      </c>
      <c r="E616" s="7">
        <f>'3 escalar'!D619</f>
        <v/>
      </c>
      <c r="F616" s="7">
        <f>'3 escalar'!E619</f>
        <v/>
      </c>
      <c r="G616" s="7">
        <f>'3 escalar'!F619</f>
        <v/>
      </c>
      <c r="H616" s="7">
        <f>'3 escalar'!G619</f>
        <v/>
      </c>
      <c r="I616" s="7">
        <f>'3 escalar'!H619</f>
        <v/>
      </c>
      <c r="J616" s="7">
        <f>'3 escalar'!I619</f>
        <v/>
      </c>
      <c r="K616" s="7">
        <f>'3 escalar'!J619</f>
        <v/>
      </c>
      <c r="L616" s="7">
        <f>'3 escalar'!K619</f>
        <v/>
      </c>
      <c r="M616" s="7">
        <f>'3 escalar'!L619</f>
        <v/>
      </c>
      <c r="N616" s="7">
        <f>'3 escalar'!M619</f>
        <v/>
      </c>
      <c r="O616" s="7">
        <f>'3 escalar'!N619</f>
        <v/>
      </c>
      <c r="P616" s="7">
        <f>'3 escalar'!O619</f>
        <v/>
      </c>
      <c r="Q616" s="7">
        <f>'3 escalar'!P619</f>
        <v/>
      </c>
      <c r="R616" s="7">
        <f>'3 escalar'!Q619</f>
        <v/>
      </c>
      <c r="S616" s="7">
        <f>'3 escalar'!R619</f>
        <v/>
      </c>
      <c r="T616" s="7">
        <f>'3 escalar'!S619</f>
        <v/>
      </c>
      <c r="U616" s="7">
        <f>'3 escalar'!T619</f>
        <v/>
      </c>
      <c r="V616" s="6">
        <f>$AC$12+D616*$AC$13+E616*$AC$14+F616*$AC$15+G616*$AC$16+H616*$AC$17+I616*$AC$18+J616*$AC$19+K616*$AC$20+L616*$AC$21+M616*$AC$22+N616*$AC$23+O616*$AC$24+P616*$AC$25+Q616*$AC$26+R616*$AC$27+S616*$AC$28+T616*$AC$29+U616*$AC$30</f>
        <v/>
      </c>
      <c r="W616" s="6">
        <f>1/(1+EXP(-V616))</f>
        <v/>
      </c>
      <c r="X616" s="8">
        <f>-IF(C616=1,LN(W616),LN(1-W616))</f>
        <v/>
      </c>
      <c r="Y616" s="9">
        <f>IF(W616&gt;$AC$32,1,0)</f>
        <v/>
      </c>
      <c r="Z616">
        <f>IF(Y616=C616,1,0)</f>
        <v/>
      </c>
    </row>
    <row r="617">
      <c r="A617">
        <f>'3 escalar'!A620</f>
        <v/>
      </c>
      <c r="B617" s="5">
        <f>'3 escalar'!U620</f>
        <v/>
      </c>
      <c r="C617">
        <f>'3 escalar'!B620</f>
        <v/>
      </c>
      <c r="D617" s="7">
        <f>'3 escalar'!C620</f>
        <v/>
      </c>
      <c r="E617" s="7">
        <f>'3 escalar'!D620</f>
        <v/>
      </c>
      <c r="F617" s="7">
        <f>'3 escalar'!E620</f>
        <v/>
      </c>
      <c r="G617" s="7">
        <f>'3 escalar'!F620</f>
        <v/>
      </c>
      <c r="H617" s="7">
        <f>'3 escalar'!G620</f>
        <v/>
      </c>
      <c r="I617" s="7">
        <f>'3 escalar'!H620</f>
        <v/>
      </c>
      <c r="J617" s="7">
        <f>'3 escalar'!I620</f>
        <v/>
      </c>
      <c r="K617" s="7">
        <f>'3 escalar'!J620</f>
        <v/>
      </c>
      <c r="L617" s="7">
        <f>'3 escalar'!K620</f>
        <v/>
      </c>
      <c r="M617" s="7">
        <f>'3 escalar'!L620</f>
        <v/>
      </c>
      <c r="N617" s="7">
        <f>'3 escalar'!M620</f>
        <v/>
      </c>
      <c r="O617" s="7">
        <f>'3 escalar'!N620</f>
        <v/>
      </c>
      <c r="P617" s="7">
        <f>'3 escalar'!O620</f>
        <v/>
      </c>
      <c r="Q617" s="7">
        <f>'3 escalar'!P620</f>
        <v/>
      </c>
      <c r="R617" s="7">
        <f>'3 escalar'!Q620</f>
        <v/>
      </c>
      <c r="S617" s="7">
        <f>'3 escalar'!R620</f>
        <v/>
      </c>
      <c r="T617" s="7">
        <f>'3 escalar'!S620</f>
        <v/>
      </c>
      <c r="U617" s="7">
        <f>'3 escalar'!T620</f>
        <v/>
      </c>
      <c r="V617" s="6">
        <f>$AC$12+D617*$AC$13+E617*$AC$14+F617*$AC$15+G617*$AC$16+H617*$AC$17+I617*$AC$18+J617*$AC$19+K617*$AC$20+L617*$AC$21+M617*$AC$22+N617*$AC$23+O617*$AC$24+P617*$AC$25+Q617*$AC$26+R617*$AC$27+S617*$AC$28+T617*$AC$29+U617*$AC$30</f>
        <v/>
      </c>
      <c r="W617" s="6">
        <f>1/(1+EXP(-V617))</f>
        <v/>
      </c>
      <c r="X617" s="8">
        <f>-IF(C617=1,LN(W617),LN(1-W617))</f>
        <v/>
      </c>
      <c r="Y617" s="9">
        <f>IF(W617&gt;$AC$32,1,0)</f>
        <v/>
      </c>
      <c r="Z617">
        <f>IF(Y617=C617,1,0)</f>
        <v/>
      </c>
    </row>
    <row r="618">
      <c r="A618">
        <f>'3 escalar'!A621</f>
        <v/>
      </c>
      <c r="B618" s="5">
        <f>'3 escalar'!U621</f>
        <v/>
      </c>
      <c r="C618">
        <f>'3 escalar'!B621</f>
        <v/>
      </c>
      <c r="D618" s="7">
        <f>'3 escalar'!C621</f>
        <v/>
      </c>
      <c r="E618" s="7">
        <f>'3 escalar'!D621</f>
        <v/>
      </c>
      <c r="F618" s="7">
        <f>'3 escalar'!E621</f>
        <v/>
      </c>
      <c r="G618" s="7">
        <f>'3 escalar'!F621</f>
        <v/>
      </c>
      <c r="H618" s="7">
        <f>'3 escalar'!G621</f>
        <v/>
      </c>
      <c r="I618" s="7">
        <f>'3 escalar'!H621</f>
        <v/>
      </c>
      <c r="J618" s="7">
        <f>'3 escalar'!I621</f>
        <v/>
      </c>
      <c r="K618" s="7">
        <f>'3 escalar'!J621</f>
        <v/>
      </c>
      <c r="L618" s="7">
        <f>'3 escalar'!K621</f>
        <v/>
      </c>
      <c r="M618" s="7">
        <f>'3 escalar'!L621</f>
        <v/>
      </c>
      <c r="N618" s="7">
        <f>'3 escalar'!M621</f>
        <v/>
      </c>
      <c r="O618" s="7">
        <f>'3 escalar'!N621</f>
        <v/>
      </c>
      <c r="P618" s="7">
        <f>'3 escalar'!O621</f>
        <v/>
      </c>
      <c r="Q618" s="7">
        <f>'3 escalar'!P621</f>
        <v/>
      </c>
      <c r="R618" s="7">
        <f>'3 escalar'!Q621</f>
        <v/>
      </c>
      <c r="S618" s="7">
        <f>'3 escalar'!R621</f>
        <v/>
      </c>
      <c r="T618" s="7">
        <f>'3 escalar'!S621</f>
        <v/>
      </c>
      <c r="U618" s="7">
        <f>'3 escalar'!T621</f>
        <v/>
      </c>
      <c r="V618" s="6">
        <f>$AC$12+D618*$AC$13+E618*$AC$14+F618*$AC$15+G618*$AC$16+H618*$AC$17+I618*$AC$18+J618*$AC$19+K618*$AC$20+L618*$AC$21+M618*$AC$22+N618*$AC$23+O618*$AC$24+P618*$AC$25+Q618*$AC$26+R618*$AC$27+S618*$AC$28+T618*$AC$29+U618*$AC$30</f>
        <v/>
      </c>
      <c r="W618" s="6">
        <f>1/(1+EXP(-V618))</f>
        <v/>
      </c>
      <c r="X618" s="8">
        <f>-IF(C618=1,LN(W618),LN(1-W618))</f>
        <v/>
      </c>
      <c r="Y618" s="9">
        <f>IF(W618&gt;$AC$32,1,0)</f>
        <v/>
      </c>
      <c r="Z618">
        <f>IF(Y618=C618,1,0)</f>
        <v/>
      </c>
    </row>
    <row r="619">
      <c r="A619">
        <f>'3 escalar'!A622</f>
        <v/>
      </c>
      <c r="B619" s="5">
        <f>'3 escalar'!U622</f>
        <v/>
      </c>
      <c r="C619">
        <f>'3 escalar'!B622</f>
        <v/>
      </c>
      <c r="D619" s="7">
        <f>'3 escalar'!C622</f>
        <v/>
      </c>
      <c r="E619" s="7">
        <f>'3 escalar'!D622</f>
        <v/>
      </c>
      <c r="F619" s="7">
        <f>'3 escalar'!E622</f>
        <v/>
      </c>
      <c r="G619" s="7">
        <f>'3 escalar'!F622</f>
        <v/>
      </c>
      <c r="H619" s="7">
        <f>'3 escalar'!G622</f>
        <v/>
      </c>
      <c r="I619" s="7">
        <f>'3 escalar'!H622</f>
        <v/>
      </c>
      <c r="J619" s="7">
        <f>'3 escalar'!I622</f>
        <v/>
      </c>
      <c r="K619" s="7">
        <f>'3 escalar'!J622</f>
        <v/>
      </c>
      <c r="L619" s="7">
        <f>'3 escalar'!K622</f>
        <v/>
      </c>
      <c r="M619" s="7">
        <f>'3 escalar'!L622</f>
        <v/>
      </c>
      <c r="N619" s="7">
        <f>'3 escalar'!M622</f>
        <v/>
      </c>
      <c r="O619" s="7">
        <f>'3 escalar'!N622</f>
        <v/>
      </c>
      <c r="P619" s="7">
        <f>'3 escalar'!O622</f>
        <v/>
      </c>
      <c r="Q619" s="7">
        <f>'3 escalar'!P622</f>
        <v/>
      </c>
      <c r="R619" s="7">
        <f>'3 escalar'!Q622</f>
        <v/>
      </c>
      <c r="S619" s="7">
        <f>'3 escalar'!R622</f>
        <v/>
      </c>
      <c r="T619" s="7">
        <f>'3 escalar'!S622</f>
        <v/>
      </c>
      <c r="U619" s="7">
        <f>'3 escalar'!T622</f>
        <v/>
      </c>
      <c r="V619" s="6">
        <f>$AC$12+D619*$AC$13+E619*$AC$14+F619*$AC$15+G619*$AC$16+H619*$AC$17+I619*$AC$18+J619*$AC$19+K619*$AC$20+L619*$AC$21+M619*$AC$22+N619*$AC$23+O619*$AC$24+P619*$AC$25+Q619*$AC$26+R619*$AC$27+S619*$AC$28+T619*$AC$29+U619*$AC$30</f>
        <v/>
      </c>
      <c r="W619" s="6">
        <f>1/(1+EXP(-V619))</f>
        <v/>
      </c>
      <c r="X619" s="8">
        <f>-IF(C619=1,LN(W619),LN(1-W619))</f>
        <v/>
      </c>
      <c r="Y619" s="9">
        <f>IF(W619&gt;$AC$32,1,0)</f>
        <v/>
      </c>
      <c r="Z619">
        <f>IF(Y619=C619,1,0)</f>
        <v/>
      </c>
    </row>
    <row r="620">
      <c r="A620">
        <f>'3 escalar'!A623</f>
        <v/>
      </c>
      <c r="B620" s="5">
        <f>'3 escalar'!U623</f>
        <v/>
      </c>
      <c r="C620">
        <f>'3 escalar'!B623</f>
        <v/>
      </c>
      <c r="D620" s="7">
        <f>'3 escalar'!C623</f>
        <v/>
      </c>
      <c r="E620" s="7">
        <f>'3 escalar'!D623</f>
        <v/>
      </c>
      <c r="F620" s="7">
        <f>'3 escalar'!E623</f>
        <v/>
      </c>
      <c r="G620" s="7">
        <f>'3 escalar'!F623</f>
        <v/>
      </c>
      <c r="H620" s="7">
        <f>'3 escalar'!G623</f>
        <v/>
      </c>
      <c r="I620" s="7">
        <f>'3 escalar'!H623</f>
        <v/>
      </c>
      <c r="J620" s="7">
        <f>'3 escalar'!I623</f>
        <v/>
      </c>
      <c r="K620" s="7">
        <f>'3 escalar'!J623</f>
        <v/>
      </c>
      <c r="L620" s="7">
        <f>'3 escalar'!K623</f>
        <v/>
      </c>
      <c r="M620" s="7">
        <f>'3 escalar'!L623</f>
        <v/>
      </c>
      <c r="N620" s="7">
        <f>'3 escalar'!M623</f>
        <v/>
      </c>
      <c r="O620" s="7">
        <f>'3 escalar'!N623</f>
        <v/>
      </c>
      <c r="P620" s="7">
        <f>'3 escalar'!O623</f>
        <v/>
      </c>
      <c r="Q620" s="7">
        <f>'3 escalar'!P623</f>
        <v/>
      </c>
      <c r="R620" s="7">
        <f>'3 escalar'!Q623</f>
        <v/>
      </c>
      <c r="S620" s="7">
        <f>'3 escalar'!R623</f>
        <v/>
      </c>
      <c r="T620" s="7">
        <f>'3 escalar'!S623</f>
        <v/>
      </c>
      <c r="U620" s="7">
        <f>'3 escalar'!T623</f>
        <v/>
      </c>
      <c r="V620" s="6">
        <f>$AC$12+D620*$AC$13+E620*$AC$14+F620*$AC$15+G620*$AC$16+H620*$AC$17+I620*$AC$18+J620*$AC$19+K620*$AC$20+L620*$AC$21+M620*$AC$22+N620*$AC$23+O620*$AC$24+P620*$AC$25+Q620*$AC$26+R620*$AC$27+S620*$AC$28+T620*$AC$29+U620*$AC$30</f>
        <v/>
      </c>
      <c r="W620" s="6">
        <f>1/(1+EXP(-V620))</f>
        <v/>
      </c>
      <c r="X620" s="8">
        <f>-IF(C620=1,LN(W620),LN(1-W620))</f>
        <v/>
      </c>
      <c r="Y620" s="9">
        <f>IF(W620&gt;$AC$32,1,0)</f>
        <v/>
      </c>
      <c r="Z620">
        <f>IF(Y620=C620,1,0)</f>
        <v/>
      </c>
    </row>
    <row r="621">
      <c r="A621">
        <f>'3 escalar'!A624</f>
        <v/>
      </c>
      <c r="B621" s="5">
        <f>'3 escalar'!U624</f>
        <v/>
      </c>
      <c r="C621">
        <f>'3 escalar'!B624</f>
        <v/>
      </c>
      <c r="D621" s="7">
        <f>'3 escalar'!C624</f>
        <v/>
      </c>
      <c r="E621" s="7">
        <f>'3 escalar'!D624</f>
        <v/>
      </c>
      <c r="F621" s="7">
        <f>'3 escalar'!E624</f>
        <v/>
      </c>
      <c r="G621" s="7">
        <f>'3 escalar'!F624</f>
        <v/>
      </c>
      <c r="H621" s="7">
        <f>'3 escalar'!G624</f>
        <v/>
      </c>
      <c r="I621" s="7">
        <f>'3 escalar'!H624</f>
        <v/>
      </c>
      <c r="J621" s="7">
        <f>'3 escalar'!I624</f>
        <v/>
      </c>
      <c r="K621" s="7">
        <f>'3 escalar'!J624</f>
        <v/>
      </c>
      <c r="L621" s="7">
        <f>'3 escalar'!K624</f>
        <v/>
      </c>
      <c r="M621" s="7">
        <f>'3 escalar'!L624</f>
        <v/>
      </c>
      <c r="N621" s="7">
        <f>'3 escalar'!M624</f>
        <v/>
      </c>
      <c r="O621" s="7">
        <f>'3 escalar'!N624</f>
        <v/>
      </c>
      <c r="P621" s="7">
        <f>'3 escalar'!O624</f>
        <v/>
      </c>
      <c r="Q621" s="7">
        <f>'3 escalar'!P624</f>
        <v/>
      </c>
      <c r="R621" s="7">
        <f>'3 escalar'!Q624</f>
        <v/>
      </c>
      <c r="S621" s="7">
        <f>'3 escalar'!R624</f>
        <v/>
      </c>
      <c r="T621" s="7">
        <f>'3 escalar'!S624</f>
        <v/>
      </c>
      <c r="U621" s="7">
        <f>'3 escalar'!T624</f>
        <v/>
      </c>
      <c r="V621" s="6">
        <f>$AC$12+D621*$AC$13+E621*$AC$14+F621*$AC$15+G621*$AC$16+H621*$AC$17+I621*$AC$18+J621*$AC$19+K621*$AC$20+L621*$AC$21+M621*$AC$22+N621*$AC$23+O621*$AC$24+P621*$AC$25+Q621*$AC$26+R621*$AC$27+S621*$AC$28+T621*$AC$29+U621*$AC$30</f>
        <v/>
      </c>
      <c r="W621" s="6">
        <f>1/(1+EXP(-V621))</f>
        <v/>
      </c>
      <c r="X621" s="8">
        <f>-IF(C621=1,LN(W621),LN(1-W621))</f>
        <v/>
      </c>
      <c r="Y621" s="9">
        <f>IF(W621&gt;$AC$32,1,0)</f>
        <v/>
      </c>
      <c r="Z621">
        <f>IF(Y621=C621,1,0)</f>
        <v/>
      </c>
    </row>
    <row r="622">
      <c r="A622">
        <f>'3 escalar'!A625</f>
        <v/>
      </c>
      <c r="B622" s="5">
        <f>'3 escalar'!U625</f>
        <v/>
      </c>
      <c r="C622">
        <f>'3 escalar'!B625</f>
        <v/>
      </c>
      <c r="D622" s="7">
        <f>'3 escalar'!C625</f>
        <v/>
      </c>
      <c r="E622" s="7">
        <f>'3 escalar'!D625</f>
        <v/>
      </c>
      <c r="F622" s="7">
        <f>'3 escalar'!E625</f>
        <v/>
      </c>
      <c r="G622" s="7">
        <f>'3 escalar'!F625</f>
        <v/>
      </c>
      <c r="H622" s="7">
        <f>'3 escalar'!G625</f>
        <v/>
      </c>
      <c r="I622" s="7">
        <f>'3 escalar'!H625</f>
        <v/>
      </c>
      <c r="J622" s="7">
        <f>'3 escalar'!I625</f>
        <v/>
      </c>
      <c r="K622" s="7">
        <f>'3 escalar'!J625</f>
        <v/>
      </c>
      <c r="L622" s="7">
        <f>'3 escalar'!K625</f>
        <v/>
      </c>
      <c r="M622" s="7">
        <f>'3 escalar'!L625</f>
        <v/>
      </c>
      <c r="N622" s="7">
        <f>'3 escalar'!M625</f>
        <v/>
      </c>
      <c r="O622" s="7">
        <f>'3 escalar'!N625</f>
        <v/>
      </c>
      <c r="P622" s="7">
        <f>'3 escalar'!O625</f>
        <v/>
      </c>
      <c r="Q622" s="7">
        <f>'3 escalar'!P625</f>
        <v/>
      </c>
      <c r="R622" s="7">
        <f>'3 escalar'!Q625</f>
        <v/>
      </c>
      <c r="S622" s="7">
        <f>'3 escalar'!R625</f>
        <v/>
      </c>
      <c r="T622" s="7">
        <f>'3 escalar'!S625</f>
        <v/>
      </c>
      <c r="U622" s="7">
        <f>'3 escalar'!T625</f>
        <v/>
      </c>
      <c r="V622" s="6">
        <f>$AC$12+D622*$AC$13+E622*$AC$14+F622*$AC$15+G622*$AC$16+H622*$AC$17+I622*$AC$18+J622*$AC$19+K622*$AC$20+L622*$AC$21+M622*$AC$22+N622*$AC$23+O622*$AC$24+P622*$AC$25+Q622*$AC$26+R622*$AC$27+S622*$AC$28+T622*$AC$29+U622*$AC$30</f>
        <v/>
      </c>
      <c r="W622" s="6">
        <f>1/(1+EXP(-V622))</f>
        <v/>
      </c>
      <c r="X622" s="8">
        <f>-IF(C622=1,LN(W622),LN(1-W622))</f>
        <v/>
      </c>
      <c r="Y622" s="9">
        <f>IF(W622&gt;$AC$32,1,0)</f>
        <v/>
      </c>
      <c r="Z622">
        <f>IF(Y622=C622,1,0)</f>
        <v/>
      </c>
    </row>
    <row r="623">
      <c r="A623">
        <f>'3 escalar'!A626</f>
        <v/>
      </c>
      <c r="B623" s="5">
        <f>'3 escalar'!U626</f>
        <v/>
      </c>
      <c r="C623">
        <f>'3 escalar'!B626</f>
        <v/>
      </c>
      <c r="D623" s="7">
        <f>'3 escalar'!C626</f>
        <v/>
      </c>
      <c r="E623" s="7">
        <f>'3 escalar'!D626</f>
        <v/>
      </c>
      <c r="F623" s="7">
        <f>'3 escalar'!E626</f>
        <v/>
      </c>
      <c r="G623" s="7">
        <f>'3 escalar'!F626</f>
        <v/>
      </c>
      <c r="H623" s="7">
        <f>'3 escalar'!G626</f>
        <v/>
      </c>
      <c r="I623" s="7">
        <f>'3 escalar'!H626</f>
        <v/>
      </c>
      <c r="J623" s="7">
        <f>'3 escalar'!I626</f>
        <v/>
      </c>
      <c r="K623" s="7">
        <f>'3 escalar'!J626</f>
        <v/>
      </c>
      <c r="L623" s="7">
        <f>'3 escalar'!K626</f>
        <v/>
      </c>
      <c r="M623" s="7">
        <f>'3 escalar'!L626</f>
        <v/>
      </c>
      <c r="N623" s="7">
        <f>'3 escalar'!M626</f>
        <v/>
      </c>
      <c r="O623" s="7">
        <f>'3 escalar'!N626</f>
        <v/>
      </c>
      <c r="P623" s="7">
        <f>'3 escalar'!O626</f>
        <v/>
      </c>
      <c r="Q623" s="7">
        <f>'3 escalar'!P626</f>
        <v/>
      </c>
      <c r="R623" s="7">
        <f>'3 escalar'!Q626</f>
        <v/>
      </c>
      <c r="S623" s="7">
        <f>'3 escalar'!R626</f>
        <v/>
      </c>
      <c r="T623" s="7">
        <f>'3 escalar'!S626</f>
        <v/>
      </c>
      <c r="U623" s="7">
        <f>'3 escalar'!T626</f>
        <v/>
      </c>
      <c r="V623" s="6">
        <f>$AC$12+D623*$AC$13+E623*$AC$14+F623*$AC$15+G623*$AC$16+H623*$AC$17+I623*$AC$18+J623*$AC$19+K623*$AC$20+L623*$AC$21+M623*$AC$22+N623*$AC$23+O623*$AC$24+P623*$AC$25+Q623*$AC$26+R623*$AC$27+S623*$AC$28+T623*$AC$29+U623*$AC$30</f>
        <v/>
      </c>
      <c r="W623" s="6">
        <f>1/(1+EXP(-V623))</f>
        <v/>
      </c>
      <c r="X623" s="8">
        <f>-IF(C623=1,LN(W623),LN(1-W623))</f>
        <v/>
      </c>
      <c r="Y623" s="9">
        <f>IF(W623&gt;$AC$32,1,0)</f>
        <v/>
      </c>
      <c r="Z623">
        <f>IF(Y623=C623,1,0)</f>
        <v/>
      </c>
    </row>
    <row r="624">
      <c r="A624">
        <f>'3 escalar'!A627</f>
        <v/>
      </c>
      <c r="B624" s="5">
        <f>'3 escalar'!U627</f>
        <v/>
      </c>
      <c r="C624">
        <f>'3 escalar'!B627</f>
        <v/>
      </c>
      <c r="D624" s="7">
        <f>'3 escalar'!C627</f>
        <v/>
      </c>
      <c r="E624" s="7">
        <f>'3 escalar'!D627</f>
        <v/>
      </c>
      <c r="F624" s="7">
        <f>'3 escalar'!E627</f>
        <v/>
      </c>
      <c r="G624" s="7">
        <f>'3 escalar'!F627</f>
        <v/>
      </c>
      <c r="H624" s="7">
        <f>'3 escalar'!G627</f>
        <v/>
      </c>
      <c r="I624" s="7">
        <f>'3 escalar'!H627</f>
        <v/>
      </c>
      <c r="J624" s="7">
        <f>'3 escalar'!I627</f>
        <v/>
      </c>
      <c r="K624" s="7">
        <f>'3 escalar'!J627</f>
        <v/>
      </c>
      <c r="L624" s="7">
        <f>'3 escalar'!K627</f>
        <v/>
      </c>
      <c r="M624" s="7">
        <f>'3 escalar'!L627</f>
        <v/>
      </c>
      <c r="N624" s="7">
        <f>'3 escalar'!M627</f>
        <v/>
      </c>
      <c r="O624" s="7">
        <f>'3 escalar'!N627</f>
        <v/>
      </c>
      <c r="P624" s="7">
        <f>'3 escalar'!O627</f>
        <v/>
      </c>
      <c r="Q624" s="7">
        <f>'3 escalar'!P627</f>
        <v/>
      </c>
      <c r="R624" s="7">
        <f>'3 escalar'!Q627</f>
        <v/>
      </c>
      <c r="S624" s="7">
        <f>'3 escalar'!R627</f>
        <v/>
      </c>
      <c r="T624" s="7">
        <f>'3 escalar'!S627</f>
        <v/>
      </c>
      <c r="U624" s="7">
        <f>'3 escalar'!T627</f>
        <v/>
      </c>
      <c r="V624" s="6">
        <f>$AC$12+D624*$AC$13+E624*$AC$14+F624*$AC$15+G624*$AC$16+H624*$AC$17+I624*$AC$18+J624*$AC$19+K624*$AC$20+L624*$AC$21+M624*$AC$22+N624*$AC$23+O624*$AC$24+P624*$AC$25+Q624*$AC$26+R624*$AC$27+S624*$AC$28+T624*$AC$29+U624*$AC$30</f>
        <v/>
      </c>
      <c r="W624" s="6">
        <f>1/(1+EXP(-V624))</f>
        <v/>
      </c>
      <c r="X624" s="8">
        <f>-IF(C624=1,LN(W624),LN(1-W624))</f>
        <v/>
      </c>
      <c r="Y624" s="9">
        <f>IF(W624&gt;$AC$32,1,0)</f>
        <v/>
      </c>
      <c r="Z624">
        <f>IF(Y624=C624,1,0)</f>
        <v/>
      </c>
    </row>
    <row r="625">
      <c r="A625">
        <f>'3 escalar'!A628</f>
        <v/>
      </c>
      <c r="B625" s="5">
        <f>'3 escalar'!U628</f>
        <v/>
      </c>
      <c r="C625">
        <f>'3 escalar'!B628</f>
        <v/>
      </c>
      <c r="D625" s="7">
        <f>'3 escalar'!C628</f>
        <v/>
      </c>
      <c r="E625" s="7">
        <f>'3 escalar'!D628</f>
        <v/>
      </c>
      <c r="F625" s="7">
        <f>'3 escalar'!E628</f>
        <v/>
      </c>
      <c r="G625" s="7">
        <f>'3 escalar'!F628</f>
        <v/>
      </c>
      <c r="H625" s="7">
        <f>'3 escalar'!G628</f>
        <v/>
      </c>
      <c r="I625" s="7">
        <f>'3 escalar'!H628</f>
        <v/>
      </c>
      <c r="J625" s="7">
        <f>'3 escalar'!I628</f>
        <v/>
      </c>
      <c r="K625" s="7">
        <f>'3 escalar'!J628</f>
        <v/>
      </c>
      <c r="L625" s="7">
        <f>'3 escalar'!K628</f>
        <v/>
      </c>
      <c r="M625" s="7">
        <f>'3 escalar'!L628</f>
        <v/>
      </c>
      <c r="N625" s="7">
        <f>'3 escalar'!M628</f>
        <v/>
      </c>
      <c r="O625" s="7">
        <f>'3 escalar'!N628</f>
        <v/>
      </c>
      <c r="P625" s="7">
        <f>'3 escalar'!O628</f>
        <v/>
      </c>
      <c r="Q625" s="7">
        <f>'3 escalar'!P628</f>
        <v/>
      </c>
      <c r="R625" s="7">
        <f>'3 escalar'!Q628</f>
        <v/>
      </c>
      <c r="S625" s="7">
        <f>'3 escalar'!R628</f>
        <v/>
      </c>
      <c r="T625" s="7">
        <f>'3 escalar'!S628</f>
        <v/>
      </c>
      <c r="U625" s="7">
        <f>'3 escalar'!T628</f>
        <v/>
      </c>
      <c r="V625" s="6">
        <f>$AC$12+D625*$AC$13+E625*$AC$14+F625*$AC$15+G625*$AC$16+H625*$AC$17+I625*$AC$18+J625*$AC$19+K625*$AC$20+L625*$AC$21+M625*$AC$22+N625*$AC$23+O625*$AC$24+P625*$AC$25+Q625*$AC$26+R625*$AC$27+S625*$AC$28+T625*$AC$29+U625*$AC$30</f>
        <v/>
      </c>
      <c r="W625" s="6">
        <f>1/(1+EXP(-V625))</f>
        <v/>
      </c>
      <c r="X625" s="8">
        <f>-IF(C625=1,LN(W625),LN(1-W625))</f>
        <v/>
      </c>
      <c r="Y625" s="9">
        <f>IF(W625&gt;$AC$32,1,0)</f>
        <v/>
      </c>
      <c r="Z625">
        <f>IF(Y625=C625,1,0)</f>
        <v/>
      </c>
    </row>
    <row r="626">
      <c r="A626">
        <f>'3 escalar'!A629</f>
        <v/>
      </c>
      <c r="B626" s="5">
        <f>'3 escalar'!U629</f>
        <v/>
      </c>
      <c r="C626">
        <f>'3 escalar'!B629</f>
        <v/>
      </c>
      <c r="D626" s="7">
        <f>'3 escalar'!C629</f>
        <v/>
      </c>
      <c r="E626" s="7">
        <f>'3 escalar'!D629</f>
        <v/>
      </c>
      <c r="F626" s="7">
        <f>'3 escalar'!E629</f>
        <v/>
      </c>
      <c r="G626" s="7">
        <f>'3 escalar'!F629</f>
        <v/>
      </c>
      <c r="H626" s="7">
        <f>'3 escalar'!G629</f>
        <v/>
      </c>
      <c r="I626" s="7">
        <f>'3 escalar'!H629</f>
        <v/>
      </c>
      <c r="J626" s="7">
        <f>'3 escalar'!I629</f>
        <v/>
      </c>
      <c r="K626" s="7">
        <f>'3 escalar'!J629</f>
        <v/>
      </c>
      <c r="L626" s="7">
        <f>'3 escalar'!K629</f>
        <v/>
      </c>
      <c r="M626" s="7">
        <f>'3 escalar'!L629</f>
        <v/>
      </c>
      <c r="N626" s="7">
        <f>'3 escalar'!M629</f>
        <v/>
      </c>
      <c r="O626" s="7">
        <f>'3 escalar'!N629</f>
        <v/>
      </c>
      <c r="P626" s="7">
        <f>'3 escalar'!O629</f>
        <v/>
      </c>
      <c r="Q626" s="7">
        <f>'3 escalar'!P629</f>
        <v/>
      </c>
      <c r="R626" s="7">
        <f>'3 escalar'!Q629</f>
        <v/>
      </c>
      <c r="S626" s="7">
        <f>'3 escalar'!R629</f>
        <v/>
      </c>
      <c r="T626" s="7">
        <f>'3 escalar'!S629</f>
        <v/>
      </c>
      <c r="U626" s="7">
        <f>'3 escalar'!T629</f>
        <v/>
      </c>
      <c r="V626" s="6">
        <f>$AC$12+D626*$AC$13+E626*$AC$14+F626*$AC$15+G626*$AC$16+H626*$AC$17+I626*$AC$18+J626*$AC$19+K626*$AC$20+L626*$AC$21+M626*$AC$22+N626*$AC$23+O626*$AC$24+P626*$AC$25+Q626*$AC$26+R626*$AC$27+S626*$AC$28+T626*$AC$29+U626*$AC$30</f>
        <v/>
      </c>
      <c r="W626" s="6">
        <f>1/(1+EXP(-V626))</f>
        <v/>
      </c>
      <c r="X626" s="8">
        <f>-IF(C626=1,LN(W626),LN(1-W626))</f>
        <v/>
      </c>
      <c r="Y626" s="9">
        <f>IF(W626&gt;$AC$32,1,0)</f>
        <v/>
      </c>
      <c r="Z626">
        <f>IF(Y626=C626,1,0)</f>
        <v/>
      </c>
    </row>
    <row r="627">
      <c r="A627">
        <f>'3 escalar'!A630</f>
        <v/>
      </c>
      <c r="B627" s="5">
        <f>'3 escalar'!U630</f>
        <v/>
      </c>
      <c r="C627">
        <f>'3 escalar'!B630</f>
        <v/>
      </c>
      <c r="D627" s="7">
        <f>'3 escalar'!C630</f>
        <v/>
      </c>
      <c r="E627" s="7">
        <f>'3 escalar'!D630</f>
        <v/>
      </c>
      <c r="F627" s="7">
        <f>'3 escalar'!E630</f>
        <v/>
      </c>
      <c r="G627" s="7">
        <f>'3 escalar'!F630</f>
        <v/>
      </c>
      <c r="H627" s="7">
        <f>'3 escalar'!G630</f>
        <v/>
      </c>
      <c r="I627" s="7">
        <f>'3 escalar'!H630</f>
        <v/>
      </c>
      <c r="J627" s="7">
        <f>'3 escalar'!I630</f>
        <v/>
      </c>
      <c r="K627" s="7">
        <f>'3 escalar'!J630</f>
        <v/>
      </c>
      <c r="L627" s="7">
        <f>'3 escalar'!K630</f>
        <v/>
      </c>
      <c r="M627" s="7">
        <f>'3 escalar'!L630</f>
        <v/>
      </c>
      <c r="N627" s="7">
        <f>'3 escalar'!M630</f>
        <v/>
      </c>
      <c r="O627" s="7">
        <f>'3 escalar'!N630</f>
        <v/>
      </c>
      <c r="P627" s="7">
        <f>'3 escalar'!O630</f>
        <v/>
      </c>
      <c r="Q627" s="7">
        <f>'3 escalar'!P630</f>
        <v/>
      </c>
      <c r="R627" s="7">
        <f>'3 escalar'!Q630</f>
        <v/>
      </c>
      <c r="S627" s="7">
        <f>'3 escalar'!R630</f>
        <v/>
      </c>
      <c r="T627" s="7">
        <f>'3 escalar'!S630</f>
        <v/>
      </c>
      <c r="U627" s="7">
        <f>'3 escalar'!T630</f>
        <v/>
      </c>
      <c r="V627" s="6">
        <f>$AC$12+D627*$AC$13+E627*$AC$14+F627*$AC$15+G627*$AC$16+H627*$AC$17+I627*$AC$18+J627*$AC$19+K627*$AC$20+L627*$AC$21+M627*$AC$22+N627*$AC$23+O627*$AC$24+P627*$AC$25+Q627*$AC$26+R627*$AC$27+S627*$AC$28+T627*$AC$29+U627*$AC$30</f>
        <v/>
      </c>
      <c r="W627" s="6">
        <f>1/(1+EXP(-V627))</f>
        <v/>
      </c>
      <c r="X627" s="8">
        <f>-IF(C627=1,LN(W627),LN(1-W627))</f>
        <v/>
      </c>
      <c r="Y627" s="9">
        <f>IF(W627&gt;$AC$32,1,0)</f>
        <v/>
      </c>
      <c r="Z627">
        <f>IF(Y627=C627,1,0)</f>
        <v/>
      </c>
    </row>
    <row r="628">
      <c r="A628">
        <f>'3 escalar'!A631</f>
        <v/>
      </c>
      <c r="B628" s="5">
        <f>'3 escalar'!U631</f>
        <v/>
      </c>
      <c r="C628">
        <f>'3 escalar'!B631</f>
        <v/>
      </c>
      <c r="D628" s="7">
        <f>'3 escalar'!C631</f>
        <v/>
      </c>
      <c r="E628" s="7">
        <f>'3 escalar'!D631</f>
        <v/>
      </c>
      <c r="F628" s="7">
        <f>'3 escalar'!E631</f>
        <v/>
      </c>
      <c r="G628" s="7">
        <f>'3 escalar'!F631</f>
        <v/>
      </c>
      <c r="H628" s="7">
        <f>'3 escalar'!G631</f>
        <v/>
      </c>
      <c r="I628" s="7">
        <f>'3 escalar'!H631</f>
        <v/>
      </c>
      <c r="J628" s="7">
        <f>'3 escalar'!I631</f>
        <v/>
      </c>
      <c r="K628" s="7">
        <f>'3 escalar'!J631</f>
        <v/>
      </c>
      <c r="L628" s="7">
        <f>'3 escalar'!K631</f>
        <v/>
      </c>
      <c r="M628" s="7">
        <f>'3 escalar'!L631</f>
        <v/>
      </c>
      <c r="N628" s="7">
        <f>'3 escalar'!M631</f>
        <v/>
      </c>
      <c r="O628" s="7">
        <f>'3 escalar'!N631</f>
        <v/>
      </c>
      <c r="P628" s="7">
        <f>'3 escalar'!O631</f>
        <v/>
      </c>
      <c r="Q628" s="7">
        <f>'3 escalar'!P631</f>
        <v/>
      </c>
      <c r="R628" s="7">
        <f>'3 escalar'!Q631</f>
        <v/>
      </c>
      <c r="S628" s="7">
        <f>'3 escalar'!R631</f>
        <v/>
      </c>
      <c r="T628" s="7">
        <f>'3 escalar'!S631</f>
        <v/>
      </c>
      <c r="U628" s="7">
        <f>'3 escalar'!T631</f>
        <v/>
      </c>
      <c r="V628" s="6">
        <f>$AC$12+D628*$AC$13+E628*$AC$14+F628*$AC$15+G628*$AC$16+H628*$AC$17+I628*$AC$18+J628*$AC$19+K628*$AC$20+L628*$AC$21+M628*$AC$22+N628*$AC$23+O628*$AC$24+P628*$AC$25+Q628*$AC$26+R628*$AC$27+S628*$AC$28+T628*$AC$29+U628*$AC$30</f>
        <v/>
      </c>
      <c r="W628" s="6">
        <f>1/(1+EXP(-V628))</f>
        <v/>
      </c>
      <c r="X628" s="8">
        <f>-IF(C628=1,LN(W628),LN(1-W628))</f>
        <v/>
      </c>
      <c r="Y628" s="9">
        <f>IF(W628&gt;$AC$32,1,0)</f>
        <v/>
      </c>
      <c r="Z628">
        <f>IF(Y628=C628,1,0)</f>
        <v/>
      </c>
    </row>
    <row r="629">
      <c r="A629">
        <f>'3 escalar'!A632</f>
        <v/>
      </c>
      <c r="B629" s="5">
        <f>'3 escalar'!U632</f>
        <v/>
      </c>
      <c r="C629">
        <f>'3 escalar'!B632</f>
        <v/>
      </c>
      <c r="D629" s="7">
        <f>'3 escalar'!C632</f>
        <v/>
      </c>
      <c r="E629" s="7">
        <f>'3 escalar'!D632</f>
        <v/>
      </c>
      <c r="F629" s="7">
        <f>'3 escalar'!E632</f>
        <v/>
      </c>
      <c r="G629" s="7">
        <f>'3 escalar'!F632</f>
        <v/>
      </c>
      <c r="H629" s="7">
        <f>'3 escalar'!G632</f>
        <v/>
      </c>
      <c r="I629" s="7">
        <f>'3 escalar'!H632</f>
        <v/>
      </c>
      <c r="J629" s="7">
        <f>'3 escalar'!I632</f>
        <v/>
      </c>
      <c r="K629" s="7">
        <f>'3 escalar'!J632</f>
        <v/>
      </c>
      <c r="L629" s="7">
        <f>'3 escalar'!K632</f>
        <v/>
      </c>
      <c r="M629" s="7">
        <f>'3 escalar'!L632</f>
        <v/>
      </c>
      <c r="N629" s="7">
        <f>'3 escalar'!M632</f>
        <v/>
      </c>
      <c r="O629" s="7">
        <f>'3 escalar'!N632</f>
        <v/>
      </c>
      <c r="P629" s="7">
        <f>'3 escalar'!O632</f>
        <v/>
      </c>
      <c r="Q629" s="7">
        <f>'3 escalar'!P632</f>
        <v/>
      </c>
      <c r="R629" s="7">
        <f>'3 escalar'!Q632</f>
        <v/>
      </c>
      <c r="S629" s="7">
        <f>'3 escalar'!R632</f>
        <v/>
      </c>
      <c r="T629" s="7">
        <f>'3 escalar'!S632</f>
        <v/>
      </c>
      <c r="U629" s="7">
        <f>'3 escalar'!T632</f>
        <v/>
      </c>
      <c r="V629" s="6">
        <f>$AC$12+D629*$AC$13+E629*$AC$14+F629*$AC$15+G629*$AC$16+H629*$AC$17+I629*$AC$18+J629*$AC$19+K629*$AC$20+L629*$AC$21+M629*$AC$22+N629*$AC$23+O629*$AC$24+P629*$AC$25+Q629*$AC$26+R629*$AC$27+S629*$AC$28+T629*$AC$29+U629*$AC$30</f>
        <v/>
      </c>
      <c r="W629" s="6">
        <f>1/(1+EXP(-V629))</f>
        <v/>
      </c>
      <c r="X629" s="8">
        <f>-IF(C629=1,LN(W629),LN(1-W629))</f>
        <v/>
      </c>
      <c r="Y629" s="9">
        <f>IF(W629&gt;$AC$32,1,0)</f>
        <v/>
      </c>
      <c r="Z629">
        <f>IF(Y629=C629,1,0)</f>
        <v/>
      </c>
    </row>
    <row r="630">
      <c r="A630">
        <f>'3 escalar'!A633</f>
        <v/>
      </c>
      <c r="B630" s="5">
        <f>'3 escalar'!U633</f>
        <v/>
      </c>
      <c r="C630">
        <f>'3 escalar'!B633</f>
        <v/>
      </c>
      <c r="D630" s="7">
        <f>'3 escalar'!C633</f>
        <v/>
      </c>
      <c r="E630" s="7">
        <f>'3 escalar'!D633</f>
        <v/>
      </c>
      <c r="F630" s="7">
        <f>'3 escalar'!E633</f>
        <v/>
      </c>
      <c r="G630" s="7">
        <f>'3 escalar'!F633</f>
        <v/>
      </c>
      <c r="H630" s="7">
        <f>'3 escalar'!G633</f>
        <v/>
      </c>
      <c r="I630" s="7">
        <f>'3 escalar'!H633</f>
        <v/>
      </c>
      <c r="J630" s="7">
        <f>'3 escalar'!I633</f>
        <v/>
      </c>
      <c r="K630" s="7">
        <f>'3 escalar'!J633</f>
        <v/>
      </c>
      <c r="L630" s="7">
        <f>'3 escalar'!K633</f>
        <v/>
      </c>
      <c r="M630" s="7">
        <f>'3 escalar'!L633</f>
        <v/>
      </c>
      <c r="N630" s="7">
        <f>'3 escalar'!M633</f>
        <v/>
      </c>
      <c r="O630" s="7">
        <f>'3 escalar'!N633</f>
        <v/>
      </c>
      <c r="P630" s="7">
        <f>'3 escalar'!O633</f>
        <v/>
      </c>
      <c r="Q630" s="7">
        <f>'3 escalar'!P633</f>
        <v/>
      </c>
      <c r="R630" s="7">
        <f>'3 escalar'!Q633</f>
        <v/>
      </c>
      <c r="S630" s="7">
        <f>'3 escalar'!R633</f>
        <v/>
      </c>
      <c r="T630" s="7">
        <f>'3 escalar'!S633</f>
        <v/>
      </c>
      <c r="U630" s="7">
        <f>'3 escalar'!T633</f>
        <v/>
      </c>
      <c r="V630" s="6">
        <f>$AC$12+D630*$AC$13+E630*$AC$14+F630*$AC$15+G630*$AC$16+H630*$AC$17+I630*$AC$18+J630*$AC$19+K630*$AC$20+L630*$AC$21+M630*$AC$22+N630*$AC$23+O630*$AC$24+P630*$AC$25+Q630*$AC$26+R630*$AC$27+S630*$AC$28+T630*$AC$29+U630*$AC$30</f>
        <v/>
      </c>
      <c r="W630" s="6">
        <f>1/(1+EXP(-V630))</f>
        <v/>
      </c>
      <c r="X630" s="8">
        <f>-IF(C630=1,LN(W630),LN(1-W630))</f>
        <v/>
      </c>
      <c r="Y630" s="9">
        <f>IF(W630&gt;$AC$32,1,0)</f>
        <v/>
      </c>
      <c r="Z630">
        <f>IF(Y630=C630,1,0)</f>
        <v/>
      </c>
    </row>
    <row r="631">
      <c r="A631">
        <f>'3 escalar'!A634</f>
        <v/>
      </c>
      <c r="B631" s="5">
        <f>'3 escalar'!U634</f>
        <v/>
      </c>
      <c r="C631">
        <f>'3 escalar'!B634</f>
        <v/>
      </c>
      <c r="D631" s="7">
        <f>'3 escalar'!C634</f>
        <v/>
      </c>
      <c r="E631" s="7">
        <f>'3 escalar'!D634</f>
        <v/>
      </c>
      <c r="F631" s="7">
        <f>'3 escalar'!E634</f>
        <v/>
      </c>
      <c r="G631" s="7">
        <f>'3 escalar'!F634</f>
        <v/>
      </c>
      <c r="H631" s="7">
        <f>'3 escalar'!G634</f>
        <v/>
      </c>
      <c r="I631" s="7">
        <f>'3 escalar'!H634</f>
        <v/>
      </c>
      <c r="J631" s="7">
        <f>'3 escalar'!I634</f>
        <v/>
      </c>
      <c r="K631" s="7">
        <f>'3 escalar'!J634</f>
        <v/>
      </c>
      <c r="L631" s="7">
        <f>'3 escalar'!K634</f>
        <v/>
      </c>
      <c r="M631" s="7">
        <f>'3 escalar'!L634</f>
        <v/>
      </c>
      <c r="N631" s="7">
        <f>'3 escalar'!M634</f>
        <v/>
      </c>
      <c r="O631" s="7">
        <f>'3 escalar'!N634</f>
        <v/>
      </c>
      <c r="P631" s="7">
        <f>'3 escalar'!O634</f>
        <v/>
      </c>
      <c r="Q631" s="7">
        <f>'3 escalar'!P634</f>
        <v/>
      </c>
      <c r="R631" s="7">
        <f>'3 escalar'!Q634</f>
        <v/>
      </c>
      <c r="S631" s="7">
        <f>'3 escalar'!R634</f>
        <v/>
      </c>
      <c r="T631" s="7">
        <f>'3 escalar'!S634</f>
        <v/>
      </c>
      <c r="U631" s="7">
        <f>'3 escalar'!T634</f>
        <v/>
      </c>
      <c r="V631" s="6">
        <f>$AC$12+D631*$AC$13+E631*$AC$14+F631*$AC$15+G631*$AC$16+H631*$AC$17+I631*$AC$18+J631*$AC$19+K631*$AC$20+L631*$AC$21+M631*$AC$22+N631*$AC$23+O631*$AC$24+P631*$AC$25+Q631*$AC$26+R631*$AC$27+S631*$AC$28+T631*$AC$29+U631*$AC$30</f>
        <v/>
      </c>
      <c r="W631" s="6">
        <f>1/(1+EXP(-V631))</f>
        <v/>
      </c>
      <c r="X631" s="8">
        <f>-IF(C631=1,LN(W631),LN(1-W631))</f>
        <v/>
      </c>
      <c r="Y631" s="9">
        <f>IF(W631&gt;$AC$32,1,0)</f>
        <v/>
      </c>
      <c r="Z631">
        <f>IF(Y631=C631,1,0)</f>
        <v/>
      </c>
    </row>
    <row r="632">
      <c r="A632">
        <f>'3 escalar'!A635</f>
        <v/>
      </c>
      <c r="B632" s="5">
        <f>'3 escalar'!U635</f>
        <v/>
      </c>
      <c r="C632">
        <f>'3 escalar'!B635</f>
        <v/>
      </c>
      <c r="D632" s="7">
        <f>'3 escalar'!C635</f>
        <v/>
      </c>
      <c r="E632" s="7">
        <f>'3 escalar'!D635</f>
        <v/>
      </c>
      <c r="F632" s="7">
        <f>'3 escalar'!E635</f>
        <v/>
      </c>
      <c r="G632" s="7">
        <f>'3 escalar'!F635</f>
        <v/>
      </c>
      <c r="H632" s="7">
        <f>'3 escalar'!G635</f>
        <v/>
      </c>
      <c r="I632" s="7">
        <f>'3 escalar'!H635</f>
        <v/>
      </c>
      <c r="J632" s="7">
        <f>'3 escalar'!I635</f>
        <v/>
      </c>
      <c r="K632" s="7">
        <f>'3 escalar'!J635</f>
        <v/>
      </c>
      <c r="L632" s="7">
        <f>'3 escalar'!K635</f>
        <v/>
      </c>
      <c r="M632" s="7">
        <f>'3 escalar'!L635</f>
        <v/>
      </c>
      <c r="N632" s="7">
        <f>'3 escalar'!M635</f>
        <v/>
      </c>
      <c r="O632" s="7">
        <f>'3 escalar'!N635</f>
        <v/>
      </c>
      <c r="P632" s="7">
        <f>'3 escalar'!O635</f>
        <v/>
      </c>
      <c r="Q632" s="7">
        <f>'3 escalar'!P635</f>
        <v/>
      </c>
      <c r="R632" s="7">
        <f>'3 escalar'!Q635</f>
        <v/>
      </c>
      <c r="S632" s="7">
        <f>'3 escalar'!R635</f>
        <v/>
      </c>
      <c r="T632" s="7">
        <f>'3 escalar'!S635</f>
        <v/>
      </c>
      <c r="U632" s="7">
        <f>'3 escalar'!T635</f>
        <v/>
      </c>
      <c r="V632" s="6">
        <f>$AC$12+D632*$AC$13+E632*$AC$14+F632*$AC$15+G632*$AC$16+H632*$AC$17+I632*$AC$18+J632*$AC$19+K632*$AC$20+L632*$AC$21+M632*$AC$22+N632*$AC$23+O632*$AC$24+P632*$AC$25+Q632*$AC$26+R632*$AC$27+S632*$AC$28+T632*$AC$29+U632*$AC$30</f>
        <v/>
      </c>
      <c r="W632" s="6">
        <f>1/(1+EXP(-V632))</f>
        <v/>
      </c>
      <c r="X632" s="8">
        <f>-IF(C632=1,LN(W632),LN(1-W632))</f>
        <v/>
      </c>
      <c r="Y632" s="9">
        <f>IF(W632&gt;$AC$32,1,0)</f>
        <v/>
      </c>
      <c r="Z632">
        <f>IF(Y632=C632,1,0)</f>
        <v/>
      </c>
    </row>
    <row r="633">
      <c r="A633">
        <f>'3 escalar'!A636</f>
        <v/>
      </c>
      <c r="B633" s="5">
        <f>'3 escalar'!U636</f>
        <v/>
      </c>
      <c r="C633">
        <f>'3 escalar'!B636</f>
        <v/>
      </c>
      <c r="D633" s="7">
        <f>'3 escalar'!C636</f>
        <v/>
      </c>
      <c r="E633" s="7">
        <f>'3 escalar'!D636</f>
        <v/>
      </c>
      <c r="F633" s="7">
        <f>'3 escalar'!E636</f>
        <v/>
      </c>
      <c r="G633" s="7">
        <f>'3 escalar'!F636</f>
        <v/>
      </c>
      <c r="H633" s="7">
        <f>'3 escalar'!G636</f>
        <v/>
      </c>
      <c r="I633" s="7">
        <f>'3 escalar'!H636</f>
        <v/>
      </c>
      <c r="J633" s="7">
        <f>'3 escalar'!I636</f>
        <v/>
      </c>
      <c r="K633" s="7">
        <f>'3 escalar'!J636</f>
        <v/>
      </c>
      <c r="L633" s="7">
        <f>'3 escalar'!K636</f>
        <v/>
      </c>
      <c r="M633" s="7">
        <f>'3 escalar'!L636</f>
        <v/>
      </c>
      <c r="N633" s="7">
        <f>'3 escalar'!M636</f>
        <v/>
      </c>
      <c r="O633" s="7">
        <f>'3 escalar'!N636</f>
        <v/>
      </c>
      <c r="P633" s="7">
        <f>'3 escalar'!O636</f>
        <v/>
      </c>
      <c r="Q633" s="7">
        <f>'3 escalar'!P636</f>
        <v/>
      </c>
      <c r="R633" s="7">
        <f>'3 escalar'!Q636</f>
        <v/>
      </c>
      <c r="S633" s="7">
        <f>'3 escalar'!R636</f>
        <v/>
      </c>
      <c r="T633" s="7">
        <f>'3 escalar'!S636</f>
        <v/>
      </c>
      <c r="U633" s="7">
        <f>'3 escalar'!T636</f>
        <v/>
      </c>
      <c r="V633" s="6">
        <f>$AC$12+D633*$AC$13+E633*$AC$14+F633*$AC$15+G633*$AC$16+H633*$AC$17+I633*$AC$18+J633*$AC$19+K633*$AC$20+L633*$AC$21+M633*$AC$22+N633*$AC$23+O633*$AC$24+P633*$AC$25+Q633*$AC$26+R633*$AC$27+S633*$AC$28+T633*$AC$29+U633*$AC$30</f>
        <v/>
      </c>
      <c r="W633" s="6">
        <f>1/(1+EXP(-V633))</f>
        <v/>
      </c>
      <c r="X633" s="8">
        <f>-IF(C633=1,LN(W633),LN(1-W633))</f>
        <v/>
      </c>
      <c r="Y633" s="9">
        <f>IF(W633&gt;$AC$32,1,0)</f>
        <v/>
      </c>
      <c r="Z633">
        <f>IF(Y633=C633,1,0)</f>
        <v/>
      </c>
    </row>
    <row r="634">
      <c r="A634">
        <f>'3 escalar'!A637</f>
        <v/>
      </c>
      <c r="B634" s="5">
        <f>'3 escalar'!U637</f>
        <v/>
      </c>
      <c r="C634">
        <f>'3 escalar'!B637</f>
        <v/>
      </c>
      <c r="D634" s="7">
        <f>'3 escalar'!C637</f>
        <v/>
      </c>
      <c r="E634" s="7">
        <f>'3 escalar'!D637</f>
        <v/>
      </c>
      <c r="F634" s="7">
        <f>'3 escalar'!E637</f>
        <v/>
      </c>
      <c r="G634" s="7">
        <f>'3 escalar'!F637</f>
        <v/>
      </c>
      <c r="H634" s="7">
        <f>'3 escalar'!G637</f>
        <v/>
      </c>
      <c r="I634" s="7">
        <f>'3 escalar'!H637</f>
        <v/>
      </c>
      <c r="J634" s="7">
        <f>'3 escalar'!I637</f>
        <v/>
      </c>
      <c r="K634" s="7">
        <f>'3 escalar'!J637</f>
        <v/>
      </c>
      <c r="L634" s="7">
        <f>'3 escalar'!K637</f>
        <v/>
      </c>
      <c r="M634" s="7">
        <f>'3 escalar'!L637</f>
        <v/>
      </c>
      <c r="N634" s="7">
        <f>'3 escalar'!M637</f>
        <v/>
      </c>
      <c r="O634" s="7">
        <f>'3 escalar'!N637</f>
        <v/>
      </c>
      <c r="P634" s="7">
        <f>'3 escalar'!O637</f>
        <v/>
      </c>
      <c r="Q634" s="7">
        <f>'3 escalar'!P637</f>
        <v/>
      </c>
      <c r="R634" s="7">
        <f>'3 escalar'!Q637</f>
        <v/>
      </c>
      <c r="S634" s="7">
        <f>'3 escalar'!R637</f>
        <v/>
      </c>
      <c r="T634" s="7">
        <f>'3 escalar'!S637</f>
        <v/>
      </c>
      <c r="U634" s="7">
        <f>'3 escalar'!T637</f>
        <v/>
      </c>
      <c r="V634" s="6">
        <f>$AC$12+D634*$AC$13+E634*$AC$14+F634*$AC$15+G634*$AC$16+H634*$AC$17+I634*$AC$18+J634*$AC$19+K634*$AC$20+L634*$AC$21+M634*$AC$22+N634*$AC$23+O634*$AC$24+P634*$AC$25+Q634*$AC$26+R634*$AC$27+S634*$AC$28+T634*$AC$29+U634*$AC$30</f>
        <v/>
      </c>
      <c r="W634" s="6">
        <f>1/(1+EXP(-V634))</f>
        <v/>
      </c>
      <c r="X634" s="8">
        <f>-IF(C634=1,LN(W634),LN(1-W634))</f>
        <v/>
      </c>
      <c r="Y634" s="9">
        <f>IF(W634&gt;$AC$32,1,0)</f>
        <v/>
      </c>
      <c r="Z634">
        <f>IF(Y634=C634,1,0)</f>
        <v/>
      </c>
    </row>
    <row r="635">
      <c r="A635">
        <f>'3 escalar'!A638</f>
        <v/>
      </c>
      <c r="B635" s="5">
        <f>'3 escalar'!U638</f>
        <v/>
      </c>
      <c r="C635">
        <f>'3 escalar'!B638</f>
        <v/>
      </c>
      <c r="D635" s="7">
        <f>'3 escalar'!C638</f>
        <v/>
      </c>
      <c r="E635" s="7">
        <f>'3 escalar'!D638</f>
        <v/>
      </c>
      <c r="F635" s="7">
        <f>'3 escalar'!E638</f>
        <v/>
      </c>
      <c r="G635" s="7">
        <f>'3 escalar'!F638</f>
        <v/>
      </c>
      <c r="H635" s="7">
        <f>'3 escalar'!G638</f>
        <v/>
      </c>
      <c r="I635" s="7">
        <f>'3 escalar'!H638</f>
        <v/>
      </c>
      <c r="J635" s="7">
        <f>'3 escalar'!I638</f>
        <v/>
      </c>
      <c r="K635" s="7">
        <f>'3 escalar'!J638</f>
        <v/>
      </c>
      <c r="L635" s="7">
        <f>'3 escalar'!K638</f>
        <v/>
      </c>
      <c r="M635" s="7">
        <f>'3 escalar'!L638</f>
        <v/>
      </c>
      <c r="N635" s="7">
        <f>'3 escalar'!M638</f>
        <v/>
      </c>
      <c r="O635" s="7">
        <f>'3 escalar'!N638</f>
        <v/>
      </c>
      <c r="P635" s="7">
        <f>'3 escalar'!O638</f>
        <v/>
      </c>
      <c r="Q635" s="7">
        <f>'3 escalar'!P638</f>
        <v/>
      </c>
      <c r="R635" s="7">
        <f>'3 escalar'!Q638</f>
        <v/>
      </c>
      <c r="S635" s="7">
        <f>'3 escalar'!R638</f>
        <v/>
      </c>
      <c r="T635" s="7">
        <f>'3 escalar'!S638</f>
        <v/>
      </c>
      <c r="U635" s="7">
        <f>'3 escalar'!T638</f>
        <v/>
      </c>
      <c r="V635" s="6">
        <f>$AC$12+D635*$AC$13+E635*$AC$14+F635*$AC$15+G635*$AC$16+H635*$AC$17+I635*$AC$18+J635*$AC$19+K635*$AC$20+L635*$AC$21+M635*$AC$22+N635*$AC$23+O635*$AC$24+P635*$AC$25+Q635*$AC$26+R635*$AC$27+S635*$AC$28+T635*$AC$29+U635*$AC$30</f>
        <v/>
      </c>
      <c r="W635" s="6">
        <f>1/(1+EXP(-V635))</f>
        <v/>
      </c>
      <c r="X635" s="8">
        <f>-IF(C635=1,LN(W635),LN(1-W635))</f>
        <v/>
      </c>
      <c r="Y635" s="9">
        <f>IF(W635&gt;$AC$32,1,0)</f>
        <v/>
      </c>
      <c r="Z635">
        <f>IF(Y635=C635,1,0)</f>
        <v/>
      </c>
    </row>
    <row r="636">
      <c r="A636">
        <f>'3 escalar'!A639</f>
        <v/>
      </c>
      <c r="B636" s="5">
        <f>'3 escalar'!U639</f>
        <v/>
      </c>
      <c r="C636">
        <f>'3 escalar'!B639</f>
        <v/>
      </c>
      <c r="D636" s="7">
        <f>'3 escalar'!C639</f>
        <v/>
      </c>
      <c r="E636" s="7">
        <f>'3 escalar'!D639</f>
        <v/>
      </c>
      <c r="F636" s="7">
        <f>'3 escalar'!E639</f>
        <v/>
      </c>
      <c r="G636" s="7">
        <f>'3 escalar'!F639</f>
        <v/>
      </c>
      <c r="H636" s="7">
        <f>'3 escalar'!G639</f>
        <v/>
      </c>
      <c r="I636" s="7">
        <f>'3 escalar'!H639</f>
        <v/>
      </c>
      <c r="J636" s="7">
        <f>'3 escalar'!I639</f>
        <v/>
      </c>
      <c r="K636" s="7">
        <f>'3 escalar'!J639</f>
        <v/>
      </c>
      <c r="L636" s="7">
        <f>'3 escalar'!K639</f>
        <v/>
      </c>
      <c r="M636" s="7">
        <f>'3 escalar'!L639</f>
        <v/>
      </c>
      <c r="N636" s="7">
        <f>'3 escalar'!M639</f>
        <v/>
      </c>
      <c r="O636" s="7">
        <f>'3 escalar'!N639</f>
        <v/>
      </c>
      <c r="P636" s="7">
        <f>'3 escalar'!O639</f>
        <v/>
      </c>
      <c r="Q636" s="7">
        <f>'3 escalar'!P639</f>
        <v/>
      </c>
      <c r="R636" s="7">
        <f>'3 escalar'!Q639</f>
        <v/>
      </c>
      <c r="S636" s="7">
        <f>'3 escalar'!R639</f>
        <v/>
      </c>
      <c r="T636" s="7">
        <f>'3 escalar'!S639</f>
        <v/>
      </c>
      <c r="U636" s="7">
        <f>'3 escalar'!T639</f>
        <v/>
      </c>
      <c r="V636" s="6">
        <f>$AC$12+D636*$AC$13+E636*$AC$14+F636*$AC$15+G636*$AC$16+H636*$AC$17+I636*$AC$18+J636*$AC$19+K636*$AC$20+L636*$AC$21+M636*$AC$22+N636*$AC$23+O636*$AC$24+P636*$AC$25+Q636*$AC$26+R636*$AC$27+S636*$AC$28+T636*$AC$29+U636*$AC$30</f>
        <v/>
      </c>
      <c r="W636" s="6">
        <f>1/(1+EXP(-V636))</f>
        <v/>
      </c>
      <c r="X636" s="8">
        <f>-IF(C636=1,LN(W636),LN(1-W636))</f>
        <v/>
      </c>
      <c r="Y636" s="9">
        <f>IF(W636&gt;$AC$32,1,0)</f>
        <v/>
      </c>
      <c r="Z636">
        <f>IF(Y636=C636,1,0)</f>
        <v/>
      </c>
    </row>
    <row r="637">
      <c r="A637">
        <f>'3 escalar'!A640</f>
        <v/>
      </c>
      <c r="B637" s="5">
        <f>'3 escalar'!U640</f>
        <v/>
      </c>
      <c r="C637">
        <f>'3 escalar'!B640</f>
        <v/>
      </c>
      <c r="D637" s="7">
        <f>'3 escalar'!C640</f>
        <v/>
      </c>
      <c r="E637" s="7">
        <f>'3 escalar'!D640</f>
        <v/>
      </c>
      <c r="F637" s="7">
        <f>'3 escalar'!E640</f>
        <v/>
      </c>
      <c r="G637" s="7">
        <f>'3 escalar'!F640</f>
        <v/>
      </c>
      <c r="H637" s="7">
        <f>'3 escalar'!G640</f>
        <v/>
      </c>
      <c r="I637" s="7">
        <f>'3 escalar'!H640</f>
        <v/>
      </c>
      <c r="J637" s="7">
        <f>'3 escalar'!I640</f>
        <v/>
      </c>
      <c r="K637" s="7">
        <f>'3 escalar'!J640</f>
        <v/>
      </c>
      <c r="L637" s="7">
        <f>'3 escalar'!K640</f>
        <v/>
      </c>
      <c r="M637" s="7">
        <f>'3 escalar'!L640</f>
        <v/>
      </c>
      <c r="N637" s="7">
        <f>'3 escalar'!M640</f>
        <v/>
      </c>
      <c r="O637" s="7">
        <f>'3 escalar'!N640</f>
        <v/>
      </c>
      <c r="P637" s="7">
        <f>'3 escalar'!O640</f>
        <v/>
      </c>
      <c r="Q637" s="7">
        <f>'3 escalar'!P640</f>
        <v/>
      </c>
      <c r="R637" s="7">
        <f>'3 escalar'!Q640</f>
        <v/>
      </c>
      <c r="S637" s="7">
        <f>'3 escalar'!R640</f>
        <v/>
      </c>
      <c r="T637" s="7">
        <f>'3 escalar'!S640</f>
        <v/>
      </c>
      <c r="U637" s="7">
        <f>'3 escalar'!T640</f>
        <v/>
      </c>
      <c r="V637" s="6">
        <f>$AC$12+D637*$AC$13+E637*$AC$14+F637*$AC$15+G637*$AC$16+H637*$AC$17+I637*$AC$18+J637*$AC$19+K637*$AC$20+L637*$AC$21+M637*$AC$22+N637*$AC$23+O637*$AC$24+P637*$AC$25+Q637*$AC$26+R637*$AC$27+S637*$AC$28+T637*$AC$29+U637*$AC$30</f>
        <v/>
      </c>
      <c r="W637" s="6">
        <f>1/(1+EXP(-V637))</f>
        <v/>
      </c>
      <c r="X637" s="8">
        <f>-IF(C637=1,LN(W637),LN(1-W637))</f>
        <v/>
      </c>
      <c r="Y637" s="9">
        <f>IF(W637&gt;$AC$32,1,0)</f>
        <v/>
      </c>
      <c r="Z637">
        <f>IF(Y637=C637,1,0)</f>
        <v/>
      </c>
    </row>
    <row r="638">
      <c r="A638">
        <f>'3 escalar'!A641</f>
        <v/>
      </c>
      <c r="B638" s="5">
        <f>'3 escalar'!U641</f>
        <v/>
      </c>
      <c r="C638">
        <f>'3 escalar'!B641</f>
        <v/>
      </c>
      <c r="D638" s="7">
        <f>'3 escalar'!C641</f>
        <v/>
      </c>
      <c r="E638" s="7">
        <f>'3 escalar'!D641</f>
        <v/>
      </c>
      <c r="F638" s="7">
        <f>'3 escalar'!E641</f>
        <v/>
      </c>
      <c r="G638" s="7">
        <f>'3 escalar'!F641</f>
        <v/>
      </c>
      <c r="H638" s="7">
        <f>'3 escalar'!G641</f>
        <v/>
      </c>
      <c r="I638" s="7">
        <f>'3 escalar'!H641</f>
        <v/>
      </c>
      <c r="J638" s="7">
        <f>'3 escalar'!I641</f>
        <v/>
      </c>
      <c r="K638" s="7">
        <f>'3 escalar'!J641</f>
        <v/>
      </c>
      <c r="L638" s="7">
        <f>'3 escalar'!K641</f>
        <v/>
      </c>
      <c r="M638" s="7">
        <f>'3 escalar'!L641</f>
        <v/>
      </c>
      <c r="N638" s="7">
        <f>'3 escalar'!M641</f>
        <v/>
      </c>
      <c r="O638" s="7">
        <f>'3 escalar'!N641</f>
        <v/>
      </c>
      <c r="P638" s="7">
        <f>'3 escalar'!O641</f>
        <v/>
      </c>
      <c r="Q638" s="7">
        <f>'3 escalar'!P641</f>
        <v/>
      </c>
      <c r="R638" s="7">
        <f>'3 escalar'!Q641</f>
        <v/>
      </c>
      <c r="S638" s="7">
        <f>'3 escalar'!R641</f>
        <v/>
      </c>
      <c r="T638" s="7">
        <f>'3 escalar'!S641</f>
        <v/>
      </c>
      <c r="U638" s="7">
        <f>'3 escalar'!T641</f>
        <v/>
      </c>
      <c r="V638" s="6">
        <f>$AC$12+D638*$AC$13+E638*$AC$14+F638*$AC$15+G638*$AC$16+H638*$AC$17+I638*$AC$18+J638*$AC$19+K638*$AC$20+L638*$AC$21+M638*$AC$22+N638*$AC$23+O638*$AC$24+P638*$AC$25+Q638*$AC$26+R638*$AC$27+S638*$AC$28+T638*$AC$29+U638*$AC$30</f>
        <v/>
      </c>
      <c r="W638" s="6">
        <f>1/(1+EXP(-V638))</f>
        <v/>
      </c>
      <c r="X638" s="8">
        <f>-IF(C638=1,LN(W638),LN(1-W638))</f>
        <v/>
      </c>
      <c r="Y638" s="9">
        <f>IF(W638&gt;$AC$32,1,0)</f>
        <v/>
      </c>
      <c r="Z638">
        <f>IF(Y638=C638,1,0)</f>
        <v/>
      </c>
    </row>
    <row r="639">
      <c r="A639">
        <f>'3 escalar'!A642</f>
        <v/>
      </c>
      <c r="B639" s="5">
        <f>'3 escalar'!U642</f>
        <v/>
      </c>
      <c r="C639">
        <f>'3 escalar'!B642</f>
        <v/>
      </c>
      <c r="D639" s="7">
        <f>'3 escalar'!C642</f>
        <v/>
      </c>
      <c r="E639" s="7">
        <f>'3 escalar'!D642</f>
        <v/>
      </c>
      <c r="F639" s="7">
        <f>'3 escalar'!E642</f>
        <v/>
      </c>
      <c r="G639" s="7">
        <f>'3 escalar'!F642</f>
        <v/>
      </c>
      <c r="H639" s="7">
        <f>'3 escalar'!G642</f>
        <v/>
      </c>
      <c r="I639" s="7">
        <f>'3 escalar'!H642</f>
        <v/>
      </c>
      <c r="J639" s="7">
        <f>'3 escalar'!I642</f>
        <v/>
      </c>
      <c r="K639" s="7">
        <f>'3 escalar'!J642</f>
        <v/>
      </c>
      <c r="L639" s="7">
        <f>'3 escalar'!K642</f>
        <v/>
      </c>
      <c r="M639" s="7">
        <f>'3 escalar'!L642</f>
        <v/>
      </c>
      <c r="N639" s="7">
        <f>'3 escalar'!M642</f>
        <v/>
      </c>
      <c r="O639" s="7">
        <f>'3 escalar'!N642</f>
        <v/>
      </c>
      <c r="P639" s="7">
        <f>'3 escalar'!O642</f>
        <v/>
      </c>
      <c r="Q639" s="7">
        <f>'3 escalar'!P642</f>
        <v/>
      </c>
      <c r="R639" s="7">
        <f>'3 escalar'!Q642</f>
        <v/>
      </c>
      <c r="S639" s="7">
        <f>'3 escalar'!R642</f>
        <v/>
      </c>
      <c r="T639" s="7">
        <f>'3 escalar'!S642</f>
        <v/>
      </c>
      <c r="U639" s="7">
        <f>'3 escalar'!T642</f>
        <v/>
      </c>
      <c r="V639" s="6">
        <f>$AC$12+D639*$AC$13+E639*$AC$14+F639*$AC$15+G639*$AC$16+H639*$AC$17+I639*$AC$18+J639*$AC$19+K639*$AC$20+L639*$AC$21+M639*$AC$22+N639*$AC$23+O639*$AC$24+P639*$AC$25+Q639*$AC$26+R639*$AC$27+S639*$AC$28+T639*$AC$29+U639*$AC$30</f>
        <v/>
      </c>
      <c r="W639" s="6">
        <f>1/(1+EXP(-V639))</f>
        <v/>
      </c>
      <c r="X639" s="8">
        <f>-IF(C639=1,LN(W639),LN(1-W639))</f>
        <v/>
      </c>
      <c r="Y639" s="9">
        <f>IF(W639&gt;$AC$32,1,0)</f>
        <v/>
      </c>
      <c r="Z639">
        <f>IF(Y639=C639,1,0)</f>
        <v/>
      </c>
    </row>
    <row r="640">
      <c r="A640">
        <f>'3 escalar'!A643</f>
        <v/>
      </c>
      <c r="B640" s="5">
        <f>'3 escalar'!U643</f>
        <v/>
      </c>
      <c r="C640">
        <f>'3 escalar'!B643</f>
        <v/>
      </c>
      <c r="D640" s="7">
        <f>'3 escalar'!C643</f>
        <v/>
      </c>
      <c r="E640" s="7">
        <f>'3 escalar'!D643</f>
        <v/>
      </c>
      <c r="F640" s="7">
        <f>'3 escalar'!E643</f>
        <v/>
      </c>
      <c r="G640" s="7">
        <f>'3 escalar'!F643</f>
        <v/>
      </c>
      <c r="H640" s="7">
        <f>'3 escalar'!G643</f>
        <v/>
      </c>
      <c r="I640" s="7">
        <f>'3 escalar'!H643</f>
        <v/>
      </c>
      <c r="J640" s="7">
        <f>'3 escalar'!I643</f>
        <v/>
      </c>
      <c r="K640" s="7">
        <f>'3 escalar'!J643</f>
        <v/>
      </c>
      <c r="L640" s="7">
        <f>'3 escalar'!K643</f>
        <v/>
      </c>
      <c r="M640" s="7">
        <f>'3 escalar'!L643</f>
        <v/>
      </c>
      <c r="N640" s="7">
        <f>'3 escalar'!M643</f>
        <v/>
      </c>
      <c r="O640" s="7">
        <f>'3 escalar'!N643</f>
        <v/>
      </c>
      <c r="P640" s="7">
        <f>'3 escalar'!O643</f>
        <v/>
      </c>
      <c r="Q640" s="7">
        <f>'3 escalar'!P643</f>
        <v/>
      </c>
      <c r="R640" s="7">
        <f>'3 escalar'!Q643</f>
        <v/>
      </c>
      <c r="S640" s="7">
        <f>'3 escalar'!R643</f>
        <v/>
      </c>
      <c r="T640" s="7">
        <f>'3 escalar'!S643</f>
        <v/>
      </c>
      <c r="U640" s="7">
        <f>'3 escalar'!T643</f>
        <v/>
      </c>
      <c r="V640" s="6">
        <f>$AC$12+D640*$AC$13+E640*$AC$14+F640*$AC$15+G640*$AC$16+H640*$AC$17+I640*$AC$18+J640*$AC$19+K640*$AC$20+L640*$AC$21+M640*$AC$22+N640*$AC$23+O640*$AC$24+P640*$AC$25+Q640*$AC$26+R640*$AC$27+S640*$AC$28+T640*$AC$29+U640*$AC$30</f>
        <v/>
      </c>
      <c r="W640" s="6">
        <f>1/(1+EXP(-V640))</f>
        <v/>
      </c>
      <c r="X640" s="8">
        <f>-IF(C640=1,LN(W640),LN(1-W640))</f>
        <v/>
      </c>
      <c r="Y640" s="9">
        <f>IF(W640&gt;$AC$32,1,0)</f>
        <v/>
      </c>
      <c r="Z640">
        <f>IF(Y640=C640,1,0)</f>
        <v/>
      </c>
    </row>
    <row r="641">
      <c r="A641">
        <f>'3 escalar'!A644</f>
        <v/>
      </c>
      <c r="B641" s="5">
        <f>'3 escalar'!U644</f>
        <v/>
      </c>
      <c r="C641">
        <f>'3 escalar'!B644</f>
        <v/>
      </c>
      <c r="D641" s="7">
        <f>'3 escalar'!C644</f>
        <v/>
      </c>
      <c r="E641" s="7">
        <f>'3 escalar'!D644</f>
        <v/>
      </c>
      <c r="F641" s="7">
        <f>'3 escalar'!E644</f>
        <v/>
      </c>
      <c r="G641" s="7">
        <f>'3 escalar'!F644</f>
        <v/>
      </c>
      <c r="H641" s="7">
        <f>'3 escalar'!G644</f>
        <v/>
      </c>
      <c r="I641" s="7">
        <f>'3 escalar'!H644</f>
        <v/>
      </c>
      <c r="J641" s="7">
        <f>'3 escalar'!I644</f>
        <v/>
      </c>
      <c r="K641" s="7">
        <f>'3 escalar'!J644</f>
        <v/>
      </c>
      <c r="L641" s="7">
        <f>'3 escalar'!K644</f>
        <v/>
      </c>
      <c r="M641" s="7">
        <f>'3 escalar'!L644</f>
        <v/>
      </c>
      <c r="N641" s="7">
        <f>'3 escalar'!M644</f>
        <v/>
      </c>
      <c r="O641" s="7">
        <f>'3 escalar'!N644</f>
        <v/>
      </c>
      <c r="P641" s="7">
        <f>'3 escalar'!O644</f>
        <v/>
      </c>
      <c r="Q641" s="7">
        <f>'3 escalar'!P644</f>
        <v/>
      </c>
      <c r="R641" s="7">
        <f>'3 escalar'!Q644</f>
        <v/>
      </c>
      <c r="S641" s="7">
        <f>'3 escalar'!R644</f>
        <v/>
      </c>
      <c r="T641" s="7">
        <f>'3 escalar'!S644</f>
        <v/>
      </c>
      <c r="U641" s="7">
        <f>'3 escalar'!T644</f>
        <v/>
      </c>
      <c r="V641" s="6">
        <f>$AC$12+D641*$AC$13+E641*$AC$14+F641*$AC$15+G641*$AC$16+H641*$AC$17+I641*$AC$18+J641*$AC$19+K641*$AC$20+L641*$AC$21+M641*$AC$22+N641*$AC$23+O641*$AC$24+P641*$AC$25+Q641*$AC$26+R641*$AC$27+S641*$AC$28+T641*$AC$29+U641*$AC$30</f>
        <v/>
      </c>
      <c r="W641" s="6">
        <f>1/(1+EXP(-V641))</f>
        <v/>
      </c>
      <c r="X641" s="8">
        <f>-IF(C641=1,LN(W641),LN(1-W641))</f>
        <v/>
      </c>
      <c r="Y641" s="9">
        <f>IF(W641&gt;$AC$32,1,0)</f>
        <v/>
      </c>
      <c r="Z641">
        <f>IF(Y641=C641,1,0)</f>
        <v/>
      </c>
    </row>
    <row r="642">
      <c r="A642">
        <f>'3 escalar'!A645</f>
        <v/>
      </c>
      <c r="B642" s="5">
        <f>'3 escalar'!U645</f>
        <v/>
      </c>
      <c r="C642">
        <f>'3 escalar'!B645</f>
        <v/>
      </c>
      <c r="D642" s="7">
        <f>'3 escalar'!C645</f>
        <v/>
      </c>
      <c r="E642" s="7">
        <f>'3 escalar'!D645</f>
        <v/>
      </c>
      <c r="F642" s="7">
        <f>'3 escalar'!E645</f>
        <v/>
      </c>
      <c r="G642" s="7">
        <f>'3 escalar'!F645</f>
        <v/>
      </c>
      <c r="H642" s="7">
        <f>'3 escalar'!G645</f>
        <v/>
      </c>
      <c r="I642" s="7">
        <f>'3 escalar'!H645</f>
        <v/>
      </c>
      <c r="J642" s="7">
        <f>'3 escalar'!I645</f>
        <v/>
      </c>
      <c r="K642" s="7">
        <f>'3 escalar'!J645</f>
        <v/>
      </c>
      <c r="L642" s="7">
        <f>'3 escalar'!K645</f>
        <v/>
      </c>
      <c r="M642" s="7">
        <f>'3 escalar'!L645</f>
        <v/>
      </c>
      <c r="N642" s="7">
        <f>'3 escalar'!M645</f>
        <v/>
      </c>
      <c r="O642" s="7">
        <f>'3 escalar'!N645</f>
        <v/>
      </c>
      <c r="P642" s="7">
        <f>'3 escalar'!O645</f>
        <v/>
      </c>
      <c r="Q642" s="7">
        <f>'3 escalar'!P645</f>
        <v/>
      </c>
      <c r="R642" s="7">
        <f>'3 escalar'!Q645</f>
        <v/>
      </c>
      <c r="S642" s="7">
        <f>'3 escalar'!R645</f>
        <v/>
      </c>
      <c r="T642" s="7">
        <f>'3 escalar'!S645</f>
        <v/>
      </c>
      <c r="U642" s="7">
        <f>'3 escalar'!T645</f>
        <v/>
      </c>
      <c r="V642" s="6">
        <f>$AC$12+D642*$AC$13+E642*$AC$14+F642*$AC$15+G642*$AC$16+H642*$AC$17+I642*$AC$18+J642*$AC$19+K642*$AC$20+L642*$AC$21+M642*$AC$22+N642*$AC$23+O642*$AC$24+P642*$AC$25+Q642*$AC$26+R642*$AC$27+S642*$AC$28+T642*$AC$29+U642*$AC$30</f>
        <v/>
      </c>
      <c r="W642" s="6">
        <f>1/(1+EXP(-V642))</f>
        <v/>
      </c>
      <c r="X642" s="8">
        <f>-IF(C642=1,LN(W642),LN(1-W642))</f>
        <v/>
      </c>
      <c r="Y642" s="9">
        <f>IF(W642&gt;$AC$32,1,0)</f>
        <v/>
      </c>
      <c r="Z642">
        <f>IF(Y642=C642,1,0)</f>
        <v/>
      </c>
    </row>
    <row r="643">
      <c r="A643">
        <f>'3 escalar'!A646</f>
        <v/>
      </c>
      <c r="B643" s="5">
        <f>'3 escalar'!U646</f>
        <v/>
      </c>
      <c r="C643">
        <f>'3 escalar'!B646</f>
        <v/>
      </c>
      <c r="D643" s="7">
        <f>'3 escalar'!C646</f>
        <v/>
      </c>
      <c r="E643" s="7">
        <f>'3 escalar'!D646</f>
        <v/>
      </c>
      <c r="F643" s="7">
        <f>'3 escalar'!E646</f>
        <v/>
      </c>
      <c r="G643" s="7">
        <f>'3 escalar'!F646</f>
        <v/>
      </c>
      <c r="H643" s="7">
        <f>'3 escalar'!G646</f>
        <v/>
      </c>
      <c r="I643" s="7">
        <f>'3 escalar'!H646</f>
        <v/>
      </c>
      <c r="J643" s="7">
        <f>'3 escalar'!I646</f>
        <v/>
      </c>
      <c r="K643" s="7">
        <f>'3 escalar'!J646</f>
        <v/>
      </c>
      <c r="L643" s="7">
        <f>'3 escalar'!K646</f>
        <v/>
      </c>
      <c r="M643" s="7">
        <f>'3 escalar'!L646</f>
        <v/>
      </c>
      <c r="N643" s="7">
        <f>'3 escalar'!M646</f>
        <v/>
      </c>
      <c r="O643" s="7">
        <f>'3 escalar'!N646</f>
        <v/>
      </c>
      <c r="P643" s="7">
        <f>'3 escalar'!O646</f>
        <v/>
      </c>
      <c r="Q643" s="7">
        <f>'3 escalar'!P646</f>
        <v/>
      </c>
      <c r="R643" s="7">
        <f>'3 escalar'!Q646</f>
        <v/>
      </c>
      <c r="S643" s="7">
        <f>'3 escalar'!R646</f>
        <v/>
      </c>
      <c r="T643" s="7">
        <f>'3 escalar'!S646</f>
        <v/>
      </c>
      <c r="U643" s="7">
        <f>'3 escalar'!T646</f>
        <v/>
      </c>
      <c r="V643" s="6">
        <f>$AC$12+D643*$AC$13+E643*$AC$14+F643*$AC$15+G643*$AC$16+H643*$AC$17+I643*$AC$18+J643*$AC$19+K643*$AC$20+L643*$AC$21+M643*$AC$22+N643*$AC$23+O643*$AC$24+P643*$AC$25+Q643*$AC$26+R643*$AC$27+S643*$AC$28+T643*$AC$29+U643*$AC$30</f>
        <v/>
      </c>
      <c r="W643" s="6">
        <f>1/(1+EXP(-V643))</f>
        <v/>
      </c>
      <c r="X643" s="8">
        <f>-IF(C643=1,LN(W643),LN(1-W643))</f>
        <v/>
      </c>
      <c r="Y643" s="9">
        <f>IF(W643&gt;$AC$32,1,0)</f>
        <v/>
      </c>
      <c r="Z643">
        <f>IF(Y643=C643,1,0)</f>
        <v/>
      </c>
    </row>
    <row r="644">
      <c r="A644">
        <f>'3 escalar'!A647</f>
        <v/>
      </c>
      <c r="B644" s="5">
        <f>'3 escalar'!U647</f>
        <v/>
      </c>
      <c r="C644">
        <f>'3 escalar'!B647</f>
        <v/>
      </c>
      <c r="D644" s="7">
        <f>'3 escalar'!C647</f>
        <v/>
      </c>
      <c r="E644" s="7">
        <f>'3 escalar'!D647</f>
        <v/>
      </c>
      <c r="F644" s="7">
        <f>'3 escalar'!E647</f>
        <v/>
      </c>
      <c r="G644" s="7">
        <f>'3 escalar'!F647</f>
        <v/>
      </c>
      <c r="H644" s="7">
        <f>'3 escalar'!G647</f>
        <v/>
      </c>
      <c r="I644" s="7">
        <f>'3 escalar'!H647</f>
        <v/>
      </c>
      <c r="J644" s="7">
        <f>'3 escalar'!I647</f>
        <v/>
      </c>
      <c r="K644" s="7">
        <f>'3 escalar'!J647</f>
        <v/>
      </c>
      <c r="L644" s="7">
        <f>'3 escalar'!K647</f>
        <v/>
      </c>
      <c r="M644" s="7">
        <f>'3 escalar'!L647</f>
        <v/>
      </c>
      <c r="N644" s="7">
        <f>'3 escalar'!M647</f>
        <v/>
      </c>
      <c r="O644" s="7">
        <f>'3 escalar'!N647</f>
        <v/>
      </c>
      <c r="P644" s="7">
        <f>'3 escalar'!O647</f>
        <v/>
      </c>
      <c r="Q644" s="7">
        <f>'3 escalar'!P647</f>
        <v/>
      </c>
      <c r="R644" s="7">
        <f>'3 escalar'!Q647</f>
        <v/>
      </c>
      <c r="S644" s="7">
        <f>'3 escalar'!R647</f>
        <v/>
      </c>
      <c r="T644" s="7">
        <f>'3 escalar'!S647</f>
        <v/>
      </c>
      <c r="U644" s="7">
        <f>'3 escalar'!T647</f>
        <v/>
      </c>
      <c r="V644" s="6">
        <f>$AC$12+D644*$AC$13+E644*$AC$14+F644*$AC$15+G644*$AC$16+H644*$AC$17+I644*$AC$18+J644*$AC$19+K644*$AC$20+L644*$AC$21+M644*$AC$22+N644*$AC$23+O644*$AC$24+P644*$AC$25+Q644*$AC$26+R644*$AC$27+S644*$AC$28+T644*$AC$29+U644*$AC$30</f>
        <v/>
      </c>
      <c r="W644" s="6">
        <f>1/(1+EXP(-V644))</f>
        <v/>
      </c>
      <c r="X644" s="8">
        <f>-IF(C644=1,LN(W644),LN(1-W644))</f>
        <v/>
      </c>
      <c r="Y644" s="9">
        <f>IF(W644&gt;$AC$32,1,0)</f>
        <v/>
      </c>
      <c r="Z644">
        <f>IF(Y644=C644,1,0)</f>
        <v/>
      </c>
    </row>
    <row r="645">
      <c r="A645">
        <f>'3 escalar'!A648</f>
        <v/>
      </c>
      <c r="B645" s="5">
        <f>'3 escalar'!U648</f>
        <v/>
      </c>
      <c r="C645">
        <f>'3 escalar'!B648</f>
        <v/>
      </c>
      <c r="D645" s="7">
        <f>'3 escalar'!C648</f>
        <v/>
      </c>
      <c r="E645" s="7">
        <f>'3 escalar'!D648</f>
        <v/>
      </c>
      <c r="F645" s="7">
        <f>'3 escalar'!E648</f>
        <v/>
      </c>
      <c r="G645" s="7">
        <f>'3 escalar'!F648</f>
        <v/>
      </c>
      <c r="H645" s="7">
        <f>'3 escalar'!G648</f>
        <v/>
      </c>
      <c r="I645" s="7">
        <f>'3 escalar'!H648</f>
        <v/>
      </c>
      <c r="J645" s="7">
        <f>'3 escalar'!I648</f>
        <v/>
      </c>
      <c r="K645" s="7">
        <f>'3 escalar'!J648</f>
        <v/>
      </c>
      <c r="L645" s="7">
        <f>'3 escalar'!K648</f>
        <v/>
      </c>
      <c r="M645" s="7">
        <f>'3 escalar'!L648</f>
        <v/>
      </c>
      <c r="N645" s="7">
        <f>'3 escalar'!M648</f>
        <v/>
      </c>
      <c r="O645" s="7">
        <f>'3 escalar'!N648</f>
        <v/>
      </c>
      <c r="P645" s="7">
        <f>'3 escalar'!O648</f>
        <v/>
      </c>
      <c r="Q645" s="7">
        <f>'3 escalar'!P648</f>
        <v/>
      </c>
      <c r="R645" s="7">
        <f>'3 escalar'!Q648</f>
        <v/>
      </c>
      <c r="S645" s="7">
        <f>'3 escalar'!R648</f>
        <v/>
      </c>
      <c r="T645" s="7">
        <f>'3 escalar'!S648</f>
        <v/>
      </c>
      <c r="U645" s="7">
        <f>'3 escalar'!T648</f>
        <v/>
      </c>
      <c r="V645" s="6">
        <f>$AC$12+D645*$AC$13+E645*$AC$14+F645*$AC$15+G645*$AC$16+H645*$AC$17+I645*$AC$18+J645*$AC$19+K645*$AC$20+L645*$AC$21+M645*$AC$22+N645*$AC$23+O645*$AC$24+P645*$AC$25+Q645*$AC$26+R645*$AC$27+S645*$AC$28+T645*$AC$29+U645*$AC$30</f>
        <v/>
      </c>
      <c r="W645" s="6">
        <f>1/(1+EXP(-V645))</f>
        <v/>
      </c>
      <c r="X645" s="8">
        <f>-IF(C645=1,LN(W645),LN(1-W645))</f>
        <v/>
      </c>
      <c r="Y645" s="9">
        <f>IF(W645&gt;$AC$32,1,0)</f>
        <v/>
      </c>
      <c r="Z645">
        <f>IF(Y645=C645,1,0)</f>
        <v/>
      </c>
    </row>
    <row r="646">
      <c r="A646">
        <f>'3 escalar'!A649</f>
        <v/>
      </c>
      <c r="B646" s="5">
        <f>'3 escalar'!U649</f>
        <v/>
      </c>
      <c r="C646">
        <f>'3 escalar'!B649</f>
        <v/>
      </c>
      <c r="D646" s="7">
        <f>'3 escalar'!C649</f>
        <v/>
      </c>
      <c r="E646" s="7">
        <f>'3 escalar'!D649</f>
        <v/>
      </c>
      <c r="F646" s="7">
        <f>'3 escalar'!E649</f>
        <v/>
      </c>
      <c r="G646" s="7">
        <f>'3 escalar'!F649</f>
        <v/>
      </c>
      <c r="H646" s="7">
        <f>'3 escalar'!G649</f>
        <v/>
      </c>
      <c r="I646" s="7">
        <f>'3 escalar'!H649</f>
        <v/>
      </c>
      <c r="J646" s="7">
        <f>'3 escalar'!I649</f>
        <v/>
      </c>
      <c r="K646" s="7">
        <f>'3 escalar'!J649</f>
        <v/>
      </c>
      <c r="L646" s="7">
        <f>'3 escalar'!K649</f>
        <v/>
      </c>
      <c r="M646" s="7">
        <f>'3 escalar'!L649</f>
        <v/>
      </c>
      <c r="N646" s="7">
        <f>'3 escalar'!M649</f>
        <v/>
      </c>
      <c r="O646" s="7">
        <f>'3 escalar'!N649</f>
        <v/>
      </c>
      <c r="P646" s="7">
        <f>'3 escalar'!O649</f>
        <v/>
      </c>
      <c r="Q646" s="7">
        <f>'3 escalar'!P649</f>
        <v/>
      </c>
      <c r="R646" s="7">
        <f>'3 escalar'!Q649</f>
        <v/>
      </c>
      <c r="S646" s="7">
        <f>'3 escalar'!R649</f>
        <v/>
      </c>
      <c r="T646" s="7">
        <f>'3 escalar'!S649</f>
        <v/>
      </c>
      <c r="U646" s="7">
        <f>'3 escalar'!T649</f>
        <v/>
      </c>
      <c r="V646" s="6">
        <f>$AC$12+D646*$AC$13+E646*$AC$14+F646*$AC$15+G646*$AC$16+H646*$AC$17+I646*$AC$18+J646*$AC$19+K646*$AC$20+L646*$AC$21+M646*$AC$22+N646*$AC$23+O646*$AC$24+P646*$AC$25+Q646*$AC$26+R646*$AC$27+S646*$AC$28+T646*$AC$29+U646*$AC$30</f>
        <v/>
      </c>
      <c r="W646" s="6">
        <f>1/(1+EXP(-V646))</f>
        <v/>
      </c>
      <c r="X646" s="8">
        <f>-IF(C646=1,LN(W646),LN(1-W646))</f>
        <v/>
      </c>
      <c r="Y646" s="9">
        <f>IF(W646&gt;$AC$32,1,0)</f>
        <v/>
      </c>
      <c r="Z646">
        <f>IF(Y646=C646,1,0)</f>
        <v/>
      </c>
    </row>
    <row r="647">
      <c r="A647">
        <f>'3 escalar'!A650</f>
        <v/>
      </c>
      <c r="B647" s="5">
        <f>'3 escalar'!U650</f>
        <v/>
      </c>
      <c r="C647">
        <f>'3 escalar'!B650</f>
        <v/>
      </c>
      <c r="D647" s="7">
        <f>'3 escalar'!C650</f>
        <v/>
      </c>
      <c r="E647" s="7">
        <f>'3 escalar'!D650</f>
        <v/>
      </c>
      <c r="F647" s="7">
        <f>'3 escalar'!E650</f>
        <v/>
      </c>
      <c r="G647" s="7">
        <f>'3 escalar'!F650</f>
        <v/>
      </c>
      <c r="H647" s="7">
        <f>'3 escalar'!G650</f>
        <v/>
      </c>
      <c r="I647" s="7">
        <f>'3 escalar'!H650</f>
        <v/>
      </c>
      <c r="J647" s="7">
        <f>'3 escalar'!I650</f>
        <v/>
      </c>
      <c r="K647" s="7">
        <f>'3 escalar'!J650</f>
        <v/>
      </c>
      <c r="L647" s="7">
        <f>'3 escalar'!K650</f>
        <v/>
      </c>
      <c r="M647" s="7">
        <f>'3 escalar'!L650</f>
        <v/>
      </c>
      <c r="N647" s="7">
        <f>'3 escalar'!M650</f>
        <v/>
      </c>
      <c r="O647" s="7">
        <f>'3 escalar'!N650</f>
        <v/>
      </c>
      <c r="P647" s="7">
        <f>'3 escalar'!O650</f>
        <v/>
      </c>
      <c r="Q647" s="7">
        <f>'3 escalar'!P650</f>
        <v/>
      </c>
      <c r="R647" s="7">
        <f>'3 escalar'!Q650</f>
        <v/>
      </c>
      <c r="S647" s="7">
        <f>'3 escalar'!R650</f>
        <v/>
      </c>
      <c r="T647" s="7">
        <f>'3 escalar'!S650</f>
        <v/>
      </c>
      <c r="U647" s="7">
        <f>'3 escalar'!T650</f>
        <v/>
      </c>
      <c r="V647" s="6">
        <f>$AC$12+D647*$AC$13+E647*$AC$14+F647*$AC$15+G647*$AC$16+H647*$AC$17+I647*$AC$18+J647*$AC$19+K647*$AC$20+L647*$AC$21+M647*$AC$22+N647*$AC$23+O647*$AC$24+P647*$AC$25+Q647*$AC$26+R647*$AC$27+S647*$AC$28+T647*$AC$29+U647*$AC$30</f>
        <v/>
      </c>
      <c r="W647" s="6">
        <f>1/(1+EXP(-V647))</f>
        <v/>
      </c>
      <c r="X647" s="8">
        <f>-IF(C647=1,LN(W647),LN(1-W647))</f>
        <v/>
      </c>
      <c r="Y647" s="9">
        <f>IF(W647&gt;$AC$32,1,0)</f>
        <v/>
      </c>
      <c r="Z647">
        <f>IF(Y647=C647,1,0)</f>
        <v/>
      </c>
    </row>
    <row r="648">
      <c r="A648">
        <f>'3 escalar'!A651</f>
        <v/>
      </c>
      <c r="B648" s="5">
        <f>'3 escalar'!U651</f>
        <v/>
      </c>
      <c r="C648">
        <f>'3 escalar'!B651</f>
        <v/>
      </c>
      <c r="D648" s="7">
        <f>'3 escalar'!C651</f>
        <v/>
      </c>
      <c r="E648" s="7">
        <f>'3 escalar'!D651</f>
        <v/>
      </c>
      <c r="F648" s="7">
        <f>'3 escalar'!E651</f>
        <v/>
      </c>
      <c r="G648" s="7">
        <f>'3 escalar'!F651</f>
        <v/>
      </c>
      <c r="H648" s="7">
        <f>'3 escalar'!G651</f>
        <v/>
      </c>
      <c r="I648" s="7">
        <f>'3 escalar'!H651</f>
        <v/>
      </c>
      <c r="J648" s="7">
        <f>'3 escalar'!I651</f>
        <v/>
      </c>
      <c r="K648" s="7">
        <f>'3 escalar'!J651</f>
        <v/>
      </c>
      <c r="L648" s="7">
        <f>'3 escalar'!K651</f>
        <v/>
      </c>
      <c r="M648" s="7">
        <f>'3 escalar'!L651</f>
        <v/>
      </c>
      <c r="N648" s="7">
        <f>'3 escalar'!M651</f>
        <v/>
      </c>
      <c r="O648" s="7">
        <f>'3 escalar'!N651</f>
        <v/>
      </c>
      <c r="P648" s="7">
        <f>'3 escalar'!O651</f>
        <v/>
      </c>
      <c r="Q648" s="7">
        <f>'3 escalar'!P651</f>
        <v/>
      </c>
      <c r="R648" s="7">
        <f>'3 escalar'!Q651</f>
        <v/>
      </c>
      <c r="S648" s="7">
        <f>'3 escalar'!R651</f>
        <v/>
      </c>
      <c r="T648" s="7">
        <f>'3 escalar'!S651</f>
        <v/>
      </c>
      <c r="U648" s="7">
        <f>'3 escalar'!T651</f>
        <v/>
      </c>
      <c r="V648" s="6">
        <f>$AC$12+D648*$AC$13+E648*$AC$14+F648*$AC$15+G648*$AC$16+H648*$AC$17+I648*$AC$18+J648*$AC$19+K648*$AC$20+L648*$AC$21+M648*$AC$22+N648*$AC$23+O648*$AC$24+P648*$AC$25+Q648*$AC$26+R648*$AC$27+S648*$AC$28+T648*$AC$29+U648*$AC$30</f>
        <v/>
      </c>
      <c r="W648" s="6">
        <f>1/(1+EXP(-V648))</f>
        <v/>
      </c>
      <c r="X648" s="8">
        <f>-IF(C648=1,LN(W648),LN(1-W648))</f>
        <v/>
      </c>
      <c r="Y648" s="9">
        <f>IF(W648&gt;$AC$32,1,0)</f>
        <v/>
      </c>
      <c r="Z648">
        <f>IF(Y648=C648,1,0)</f>
        <v/>
      </c>
    </row>
    <row r="649">
      <c r="A649">
        <f>'3 escalar'!A652</f>
        <v/>
      </c>
      <c r="B649" s="5">
        <f>'3 escalar'!U652</f>
        <v/>
      </c>
      <c r="C649">
        <f>'3 escalar'!B652</f>
        <v/>
      </c>
      <c r="D649" s="7">
        <f>'3 escalar'!C652</f>
        <v/>
      </c>
      <c r="E649" s="7">
        <f>'3 escalar'!D652</f>
        <v/>
      </c>
      <c r="F649" s="7">
        <f>'3 escalar'!E652</f>
        <v/>
      </c>
      <c r="G649" s="7">
        <f>'3 escalar'!F652</f>
        <v/>
      </c>
      <c r="H649" s="7">
        <f>'3 escalar'!G652</f>
        <v/>
      </c>
      <c r="I649" s="7">
        <f>'3 escalar'!H652</f>
        <v/>
      </c>
      <c r="J649" s="7">
        <f>'3 escalar'!I652</f>
        <v/>
      </c>
      <c r="K649" s="7">
        <f>'3 escalar'!J652</f>
        <v/>
      </c>
      <c r="L649" s="7">
        <f>'3 escalar'!K652</f>
        <v/>
      </c>
      <c r="M649" s="7">
        <f>'3 escalar'!L652</f>
        <v/>
      </c>
      <c r="N649" s="7">
        <f>'3 escalar'!M652</f>
        <v/>
      </c>
      <c r="O649" s="7">
        <f>'3 escalar'!N652</f>
        <v/>
      </c>
      <c r="P649" s="7">
        <f>'3 escalar'!O652</f>
        <v/>
      </c>
      <c r="Q649" s="7">
        <f>'3 escalar'!P652</f>
        <v/>
      </c>
      <c r="R649" s="7">
        <f>'3 escalar'!Q652</f>
        <v/>
      </c>
      <c r="S649" s="7">
        <f>'3 escalar'!R652</f>
        <v/>
      </c>
      <c r="T649" s="7">
        <f>'3 escalar'!S652</f>
        <v/>
      </c>
      <c r="U649" s="7">
        <f>'3 escalar'!T652</f>
        <v/>
      </c>
      <c r="V649" s="6">
        <f>$AC$12+D649*$AC$13+E649*$AC$14+F649*$AC$15+G649*$AC$16+H649*$AC$17+I649*$AC$18+J649*$AC$19+K649*$AC$20+L649*$AC$21+M649*$AC$22+N649*$AC$23+O649*$AC$24+P649*$AC$25+Q649*$AC$26+R649*$AC$27+S649*$AC$28+T649*$AC$29+U649*$AC$30</f>
        <v/>
      </c>
      <c r="W649" s="6">
        <f>1/(1+EXP(-V649))</f>
        <v/>
      </c>
      <c r="X649" s="8">
        <f>-IF(C649=1,LN(W649),LN(1-W649))</f>
        <v/>
      </c>
      <c r="Y649" s="9">
        <f>IF(W649&gt;$AC$32,1,0)</f>
        <v/>
      </c>
      <c r="Z649">
        <f>IF(Y649=C649,1,0)</f>
        <v/>
      </c>
    </row>
    <row r="650">
      <c r="A650">
        <f>'3 escalar'!A653</f>
        <v/>
      </c>
      <c r="B650" s="5">
        <f>'3 escalar'!U653</f>
        <v/>
      </c>
      <c r="C650">
        <f>'3 escalar'!B653</f>
        <v/>
      </c>
      <c r="D650" s="7">
        <f>'3 escalar'!C653</f>
        <v/>
      </c>
      <c r="E650" s="7">
        <f>'3 escalar'!D653</f>
        <v/>
      </c>
      <c r="F650" s="7">
        <f>'3 escalar'!E653</f>
        <v/>
      </c>
      <c r="G650" s="7">
        <f>'3 escalar'!F653</f>
        <v/>
      </c>
      <c r="H650" s="7">
        <f>'3 escalar'!G653</f>
        <v/>
      </c>
      <c r="I650" s="7">
        <f>'3 escalar'!H653</f>
        <v/>
      </c>
      <c r="J650" s="7">
        <f>'3 escalar'!I653</f>
        <v/>
      </c>
      <c r="K650" s="7">
        <f>'3 escalar'!J653</f>
        <v/>
      </c>
      <c r="L650" s="7">
        <f>'3 escalar'!K653</f>
        <v/>
      </c>
      <c r="M650" s="7">
        <f>'3 escalar'!L653</f>
        <v/>
      </c>
      <c r="N650" s="7">
        <f>'3 escalar'!M653</f>
        <v/>
      </c>
      <c r="O650" s="7">
        <f>'3 escalar'!N653</f>
        <v/>
      </c>
      <c r="P650" s="7">
        <f>'3 escalar'!O653</f>
        <v/>
      </c>
      <c r="Q650" s="7">
        <f>'3 escalar'!P653</f>
        <v/>
      </c>
      <c r="R650" s="7">
        <f>'3 escalar'!Q653</f>
        <v/>
      </c>
      <c r="S650" s="7">
        <f>'3 escalar'!R653</f>
        <v/>
      </c>
      <c r="T650" s="7">
        <f>'3 escalar'!S653</f>
        <v/>
      </c>
      <c r="U650" s="7">
        <f>'3 escalar'!T653</f>
        <v/>
      </c>
      <c r="V650" s="6">
        <f>$AC$12+D650*$AC$13+E650*$AC$14+F650*$AC$15+G650*$AC$16+H650*$AC$17+I650*$AC$18+J650*$AC$19+K650*$AC$20+L650*$AC$21+M650*$AC$22+N650*$AC$23+O650*$AC$24+P650*$AC$25+Q650*$AC$26+R650*$AC$27+S650*$AC$28+T650*$AC$29+U650*$AC$30</f>
        <v/>
      </c>
      <c r="W650" s="6">
        <f>1/(1+EXP(-V650))</f>
        <v/>
      </c>
      <c r="X650" s="8">
        <f>-IF(C650=1,LN(W650),LN(1-W650))</f>
        <v/>
      </c>
      <c r="Y650" s="9">
        <f>IF(W650&gt;$AC$32,1,0)</f>
        <v/>
      </c>
      <c r="Z650">
        <f>IF(Y650=C650,1,0)</f>
        <v/>
      </c>
    </row>
    <row r="651">
      <c r="A651">
        <f>'3 escalar'!A654</f>
        <v/>
      </c>
      <c r="B651" s="5">
        <f>'3 escalar'!U654</f>
        <v/>
      </c>
      <c r="C651">
        <f>'3 escalar'!B654</f>
        <v/>
      </c>
      <c r="D651" s="7">
        <f>'3 escalar'!C654</f>
        <v/>
      </c>
      <c r="E651" s="7">
        <f>'3 escalar'!D654</f>
        <v/>
      </c>
      <c r="F651" s="7">
        <f>'3 escalar'!E654</f>
        <v/>
      </c>
      <c r="G651" s="7">
        <f>'3 escalar'!F654</f>
        <v/>
      </c>
      <c r="H651" s="7">
        <f>'3 escalar'!G654</f>
        <v/>
      </c>
      <c r="I651" s="7">
        <f>'3 escalar'!H654</f>
        <v/>
      </c>
      <c r="J651" s="7">
        <f>'3 escalar'!I654</f>
        <v/>
      </c>
      <c r="K651" s="7">
        <f>'3 escalar'!J654</f>
        <v/>
      </c>
      <c r="L651" s="7">
        <f>'3 escalar'!K654</f>
        <v/>
      </c>
      <c r="M651" s="7">
        <f>'3 escalar'!L654</f>
        <v/>
      </c>
      <c r="N651" s="7">
        <f>'3 escalar'!M654</f>
        <v/>
      </c>
      <c r="O651" s="7">
        <f>'3 escalar'!N654</f>
        <v/>
      </c>
      <c r="P651" s="7">
        <f>'3 escalar'!O654</f>
        <v/>
      </c>
      <c r="Q651" s="7">
        <f>'3 escalar'!P654</f>
        <v/>
      </c>
      <c r="R651" s="7">
        <f>'3 escalar'!Q654</f>
        <v/>
      </c>
      <c r="S651" s="7">
        <f>'3 escalar'!R654</f>
        <v/>
      </c>
      <c r="T651" s="7">
        <f>'3 escalar'!S654</f>
        <v/>
      </c>
      <c r="U651" s="7">
        <f>'3 escalar'!T654</f>
        <v/>
      </c>
      <c r="V651" s="6">
        <f>$AC$12+D651*$AC$13+E651*$AC$14+F651*$AC$15+G651*$AC$16+H651*$AC$17+I651*$AC$18+J651*$AC$19+K651*$AC$20+L651*$AC$21+M651*$AC$22+N651*$AC$23+O651*$AC$24+P651*$AC$25+Q651*$AC$26+R651*$AC$27+S651*$AC$28+T651*$AC$29+U651*$AC$30</f>
        <v/>
      </c>
      <c r="W651" s="6">
        <f>1/(1+EXP(-V651))</f>
        <v/>
      </c>
      <c r="X651" s="8">
        <f>-IF(C651=1,LN(W651),LN(1-W651))</f>
        <v/>
      </c>
      <c r="Y651" s="9">
        <f>IF(W651&gt;$AC$32,1,0)</f>
        <v/>
      </c>
      <c r="Z651">
        <f>IF(Y651=C651,1,0)</f>
        <v/>
      </c>
    </row>
    <row r="652">
      <c r="A652">
        <f>'3 escalar'!A655</f>
        <v/>
      </c>
      <c r="B652" s="5">
        <f>'3 escalar'!U655</f>
        <v/>
      </c>
      <c r="C652">
        <f>'3 escalar'!B655</f>
        <v/>
      </c>
      <c r="D652" s="7">
        <f>'3 escalar'!C655</f>
        <v/>
      </c>
      <c r="E652" s="7">
        <f>'3 escalar'!D655</f>
        <v/>
      </c>
      <c r="F652" s="7">
        <f>'3 escalar'!E655</f>
        <v/>
      </c>
      <c r="G652" s="7">
        <f>'3 escalar'!F655</f>
        <v/>
      </c>
      <c r="H652" s="7">
        <f>'3 escalar'!G655</f>
        <v/>
      </c>
      <c r="I652" s="7">
        <f>'3 escalar'!H655</f>
        <v/>
      </c>
      <c r="J652" s="7">
        <f>'3 escalar'!I655</f>
        <v/>
      </c>
      <c r="K652" s="7">
        <f>'3 escalar'!J655</f>
        <v/>
      </c>
      <c r="L652" s="7">
        <f>'3 escalar'!K655</f>
        <v/>
      </c>
      <c r="M652" s="7">
        <f>'3 escalar'!L655</f>
        <v/>
      </c>
      <c r="N652" s="7">
        <f>'3 escalar'!M655</f>
        <v/>
      </c>
      <c r="O652" s="7">
        <f>'3 escalar'!N655</f>
        <v/>
      </c>
      <c r="P652" s="7">
        <f>'3 escalar'!O655</f>
        <v/>
      </c>
      <c r="Q652" s="7">
        <f>'3 escalar'!P655</f>
        <v/>
      </c>
      <c r="R652" s="7">
        <f>'3 escalar'!Q655</f>
        <v/>
      </c>
      <c r="S652" s="7">
        <f>'3 escalar'!R655</f>
        <v/>
      </c>
      <c r="T652" s="7">
        <f>'3 escalar'!S655</f>
        <v/>
      </c>
      <c r="U652" s="7">
        <f>'3 escalar'!T655</f>
        <v/>
      </c>
      <c r="V652" s="6">
        <f>$AC$12+D652*$AC$13+E652*$AC$14+F652*$AC$15+G652*$AC$16+H652*$AC$17+I652*$AC$18+J652*$AC$19+K652*$AC$20+L652*$AC$21+M652*$AC$22+N652*$AC$23+O652*$AC$24+P652*$AC$25+Q652*$AC$26+R652*$AC$27+S652*$AC$28+T652*$AC$29+U652*$AC$30</f>
        <v/>
      </c>
      <c r="W652" s="6">
        <f>1/(1+EXP(-V652))</f>
        <v/>
      </c>
      <c r="X652" s="8">
        <f>-IF(C652=1,LN(W652),LN(1-W652))</f>
        <v/>
      </c>
      <c r="Y652" s="9">
        <f>IF(W652&gt;$AC$32,1,0)</f>
        <v/>
      </c>
      <c r="Z652">
        <f>IF(Y652=C652,1,0)</f>
        <v/>
      </c>
    </row>
    <row r="653">
      <c r="A653">
        <f>'3 escalar'!A656</f>
        <v/>
      </c>
      <c r="B653" s="5">
        <f>'3 escalar'!U656</f>
        <v/>
      </c>
      <c r="C653">
        <f>'3 escalar'!B656</f>
        <v/>
      </c>
      <c r="D653" s="7">
        <f>'3 escalar'!C656</f>
        <v/>
      </c>
      <c r="E653" s="7">
        <f>'3 escalar'!D656</f>
        <v/>
      </c>
      <c r="F653" s="7">
        <f>'3 escalar'!E656</f>
        <v/>
      </c>
      <c r="G653" s="7">
        <f>'3 escalar'!F656</f>
        <v/>
      </c>
      <c r="H653" s="7">
        <f>'3 escalar'!G656</f>
        <v/>
      </c>
      <c r="I653" s="7">
        <f>'3 escalar'!H656</f>
        <v/>
      </c>
      <c r="J653" s="7">
        <f>'3 escalar'!I656</f>
        <v/>
      </c>
      <c r="K653" s="7">
        <f>'3 escalar'!J656</f>
        <v/>
      </c>
      <c r="L653" s="7">
        <f>'3 escalar'!K656</f>
        <v/>
      </c>
      <c r="M653" s="7">
        <f>'3 escalar'!L656</f>
        <v/>
      </c>
      <c r="N653" s="7">
        <f>'3 escalar'!M656</f>
        <v/>
      </c>
      <c r="O653" s="7">
        <f>'3 escalar'!N656</f>
        <v/>
      </c>
      <c r="P653" s="7">
        <f>'3 escalar'!O656</f>
        <v/>
      </c>
      <c r="Q653" s="7">
        <f>'3 escalar'!P656</f>
        <v/>
      </c>
      <c r="R653" s="7">
        <f>'3 escalar'!Q656</f>
        <v/>
      </c>
      <c r="S653" s="7">
        <f>'3 escalar'!R656</f>
        <v/>
      </c>
      <c r="T653" s="7">
        <f>'3 escalar'!S656</f>
        <v/>
      </c>
      <c r="U653" s="7">
        <f>'3 escalar'!T656</f>
        <v/>
      </c>
      <c r="V653" s="6">
        <f>$AC$12+D653*$AC$13+E653*$AC$14+F653*$AC$15+G653*$AC$16+H653*$AC$17+I653*$AC$18+J653*$AC$19+K653*$AC$20+L653*$AC$21+M653*$AC$22+N653*$AC$23+O653*$AC$24+P653*$AC$25+Q653*$AC$26+R653*$AC$27+S653*$AC$28+T653*$AC$29+U653*$AC$30</f>
        <v/>
      </c>
      <c r="W653" s="6">
        <f>1/(1+EXP(-V653))</f>
        <v/>
      </c>
      <c r="X653" s="8">
        <f>-IF(C653=1,LN(W653),LN(1-W653))</f>
        <v/>
      </c>
      <c r="Y653" s="9">
        <f>IF(W653&gt;$AC$32,1,0)</f>
        <v/>
      </c>
      <c r="Z653">
        <f>IF(Y653=C653,1,0)</f>
        <v/>
      </c>
    </row>
    <row r="654">
      <c r="A654">
        <f>'3 escalar'!A657</f>
        <v/>
      </c>
      <c r="B654" s="5">
        <f>'3 escalar'!U657</f>
        <v/>
      </c>
      <c r="C654">
        <f>'3 escalar'!B657</f>
        <v/>
      </c>
      <c r="D654" s="7">
        <f>'3 escalar'!C657</f>
        <v/>
      </c>
      <c r="E654" s="7">
        <f>'3 escalar'!D657</f>
        <v/>
      </c>
      <c r="F654" s="7">
        <f>'3 escalar'!E657</f>
        <v/>
      </c>
      <c r="G654" s="7">
        <f>'3 escalar'!F657</f>
        <v/>
      </c>
      <c r="H654" s="7">
        <f>'3 escalar'!G657</f>
        <v/>
      </c>
      <c r="I654" s="7">
        <f>'3 escalar'!H657</f>
        <v/>
      </c>
      <c r="J654" s="7">
        <f>'3 escalar'!I657</f>
        <v/>
      </c>
      <c r="K654" s="7">
        <f>'3 escalar'!J657</f>
        <v/>
      </c>
      <c r="L654" s="7">
        <f>'3 escalar'!K657</f>
        <v/>
      </c>
      <c r="M654" s="7">
        <f>'3 escalar'!L657</f>
        <v/>
      </c>
      <c r="N654" s="7">
        <f>'3 escalar'!M657</f>
        <v/>
      </c>
      <c r="O654" s="7">
        <f>'3 escalar'!N657</f>
        <v/>
      </c>
      <c r="P654" s="7">
        <f>'3 escalar'!O657</f>
        <v/>
      </c>
      <c r="Q654" s="7">
        <f>'3 escalar'!P657</f>
        <v/>
      </c>
      <c r="R654" s="7">
        <f>'3 escalar'!Q657</f>
        <v/>
      </c>
      <c r="S654" s="7">
        <f>'3 escalar'!R657</f>
        <v/>
      </c>
      <c r="T654" s="7">
        <f>'3 escalar'!S657</f>
        <v/>
      </c>
      <c r="U654" s="7">
        <f>'3 escalar'!T657</f>
        <v/>
      </c>
      <c r="V654" s="6">
        <f>$AC$12+D654*$AC$13+E654*$AC$14+F654*$AC$15+G654*$AC$16+H654*$AC$17+I654*$AC$18+J654*$AC$19+K654*$AC$20+L654*$AC$21+M654*$AC$22+N654*$AC$23+O654*$AC$24+P654*$AC$25+Q654*$AC$26+R654*$AC$27+S654*$AC$28+T654*$AC$29+U654*$AC$30</f>
        <v/>
      </c>
      <c r="W654" s="6">
        <f>1/(1+EXP(-V654))</f>
        <v/>
      </c>
      <c r="X654" s="8">
        <f>-IF(C654=1,LN(W654),LN(1-W654))</f>
        <v/>
      </c>
      <c r="Y654" s="9">
        <f>IF(W654&gt;$AC$32,1,0)</f>
        <v/>
      </c>
      <c r="Z654">
        <f>IF(Y654=C654,1,0)</f>
        <v/>
      </c>
    </row>
    <row r="655">
      <c r="A655">
        <f>'3 escalar'!A658</f>
        <v/>
      </c>
      <c r="B655" s="5">
        <f>'3 escalar'!U658</f>
        <v/>
      </c>
      <c r="C655">
        <f>'3 escalar'!B658</f>
        <v/>
      </c>
      <c r="D655" s="7">
        <f>'3 escalar'!C658</f>
        <v/>
      </c>
      <c r="E655" s="7">
        <f>'3 escalar'!D658</f>
        <v/>
      </c>
      <c r="F655" s="7">
        <f>'3 escalar'!E658</f>
        <v/>
      </c>
      <c r="G655" s="7">
        <f>'3 escalar'!F658</f>
        <v/>
      </c>
      <c r="H655" s="7">
        <f>'3 escalar'!G658</f>
        <v/>
      </c>
      <c r="I655" s="7">
        <f>'3 escalar'!H658</f>
        <v/>
      </c>
      <c r="J655" s="7">
        <f>'3 escalar'!I658</f>
        <v/>
      </c>
      <c r="K655" s="7">
        <f>'3 escalar'!J658</f>
        <v/>
      </c>
      <c r="L655" s="7">
        <f>'3 escalar'!K658</f>
        <v/>
      </c>
      <c r="M655" s="7">
        <f>'3 escalar'!L658</f>
        <v/>
      </c>
      <c r="N655" s="7">
        <f>'3 escalar'!M658</f>
        <v/>
      </c>
      <c r="O655" s="7">
        <f>'3 escalar'!N658</f>
        <v/>
      </c>
      <c r="P655" s="7">
        <f>'3 escalar'!O658</f>
        <v/>
      </c>
      <c r="Q655" s="7">
        <f>'3 escalar'!P658</f>
        <v/>
      </c>
      <c r="R655" s="7">
        <f>'3 escalar'!Q658</f>
        <v/>
      </c>
      <c r="S655" s="7">
        <f>'3 escalar'!R658</f>
        <v/>
      </c>
      <c r="T655" s="7">
        <f>'3 escalar'!S658</f>
        <v/>
      </c>
      <c r="U655" s="7">
        <f>'3 escalar'!T658</f>
        <v/>
      </c>
      <c r="V655" s="6">
        <f>$AC$12+D655*$AC$13+E655*$AC$14+F655*$AC$15+G655*$AC$16+H655*$AC$17+I655*$AC$18+J655*$AC$19+K655*$AC$20+L655*$AC$21+M655*$AC$22+N655*$AC$23+O655*$AC$24+P655*$AC$25+Q655*$AC$26+R655*$AC$27+S655*$AC$28+T655*$AC$29+U655*$AC$30</f>
        <v/>
      </c>
      <c r="W655" s="6">
        <f>1/(1+EXP(-V655))</f>
        <v/>
      </c>
      <c r="X655" s="8">
        <f>-IF(C655=1,LN(W655),LN(1-W655))</f>
        <v/>
      </c>
      <c r="Y655" s="9">
        <f>IF(W655&gt;$AC$32,1,0)</f>
        <v/>
      </c>
      <c r="Z655">
        <f>IF(Y655=C655,1,0)</f>
        <v/>
      </c>
    </row>
    <row r="656">
      <c r="A656">
        <f>'3 escalar'!A659</f>
        <v/>
      </c>
      <c r="B656" s="5">
        <f>'3 escalar'!U659</f>
        <v/>
      </c>
      <c r="C656">
        <f>'3 escalar'!B659</f>
        <v/>
      </c>
      <c r="D656" s="7">
        <f>'3 escalar'!C659</f>
        <v/>
      </c>
      <c r="E656" s="7">
        <f>'3 escalar'!D659</f>
        <v/>
      </c>
      <c r="F656" s="7">
        <f>'3 escalar'!E659</f>
        <v/>
      </c>
      <c r="G656" s="7">
        <f>'3 escalar'!F659</f>
        <v/>
      </c>
      <c r="H656" s="7">
        <f>'3 escalar'!G659</f>
        <v/>
      </c>
      <c r="I656" s="7">
        <f>'3 escalar'!H659</f>
        <v/>
      </c>
      <c r="J656" s="7">
        <f>'3 escalar'!I659</f>
        <v/>
      </c>
      <c r="K656" s="7">
        <f>'3 escalar'!J659</f>
        <v/>
      </c>
      <c r="L656" s="7">
        <f>'3 escalar'!K659</f>
        <v/>
      </c>
      <c r="M656" s="7">
        <f>'3 escalar'!L659</f>
        <v/>
      </c>
      <c r="N656" s="7">
        <f>'3 escalar'!M659</f>
        <v/>
      </c>
      <c r="O656" s="7">
        <f>'3 escalar'!N659</f>
        <v/>
      </c>
      <c r="P656" s="7">
        <f>'3 escalar'!O659</f>
        <v/>
      </c>
      <c r="Q656" s="7">
        <f>'3 escalar'!P659</f>
        <v/>
      </c>
      <c r="R656" s="7">
        <f>'3 escalar'!Q659</f>
        <v/>
      </c>
      <c r="S656" s="7">
        <f>'3 escalar'!R659</f>
        <v/>
      </c>
      <c r="T656" s="7">
        <f>'3 escalar'!S659</f>
        <v/>
      </c>
      <c r="U656" s="7">
        <f>'3 escalar'!T659</f>
        <v/>
      </c>
      <c r="V656" s="6">
        <f>$AC$12+D656*$AC$13+E656*$AC$14+F656*$AC$15+G656*$AC$16+H656*$AC$17+I656*$AC$18+J656*$AC$19+K656*$AC$20+L656*$AC$21+M656*$AC$22+N656*$AC$23+O656*$AC$24+P656*$AC$25+Q656*$AC$26+R656*$AC$27+S656*$AC$28+T656*$AC$29+U656*$AC$30</f>
        <v/>
      </c>
      <c r="W656" s="6">
        <f>1/(1+EXP(-V656))</f>
        <v/>
      </c>
      <c r="X656" s="8">
        <f>-IF(C656=1,LN(W656),LN(1-W656))</f>
        <v/>
      </c>
      <c r="Y656" s="9">
        <f>IF(W656&gt;$AC$32,1,0)</f>
        <v/>
      </c>
      <c r="Z656">
        <f>IF(Y656=C656,1,0)</f>
        <v/>
      </c>
    </row>
    <row r="657">
      <c r="A657">
        <f>'3 escalar'!A660</f>
        <v/>
      </c>
      <c r="B657" s="5">
        <f>'3 escalar'!U660</f>
        <v/>
      </c>
      <c r="C657">
        <f>'3 escalar'!B660</f>
        <v/>
      </c>
      <c r="D657" s="7">
        <f>'3 escalar'!C660</f>
        <v/>
      </c>
      <c r="E657" s="7">
        <f>'3 escalar'!D660</f>
        <v/>
      </c>
      <c r="F657" s="7">
        <f>'3 escalar'!E660</f>
        <v/>
      </c>
      <c r="G657" s="7">
        <f>'3 escalar'!F660</f>
        <v/>
      </c>
      <c r="H657" s="7">
        <f>'3 escalar'!G660</f>
        <v/>
      </c>
      <c r="I657" s="7">
        <f>'3 escalar'!H660</f>
        <v/>
      </c>
      <c r="J657" s="7">
        <f>'3 escalar'!I660</f>
        <v/>
      </c>
      <c r="K657" s="7">
        <f>'3 escalar'!J660</f>
        <v/>
      </c>
      <c r="L657" s="7">
        <f>'3 escalar'!K660</f>
        <v/>
      </c>
      <c r="M657" s="7">
        <f>'3 escalar'!L660</f>
        <v/>
      </c>
      <c r="N657" s="7">
        <f>'3 escalar'!M660</f>
        <v/>
      </c>
      <c r="O657" s="7">
        <f>'3 escalar'!N660</f>
        <v/>
      </c>
      <c r="P657" s="7">
        <f>'3 escalar'!O660</f>
        <v/>
      </c>
      <c r="Q657" s="7">
        <f>'3 escalar'!P660</f>
        <v/>
      </c>
      <c r="R657" s="7">
        <f>'3 escalar'!Q660</f>
        <v/>
      </c>
      <c r="S657" s="7">
        <f>'3 escalar'!R660</f>
        <v/>
      </c>
      <c r="T657" s="7">
        <f>'3 escalar'!S660</f>
        <v/>
      </c>
      <c r="U657" s="7">
        <f>'3 escalar'!T660</f>
        <v/>
      </c>
      <c r="V657" s="6">
        <f>$AC$12+D657*$AC$13+E657*$AC$14+F657*$AC$15+G657*$AC$16+H657*$AC$17+I657*$AC$18+J657*$AC$19+K657*$AC$20+L657*$AC$21+M657*$AC$22+N657*$AC$23+O657*$AC$24+P657*$AC$25+Q657*$AC$26+R657*$AC$27+S657*$AC$28+T657*$AC$29+U657*$AC$30</f>
        <v/>
      </c>
      <c r="W657" s="6">
        <f>1/(1+EXP(-V657))</f>
        <v/>
      </c>
      <c r="X657" s="8">
        <f>-IF(C657=1,LN(W657),LN(1-W657))</f>
        <v/>
      </c>
      <c r="Y657" s="9">
        <f>IF(W657&gt;$AC$32,1,0)</f>
        <v/>
      </c>
      <c r="Z657">
        <f>IF(Y657=C657,1,0)</f>
        <v/>
      </c>
    </row>
    <row r="658">
      <c r="A658">
        <f>'3 escalar'!A661</f>
        <v/>
      </c>
      <c r="B658" s="5">
        <f>'3 escalar'!U661</f>
        <v/>
      </c>
      <c r="C658">
        <f>'3 escalar'!B661</f>
        <v/>
      </c>
      <c r="D658" s="7">
        <f>'3 escalar'!C661</f>
        <v/>
      </c>
      <c r="E658" s="7">
        <f>'3 escalar'!D661</f>
        <v/>
      </c>
      <c r="F658" s="7">
        <f>'3 escalar'!E661</f>
        <v/>
      </c>
      <c r="G658" s="7">
        <f>'3 escalar'!F661</f>
        <v/>
      </c>
      <c r="H658" s="7">
        <f>'3 escalar'!G661</f>
        <v/>
      </c>
      <c r="I658" s="7">
        <f>'3 escalar'!H661</f>
        <v/>
      </c>
      <c r="J658" s="7">
        <f>'3 escalar'!I661</f>
        <v/>
      </c>
      <c r="K658" s="7">
        <f>'3 escalar'!J661</f>
        <v/>
      </c>
      <c r="L658" s="7">
        <f>'3 escalar'!K661</f>
        <v/>
      </c>
      <c r="M658" s="7">
        <f>'3 escalar'!L661</f>
        <v/>
      </c>
      <c r="N658" s="7">
        <f>'3 escalar'!M661</f>
        <v/>
      </c>
      <c r="O658" s="7">
        <f>'3 escalar'!N661</f>
        <v/>
      </c>
      <c r="P658" s="7">
        <f>'3 escalar'!O661</f>
        <v/>
      </c>
      <c r="Q658" s="7">
        <f>'3 escalar'!P661</f>
        <v/>
      </c>
      <c r="R658" s="7">
        <f>'3 escalar'!Q661</f>
        <v/>
      </c>
      <c r="S658" s="7">
        <f>'3 escalar'!R661</f>
        <v/>
      </c>
      <c r="T658" s="7">
        <f>'3 escalar'!S661</f>
        <v/>
      </c>
      <c r="U658" s="7">
        <f>'3 escalar'!T661</f>
        <v/>
      </c>
      <c r="V658" s="6">
        <f>$AC$12+D658*$AC$13+E658*$AC$14+F658*$AC$15+G658*$AC$16+H658*$AC$17+I658*$AC$18+J658*$AC$19+K658*$AC$20+L658*$AC$21+M658*$AC$22+N658*$AC$23+O658*$AC$24+P658*$AC$25+Q658*$AC$26+R658*$AC$27+S658*$AC$28+T658*$AC$29+U658*$AC$30</f>
        <v/>
      </c>
      <c r="W658" s="6">
        <f>1/(1+EXP(-V658))</f>
        <v/>
      </c>
      <c r="X658" s="8">
        <f>-IF(C658=1,LN(W658),LN(1-W658))</f>
        <v/>
      </c>
      <c r="Y658" s="9">
        <f>IF(W658&gt;$AC$32,1,0)</f>
        <v/>
      </c>
      <c r="Z658">
        <f>IF(Y658=C658,1,0)</f>
        <v/>
      </c>
    </row>
    <row r="659">
      <c r="A659">
        <f>'3 escalar'!A662</f>
        <v/>
      </c>
      <c r="B659" s="5">
        <f>'3 escalar'!U662</f>
        <v/>
      </c>
      <c r="C659">
        <f>'3 escalar'!B662</f>
        <v/>
      </c>
      <c r="D659" s="7">
        <f>'3 escalar'!C662</f>
        <v/>
      </c>
      <c r="E659" s="7">
        <f>'3 escalar'!D662</f>
        <v/>
      </c>
      <c r="F659" s="7">
        <f>'3 escalar'!E662</f>
        <v/>
      </c>
      <c r="G659" s="7">
        <f>'3 escalar'!F662</f>
        <v/>
      </c>
      <c r="H659" s="7">
        <f>'3 escalar'!G662</f>
        <v/>
      </c>
      <c r="I659" s="7">
        <f>'3 escalar'!H662</f>
        <v/>
      </c>
      <c r="J659" s="7">
        <f>'3 escalar'!I662</f>
        <v/>
      </c>
      <c r="K659" s="7">
        <f>'3 escalar'!J662</f>
        <v/>
      </c>
      <c r="L659" s="7">
        <f>'3 escalar'!K662</f>
        <v/>
      </c>
      <c r="M659" s="7">
        <f>'3 escalar'!L662</f>
        <v/>
      </c>
      <c r="N659" s="7">
        <f>'3 escalar'!M662</f>
        <v/>
      </c>
      <c r="O659" s="7">
        <f>'3 escalar'!N662</f>
        <v/>
      </c>
      <c r="P659" s="7">
        <f>'3 escalar'!O662</f>
        <v/>
      </c>
      <c r="Q659" s="7">
        <f>'3 escalar'!P662</f>
        <v/>
      </c>
      <c r="R659" s="7">
        <f>'3 escalar'!Q662</f>
        <v/>
      </c>
      <c r="S659" s="7">
        <f>'3 escalar'!R662</f>
        <v/>
      </c>
      <c r="T659" s="7">
        <f>'3 escalar'!S662</f>
        <v/>
      </c>
      <c r="U659" s="7">
        <f>'3 escalar'!T662</f>
        <v/>
      </c>
      <c r="V659" s="6">
        <f>$AC$12+D659*$AC$13+E659*$AC$14+F659*$AC$15+G659*$AC$16+H659*$AC$17+I659*$AC$18+J659*$AC$19+K659*$AC$20+L659*$AC$21+M659*$AC$22+N659*$AC$23+O659*$AC$24+P659*$AC$25+Q659*$AC$26+R659*$AC$27+S659*$AC$28+T659*$AC$29+U659*$AC$30</f>
        <v/>
      </c>
      <c r="W659" s="6">
        <f>1/(1+EXP(-V659))</f>
        <v/>
      </c>
      <c r="X659" s="8">
        <f>-IF(C659=1,LN(W659),LN(1-W659))</f>
        <v/>
      </c>
      <c r="Y659" s="9">
        <f>IF(W659&gt;$AC$32,1,0)</f>
        <v/>
      </c>
      <c r="Z659">
        <f>IF(Y659=C659,1,0)</f>
        <v/>
      </c>
    </row>
    <row r="660">
      <c r="A660">
        <f>'3 escalar'!A663</f>
        <v/>
      </c>
      <c r="B660" s="5">
        <f>'3 escalar'!U663</f>
        <v/>
      </c>
      <c r="C660">
        <f>'3 escalar'!B663</f>
        <v/>
      </c>
      <c r="D660" s="7">
        <f>'3 escalar'!C663</f>
        <v/>
      </c>
      <c r="E660" s="7">
        <f>'3 escalar'!D663</f>
        <v/>
      </c>
      <c r="F660" s="7">
        <f>'3 escalar'!E663</f>
        <v/>
      </c>
      <c r="G660" s="7">
        <f>'3 escalar'!F663</f>
        <v/>
      </c>
      <c r="H660" s="7">
        <f>'3 escalar'!G663</f>
        <v/>
      </c>
      <c r="I660" s="7">
        <f>'3 escalar'!H663</f>
        <v/>
      </c>
      <c r="J660" s="7">
        <f>'3 escalar'!I663</f>
        <v/>
      </c>
      <c r="K660" s="7">
        <f>'3 escalar'!J663</f>
        <v/>
      </c>
      <c r="L660" s="7">
        <f>'3 escalar'!K663</f>
        <v/>
      </c>
      <c r="M660" s="7">
        <f>'3 escalar'!L663</f>
        <v/>
      </c>
      <c r="N660" s="7">
        <f>'3 escalar'!M663</f>
        <v/>
      </c>
      <c r="O660" s="7">
        <f>'3 escalar'!N663</f>
        <v/>
      </c>
      <c r="P660" s="7">
        <f>'3 escalar'!O663</f>
        <v/>
      </c>
      <c r="Q660" s="7">
        <f>'3 escalar'!P663</f>
        <v/>
      </c>
      <c r="R660" s="7">
        <f>'3 escalar'!Q663</f>
        <v/>
      </c>
      <c r="S660" s="7">
        <f>'3 escalar'!R663</f>
        <v/>
      </c>
      <c r="T660" s="7">
        <f>'3 escalar'!S663</f>
        <v/>
      </c>
      <c r="U660" s="7">
        <f>'3 escalar'!T663</f>
        <v/>
      </c>
      <c r="V660" s="6">
        <f>$AC$12+D660*$AC$13+E660*$AC$14+F660*$AC$15+G660*$AC$16+H660*$AC$17+I660*$AC$18+J660*$AC$19+K660*$AC$20+L660*$AC$21+M660*$AC$22+N660*$AC$23+O660*$AC$24+P660*$AC$25+Q660*$AC$26+R660*$AC$27+S660*$AC$28+T660*$AC$29+U660*$AC$30</f>
        <v/>
      </c>
      <c r="W660" s="6">
        <f>1/(1+EXP(-V660))</f>
        <v/>
      </c>
      <c r="X660" s="8">
        <f>-IF(C660=1,LN(W660),LN(1-W660))</f>
        <v/>
      </c>
      <c r="Y660" s="9">
        <f>IF(W660&gt;$AC$32,1,0)</f>
        <v/>
      </c>
      <c r="Z660">
        <f>IF(Y660=C660,1,0)</f>
        <v/>
      </c>
    </row>
    <row r="661">
      <c r="A661">
        <f>'3 escalar'!A664</f>
        <v/>
      </c>
      <c r="B661" s="5">
        <f>'3 escalar'!U664</f>
        <v/>
      </c>
      <c r="C661">
        <f>'3 escalar'!B664</f>
        <v/>
      </c>
      <c r="D661" s="7">
        <f>'3 escalar'!C664</f>
        <v/>
      </c>
      <c r="E661" s="7">
        <f>'3 escalar'!D664</f>
        <v/>
      </c>
      <c r="F661" s="7">
        <f>'3 escalar'!E664</f>
        <v/>
      </c>
      <c r="G661" s="7">
        <f>'3 escalar'!F664</f>
        <v/>
      </c>
      <c r="H661" s="7">
        <f>'3 escalar'!G664</f>
        <v/>
      </c>
      <c r="I661" s="7">
        <f>'3 escalar'!H664</f>
        <v/>
      </c>
      <c r="J661" s="7">
        <f>'3 escalar'!I664</f>
        <v/>
      </c>
      <c r="K661" s="7">
        <f>'3 escalar'!J664</f>
        <v/>
      </c>
      <c r="L661" s="7">
        <f>'3 escalar'!K664</f>
        <v/>
      </c>
      <c r="M661" s="7">
        <f>'3 escalar'!L664</f>
        <v/>
      </c>
      <c r="N661" s="7">
        <f>'3 escalar'!M664</f>
        <v/>
      </c>
      <c r="O661" s="7">
        <f>'3 escalar'!N664</f>
        <v/>
      </c>
      <c r="P661" s="7">
        <f>'3 escalar'!O664</f>
        <v/>
      </c>
      <c r="Q661" s="7">
        <f>'3 escalar'!P664</f>
        <v/>
      </c>
      <c r="R661" s="7">
        <f>'3 escalar'!Q664</f>
        <v/>
      </c>
      <c r="S661" s="7">
        <f>'3 escalar'!R664</f>
        <v/>
      </c>
      <c r="T661" s="7">
        <f>'3 escalar'!S664</f>
        <v/>
      </c>
      <c r="U661" s="7">
        <f>'3 escalar'!T664</f>
        <v/>
      </c>
      <c r="V661" s="6">
        <f>$AC$12+D661*$AC$13+E661*$AC$14+F661*$AC$15+G661*$AC$16+H661*$AC$17+I661*$AC$18+J661*$AC$19+K661*$AC$20+L661*$AC$21+M661*$AC$22+N661*$AC$23+O661*$AC$24+P661*$AC$25+Q661*$AC$26+R661*$AC$27+S661*$AC$28+T661*$AC$29+U661*$AC$30</f>
        <v/>
      </c>
      <c r="W661" s="6">
        <f>1/(1+EXP(-V661))</f>
        <v/>
      </c>
      <c r="X661" s="8">
        <f>-IF(C661=1,LN(W661),LN(1-W661))</f>
        <v/>
      </c>
      <c r="Y661" s="9">
        <f>IF(W661&gt;$AC$32,1,0)</f>
        <v/>
      </c>
      <c r="Z661">
        <f>IF(Y661=C661,1,0)</f>
        <v/>
      </c>
    </row>
    <row r="662">
      <c r="A662">
        <f>'3 escalar'!A665</f>
        <v/>
      </c>
      <c r="B662" s="5">
        <f>'3 escalar'!U665</f>
        <v/>
      </c>
      <c r="C662">
        <f>'3 escalar'!B665</f>
        <v/>
      </c>
      <c r="D662" s="7">
        <f>'3 escalar'!C665</f>
        <v/>
      </c>
      <c r="E662" s="7">
        <f>'3 escalar'!D665</f>
        <v/>
      </c>
      <c r="F662" s="7">
        <f>'3 escalar'!E665</f>
        <v/>
      </c>
      <c r="G662" s="7">
        <f>'3 escalar'!F665</f>
        <v/>
      </c>
      <c r="H662" s="7">
        <f>'3 escalar'!G665</f>
        <v/>
      </c>
      <c r="I662" s="7">
        <f>'3 escalar'!H665</f>
        <v/>
      </c>
      <c r="J662" s="7">
        <f>'3 escalar'!I665</f>
        <v/>
      </c>
      <c r="K662" s="7">
        <f>'3 escalar'!J665</f>
        <v/>
      </c>
      <c r="L662" s="7">
        <f>'3 escalar'!K665</f>
        <v/>
      </c>
      <c r="M662" s="7">
        <f>'3 escalar'!L665</f>
        <v/>
      </c>
      <c r="N662" s="7">
        <f>'3 escalar'!M665</f>
        <v/>
      </c>
      <c r="O662" s="7">
        <f>'3 escalar'!N665</f>
        <v/>
      </c>
      <c r="P662" s="7">
        <f>'3 escalar'!O665</f>
        <v/>
      </c>
      <c r="Q662" s="7">
        <f>'3 escalar'!P665</f>
        <v/>
      </c>
      <c r="R662" s="7">
        <f>'3 escalar'!Q665</f>
        <v/>
      </c>
      <c r="S662" s="7">
        <f>'3 escalar'!R665</f>
        <v/>
      </c>
      <c r="T662" s="7">
        <f>'3 escalar'!S665</f>
        <v/>
      </c>
      <c r="U662" s="7">
        <f>'3 escalar'!T665</f>
        <v/>
      </c>
      <c r="V662" s="6">
        <f>$AC$12+D662*$AC$13+E662*$AC$14+F662*$AC$15+G662*$AC$16+H662*$AC$17+I662*$AC$18+J662*$AC$19+K662*$AC$20+L662*$AC$21+M662*$AC$22+N662*$AC$23+O662*$AC$24+P662*$AC$25+Q662*$AC$26+R662*$AC$27+S662*$AC$28+T662*$AC$29+U662*$AC$30</f>
        <v/>
      </c>
      <c r="W662" s="6">
        <f>1/(1+EXP(-V662))</f>
        <v/>
      </c>
      <c r="X662" s="8">
        <f>-IF(C662=1,LN(W662),LN(1-W662))</f>
        <v/>
      </c>
      <c r="Y662" s="9">
        <f>IF(W662&gt;$AC$32,1,0)</f>
        <v/>
      </c>
      <c r="Z662">
        <f>IF(Y662=C662,1,0)</f>
        <v/>
      </c>
    </row>
    <row r="663">
      <c r="A663">
        <f>'3 escalar'!A666</f>
        <v/>
      </c>
      <c r="B663" s="5">
        <f>'3 escalar'!U666</f>
        <v/>
      </c>
      <c r="C663">
        <f>'3 escalar'!B666</f>
        <v/>
      </c>
      <c r="D663" s="7">
        <f>'3 escalar'!C666</f>
        <v/>
      </c>
      <c r="E663" s="7">
        <f>'3 escalar'!D666</f>
        <v/>
      </c>
      <c r="F663" s="7">
        <f>'3 escalar'!E666</f>
        <v/>
      </c>
      <c r="G663" s="7">
        <f>'3 escalar'!F666</f>
        <v/>
      </c>
      <c r="H663" s="7">
        <f>'3 escalar'!G666</f>
        <v/>
      </c>
      <c r="I663" s="7">
        <f>'3 escalar'!H666</f>
        <v/>
      </c>
      <c r="J663" s="7">
        <f>'3 escalar'!I666</f>
        <v/>
      </c>
      <c r="K663" s="7">
        <f>'3 escalar'!J666</f>
        <v/>
      </c>
      <c r="L663" s="7">
        <f>'3 escalar'!K666</f>
        <v/>
      </c>
      <c r="M663" s="7">
        <f>'3 escalar'!L666</f>
        <v/>
      </c>
      <c r="N663" s="7">
        <f>'3 escalar'!M666</f>
        <v/>
      </c>
      <c r="O663" s="7">
        <f>'3 escalar'!N666</f>
        <v/>
      </c>
      <c r="P663" s="7">
        <f>'3 escalar'!O666</f>
        <v/>
      </c>
      <c r="Q663" s="7">
        <f>'3 escalar'!P666</f>
        <v/>
      </c>
      <c r="R663" s="7">
        <f>'3 escalar'!Q666</f>
        <v/>
      </c>
      <c r="S663" s="7">
        <f>'3 escalar'!R666</f>
        <v/>
      </c>
      <c r="T663" s="7">
        <f>'3 escalar'!S666</f>
        <v/>
      </c>
      <c r="U663" s="7">
        <f>'3 escalar'!T666</f>
        <v/>
      </c>
      <c r="V663" s="6">
        <f>$AC$12+D663*$AC$13+E663*$AC$14+F663*$AC$15+G663*$AC$16+H663*$AC$17+I663*$AC$18+J663*$AC$19+K663*$AC$20+L663*$AC$21+M663*$AC$22+N663*$AC$23+O663*$AC$24+P663*$AC$25+Q663*$AC$26+R663*$AC$27+S663*$AC$28+T663*$AC$29+U663*$AC$30</f>
        <v/>
      </c>
      <c r="W663" s="6">
        <f>1/(1+EXP(-V663))</f>
        <v/>
      </c>
      <c r="X663" s="8">
        <f>-IF(C663=1,LN(W663),LN(1-W663))</f>
        <v/>
      </c>
      <c r="Y663" s="9">
        <f>IF(W663&gt;$AC$32,1,0)</f>
        <v/>
      </c>
      <c r="Z663">
        <f>IF(Y663=C663,1,0)</f>
        <v/>
      </c>
    </row>
    <row r="664">
      <c r="A664">
        <f>'3 escalar'!A667</f>
        <v/>
      </c>
      <c r="B664" s="5">
        <f>'3 escalar'!U667</f>
        <v/>
      </c>
      <c r="C664">
        <f>'3 escalar'!B667</f>
        <v/>
      </c>
      <c r="D664" s="7">
        <f>'3 escalar'!C667</f>
        <v/>
      </c>
      <c r="E664" s="7">
        <f>'3 escalar'!D667</f>
        <v/>
      </c>
      <c r="F664" s="7">
        <f>'3 escalar'!E667</f>
        <v/>
      </c>
      <c r="G664" s="7">
        <f>'3 escalar'!F667</f>
        <v/>
      </c>
      <c r="H664" s="7">
        <f>'3 escalar'!G667</f>
        <v/>
      </c>
      <c r="I664" s="7">
        <f>'3 escalar'!H667</f>
        <v/>
      </c>
      <c r="J664" s="7">
        <f>'3 escalar'!I667</f>
        <v/>
      </c>
      <c r="K664" s="7">
        <f>'3 escalar'!J667</f>
        <v/>
      </c>
      <c r="L664" s="7">
        <f>'3 escalar'!K667</f>
        <v/>
      </c>
      <c r="M664" s="7">
        <f>'3 escalar'!L667</f>
        <v/>
      </c>
      <c r="N664" s="7">
        <f>'3 escalar'!M667</f>
        <v/>
      </c>
      <c r="O664" s="7">
        <f>'3 escalar'!N667</f>
        <v/>
      </c>
      <c r="P664" s="7">
        <f>'3 escalar'!O667</f>
        <v/>
      </c>
      <c r="Q664" s="7">
        <f>'3 escalar'!P667</f>
        <v/>
      </c>
      <c r="R664" s="7">
        <f>'3 escalar'!Q667</f>
        <v/>
      </c>
      <c r="S664" s="7">
        <f>'3 escalar'!R667</f>
        <v/>
      </c>
      <c r="T664" s="7">
        <f>'3 escalar'!S667</f>
        <v/>
      </c>
      <c r="U664" s="7">
        <f>'3 escalar'!T667</f>
        <v/>
      </c>
      <c r="V664" s="6">
        <f>$AC$12+D664*$AC$13+E664*$AC$14+F664*$AC$15+G664*$AC$16+H664*$AC$17+I664*$AC$18+J664*$AC$19+K664*$AC$20+L664*$AC$21+M664*$AC$22+N664*$AC$23+O664*$AC$24+P664*$AC$25+Q664*$AC$26+R664*$AC$27+S664*$AC$28+T664*$AC$29+U664*$AC$30</f>
        <v/>
      </c>
      <c r="W664" s="6">
        <f>1/(1+EXP(-V664))</f>
        <v/>
      </c>
      <c r="X664" s="8">
        <f>-IF(C664=1,LN(W664),LN(1-W664))</f>
        <v/>
      </c>
      <c r="Y664" s="9">
        <f>IF(W664&gt;$AC$32,1,0)</f>
        <v/>
      </c>
      <c r="Z664">
        <f>IF(Y664=C664,1,0)</f>
        <v/>
      </c>
    </row>
    <row r="665">
      <c r="A665">
        <f>'3 escalar'!A668</f>
        <v/>
      </c>
      <c r="B665" s="5">
        <f>'3 escalar'!U668</f>
        <v/>
      </c>
      <c r="C665">
        <f>'3 escalar'!B668</f>
        <v/>
      </c>
      <c r="D665" s="7">
        <f>'3 escalar'!C668</f>
        <v/>
      </c>
      <c r="E665" s="7">
        <f>'3 escalar'!D668</f>
        <v/>
      </c>
      <c r="F665" s="7">
        <f>'3 escalar'!E668</f>
        <v/>
      </c>
      <c r="G665" s="7">
        <f>'3 escalar'!F668</f>
        <v/>
      </c>
      <c r="H665" s="7">
        <f>'3 escalar'!G668</f>
        <v/>
      </c>
      <c r="I665" s="7">
        <f>'3 escalar'!H668</f>
        <v/>
      </c>
      <c r="J665" s="7">
        <f>'3 escalar'!I668</f>
        <v/>
      </c>
      <c r="K665" s="7">
        <f>'3 escalar'!J668</f>
        <v/>
      </c>
      <c r="L665" s="7">
        <f>'3 escalar'!K668</f>
        <v/>
      </c>
      <c r="M665" s="7">
        <f>'3 escalar'!L668</f>
        <v/>
      </c>
      <c r="N665" s="7">
        <f>'3 escalar'!M668</f>
        <v/>
      </c>
      <c r="O665" s="7">
        <f>'3 escalar'!N668</f>
        <v/>
      </c>
      <c r="P665" s="7">
        <f>'3 escalar'!O668</f>
        <v/>
      </c>
      <c r="Q665" s="7">
        <f>'3 escalar'!P668</f>
        <v/>
      </c>
      <c r="R665" s="7">
        <f>'3 escalar'!Q668</f>
        <v/>
      </c>
      <c r="S665" s="7">
        <f>'3 escalar'!R668</f>
        <v/>
      </c>
      <c r="T665" s="7">
        <f>'3 escalar'!S668</f>
        <v/>
      </c>
      <c r="U665" s="7">
        <f>'3 escalar'!T668</f>
        <v/>
      </c>
      <c r="V665" s="6">
        <f>$AC$12+D665*$AC$13+E665*$AC$14+F665*$AC$15+G665*$AC$16+H665*$AC$17+I665*$AC$18+J665*$AC$19+K665*$AC$20+L665*$AC$21+M665*$AC$22+N665*$AC$23+O665*$AC$24+P665*$AC$25+Q665*$AC$26+R665*$AC$27+S665*$AC$28+T665*$AC$29+U665*$AC$30</f>
        <v/>
      </c>
      <c r="W665" s="6">
        <f>1/(1+EXP(-V665))</f>
        <v/>
      </c>
      <c r="X665" s="8">
        <f>-IF(C665=1,LN(W665),LN(1-W665))</f>
        <v/>
      </c>
      <c r="Y665" s="9">
        <f>IF(W665&gt;$AC$32,1,0)</f>
        <v/>
      </c>
      <c r="Z665">
        <f>IF(Y665=C665,1,0)</f>
        <v/>
      </c>
    </row>
    <row r="666">
      <c r="A666">
        <f>'3 escalar'!A669</f>
        <v/>
      </c>
      <c r="B666" s="5">
        <f>'3 escalar'!U669</f>
        <v/>
      </c>
      <c r="C666">
        <f>'3 escalar'!B669</f>
        <v/>
      </c>
      <c r="D666" s="7">
        <f>'3 escalar'!C669</f>
        <v/>
      </c>
      <c r="E666" s="7">
        <f>'3 escalar'!D669</f>
        <v/>
      </c>
      <c r="F666" s="7">
        <f>'3 escalar'!E669</f>
        <v/>
      </c>
      <c r="G666" s="7">
        <f>'3 escalar'!F669</f>
        <v/>
      </c>
      <c r="H666" s="7">
        <f>'3 escalar'!G669</f>
        <v/>
      </c>
      <c r="I666" s="7">
        <f>'3 escalar'!H669</f>
        <v/>
      </c>
      <c r="J666" s="7">
        <f>'3 escalar'!I669</f>
        <v/>
      </c>
      <c r="K666" s="7">
        <f>'3 escalar'!J669</f>
        <v/>
      </c>
      <c r="L666" s="7">
        <f>'3 escalar'!K669</f>
        <v/>
      </c>
      <c r="M666" s="7">
        <f>'3 escalar'!L669</f>
        <v/>
      </c>
      <c r="N666" s="7">
        <f>'3 escalar'!M669</f>
        <v/>
      </c>
      <c r="O666" s="7">
        <f>'3 escalar'!N669</f>
        <v/>
      </c>
      <c r="P666" s="7">
        <f>'3 escalar'!O669</f>
        <v/>
      </c>
      <c r="Q666" s="7">
        <f>'3 escalar'!P669</f>
        <v/>
      </c>
      <c r="R666" s="7">
        <f>'3 escalar'!Q669</f>
        <v/>
      </c>
      <c r="S666" s="7">
        <f>'3 escalar'!R669</f>
        <v/>
      </c>
      <c r="T666" s="7">
        <f>'3 escalar'!S669</f>
        <v/>
      </c>
      <c r="U666" s="7">
        <f>'3 escalar'!T669</f>
        <v/>
      </c>
      <c r="V666" s="6">
        <f>$AC$12+D666*$AC$13+E666*$AC$14+F666*$AC$15+G666*$AC$16+H666*$AC$17+I666*$AC$18+J666*$AC$19+K666*$AC$20+L666*$AC$21+M666*$AC$22+N666*$AC$23+O666*$AC$24+P666*$AC$25+Q666*$AC$26+R666*$AC$27+S666*$AC$28+T666*$AC$29+U666*$AC$30</f>
        <v/>
      </c>
      <c r="W666" s="6">
        <f>1/(1+EXP(-V666))</f>
        <v/>
      </c>
      <c r="X666" s="8">
        <f>-IF(C666=1,LN(W666),LN(1-W666))</f>
        <v/>
      </c>
      <c r="Y666" s="9">
        <f>IF(W666&gt;$AC$32,1,0)</f>
        <v/>
      </c>
      <c r="Z666">
        <f>IF(Y666=C666,1,0)</f>
        <v/>
      </c>
    </row>
    <row r="667">
      <c r="A667">
        <f>'3 escalar'!A670</f>
        <v/>
      </c>
      <c r="B667" s="5">
        <f>'3 escalar'!U670</f>
        <v/>
      </c>
      <c r="C667">
        <f>'3 escalar'!B670</f>
        <v/>
      </c>
      <c r="D667" s="7">
        <f>'3 escalar'!C670</f>
        <v/>
      </c>
      <c r="E667" s="7">
        <f>'3 escalar'!D670</f>
        <v/>
      </c>
      <c r="F667" s="7">
        <f>'3 escalar'!E670</f>
        <v/>
      </c>
      <c r="G667" s="7">
        <f>'3 escalar'!F670</f>
        <v/>
      </c>
      <c r="H667" s="7">
        <f>'3 escalar'!G670</f>
        <v/>
      </c>
      <c r="I667" s="7">
        <f>'3 escalar'!H670</f>
        <v/>
      </c>
      <c r="J667" s="7">
        <f>'3 escalar'!I670</f>
        <v/>
      </c>
      <c r="K667" s="7">
        <f>'3 escalar'!J670</f>
        <v/>
      </c>
      <c r="L667" s="7">
        <f>'3 escalar'!K670</f>
        <v/>
      </c>
      <c r="M667" s="7">
        <f>'3 escalar'!L670</f>
        <v/>
      </c>
      <c r="N667" s="7">
        <f>'3 escalar'!M670</f>
        <v/>
      </c>
      <c r="O667" s="7">
        <f>'3 escalar'!N670</f>
        <v/>
      </c>
      <c r="P667" s="7">
        <f>'3 escalar'!O670</f>
        <v/>
      </c>
      <c r="Q667" s="7">
        <f>'3 escalar'!P670</f>
        <v/>
      </c>
      <c r="R667" s="7">
        <f>'3 escalar'!Q670</f>
        <v/>
      </c>
      <c r="S667" s="7">
        <f>'3 escalar'!R670</f>
        <v/>
      </c>
      <c r="T667" s="7">
        <f>'3 escalar'!S670</f>
        <v/>
      </c>
      <c r="U667" s="7">
        <f>'3 escalar'!T670</f>
        <v/>
      </c>
      <c r="V667" s="6">
        <f>$AC$12+D667*$AC$13+E667*$AC$14+F667*$AC$15+G667*$AC$16+H667*$AC$17+I667*$AC$18+J667*$AC$19+K667*$AC$20+L667*$AC$21+M667*$AC$22+N667*$AC$23+O667*$AC$24+P667*$AC$25+Q667*$AC$26+R667*$AC$27+S667*$AC$28+T667*$AC$29+U667*$AC$30</f>
        <v/>
      </c>
      <c r="W667" s="6">
        <f>1/(1+EXP(-V667))</f>
        <v/>
      </c>
      <c r="X667" s="8">
        <f>-IF(C667=1,LN(W667),LN(1-W667))</f>
        <v/>
      </c>
      <c r="Y667" s="9">
        <f>IF(W667&gt;$AC$32,1,0)</f>
        <v/>
      </c>
      <c r="Z667">
        <f>IF(Y667=C667,1,0)</f>
        <v/>
      </c>
    </row>
    <row r="668">
      <c r="A668">
        <f>'3 escalar'!A671</f>
        <v/>
      </c>
      <c r="B668" s="5">
        <f>'3 escalar'!U671</f>
        <v/>
      </c>
      <c r="C668">
        <f>'3 escalar'!B671</f>
        <v/>
      </c>
      <c r="D668" s="7">
        <f>'3 escalar'!C671</f>
        <v/>
      </c>
      <c r="E668" s="7">
        <f>'3 escalar'!D671</f>
        <v/>
      </c>
      <c r="F668" s="7">
        <f>'3 escalar'!E671</f>
        <v/>
      </c>
      <c r="G668" s="7">
        <f>'3 escalar'!F671</f>
        <v/>
      </c>
      <c r="H668" s="7">
        <f>'3 escalar'!G671</f>
        <v/>
      </c>
      <c r="I668" s="7">
        <f>'3 escalar'!H671</f>
        <v/>
      </c>
      <c r="J668" s="7">
        <f>'3 escalar'!I671</f>
        <v/>
      </c>
      <c r="K668" s="7">
        <f>'3 escalar'!J671</f>
        <v/>
      </c>
      <c r="L668" s="7">
        <f>'3 escalar'!K671</f>
        <v/>
      </c>
      <c r="M668" s="7">
        <f>'3 escalar'!L671</f>
        <v/>
      </c>
      <c r="N668" s="7">
        <f>'3 escalar'!M671</f>
        <v/>
      </c>
      <c r="O668" s="7">
        <f>'3 escalar'!N671</f>
        <v/>
      </c>
      <c r="P668" s="7">
        <f>'3 escalar'!O671</f>
        <v/>
      </c>
      <c r="Q668" s="7">
        <f>'3 escalar'!P671</f>
        <v/>
      </c>
      <c r="R668" s="7">
        <f>'3 escalar'!Q671</f>
        <v/>
      </c>
      <c r="S668" s="7">
        <f>'3 escalar'!R671</f>
        <v/>
      </c>
      <c r="T668" s="7">
        <f>'3 escalar'!S671</f>
        <v/>
      </c>
      <c r="U668" s="7">
        <f>'3 escalar'!T671</f>
        <v/>
      </c>
      <c r="V668" s="6">
        <f>$AC$12+D668*$AC$13+E668*$AC$14+F668*$AC$15+G668*$AC$16+H668*$AC$17+I668*$AC$18+J668*$AC$19+K668*$AC$20+L668*$AC$21+M668*$AC$22+N668*$AC$23+O668*$AC$24+P668*$AC$25+Q668*$AC$26+R668*$AC$27+S668*$AC$28+T668*$AC$29+U668*$AC$30</f>
        <v/>
      </c>
      <c r="W668" s="6">
        <f>1/(1+EXP(-V668))</f>
        <v/>
      </c>
      <c r="X668" s="8">
        <f>-IF(C668=1,LN(W668),LN(1-W668))</f>
        <v/>
      </c>
      <c r="Y668" s="9">
        <f>IF(W668&gt;$AC$32,1,0)</f>
        <v/>
      </c>
      <c r="Z668">
        <f>IF(Y668=C668,1,0)</f>
        <v/>
      </c>
    </row>
    <row r="669">
      <c r="A669">
        <f>'3 escalar'!A672</f>
        <v/>
      </c>
      <c r="B669" s="5">
        <f>'3 escalar'!U672</f>
        <v/>
      </c>
      <c r="C669">
        <f>'3 escalar'!B672</f>
        <v/>
      </c>
      <c r="D669" s="7">
        <f>'3 escalar'!C672</f>
        <v/>
      </c>
      <c r="E669" s="7">
        <f>'3 escalar'!D672</f>
        <v/>
      </c>
      <c r="F669" s="7">
        <f>'3 escalar'!E672</f>
        <v/>
      </c>
      <c r="G669" s="7">
        <f>'3 escalar'!F672</f>
        <v/>
      </c>
      <c r="H669" s="7">
        <f>'3 escalar'!G672</f>
        <v/>
      </c>
      <c r="I669" s="7">
        <f>'3 escalar'!H672</f>
        <v/>
      </c>
      <c r="J669" s="7">
        <f>'3 escalar'!I672</f>
        <v/>
      </c>
      <c r="K669" s="7">
        <f>'3 escalar'!J672</f>
        <v/>
      </c>
      <c r="L669" s="7">
        <f>'3 escalar'!K672</f>
        <v/>
      </c>
      <c r="M669" s="7">
        <f>'3 escalar'!L672</f>
        <v/>
      </c>
      <c r="N669" s="7">
        <f>'3 escalar'!M672</f>
        <v/>
      </c>
      <c r="O669" s="7">
        <f>'3 escalar'!N672</f>
        <v/>
      </c>
      <c r="P669" s="7">
        <f>'3 escalar'!O672</f>
        <v/>
      </c>
      <c r="Q669" s="7">
        <f>'3 escalar'!P672</f>
        <v/>
      </c>
      <c r="R669" s="7">
        <f>'3 escalar'!Q672</f>
        <v/>
      </c>
      <c r="S669" s="7">
        <f>'3 escalar'!R672</f>
        <v/>
      </c>
      <c r="T669" s="7">
        <f>'3 escalar'!S672</f>
        <v/>
      </c>
      <c r="U669" s="7">
        <f>'3 escalar'!T672</f>
        <v/>
      </c>
      <c r="V669" s="6">
        <f>$AC$12+D669*$AC$13+E669*$AC$14+F669*$AC$15+G669*$AC$16+H669*$AC$17+I669*$AC$18+J669*$AC$19+K669*$AC$20+L669*$AC$21+M669*$AC$22+N669*$AC$23+O669*$AC$24+P669*$AC$25+Q669*$AC$26+R669*$AC$27+S669*$AC$28+T669*$AC$29+U669*$AC$30</f>
        <v/>
      </c>
      <c r="W669" s="6">
        <f>1/(1+EXP(-V669))</f>
        <v/>
      </c>
      <c r="X669" s="8">
        <f>-IF(C669=1,LN(W669),LN(1-W669))</f>
        <v/>
      </c>
      <c r="Y669" s="9">
        <f>IF(W669&gt;$AC$32,1,0)</f>
        <v/>
      </c>
      <c r="Z669">
        <f>IF(Y669=C669,1,0)</f>
        <v/>
      </c>
    </row>
    <row r="670">
      <c r="A670">
        <f>'3 escalar'!A673</f>
        <v/>
      </c>
      <c r="B670" s="5">
        <f>'3 escalar'!U673</f>
        <v/>
      </c>
      <c r="C670">
        <f>'3 escalar'!B673</f>
        <v/>
      </c>
      <c r="D670" s="7">
        <f>'3 escalar'!C673</f>
        <v/>
      </c>
      <c r="E670" s="7">
        <f>'3 escalar'!D673</f>
        <v/>
      </c>
      <c r="F670" s="7">
        <f>'3 escalar'!E673</f>
        <v/>
      </c>
      <c r="G670" s="7">
        <f>'3 escalar'!F673</f>
        <v/>
      </c>
      <c r="H670" s="7">
        <f>'3 escalar'!G673</f>
        <v/>
      </c>
      <c r="I670" s="7">
        <f>'3 escalar'!H673</f>
        <v/>
      </c>
      <c r="J670" s="7">
        <f>'3 escalar'!I673</f>
        <v/>
      </c>
      <c r="K670" s="7">
        <f>'3 escalar'!J673</f>
        <v/>
      </c>
      <c r="L670" s="7">
        <f>'3 escalar'!K673</f>
        <v/>
      </c>
      <c r="M670" s="7">
        <f>'3 escalar'!L673</f>
        <v/>
      </c>
      <c r="N670" s="7">
        <f>'3 escalar'!M673</f>
        <v/>
      </c>
      <c r="O670" s="7">
        <f>'3 escalar'!N673</f>
        <v/>
      </c>
      <c r="P670" s="7">
        <f>'3 escalar'!O673</f>
        <v/>
      </c>
      <c r="Q670" s="7">
        <f>'3 escalar'!P673</f>
        <v/>
      </c>
      <c r="R670" s="7">
        <f>'3 escalar'!Q673</f>
        <v/>
      </c>
      <c r="S670" s="7">
        <f>'3 escalar'!R673</f>
        <v/>
      </c>
      <c r="T670" s="7">
        <f>'3 escalar'!S673</f>
        <v/>
      </c>
      <c r="U670" s="7">
        <f>'3 escalar'!T673</f>
        <v/>
      </c>
      <c r="V670" s="6">
        <f>$AC$12+D670*$AC$13+E670*$AC$14+F670*$AC$15+G670*$AC$16+H670*$AC$17+I670*$AC$18+J670*$AC$19+K670*$AC$20+L670*$AC$21+M670*$AC$22+N670*$AC$23+O670*$AC$24+P670*$AC$25+Q670*$AC$26+R670*$AC$27+S670*$AC$28+T670*$AC$29+U670*$AC$30</f>
        <v/>
      </c>
      <c r="W670" s="6">
        <f>1/(1+EXP(-V670))</f>
        <v/>
      </c>
      <c r="X670" s="8">
        <f>-IF(C670=1,LN(W670),LN(1-W670))</f>
        <v/>
      </c>
      <c r="Y670" s="9">
        <f>IF(W670&gt;$AC$32,1,0)</f>
        <v/>
      </c>
      <c r="Z670">
        <f>IF(Y670=C670,1,0)</f>
        <v/>
      </c>
    </row>
    <row r="671">
      <c r="A671">
        <f>'3 escalar'!A674</f>
        <v/>
      </c>
      <c r="B671" s="5">
        <f>'3 escalar'!U674</f>
        <v/>
      </c>
      <c r="C671">
        <f>'3 escalar'!B674</f>
        <v/>
      </c>
      <c r="D671" s="7">
        <f>'3 escalar'!C674</f>
        <v/>
      </c>
      <c r="E671" s="7">
        <f>'3 escalar'!D674</f>
        <v/>
      </c>
      <c r="F671" s="7">
        <f>'3 escalar'!E674</f>
        <v/>
      </c>
      <c r="G671" s="7">
        <f>'3 escalar'!F674</f>
        <v/>
      </c>
      <c r="H671" s="7">
        <f>'3 escalar'!G674</f>
        <v/>
      </c>
      <c r="I671" s="7">
        <f>'3 escalar'!H674</f>
        <v/>
      </c>
      <c r="J671" s="7">
        <f>'3 escalar'!I674</f>
        <v/>
      </c>
      <c r="K671" s="7">
        <f>'3 escalar'!J674</f>
        <v/>
      </c>
      <c r="L671" s="7">
        <f>'3 escalar'!K674</f>
        <v/>
      </c>
      <c r="M671" s="7">
        <f>'3 escalar'!L674</f>
        <v/>
      </c>
      <c r="N671" s="7">
        <f>'3 escalar'!M674</f>
        <v/>
      </c>
      <c r="O671" s="7">
        <f>'3 escalar'!N674</f>
        <v/>
      </c>
      <c r="P671" s="7">
        <f>'3 escalar'!O674</f>
        <v/>
      </c>
      <c r="Q671" s="7">
        <f>'3 escalar'!P674</f>
        <v/>
      </c>
      <c r="R671" s="7">
        <f>'3 escalar'!Q674</f>
        <v/>
      </c>
      <c r="S671" s="7">
        <f>'3 escalar'!R674</f>
        <v/>
      </c>
      <c r="T671" s="7">
        <f>'3 escalar'!S674</f>
        <v/>
      </c>
      <c r="U671" s="7">
        <f>'3 escalar'!T674</f>
        <v/>
      </c>
      <c r="V671" s="6">
        <f>$AC$12+D671*$AC$13+E671*$AC$14+F671*$AC$15+G671*$AC$16+H671*$AC$17+I671*$AC$18+J671*$AC$19+K671*$AC$20+L671*$AC$21+M671*$AC$22+N671*$AC$23+O671*$AC$24+P671*$AC$25+Q671*$AC$26+R671*$AC$27+S671*$AC$28+T671*$AC$29+U671*$AC$30</f>
        <v/>
      </c>
      <c r="W671" s="6">
        <f>1/(1+EXP(-V671))</f>
        <v/>
      </c>
      <c r="X671" s="8">
        <f>-IF(C671=1,LN(W671),LN(1-W671))</f>
        <v/>
      </c>
      <c r="Y671" s="9">
        <f>IF(W671&gt;$AC$32,1,0)</f>
        <v/>
      </c>
      <c r="Z671">
        <f>IF(Y671=C671,1,0)</f>
        <v/>
      </c>
    </row>
    <row r="672">
      <c r="A672">
        <f>'3 escalar'!A675</f>
        <v/>
      </c>
      <c r="B672" s="5">
        <f>'3 escalar'!U675</f>
        <v/>
      </c>
      <c r="C672">
        <f>'3 escalar'!B675</f>
        <v/>
      </c>
      <c r="D672" s="7">
        <f>'3 escalar'!C675</f>
        <v/>
      </c>
      <c r="E672" s="7">
        <f>'3 escalar'!D675</f>
        <v/>
      </c>
      <c r="F672" s="7">
        <f>'3 escalar'!E675</f>
        <v/>
      </c>
      <c r="G672" s="7">
        <f>'3 escalar'!F675</f>
        <v/>
      </c>
      <c r="H672" s="7">
        <f>'3 escalar'!G675</f>
        <v/>
      </c>
      <c r="I672" s="7">
        <f>'3 escalar'!H675</f>
        <v/>
      </c>
      <c r="J672" s="7">
        <f>'3 escalar'!I675</f>
        <v/>
      </c>
      <c r="K672" s="7">
        <f>'3 escalar'!J675</f>
        <v/>
      </c>
      <c r="L672" s="7">
        <f>'3 escalar'!K675</f>
        <v/>
      </c>
      <c r="M672" s="7">
        <f>'3 escalar'!L675</f>
        <v/>
      </c>
      <c r="N672" s="7">
        <f>'3 escalar'!M675</f>
        <v/>
      </c>
      <c r="O672" s="7">
        <f>'3 escalar'!N675</f>
        <v/>
      </c>
      <c r="P672" s="7">
        <f>'3 escalar'!O675</f>
        <v/>
      </c>
      <c r="Q672" s="7">
        <f>'3 escalar'!P675</f>
        <v/>
      </c>
      <c r="R672" s="7">
        <f>'3 escalar'!Q675</f>
        <v/>
      </c>
      <c r="S672" s="7">
        <f>'3 escalar'!R675</f>
        <v/>
      </c>
      <c r="T672" s="7">
        <f>'3 escalar'!S675</f>
        <v/>
      </c>
      <c r="U672" s="7">
        <f>'3 escalar'!T675</f>
        <v/>
      </c>
      <c r="V672" s="6">
        <f>$AC$12+D672*$AC$13+E672*$AC$14+F672*$AC$15+G672*$AC$16+H672*$AC$17+I672*$AC$18+J672*$AC$19+K672*$AC$20+L672*$AC$21+M672*$AC$22+N672*$AC$23+O672*$AC$24+P672*$AC$25+Q672*$AC$26+R672*$AC$27+S672*$AC$28+T672*$AC$29+U672*$AC$30</f>
        <v/>
      </c>
      <c r="W672" s="6">
        <f>1/(1+EXP(-V672))</f>
        <v/>
      </c>
      <c r="X672" s="8">
        <f>-IF(C672=1,LN(W672),LN(1-W672))</f>
        <v/>
      </c>
      <c r="Y672" s="9">
        <f>IF(W672&gt;$AC$32,1,0)</f>
        <v/>
      </c>
      <c r="Z672">
        <f>IF(Y672=C672,1,0)</f>
        <v/>
      </c>
    </row>
    <row r="673">
      <c r="A673">
        <f>'3 escalar'!A676</f>
        <v/>
      </c>
      <c r="B673" s="5">
        <f>'3 escalar'!U676</f>
        <v/>
      </c>
      <c r="C673">
        <f>'3 escalar'!B676</f>
        <v/>
      </c>
      <c r="D673" s="7">
        <f>'3 escalar'!C676</f>
        <v/>
      </c>
      <c r="E673" s="7">
        <f>'3 escalar'!D676</f>
        <v/>
      </c>
      <c r="F673" s="7">
        <f>'3 escalar'!E676</f>
        <v/>
      </c>
      <c r="G673" s="7">
        <f>'3 escalar'!F676</f>
        <v/>
      </c>
      <c r="H673" s="7">
        <f>'3 escalar'!G676</f>
        <v/>
      </c>
      <c r="I673" s="7">
        <f>'3 escalar'!H676</f>
        <v/>
      </c>
      <c r="J673" s="7">
        <f>'3 escalar'!I676</f>
        <v/>
      </c>
      <c r="K673" s="7">
        <f>'3 escalar'!J676</f>
        <v/>
      </c>
      <c r="L673" s="7">
        <f>'3 escalar'!K676</f>
        <v/>
      </c>
      <c r="M673" s="7">
        <f>'3 escalar'!L676</f>
        <v/>
      </c>
      <c r="N673" s="7">
        <f>'3 escalar'!M676</f>
        <v/>
      </c>
      <c r="O673" s="7">
        <f>'3 escalar'!N676</f>
        <v/>
      </c>
      <c r="P673" s="7">
        <f>'3 escalar'!O676</f>
        <v/>
      </c>
      <c r="Q673" s="7">
        <f>'3 escalar'!P676</f>
        <v/>
      </c>
      <c r="R673" s="7">
        <f>'3 escalar'!Q676</f>
        <v/>
      </c>
      <c r="S673" s="7">
        <f>'3 escalar'!R676</f>
        <v/>
      </c>
      <c r="T673" s="7">
        <f>'3 escalar'!S676</f>
        <v/>
      </c>
      <c r="U673" s="7">
        <f>'3 escalar'!T676</f>
        <v/>
      </c>
      <c r="V673" s="6">
        <f>$AC$12+D673*$AC$13+E673*$AC$14+F673*$AC$15+G673*$AC$16+H673*$AC$17+I673*$AC$18+J673*$AC$19+K673*$AC$20+L673*$AC$21+M673*$AC$22+N673*$AC$23+O673*$AC$24+P673*$AC$25+Q673*$AC$26+R673*$AC$27+S673*$AC$28+T673*$AC$29+U673*$AC$30</f>
        <v/>
      </c>
      <c r="W673" s="6">
        <f>1/(1+EXP(-V673))</f>
        <v/>
      </c>
      <c r="X673" s="8">
        <f>-IF(C673=1,LN(W673),LN(1-W673))</f>
        <v/>
      </c>
      <c r="Y673" s="9">
        <f>IF(W673&gt;$AC$32,1,0)</f>
        <v/>
      </c>
      <c r="Z673">
        <f>IF(Y673=C673,1,0)</f>
        <v/>
      </c>
    </row>
    <row r="674">
      <c r="A674">
        <f>'3 escalar'!A677</f>
        <v/>
      </c>
      <c r="B674" s="5">
        <f>'3 escalar'!U677</f>
        <v/>
      </c>
      <c r="C674">
        <f>'3 escalar'!B677</f>
        <v/>
      </c>
      <c r="D674" s="7">
        <f>'3 escalar'!C677</f>
        <v/>
      </c>
      <c r="E674" s="7">
        <f>'3 escalar'!D677</f>
        <v/>
      </c>
      <c r="F674" s="7">
        <f>'3 escalar'!E677</f>
        <v/>
      </c>
      <c r="G674" s="7">
        <f>'3 escalar'!F677</f>
        <v/>
      </c>
      <c r="H674" s="7">
        <f>'3 escalar'!G677</f>
        <v/>
      </c>
      <c r="I674" s="7">
        <f>'3 escalar'!H677</f>
        <v/>
      </c>
      <c r="J674" s="7">
        <f>'3 escalar'!I677</f>
        <v/>
      </c>
      <c r="K674" s="7">
        <f>'3 escalar'!J677</f>
        <v/>
      </c>
      <c r="L674" s="7">
        <f>'3 escalar'!K677</f>
        <v/>
      </c>
      <c r="M674" s="7">
        <f>'3 escalar'!L677</f>
        <v/>
      </c>
      <c r="N674" s="7">
        <f>'3 escalar'!M677</f>
        <v/>
      </c>
      <c r="O674" s="7">
        <f>'3 escalar'!N677</f>
        <v/>
      </c>
      <c r="P674" s="7">
        <f>'3 escalar'!O677</f>
        <v/>
      </c>
      <c r="Q674" s="7">
        <f>'3 escalar'!P677</f>
        <v/>
      </c>
      <c r="R674" s="7">
        <f>'3 escalar'!Q677</f>
        <v/>
      </c>
      <c r="S674" s="7">
        <f>'3 escalar'!R677</f>
        <v/>
      </c>
      <c r="T674" s="7">
        <f>'3 escalar'!S677</f>
        <v/>
      </c>
      <c r="U674" s="7">
        <f>'3 escalar'!T677</f>
        <v/>
      </c>
      <c r="V674" s="6">
        <f>$AC$12+D674*$AC$13+E674*$AC$14+F674*$AC$15+G674*$AC$16+H674*$AC$17+I674*$AC$18+J674*$AC$19+K674*$AC$20+L674*$AC$21+M674*$AC$22+N674*$AC$23+O674*$AC$24+P674*$AC$25+Q674*$AC$26+R674*$AC$27+S674*$AC$28+T674*$AC$29+U674*$AC$30</f>
        <v/>
      </c>
      <c r="W674" s="6">
        <f>1/(1+EXP(-V674))</f>
        <v/>
      </c>
      <c r="X674" s="8">
        <f>-IF(C674=1,LN(W674),LN(1-W674))</f>
        <v/>
      </c>
      <c r="Y674" s="9">
        <f>IF(W674&gt;$AC$32,1,0)</f>
        <v/>
      </c>
      <c r="Z674">
        <f>IF(Y674=C674,1,0)</f>
        <v/>
      </c>
    </row>
    <row r="675">
      <c r="A675">
        <f>'3 escalar'!A678</f>
        <v/>
      </c>
      <c r="B675" s="5">
        <f>'3 escalar'!U678</f>
        <v/>
      </c>
      <c r="C675">
        <f>'3 escalar'!B678</f>
        <v/>
      </c>
      <c r="D675" s="7">
        <f>'3 escalar'!C678</f>
        <v/>
      </c>
      <c r="E675" s="7">
        <f>'3 escalar'!D678</f>
        <v/>
      </c>
      <c r="F675" s="7">
        <f>'3 escalar'!E678</f>
        <v/>
      </c>
      <c r="G675" s="7">
        <f>'3 escalar'!F678</f>
        <v/>
      </c>
      <c r="H675" s="7">
        <f>'3 escalar'!G678</f>
        <v/>
      </c>
      <c r="I675" s="7">
        <f>'3 escalar'!H678</f>
        <v/>
      </c>
      <c r="J675" s="7">
        <f>'3 escalar'!I678</f>
        <v/>
      </c>
      <c r="K675" s="7">
        <f>'3 escalar'!J678</f>
        <v/>
      </c>
      <c r="L675" s="7">
        <f>'3 escalar'!K678</f>
        <v/>
      </c>
      <c r="M675" s="7">
        <f>'3 escalar'!L678</f>
        <v/>
      </c>
      <c r="N675" s="7">
        <f>'3 escalar'!M678</f>
        <v/>
      </c>
      <c r="O675" s="7">
        <f>'3 escalar'!N678</f>
        <v/>
      </c>
      <c r="P675" s="7">
        <f>'3 escalar'!O678</f>
        <v/>
      </c>
      <c r="Q675" s="7">
        <f>'3 escalar'!P678</f>
        <v/>
      </c>
      <c r="R675" s="7">
        <f>'3 escalar'!Q678</f>
        <v/>
      </c>
      <c r="S675" s="7">
        <f>'3 escalar'!R678</f>
        <v/>
      </c>
      <c r="T675" s="7">
        <f>'3 escalar'!S678</f>
        <v/>
      </c>
      <c r="U675" s="7">
        <f>'3 escalar'!T678</f>
        <v/>
      </c>
      <c r="V675" s="6">
        <f>$AC$12+D675*$AC$13+E675*$AC$14+F675*$AC$15+G675*$AC$16+H675*$AC$17+I675*$AC$18+J675*$AC$19+K675*$AC$20+L675*$AC$21+M675*$AC$22+N675*$AC$23+O675*$AC$24+P675*$AC$25+Q675*$AC$26+R675*$AC$27+S675*$AC$28+T675*$AC$29+U675*$AC$30</f>
        <v/>
      </c>
      <c r="W675" s="6">
        <f>1/(1+EXP(-V675))</f>
        <v/>
      </c>
      <c r="X675" s="8">
        <f>-IF(C675=1,LN(W675),LN(1-W675))</f>
        <v/>
      </c>
      <c r="Y675" s="9">
        <f>IF(W675&gt;$AC$32,1,0)</f>
        <v/>
      </c>
      <c r="Z675">
        <f>IF(Y675=C675,1,0)</f>
        <v/>
      </c>
    </row>
    <row r="676">
      <c r="A676">
        <f>'3 escalar'!A679</f>
        <v/>
      </c>
      <c r="B676" s="5">
        <f>'3 escalar'!U679</f>
        <v/>
      </c>
      <c r="C676">
        <f>'3 escalar'!B679</f>
        <v/>
      </c>
      <c r="D676" s="7">
        <f>'3 escalar'!C679</f>
        <v/>
      </c>
      <c r="E676" s="7">
        <f>'3 escalar'!D679</f>
        <v/>
      </c>
      <c r="F676" s="7">
        <f>'3 escalar'!E679</f>
        <v/>
      </c>
      <c r="G676" s="7">
        <f>'3 escalar'!F679</f>
        <v/>
      </c>
      <c r="H676" s="7">
        <f>'3 escalar'!G679</f>
        <v/>
      </c>
      <c r="I676" s="7">
        <f>'3 escalar'!H679</f>
        <v/>
      </c>
      <c r="J676" s="7">
        <f>'3 escalar'!I679</f>
        <v/>
      </c>
      <c r="K676" s="7">
        <f>'3 escalar'!J679</f>
        <v/>
      </c>
      <c r="L676" s="7">
        <f>'3 escalar'!K679</f>
        <v/>
      </c>
      <c r="M676" s="7">
        <f>'3 escalar'!L679</f>
        <v/>
      </c>
      <c r="N676" s="7">
        <f>'3 escalar'!M679</f>
        <v/>
      </c>
      <c r="O676" s="7">
        <f>'3 escalar'!N679</f>
        <v/>
      </c>
      <c r="P676" s="7">
        <f>'3 escalar'!O679</f>
        <v/>
      </c>
      <c r="Q676" s="7">
        <f>'3 escalar'!P679</f>
        <v/>
      </c>
      <c r="R676" s="7">
        <f>'3 escalar'!Q679</f>
        <v/>
      </c>
      <c r="S676" s="7">
        <f>'3 escalar'!R679</f>
        <v/>
      </c>
      <c r="T676" s="7">
        <f>'3 escalar'!S679</f>
        <v/>
      </c>
      <c r="U676" s="7">
        <f>'3 escalar'!T679</f>
        <v/>
      </c>
      <c r="V676" s="6">
        <f>$AC$12+D676*$AC$13+E676*$AC$14+F676*$AC$15+G676*$AC$16+H676*$AC$17+I676*$AC$18+J676*$AC$19+K676*$AC$20+L676*$AC$21+M676*$AC$22+N676*$AC$23+O676*$AC$24+P676*$AC$25+Q676*$AC$26+R676*$AC$27+S676*$AC$28+T676*$AC$29+U676*$AC$30</f>
        <v/>
      </c>
      <c r="W676" s="6">
        <f>1/(1+EXP(-V676))</f>
        <v/>
      </c>
      <c r="X676" s="8">
        <f>-IF(C676=1,LN(W676),LN(1-W676))</f>
        <v/>
      </c>
      <c r="Y676" s="9">
        <f>IF(W676&gt;$AC$32,1,0)</f>
        <v/>
      </c>
      <c r="Z676">
        <f>IF(Y676=C676,1,0)</f>
        <v/>
      </c>
    </row>
    <row r="677">
      <c r="A677">
        <f>'3 escalar'!A680</f>
        <v/>
      </c>
      <c r="B677" s="5">
        <f>'3 escalar'!U680</f>
        <v/>
      </c>
      <c r="C677">
        <f>'3 escalar'!B680</f>
        <v/>
      </c>
      <c r="D677" s="7">
        <f>'3 escalar'!C680</f>
        <v/>
      </c>
      <c r="E677" s="7">
        <f>'3 escalar'!D680</f>
        <v/>
      </c>
      <c r="F677" s="7">
        <f>'3 escalar'!E680</f>
        <v/>
      </c>
      <c r="G677" s="7">
        <f>'3 escalar'!F680</f>
        <v/>
      </c>
      <c r="H677" s="7">
        <f>'3 escalar'!G680</f>
        <v/>
      </c>
      <c r="I677" s="7">
        <f>'3 escalar'!H680</f>
        <v/>
      </c>
      <c r="J677" s="7">
        <f>'3 escalar'!I680</f>
        <v/>
      </c>
      <c r="K677" s="7">
        <f>'3 escalar'!J680</f>
        <v/>
      </c>
      <c r="L677" s="7">
        <f>'3 escalar'!K680</f>
        <v/>
      </c>
      <c r="M677" s="7">
        <f>'3 escalar'!L680</f>
        <v/>
      </c>
      <c r="N677" s="7">
        <f>'3 escalar'!M680</f>
        <v/>
      </c>
      <c r="O677" s="7">
        <f>'3 escalar'!N680</f>
        <v/>
      </c>
      <c r="P677" s="7">
        <f>'3 escalar'!O680</f>
        <v/>
      </c>
      <c r="Q677" s="7">
        <f>'3 escalar'!P680</f>
        <v/>
      </c>
      <c r="R677" s="7">
        <f>'3 escalar'!Q680</f>
        <v/>
      </c>
      <c r="S677" s="7">
        <f>'3 escalar'!R680</f>
        <v/>
      </c>
      <c r="T677" s="7">
        <f>'3 escalar'!S680</f>
        <v/>
      </c>
      <c r="U677" s="7">
        <f>'3 escalar'!T680</f>
        <v/>
      </c>
      <c r="V677" s="6">
        <f>$AC$12+D677*$AC$13+E677*$AC$14+F677*$AC$15+G677*$AC$16+H677*$AC$17+I677*$AC$18+J677*$AC$19+K677*$AC$20+L677*$AC$21+M677*$AC$22+N677*$AC$23+O677*$AC$24+P677*$AC$25+Q677*$AC$26+R677*$AC$27+S677*$AC$28+T677*$AC$29+U677*$AC$30</f>
        <v/>
      </c>
      <c r="W677" s="6">
        <f>1/(1+EXP(-V677))</f>
        <v/>
      </c>
      <c r="X677" s="8">
        <f>-IF(C677=1,LN(W677),LN(1-W677))</f>
        <v/>
      </c>
      <c r="Y677" s="9">
        <f>IF(W677&gt;$AC$32,1,0)</f>
        <v/>
      </c>
      <c r="Z677">
        <f>IF(Y677=C677,1,0)</f>
        <v/>
      </c>
    </row>
    <row r="678">
      <c r="A678">
        <f>'3 escalar'!A681</f>
        <v/>
      </c>
      <c r="B678" s="5">
        <f>'3 escalar'!U681</f>
        <v/>
      </c>
      <c r="C678">
        <f>'3 escalar'!B681</f>
        <v/>
      </c>
      <c r="D678" s="7">
        <f>'3 escalar'!C681</f>
        <v/>
      </c>
      <c r="E678" s="7">
        <f>'3 escalar'!D681</f>
        <v/>
      </c>
      <c r="F678" s="7">
        <f>'3 escalar'!E681</f>
        <v/>
      </c>
      <c r="G678" s="7">
        <f>'3 escalar'!F681</f>
        <v/>
      </c>
      <c r="H678" s="7">
        <f>'3 escalar'!G681</f>
        <v/>
      </c>
      <c r="I678" s="7">
        <f>'3 escalar'!H681</f>
        <v/>
      </c>
      <c r="J678" s="7">
        <f>'3 escalar'!I681</f>
        <v/>
      </c>
      <c r="K678" s="7">
        <f>'3 escalar'!J681</f>
        <v/>
      </c>
      <c r="L678" s="7">
        <f>'3 escalar'!K681</f>
        <v/>
      </c>
      <c r="M678" s="7">
        <f>'3 escalar'!L681</f>
        <v/>
      </c>
      <c r="N678" s="7">
        <f>'3 escalar'!M681</f>
        <v/>
      </c>
      <c r="O678" s="7">
        <f>'3 escalar'!N681</f>
        <v/>
      </c>
      <c r="P678" s="7">
        <f>'3 escalar'!O681</f>
        <v/>
      </c>
      <c r="Q678" s="7">
        <f>'3 escalar'!P681</f>
        <v/>
      </c>
      <c r="R678" s="7">
        <f>'3 escalar'!Q681</f>
        <v/>
      </c>
      <c r="S678" s="7">
        <f>'3 escalar'!R681</f>
        <v/>
      </c>
      <c r="T678" s="7">
        <f>'3 escalar'!S681</f>
        <v/>
      </c>
      <c r="U678" s="7">
        <f>'3 escalar'!T681</f>
        <v/>
      </c>
      <c r="V678" s="6">
        <f>$AC$12+D678*$AC$13+E678*$AC$14+F678*$AC$15+G678*$AC$16+H678*$AC$17+I678*$AC$18+J678*$AC$19+K678*$AC$20+L678*$AC$21+M678*$AC$22+N678*$AC$23+O678*$AC$24+P678*$AC$25+Q678*$AC$26+R678*$AC$27+S678*$AC$28+T678*$AC$29+U678*$AC$30</f>
        <v/>
      </c>
      <c r="W678" s="6">
        <f>1/(1+EXP(-V678))</f>
        <v/>
      </c>
      <c r="X678" s="8">
        <f>-IF(C678=1,LN(W678),LN(1-W678))</f>
        <v/>
      </c>
      <c r="Y678" s="9">
        <f>IF(W678&gt;$AC$32,1,0)</f>
        <v/>
      </c>
      <c r="Z678">
        <f>IF(Y678=C678,1,0)</f>
        <v/>
      </c>
    </row>
    <row r="679">
      <c r="A679">
        <f>'3 escalar'!A682</f>
        <v/>
      </c>
      <c r="B679" s="5">
        <f>'3 escalar'!U682</f>
        <v/>
      </c>
      <c r="C679">
        <f>'3 escalar'!B682</f>
        <v/>
      </c>
      <c r="D679" s="7">
        <f>'3 escalar'!C682</f>
        <v/>
      </c>
      <c r="E679" s="7">
        <f>'3 escalar'!D682</f>
        <v/>
      </c>
      <c r="F679" s="7">
        <f>'3 escalar'!E682</f>
        <v/>
      </c>
      <c r="G679" s="7">
        <f>'3 escalar'!F682</f>
        <v/>
      </c>
      <c r="H679" s="7">
        <f>'3 escalar'!G682</f>
        <v/>
      </c>
      <c r="I679" s="7">
        <f>'3 escalar'!H682</f>
        <v/>
      </c>
      <c r="J679" s="7">
        <f>'3 escalar'!I682</f>
        <v/>
      </c>
      <c r="K679" s="7">
        <f>'3 escalar'!J682</f>
        <v/>
      </c>
      <c r="L679" s="7">
        <f>'3 escalar'!K682</f>
        <v/>
      </c>
      <c r="M679" s="7">
        <f>'3 escalar'!L682</f>
        <v/>
      </c>
      <c r="N679" s="7">
        <f>'3 escalar'!M682</f>
        <v/>
      </c>
      <c r="O679" s="7">
        <f>'3 escalar'!N682</f>
        <v/>
      </c>
      <c r="P679" s="7">
        <f>'3 escalar'!O682</f>
        <v/>
      </c>
      <c r="Q679" s="7">
        <f>'3 escalar'!P682</f>
        <v/>
      </c>
      <c r="R679" s="7">
        <f>'3 escalar'!Q682</f>
        <v/>
      </c>
      <c r="S679" s="7">
        <f>'3 escalar'!R682</f>
        <v/>
      </c>
      <c r="T679" s="7">
        <f>'3 escalar'!S682</f>
        <v/>
      </c>
      <c r="U679" s="7">
        <f>'3 escalar'!T682</f>
        <v/>
      </c>
      <c r="V679" s="6">
        <f>$AC$12+D679*$AC$13+E679*$AC$14+F679*$AC$15+G679*$AC$16+H679*$AC$17+I679*$AC$18+J679*$AC$19+K679*$AC$20+L679*$AC$21+M679*$AC$22+N679*$AC$23+O679*$AC$24+P679*$AC$25+Q679*$AC$26+R679*$AC$27+S679*$AC$28+T679*$AC$29+U679*$AC$30</f>
        <v/>
      </c>
      <c r="W679" s="6">
        <f>1/(1+EXP(-V679))</f>
        <v/>
      </c>
      <c r="X679" s="8">
        <f>-IF(C679=1,LN(W679),LN(1-W679))</f>
        <v/>
      </c>
      <c r="Y679" s="9">
        <f>IF(W679&gt;$AC$32,1,0)</f>
        <v/>
      </c>
      <c r="Z679">
        <f>IF(Y679=C679,1,0)</f>
        <v/>
      </c>
    </row>
    <row r="680">
      <c r="A680">
        <f>'3 escalar'!A683</f>
        <v/>
      </c>
      <c r="B680" s="5">
        <f>'3 escalar'!U683</f>
        <v/>
      </c>
      <c r="C680">
        <f>'3 escalar'!B683</f>
        <v/>
      </c>
      <c r="D680" s="7">
        <f>'3 escalar'!C683</f>
        <v/>
      </c>
      <c r="E680" s="7">
        <f>'3 escalar'!D683</f>
        <v/>
      </c>
      <c r="F680" s="7">
        <f>'3 escalar'!E683</f>
        <v/>
      </c>
      <c r="G680" s="7">
        <f>'3 escalar'!F683</f>
        <v/>
      </c>
      <c r="H680" s="7">
        <f>'3 escalar'!G683</f>
        <v/>
      </c>
      <c r="I680" s="7">
        <f>'3 escalar'!H683</f>
        <v/>
      </c>
      <c r="J680" s="7">
        <f>'3 escalar'!I683</f>
        <v/>
      </c>
      <c r="K680" s="7">
        <f>'3 escalar'!J683</f>
        <v/>
      </c>
      <c r="L680" s="7">
        <f>'3 escalar'!K683</f>
        <v/>
      </c>
      <c r="M680" s="7">
        <f>'3 escalar'!L683</f>
        <v/>
      </c>
      <c r="N680" s="7">
        <f>'3 escalar'!M683</f>
        <v/>
      </c>
      <c r="O680" s="7">
        <f>'3 escalar'!N683</f>
        <v/>
      </c>
      <c r="P680" s="7">
        <f>'3 escalar'!O683</f>
        <v/>
      </c>
      <c r="Q680" s="7">
        <f>'3 escalar'!P683</f>
        <v/>
      </c>
      <c r="R680" s="7">
        <f>'3 escalar'!Q683</f>
        <v/>
      </c>
      <c r="S680" s="7">
        <f>'3 escalar'!R683</f>
        <v/>
      </c>
      <c r="T680" s="7">
        <f>'3 escalar'!S683</f>
        <v/>
      </c>
      <c r="U680" s="7">
        <f>'3 escalar'!T683</f>
        <v/>
      </c>
      <c r="V680" s="6">
        <f>$AC$12+D680*$AC$13+E680*$AC$14+F680*$AC$15+G680*$AC$16+H680*$AC$17+I680*$AC$18+J680*$AC$19+K680*$AC$20+L680*$AC$21+M680*$AC$22+N680*$AC$23+O680*$AC$24+P680*$AC$25+Q680*$AC$26+R680*$AC$27+S680*$AC$28+T680*$AC$29+U680*$AC$30</f>
        <v/>
      </c>
      <c r="W680" s="6">
        <f>1/(1+EXP(-V680))</f>
        <v/>
      </c>
      <c r="X680" s="8">
        <f>-IF(C680=1,LN(W680),LN(1-W680))</f>
        <v/>
      </c>
      <c r="Y680" s="9">
        <f>IF(W680&gt;$AC$32,1,0)</f>
        <v/>
      </c>
      <c r="Z680">
        <f>IF(Y680=C680,1,0)</f>
        <v/>
      </c>
    </row>
    <row r="681">
      <c r="A681">
        <f>'3 escalar'!A684</f>
        <v/>
      </c>
      <c r="B681" s="5">
        <f>'3 escalar'!U684</f>
        <v/>
      </c>
      <c r="C681">
        <f>'3 escalar'!B684</f>
        <v/>
      </c>
      <c r="D681" s="7">
        <f>'3 escalar'!C684</f>
        <v/>
      </c>
      <c r="E681" s="7">
        <f>'3 escalar'!D684</f>
        <v/>
      </c>
      <c r="F681" s="7">
        <f>'3 escalar'!E684</f>
        <v/>
      </c>
      <c r="G681" s="7">
        <f>'3 escalar'!F684</f>
        <v/>
      </c>
      <c r="H681" s="7">
        <f>'3 escalar'!G684</f>
        <v/>
      </c>
      <c r="I681" s="7">
        <f>'3 escalar'!H684</f>
        <v/>
      </c>
      <c r="J681" s="7">
        <f>'3 escalar'!I684</f>
        <v/>
      </c>
      <c r="K681" s="7">
        <f>'3 escalar'!J684</f>
        <v/>
      </c>
      <c r="L681" s="7">
        <f>'3 escalar'!K684</f>
        <v/>
      </c>
      <c r="M681" s="7">
        <f>'3 escalar'!L684</f>
        <v/>
      </c>
      <c r="N681" s="7">
        <f>'3 escalar'!M684</f>
        <v/>
      </c>
      <c r="O681" s="7">
        <f>'3 escalar'!N684</f>
        <v/>
      </c>
      <c r="P681" s="7">
        <f>'3 escalar'!O684</f>
        <v/>
      </c>
      <c r="Q681" s="7">
        <f>'3 escalar'!P684</f>
        <v/>
      </c>
      <c r="R681" s="7">
        <f>'3 escalar'!Q684</f>
        <v/>
      </c>
      <c r="S681" s="7">
        <f>'3 escalar'!R684</f>
        <v/>
      </c>
      <c r="T681" s="7">
        <f>'3 escalar'!S684</f>
        <v/>
      </c>
      <c r="U681" s="7">
        <f>'3 escalar'!T684</f>
        <v/>
      </c>
      <c r="V681" s="6">
        <f>$AC$12+D681*$AC$13+E681*$AC$14+F681*$AC$15+G681*$AC$16+H681*$AC$17+I681*$AC$18+J681*$AC$19+K681*$AC$20+L681*$AC$21+M681*$AC$22+N681*$AC$23+O681*$AC$24+P681*$AC$25+Q681*$AC$26+R681*$AC$27+S681*$AC$28+T681*$AC$29+U681*$AC$30</f>
        <v/>
      </c>
      <c r="W681" s="6">
        <f>1/(1+EXP(-V681))</f>
        <v/>
      </c>
      <c r="X681" s="8">
        <f>-IF(C681=1,LN(W681),LN(1-W681))</f>
        <v/>
      </c>
      <c r="Y681" s="9">
        <f>IF(W681&gt;$AC$32,1,0)</f>
        <v/>
      </c>
      <c r="Z681">
        <f>IF(Y681=C681,1,0)</f>
        <v/>
      </c>
    </row>
    <row r="682">
      <c r="A682">
        <f>'3 escalar'!A685</f>
        <v/>
      </c>
      <c r="B682" s="5">
        <f>'3 escalar'!U685</f>
        <v/>
      </c>
      <c r="C682">
        <f>'3 escalar'!B685</f>
        <v/>
      </c>
      <c r="D682" s="7">
        <f>'3 escalar'!C685</f>
        <v/>
      </c>
      <c r="E682" s="7">
        <f>'3 escalar'!D685</f>
        <v/>
      </c>
      <c r="F682" s="7">
        <f>'3 escalar'!E685</f>
        <v/>
      </c>
      <c r="G682" s="7">
        <f>'3 escalar'!F685</f>
        <v/>
      </c>
      <c r="H682" s="7">
        <f>'3 escalar'!G685</f>
        <v/>
      </c>
      <c r="I682" s="7">
        <f>'3 escalar'!H685</f>
        <v/>
      </c>
      <c r="J682" s="7">
        <f>'3 escalar'!I685</f>
        <v/>
      </c>
      <c r="K682" s="7">
        <f>'3 escalar'!J685</f>
        <v/>
      </c>
      <c r="L682" s="7">
        <f>'3 escalar'!K685</f>
        <v/>
      </c>
      <c r="M682" s="7">
        <f>'3 escalar'!L685</f>
        <v/>
      </c>
      <c r="N682" s="7">
        <f>'3 escalar'!M685</f>
        <v/>
      </c>
      <c r="O682" s="7">
        <f>'3 escalar'!N685</f>
        <v/>
      </c>
      <c r="P682" s="7">
        <f>'3 escalar'!O685</f>
        <v/>
      </c>
      <c r="Q682" s="7">
        <f>'3 escalar'!P685</f>
        <v/>
      </c>
      <c r="R682" s="7">
        <f>'3 escalar'!Q685</f>
        <v/>
      </c>
      <c r="S682" s="7">
        <f>'3 escalar'!R685</f>
        <v/>
      </c>
      <c r="T682" s="7">
        <f>'3 escalar'!S685</f>
        <v/>
      </c>
      <c r="U682" s="7">
        <f>'3 escalar'!T685</f>
        <v/>
      </c>
      <c r="V682" s="6">
        <f>$AC$12+D682*$AC$13+E682*$AC$14+F682*$AC$15+G682*$AC$16+H682*$AC$17+I682*$AC$18+J682*$AC$19+K682*$AC$20+L682*$AC$21+M682*$AC$22+N682*$AC$23+O682*$AC$24+P682*$AC$25+Q682*$AC$26+R682*$AC$27+S682*$AC$28+T682*$AC$29+U682*$AC$30</f>
        <v/>
      </c>
      <c r="W682" s="6">
        <f>1/(1+EXP(-V682))</f>
        <v/>
      </c>
      <c r="X682" s="8">
        <f>-IF(C682=1,LN(W682),LN(1-W682))</f>
        <v/>
      </c>
      <c r="Y682" s="9">
        <f>IF(W682&gt;$AC$32,1,0)</f>
        <v/>
      </c>
      <c r="Z682">
        <f>IF(Y682=C682,1,0)</f>
        <v/>
      </c>
    </row>
    <row r="683">
      <c r="A683">
        <f>'3 escalar'!A686</f>
        <v/>
      </c>
      <c r="B683" s="5">
        <f>'3 escalar'!U686</f>
        <v/>
      </c>
      <c r="C683">
        <f>'3 escalar'!B686</f>
        <v/>
      </c>
      <c r="D683" s="7">
        <f>'3 escalar'!C686</f>
        <v/>
      </c>
      <c r="E683" s="7">
        <f>'3 escalar'!D686</f>
        <v/>
      </c>
      <c r="F683" s="7">
        <f>'3 escalar'!E686</f>
        <v/>
      </c>
      <c r="G683" s="7">
        <f>'3 escalar'!F686</f>
        <v/>
      </c>
      <c r="H683" s="7">
        <f>'3 escalar'!G686</f>
        <v/>
      </c>
      <c r="I683" s="7">
        <f>'3 escalar'!H686</f>
        <v/>
      </c>
      <c r="J683" s="7">
        <f>'3 escalar'!I686</f>
        <v/>
      </c>
      <c r="K683" s="7">
        <f>'3 escalar'!J686</f>
        <v/>
      </c>
      <c r="L683" s="7">
        <f>'3 escalar'!K686</f>
        <v/>
      </c>
      <c r="M683" s="7">
        <f>'3 escalar'!L686</f>
        <v/>
      </c>
      <c r="N683" s="7">
        <f>'3 escalar'!M686</f>
        <v/>
      </c>
      <c r="O683" s="7">
        <f>'3 escalar'!N686</f>
        <v/>
      </c>
      <c r="P683" s="7">
        <f>'3 escalar'!O686</f>
        <v/>
      </c>
      <c r="Q683" s="7">
        <f>'3 escalar'!P686</f>
        <v/>
      </c>
      <c r="R683" s="7">
        <f>'3 escalar'!Q686</f>
        <v/>
      </c>
      <c r="S683" s="7">
        <f>'3 escalar'!R686</f>
        <v/>
      </c>
      <c r="T683" s="7">
        <f>'3 escalar'!S686</f>
        <v/>
      </c>
      <c r="U683" s="7">
        <f>'3 escalar'!T686</f>
        <v/>
      </c>
      <c r="V683" s="6">
        <f>$AC$12+D683*$AC$13+E683*$AC$14+F683*$AC$15+G683*$AC$16+H683*$AC$17+I683*$AC$18+J683*$AC$19+K683*$AC$20+L683*$AC$21+M683*$AC$22+N683*$AC$23+O683*$AC$24+P683*$AC$25+Q683*$AC$26+R683*$AC$27+S683*$AC$28+T683*$AC$29+U683*$AC$30</f>
        <v/>
      </c>
      <c r="W683" s="6">
        <f>1/(1+EXP(-V683))</f>
        <v/>
      </c>
      <c r="X683" s="8">
        <f>-IF(C683=1,LN(W683),LN(1-W683))</f>
        <v/>
      </c>
      <c r="Y683" s="9">
        <f>IF(W683&gt;$AC$32,1,0)</f>
        <v/>
      </c>
      <c r="Z683">
        <f>IF(Y683=C683,1,0)</f>
        <v/>
      </c>
    </row>
    <row r="684">
      <c r="A684">
        <f>'3 escalar'!A687</f>
        <v/>
      </c>
      <c r="B684" s="5">
        <f>'3 escalar'!U687</f>
        <v/>
      </c>
      <c r="C684">
        <f>'3 escalar'!B687</f>
        <v/>
      </c>
      <c r="D684" s="7">
        <f>'3 escalar'!C687</f>
        <v/>
      </c>
      <c r="E684" s="7">
        <f>'3 escalar'!D687</f>
        <v/>
      </c>
      <c r="F684" s="7">
        <f>'3 escalar'!E687</f>
        <v/>
      </c>
      <c r="G684" s="7">
        <f>'3 escalar'!F687</f>
        <v/>
      </c>
      <c r="H684" s="7">
        <f>'3 escalar'!G687</f>
        <v/>
      </c>
      <c r="I684" s="7">
        <f>'3 escalar'!H687</f>
        <v/>
      </c>
      <c r="J684" s="7">
        <f>'3 escalar'!I687</f>
        <v/>
      </c>
      <c r="K684" s="7">
        <f>'3 escalar'!J687</f>
        <v/>
      </c>
      <c r="L684" s="7">
        <f>'3 escalar'!K687</f>
        <v/>
      </c>
      <c r="M684" s="7">
        <f>'3 escalar'!L687</f>
        <v/>
      </c>
      <c r="N684" s="7">
        <f>'3 escalar'!M687</f>
        <v/>
      </c>
      <c r="O684" s="7">
        <f>'3 escalar'!N687</f>
        <v/>
      </c>
      <c r="P684" s="7">
        <f>'3 escalar'!O687</f>
        <v/>
      </c>
      <c r="Q684" s="7">
        <f>'3 escalar'!P687</f>
        <v/>
      </c>
      <c r="R684" s="7">
        <f>'3 escalar'!Q687</f>
        <v/>
      </c>
      <c r="S684" s="7">
        <f>'3 escalar'!R687</f>
        <v/>
      </c>
      <c r="T684" s="7">
        <f>'3 escalar'!S687</f>
        <v/>
      </c>
      <c r="U684" s="7">
        <f>'3 escalar'!T687</f>
        <v/>
      </c>
      <c r="V684" s="6">
        <f>$AC$12+D684*$AC$13+E684*$AC$14+F684*$AC$15+G684*$AC$16+H684*$AC$17+I684*$AC$18+J684*$AC$19+K684*$AC$20+L684*$AC$21+M684*$AC$22+N684*$AC$23+O684*$AC$24+P684*$AC$25+Q684*$AC$26+R684*$AC$27+S684*$AC$28+T684*$AC$29+U684*$AC$30</f>
        <v/>
      </c>
      <c r="W684" s="6">
        <f>1/(1+EXP(-V684))</f>
        <v/>
      </c>
      <c r="X684" s="8">
        <f>-IF(C684=1,LN(W684),LN(1-W684))</f>
        <v/>
      </c>
      <c r="Y684" s="9">
        <f>IF(W684&gt;$AC$32,1,0)</f>
        <v/>
      </c>
      <c r="Z684">
        <f>IF(Y684=C684,1,0)</f>
        <v/>
      </c>
    </row>
    <row r="685">
      <c r="A685">
        <f>'3 escalar'!A688</f>
        <v/>
      </c>
      <c r="B685" s="5">
        <f>'3 escalar'!U688</f>
        <v/>
      </c>
      <c r="C685">
        <f>'3 escalar'!B688</f>
        <v/>
      </c>
      <c r="D685" s="7">
        <f>'3 escalar'!C688</f>
        <v/>
      </c>
      <c r="E685" s="7">
        <f>'3 escalar'!D688</f>
        <v/>
      </c>
      <c r="F685" s="7">
        <f>'3 escalar'!E688</f>
        <v/>
      </c>
      <c r="G685" s="7">
        <f>'3 escalar'!F688</f>
        <v/>
      </c>
      <c r="H685" s="7">
        <f>'3 escalar'!G688</f>
        <v/>
      </c>
      <c r="I685" s="7">
        <f>'3 escalar'!H688</f>
        <v/>
      </c>
      <c r="J685" s="7">
        <f>'3 escalar'!I688</f>
        <v/>
      </c>
      <c r="K685" s="7">
        <f>'3 escalar'!J688</f>
        <v/>
      </c>
      <c r="L685" s="7">
        <f>'3 escalar'!K688</f>
        <v/>
      </c>
      <c r="M685" s="7">
        <f>'3 escalar'!L688</f>
        <v/>
      </c>
      <c r="N685" s="7">
        <f>'3 escalar'!M688</f>
        <v/>
      </c>
      <c r="O685" s="7">
        <f>'3 escalar'!N688</f>
        <v/>
      </c>
      <c r="P685" s="7">
        <f>'3 escalar'!O688</f>
        <v/>
      </c>
      <c r="Q685" s="7">
        <f>'3 escalar'!P688</f>
        <v/>
      </c>
      <c r="R685" s="7">
        <f>'3 escalar'!Q688</f>
        <v/>
      </c>
      <c r="S685" s="7">
        <f>'3 escalar'!R688</f>
        <v/>
      </c>
      <c r="T685" s="7">
        <f>'3 escalar'!S688</f>
        <v/>
      </c>
      <c r="U685" s="7">
        <f>'3 escalar'!T688</f>
        <v/>
      </c>
      <c r="V685" s="6">
        <f>$AC$12+D685*$AC$13+E685*$AC$14+F685*$AC$15+G685*$AC$16+H685*$AC$17+I685*$AC$18+J685*$AC$19+K685*$AC$20+L685*$AC$21+M685*$AC$22+N685*$AC$23+O685*$AC$24+P685*$AC$25+Q685*$AC$26+R685*$AC$27+S685*$AC$28+T685*$AC$29+U685*$AC$30</f>
        <v/>
      </c>
      <c r="W685" s="6">
        <f>1/(1+EXP(-V685))</f>
        <v/>
      </c>
      <c r="X685" s="8">
        <f>-IF(C685=1,LN(W685),LN(1-W685))</f>
        <v/>
      </c>
      <c r="Y685" s="9">
        <f>IF(W685&gt;$AC$32,1,0)</f>
        <v/>
      </c>
      <c r="Z685">
        <f>IF(Y685=C685,1,0)</f>
        <v/>
      </c>
    </row>
    <row r="686">
      <c r="A686">
        <f>'3 escalar'!A689</f>
        <v/>
      </c>
      <c r="B686" s="5">
        <f>'3 escalar'!U689</f>
        <v/>
      </c>
      <c r="C686">
        <f>'3 escalar'!B689</f>
        <v/>
      </c>
      <c r="D686" s="7">
        <f>'3 escalar'!C689</f>
        <v/>
      </c>
      <c r="E686" s="7">
        <f>'3 escalar'!D689</f>
        <v/>
      </c>
      <c r="F686" s="7">
        <f>'3 escalar'!E689</f>
        <v/>
      </c>
      <c r="G686" s="7">
        <f>'3 escalar'!F689</f>
        <v/>
      </c>
      <c r="H686" s="7">
        <f>'3 escalar'!G689</f>
        <v/>
      </c>
      <c r="I686" s="7">
        <f>'3 escalar'!H689</f>
        <v/>
      </c>
      <c r="J686" s="7">
        <f>'3 escalar'!I689</f>
        <v/>
      </c>
      <c r="K686" s="7">
        <f>'3 escalar'!J689</f>
        <v/>
      </c>
      <c r="L686" s="7">
        <f>'3 escalar'!K689</f>
        <v/>
      </c>
      <c r="M686" s="7">
        <f>'3 escalar'!L689</f>
        <v/>
      </c>
      <c r="N686" s="7">
        <f>'3 escalar'!M689</f>
        <v/>
      </c>
      <c r="O686" s="7">
        <f>'3 escalar'!N689</f>
        <v/>
      </c>
      <c r="P686" s="7">
        <f>'3 escalar'!O689</f>
        <v/>
      </c>
      <c r="Q686" s="7">
        <f>'3 escalar'!P689</f>
        <v/>
      </c>
      <c r="R686" s="7">
        <f>'3 escalar'!Q689</f>
        <v/>
      </c>
      <c r="S686" s="7">
        <f>'3 escalar'!R689</f>
        <v/>
      </c>
      <c r="T686" s="7">
        <f>'3 escalar'!S689</f>
        <v/>
      </c>
      <c r="U686" s="7">
        <f>'3 escalar'!T689</f>
        <v/>
      </c>
      <c r="V686" s="6">
        <f>$AC$12+D686*$AC$13+E686*$AC$14+F686*$AC$15+G686*$AC$16+H686*$AC$17+I686*$AC$18+J686*$AC$19+K686*$AC$20+L686*$AC$21+M686*$AC$22+N686*$AC$23+O686*$AC$24+P686*$AC$25+Q686*$AC$26+R686*$AC$27+S686*$AC$28+T686*$AC$29+U686*$AC$30</f>
        <v/>
      </c>
      <c r="W686" s="6">
        <f>1/(1+EXP(-V686))</f>
        <v/>
      </c>
      <c r="X686" s="8">
        <f>-IF(C686=1,LN(W686),LN(1-W686))</f>
        <v/>
      </c>
      <c r="Y686" s="9">
        <f>IF(W686&gt;$AC$32,1,0)</f>
        <v/>
      </c>
      <c r="Z686">
        <f>IF(Y686=C686,1,0)</f>
        <v/>
      </c>
    </row>
    <row r="687">
      <c r="A687">
        <f>'3 escalar'!A690</f>
        <v/>
      </c>
      <c r="B687" s="5">
        <f>'3 escalar'!U690</f>
        <v/>
      </c>
      <c r="C687">
        <f>'3 escalar'!B690</f>
        <v/>
      </c>
      <c r="D687" s="7">
        <f>'3 escalar'!C690</f>
        <v/>
      </c>
      <c r="E687" s="7">
        <f>'3 escalar'!D690</f>
        <v/>
      </c>
      <c r="F687" s="7">
        <f>'3 escalar'!E690</f>
        <v/>
      </c>
      <c r="G687" s="7">
        <f>'3 escalar'!F690</f>
        <v/>
      </c>
      <c r="H687" s="7">
        <f>'3 escalar'!G690</f>
        <v/>
      </c>
      <c r="I687" s="7">
        <f>'3 escalar'!H690</f>
        <v/>
      </c>
      <c r="J687" s="7">
        <f>'3 escalar'!I690</f>
        <v/>
      </c>
      <c r="K687" s="7">
        <f>'3 escalar'!J690</f>
        <v/>
      </c>
      <c r="L687" s="7">
        <f>'3 escalar'!K690</f>
        <v/>
      </c>
      <c r="M687" s="7">
        <f>'3 escalar'!L690</f>
        <v/>
      </c>
      <c r="N687" s="7">
        <f>'3 escalar'!M690</f>
        <v/>
      </c>
      <c r="O687" s="7">
        <f>'3 escalar'!N690</f>
        <v/>
      </c>
      <c r="P687" s="7">
        <f>'3 escalar'!O690</f>
        <v/>
      </c>
      <c r="Q687" s="7">
        <f>'3 escalar'!P690</f>
        <v/>
      </c>
      <c r="R687" s="7">
        <f>'3 escalar'!Q690</f>
        <v/>
      </c>
      <c r="S687" s="7">
        <f>'3 escalar'!R690</f>
        <v/>
      </c>
      <c r="T687" s="7">
        <f>'3 escalar'!S690</f>
        <v/>
      </c>
      <c r="U687" s="7">
        <f>'3 escalar'!T690</f>
        <v/>
      </c>
      <c r="V687" s="6">
        <f>$AC$12+D687*$AC$13+E687*$AC$14+F687*$AC$15+G687*$AC$16+H687*$AC$17+I687*$AC$18+J687*$AC$19+K687*$AC$20+L687*$AC$21+M687*$AC$22+N687*$AC$23+O687*$AC$24+P687*$AC$25+Q687*$AC$26+R687*$AC$27+S687*$AC$28+T687*$AC$29+U687*$AC$30</f>
        <v/>
      </c>
      <c r="W687" s="6">
        <f>1/(1+EXP(-V687))</f>
        <v/>
      </c>
      <c r="X687" s="8">
        <f>-IF(C687=1,LN(W687),LN(1-W687))</f>
        <v/>
      </c>
      <c r="Y687" s="9">
        <f>IF(W687&gt;$AC$32,1,0)</f>
        <v/>
      </c>
      <c r="Z687">
        <f>IF(Y687=C687,1,0)</f>
        <v/>
      </c>
    </row>
    <row r="688">
      <c r="A688">
        <f>'3 escalar'!A691</f>
        <v/>
      </c>
      <c r="B688" s="5">
        <f>'3 escalar'!U691</f>
        <v/>
      </c>
      <c r="C688">
        <f>'3 escalar'!B691</f>
        <v/>
      </c>
      <c r="D688" s="7">
        <f>'3 escalar'!C691</f>
        <v/>
      </c>
      <c r="E688" s="7">
        <f>'3 escalar'!D691</f>
        <v/>
      </c>
      <c r="F688" s="7">
        <f>'3 escalar'!E691</f>
        <v/>
      </c>
      <c r="G688" s="7">
        <f>'3 escalar'!F691</f>
        <v/>
      </c>
      <c r="H688" s="7">
        <f>'3 escalar'!G691</f>
        <v/>
      </c>
      <c r="I688" s="7">
        <f>'3 escalar'!H691</f>
        <v/>
      </c>
      <c r="J688" s="7">
        <f>'3 escalar'!I691</f>
        <v/>
      </c>
      <c r="K688" s="7">
        <f>'3 escalar'!J691</f>
        <v/>
      </c>
      <c r="L688" s="7">
        <f>'3 escalar'!K691</f>
        <v/>
      </c>
      <c r="M688" s="7">
        <f>'3 escalar'!L691</f>
        <v/>
      </c>
      <c r="N688" s="7">
        <f>'3 escalar'!M691</f>
        <v/>
      </c>
      <c r="O688" s="7">
        <f>'3 escalar'!N691</f>
        <v/>
      </c>
      <c r="P688" s="7">
        <f>'3 escalar'!O691</f>
        <v/>
      </c>
      <c r="Q688" s="7">
        <f>'3 escalar'!P691</f>
        <v/>
      </c>
      <c r="R688" s="7">
        <f>'3 escalar'!Q691</f>
        <v/>
      </c>
      <c r="S688" s="7">
        <f>'3 escalar'!R691</f>
        <v/>
      </c>
      <c r="T688" s="7">
        <f>'3 escalar'!S691</f>
        <v/>
      </c>
      <c r="U688" s="7">
        <f>'3 escalar'!T691</f>
        <v/>
      </c>
      <c r="V688" s="6">
        <f>$AC$12+D688*$AC$13+E688*$AC$14+F688*$AC$15+G688*$AC$16+H688*$AC$17+I688*$AC$18+J688*$AC$19+K688*$AC$20+L688*$AC$21+M688*$AC$22+N688*$AC$23+O688*$AC$24+P688*$AC$25+Q688*$AC$26+R688*$AC$27+S688*$AC$28+T688*$AC$29+U688*$AC$30</f>
        <v/>
      </c>
      <c r="W688" s="6">
        <f>1/(1+EXP(-V688))</f>
        <v/>
      </c>
      <c r="X688" s="8">
        <f>-IF(C688=1,LN(W688),LN(1-W688))</f>
        <v/>
      </c>
      <c r="Y688" s="9">
        <f>IF(W688&gt;$AC$32,1,0)</f>
        <v/>
      </c>
      <c r="Z688">
        <f>IF(Y688=C688,1,0)</f>
        <v/>
      </c>
    </row>
    <row r="689">
      <c r="A689">
        <f>'3 escalar'!A692</f>
        <v/>
      </c>
      <c r="B689" s="5">
        <f>'3 escalar'!U692</f>
        <v/>
      </c>
      <c r="C689">
        <f>'3 escalar'!B692</f>
        <v/>
      </c>
      <c r="D689" s="7">
        <f>'3 escalar'!C692</f>
        <v/>
      </c>
      <c r="E689" s="7">
        <f>'3 escalar'!D692</f>
        <v/>
      </c>
      <c r="F689" s="7">
        <f>'3 escalar'!E692</f>
        <v/>
      </c>
      <c r="G689" s="7">
        <f>'3 escalar'!F692</f>
        <v/>
      </c>
      <c r="H689" s="7">
        <f>'3 escalar'!G692</f>
        <v/>
      </c>
      <c r="I689" s="7">
        <f>'3 escalar'!H692</f>
        <v/>
      </c>
      <c r="J689" s="7">
        <f>'3 escalar'!I692</f>
        <v/>
      </c>
      <c r="K689" s="7">
        <f>'3 escalar'!J692</f>
        <v/>
      </c>
      <c r="L689" s="7">
        <f>'3 escalar'!K692</f>
        <v/>
      </c>
      <c r="M689" s="7">
        <f>'3 escalar'!L692</f>
        <v/>
      </c>
      <c r="N689" s="7">
        <f>'3 escalar'!M692</f>
        <v/>
      </c>
      <c r="O689" s="7">
        <f>'3 escalar'!N692</f>
        <v/>
      </c>
      <c r="P689" s="7">
        <f>'3 escalar'!O692</f>
        <v/>
      </c>
      <c r="Q689" s="7">
        <f>'3 escalar'!P692</f>
        <v/>
      </c>
      <c r="R689" s="7">
        <f>'3 escalar'!Q692</f>
        <v/>
      </c>
      <c r="S689" s="7">
        <f>'3 escalar'!R692</f>
        <v/>
      </c>
      <c r="T689" s="7">
        <f>'3 escalar'!S692</f>
        <v/>
      </c>
      <c r="U689" s="7">
        <f>'3 escalar'!T692</f>
        <v/>
      </c>
      <c r="V689" s="6">
        <f>$AC$12+D689*$AC$13+E689*$AC$14+F689*$AC$15+G689*$AC$16+H689*$AC$17+I689*$AC$18+J689*$AC$19+K689*$AC$20+L689*$AC$21+M689*$AC$22+N689*$AC$23+O689*$AC$24+P689*$AC$25+Q689*$AC$26+R689*$AC$27+S689*$AC$28+T689*$AC$29+U689*$AC$30</f>
        <v/>
      </c>
      <c r="W689" s="6">
        <f>1/(1+EXP(-V689))</f>
        <v/>
      </c>
      <c r="X689" s="8">
        <f>-IF(C689=1,LN(W689),LN(1-W689))</f>
        <v/>
      </c>
      <c r="Y689" s="9">
        <f>IF(W689&gt;$AC$32,1,0)</f>
        <v/>
      </c>
      <c r="Z689">
        <f>IF(Y689=C689,1,0)</f>
        <v/>
      </c>
    </row>
    <row r="690">
      <c r="A690">
        <f>'3 escalar'!A693</f>
        <v/>
      </c>
      <c r="B690" s="5">
        <f>'3 escalar'!U693</f>
        <v/>
      </c>
      <c r="C690">
        <f>'3 escalar'!B693</f>
        <v/>
      </c>
      <c r="D690" s="7">
        <f>'3 escalar'!C693</f>
        <v/>
      </c>
      <c r="E690" s="7">
        <f>'3 escalar'!D693</f>
        <v/>
      </c>
      <c r="F690" s="7">
        <f>'3 escalar'!E693</f>
        <v/>
      </c>
      <c r="G690" s="7">
        <f>'3 escalar'!F693</f>
        <v/>
      </c>
      <c r="H690" s="7">
        <f>'3 escalar'!G693</f>
        <v/>
      </c>
      <c r="I690" s="7">
        <f>'3 escalar'!H693</f>
        <v/>
      </c>
      <c r="J690" s="7">
        <f>'3 escalar'!I693</f>
        <v/>
      </c>
      <c r="K690" s="7">
        <f>'3 escalar'!J693</f>
        <v/>
      </c>
      <c r="L690" s="7">
        <f>'3 escalar'!K693</f>
        <v/>
      </c>
      <c r="M690" s="7">
        <f>'3 escalar'!L693</f>
        <v/>
      </c>
      <c r="N690" s="7">
        <f>'3 escalar'!M693</f>
        <v/>
      </c>
      <c r="O690" s="7">
        <f>'3 escalar'!N693</f>
        <v/>
      </c>
      <c r="P690" s="7">
        <f>'3 escalar'!O693</f>
        <v/>
      </c>
      <c r="Q690" s="7">
        <f>'3 escalar'!P693</f>
        <v/>
      </c>
      <c r="R690" s="7">
        <f>'3 escalar'!Q693</f>
        <v/>
      </c>
      <c r="S690" s="7">
        <f>'3 escalar'!R693</f>
        <v/>
      </c>
      <c r="T690" s="7">
        <f>'3 escalar'!S693</f>
        <v/>
      </c>
      <c r="U690" s="7">
        <f>'3 escalar'!T693</f>
        <v/>
      </c>
      <c r="V690" s="6">
        <f>$AC$12+D690*$AC$13+E690*$AC$14+F690*$AC$15+G690*$AC$16+H690*$AC$17+I690*$AC$18+J690*$AC$19+K690*$AC$20+L690*$AC$21+M690*$AC$22+N690*$AC$23+O690*$AC$24+P690*$AC$25+Q690*$AC$26+R690*$AC$27+S690*$AC$28+T690*$AC$29+U690*$AC$30</f>
        <v/>
      </c>
      <c r="W690" s="6">
        <f>1/(1+EXP(-V690))</f>
        <v/>
      </c>
      <c r="X690" s="8">
        <f>-IF(C690=1,LN(W690),LN(1-W690))</f>
        <v/>
      </c>
      <c r="Y690" s="9">
        <f>IF(W690&gt;$AC$32,1,0)</f>
        <v/>
      </c>
      <c r="Z690">
        <f>IF(Y690=C690,1,0)</f>
        <v/>
      </c>
    </row>
    <row r="691">
      <c r="A691">
        <f>'3 escalar'!A694</f>
        <v/>
      </c>
      <c r="B691" s="5">
        <f>'3 escalar'!U694</f>
        <v/>
      </c>
      <c r="C691">
        <f>'3 escalar'!B694</f>
        <v/>
      </c>
      <c r="D691" s="7">
        <f>'3 escalar'!C694</f>
        <v/>
      </c>
      <c r="E691" s="7">
        <f>'3 escalar'!D694</f>
        <v/>
      </c>
      <c r="F691" s="7">
        <f>'3 escalar'!E694</f>
        <v/>
      </c>
      <c r="G691" s="7">
        <f>'3 escalar'!F694</f>
        <v/>
      </c>
      <c r="H691" s="7">
        <f>'3 escalar'!G694</f>
        <v/>
      </c>
      <c r="I691" s="7">
        <f>'3 escalar'!H694</f>
        <v/>
      </c>
      <c r="J691" s="7">
        <f>'3 escalar'!I694</f>
        <v/>
      </c>
      <c r="K691" s="7">
        <f>'3 escalar'!J694</f>
        <v/>
      </c>
      <c r="L691" s="7">
        <f>'3 escalar'!K694</f>
        <v/>
      </c>
      <c r="M691" s="7">
        <f>'3 escalar'!L694</f>
        <v/>
      </c>
      <c r="N691" s="7">
        <f>'3 escalar'!M694</f>
        <v/>
      </c>
      <c r="O691" s="7">
        <f>'3 escalar'!N694</f>
        <v/>
      </c>
      <c r="P691" s="7">
        <f>'3 escalar'!O694</f>
        <v/>
      </c>
      <c r="Q691" s="7">
        <f>'3 escalar'!P694</f>
        <v/>
      </c>
      <c r="R691" s="7">
        <f>'3 escalar'!Q694</f>
        <v/>
      </c>
      <c r="S691" s="7">
        <f>'3 escalar'!R694</f>
        <v/>
      </c>
      <c r="T691" s="7">
        <f>'3 escalar'!S694</f>
        <v/>
      </c>
      <c r="U691" s="7">
        <f>'3 escalar'!T694</f>
        <v/>
      </c>
      <c r="V691" s="6">
        <f>$AC$12+D691*$AC$13+E691*$AC$14+F691*$AC$15+G691*$AC$16+H691*$AC$17+I691*$AC$18+J691*$AC$19+K691*$AC$20+L691*$AC$21+M691*$AC$22+N691*$AC$23+O691*$AC$24+P691*$AC$25+Q691*$AC$26+R691*$AC$27+S691*$AC$28+T691*$AC$29+U691*$AC$30</f>
        <v/>
      </c>
      <c r="W691" s="6">
        <f>1/(1+EXP(-V691))</f>
        <v/>
      </c>
      <c r="X691" s="8">
        <f>-IF(C691=1,LN(W691),LN(1-W691))</f>
        <v/>
      </c>
      <c r="Y691" s="9">
        <f>IF(W691&gt;$AC$32,1,0)</f>
        <v/>
      </c>
      <c r="Z691">
        <f>IF(Y691=C691,1,0)</f>
        <v/>
      </c>
    </row>
    <row r="692">
      <c r="A692">
        <f>'3 escalar'!A695</f>
        <v/>
      </c>
      <c r="B692" s="5">
        <f>'3 escalar'!U695</f>
        <v/>
      </c>
      <c r="C692">
        <f>'3 escalar'!B695</f>
        <v/>
      </c>
      <c r="D692" s="7">
        <f>'3 escalar'!C695</f>
        <v/>
      </c>
      <c r="E692" s="7">
        <f>'3 escalar'!D695</f>
        <v/>
      </c>
      <c r="F692" s="7">
        <f>'3 escalar'!E695</f>
        <v/>
      </c>
      <c r="G692" s="7">
        <f>'3 escalar'!F695</f>
        <v/>
      </c>
      <c r="H692" s="7">
        <f>'3 escalar'!G695</f>
        <v/>
      </c>
      <c r="I692" s="7">
        <f>'3 escalar'!H695</f>
        <v/>
      </c>
      <c r="J692" s="7">
        <f>'3 escalar'!I695</f>
        <v/>
      </c>
      <c r="K692" s="7">
        <f>'3 escalar'!J695</f>
        <v/>
      </c>
      <c r="L692" s="7">
        <f>'3 escalar'!K695</f>
        <v/>
      </c>
      <c r="M692" s="7">
        <f>'3 escalar'!L695</f>
        <v/>
      </c>
      <c r="N692" s="7">
        <f>'3 escalar'!M695</f>
        <v/>
      </c>
      <c r="O692" s="7">
        <f>'3 escalar'!N695</f>
        <v/>
      </c>
      <c r="P692" s="7">
        <f>'3 escalar'!O695</f>
        <v/>
      </c>
      <c r="Q692" s="7">
        <f>'3 escalar'!P695</f>
        <v/>
      </c>
      <c r="R692" s="7">
        <f>'3 escalar'!Q695</f>
        <v/>
      </c>
      <c r="S692" s="7">
        <f>'3 escalar'!R695</f>
        <v/>
      </c>
      <c r="T692" s="7">
        <f>'3 escalar'!S695</f>
        <v/>
      </c>
      <c r="U692" s="7">
        <f>'3 escalar'!T695</f>
        <v/>
      </c>
      <c r="V692" s="6">
        <f>$AC$12+D692*$AC$13+E692*$AC$14+F692*$AC$15+G692*$AC$16+H692*$AC$17+I692*$AC$18+J692*$AC$19+K692*$AC$20+L692*$AC$21+M692*$AC$22+N692*$AC$23+O692*$AC$24+P692*$AC$25+Q692*$AC$26+R692*$AC$27+S692*$AC$28+T692*$AC$29+U692*$AC$30</f>
        <v/>
      </c>
      <c r="W692" s="6">
        <f>1/(1+EXP(-V692))</f>
        <v/>
      </c>
      <c r="X692" s="8">
        <f>-IF(C692=1,LN(W692),LN(1-W692))</f>
        <v/>
      </c>
      <c r="Y692" s="9">
        <f>IF(W692&gt;$AC$32,1,0)</f>
        <v/>
      </c>
      <c r="Z692">
        <f>IF(Y692=C692,1,0)</f>
        <v/>
      </c>
    </row>
    <row r="693">
      <c r="A693">
        <f>'3 escalar'!A696</f>
        <v/>
      </c>
      <c r="B693" s="5">
        <f>'3 escalar'!U696</f>
        <v/>
      </c>
      <c r="C693">
        <f>'3 escalar'!B696</f>
        <v/>
      </c>
      <c r="D693" s="7">
        <f>'3 escalar'!C696</f>
        <v/>
      </c>
      <c r="E693" s="7">
        <f>'3 escalar'!D696</f>
        <v/>
      </c>
      <c r="F693" s="7">
        <f>'3 escalar'!E696</f>
        <v/>
      </c>
      <c r="G693" s="7">
        <f>'3 escalar'!F696</f>
        <v/>
      </c>
      <c r="H693" s="7">
        <f>'3 escalar'!G696</f>
        <v/>
      </c>
      <c r="I693" s="7">
        <f>'3 escalar'!H696</f>
        <v/>
      </c>
      <c r="J693" s="7">
        <f>'3 escalar'!I696</f>
        <v/>
      </c>
      <c r="K693" s="7">
        <f>'3 escalar'!J696</f>
        <v/>
      </c>
      <c r="L693" s="7">
        <f>'3 escalar'!K696</f>
        <v/>
      </c>
      <c r="M693" s="7">
        <f>'3 escalar'!L696</f>
        <v/>
      </c>
      <c r="N693" s="7">
        <f>'3 escalar'!M696</f>
        <v/>
      </c>
      <c r="O693" s="7">
        <f>'3 escalar'!N696</f>
        <v/>
      </c>
      <c r="P693" s="7">
        <f>'3 escalar'!O696</f>
        <v/>
      </c>
      <c r="Q693" s="7">
        <f>'3 escalar'!P696</f>
        <v/>
      </c>
      <c r="R693" s="7">
        <f>'3 escalar'!Q696</f>
        <v/>
      </c>
      <c r="S693" s="7">
        <f>'3 escalar'!R696</f>
        <v/>
      </c>
      <c r="T693" s="7">
        <f>'3 escalar'!S696</f>
        <v/>
      </c>
      <c r="U693" s="7">
        <f>'3 escalar'!T696</f>
        <v/>
      </c>
      <c r="V693" s="6">
        <f>$AC$12+D693*$AC$13+E693*$AC$14+F693*$AC$15+G693*$AC$16+H693*$AC$17+I693*$AC$18+J693*$AC$19+K693*$AC$20+L693*$AC$21+M693*$AC$22+N693*$AC$23+O693*$AC$24+P693*$AC$25+Q693*$AC$26+R693*$AC$27+S693*$AC$28+T693*$AC$29+U693*$AC$30</f>
        <v/>
      </c>
      <c r="W693" s="6">
        <f>1/(1+EXP(-V693))</f>
        <v/>
      </c>
      <c r="X693" s="8">
        <f>-IF(C693=1,LN(W693),LN(1-W693))</f>
        <v/>
      </c>
      <c r="Y693" s="9">
        <f>IF(W693&gt;$AC$32,1,0)</f>
        <v/>
      </c>
      <c r="Z693">
        <f>IF(Y693=C693,1,0)</f>
        <v/>
      </c>
    </row>
    <row r="694">
      <c r="A694">
        <f>'3 escalar'!A697</f>
        <v/>
      </c>
      <c r="B694" s="5">
        <f>'3 escalar'!U697</f>
        <v/>
      </c>
      <c r="C694">
        <f>'3 escalar'!B697</f>
        <v/>
      </c>
      <c r="D694" s="7">
        <f>'3 escalar'!C697</f>
        <v/>
      </c>
      <c r="E694" s="7">
        <f>'3 escalar'!D697</f>
        <v/>
      </c>
      <c r="F694" s="7">
        <f>'3 escalar'!E697</f>
        <v/>
      </c>
      <c r="G694" s="7">
        <f>'3 escalar'!F697</f>
        <v/>
      </c>
      <c r="H694" s="7">
        <f>'3 escalar'!G697</f>
        <v/>
      </c>
      <c r="I694" s="7">
        <f>'3 escalar'!H697</f>
        <v/>
      </c>
      <c r="J694" s="7">
        <f>'3 escalar'!I697</f>
        <v/>
      </c>
      <c r="K694" s="7">
        <f>'3 escalar'!J697</f>
        <v/>
      </c>
      <c r="L694" s="7">
        <f>'3 escalar'!K697</f>
        <v/>
      </c>
      <c r="M694" s="7">
        <f>'3 escalar'!L697</f>
        <v/>
      </c>
      <c r="N694" s="7">
        <f>'3 escalar'!M697</f>
        <v/>
      </c>
      <c r="O694" s="7">
        <f>'3 escalar'!N697</f>
        <v/>
      </c>
      <c r="P694" s="7">
        <f>'3 escalar'!O697</f>
        <v/>
      </c>
      <c r="Q694" s="7">
        <f>'3 escalar'!P697</f>
        <v/>
      </c>
      <c r="R694" s="7">
        <f>'3 escalar'!Q697</f>
        <v/>
      </c>
      <c r="S694" s="7">
        <f>'3 escalar'!R697</f>
        <v/>
      </c>
      <c r="T694" s="7">
        <f>'3 escalar'!S697</f>
        <v/>
      </c>
      <c r="U694" s="7">
        <f>'3 escalar'!T697</f>
        <v/>
      </c>
      <c r="V694" s="6">
        <f>$AC$12+D694*$AC$13+E694*$AC$14+F694*$AC$15+G694*$AC$16+H694*$AC$17+I694*$AC$18+J694*$AC$19+K694*$AC$20+L694*$AC$21+M694*$AC$22+N694*$AC$23+O694*$AC$24+P694*$AC$25+Q694*$AC$26+R694*$AC$27+S694*$AC$28+T694*$AC$29+U694*$AC$30</f>
        <v/>
      </c>
      <c r="W694" s="6">
        <f>1/(1+EXP(-V694))</f>
        <v/>
      </c>
      <c r="X694" s="8">
        <f>-IF(C694=1,LN(W694),LN(1-W694))</f>
        <v/>
      </c>
      <c r="Y694" s="9">
        <f>IF(W694&gt;$AC$32,1,0)</f>
        <v/>
      </c>
      <c r="Z694">
        <f>IF(Y694=C694,1,0)</f>
        <v/>
      </c>
    </row>
    <row r="695">
      <c r="A695">
        <f>'3 escalar'!A698</f>
        <v/>
      </c>
      <c r="B695" s="5">
        <f>'3 escalar'!U698</f>
        <v/>
      </c>
      <c r="C695">
        <f>'3 escalar'!B698</f>
        <v/>
      </c>
      <c r="D695" s="7">
        <f>'3 escalar'!C698</f>
        <v/>
      </c>
      <c r="E695" s="7">
        <f>'3 escalar'!D698</f>
        <v/>
      </c>
      <c r="F695" s="7">
        <f>'3 escalar'!E698</f>
        <v/>
      </c>
      <c r="G695" s="7">
        <f>'3 escalar'!F698</f>
        <v/>
      </c>
      <c r="H695" s="7">
        <f>'3 escalar'!G698</f>
        <v/>
      </c>
      <c r="I695" s="7">
        <f>'3 escalar'!H698</f>
        <v/>
      </c>
      <c r="J695" s="7">
        <f>'3 escalar'!I698</f>
        <v/>
      </c>
      <c r="K695" s="7">
        <f>'3 escalar'!J698</f>
        <v/>
      </c>
      <c r="L695" s="7">
        <f>'3 escalar'!K698</f>
        <v/>
      </c>
      <c r="M695" s="7">
        <f>'3 escalar'!L698</f>
        <v/>
      </c>
      <c r="N695" s="7">
        <f>'3 escalar'!M698</f>
        <v/>
      </c>
      <c r="O695" s="7">
        <f>'3 escalar'!N698</f>
        <v/>
      </c>
      <c r="P695" s="7">
        <f>'3 escalar'!O698</f>
        <v/>
      </c>
      <c r="Q695" s="7">
        <f>'3 escalar'!P698</f>
        <v/>
      </c>
      <c r="R695" s="7">
        <f>'3 escalar'!Q698</f>
        <v/>
      </c>
      <c r="S695" s="7">
        <f>'3 escalar'!R698</f>
        <v/>
      </c>
      <c r="T695" s="7">
        <f>'3 escalar'!S698</f>
        <v/>
      </c>
      <c r="U695" s="7">
        <f>'3 escalar'!T698</f>
        <v/>
      </c>
      <c r="V695" s="6">
        <f>$AC$12+D695*$AC$13+E695*$AC$14+F695*$AC$15+G695*$AC$16+H695*$AC$17+I695*$AC$18+J695*$AC$19+K695*$AC$20+L695*$AC$21+M695*$AC$22+N695*$AC$23+O695*$AC$24+P695*$AC$25+Q695*$AC$26+R695*$AC$27+S695*$AC$28+T695*$AC$29+U695*$AC$30</f>
        <v/>
      </c>
      <c r="W695" s="6">
        <f>1/(1+EXP(-V695))</f>
        <v/>
      </c>
      <c r="X695" s="8">
        <f>-IF(C695=1,LN(W695),LN(1-W695))</f>
        <v/>
      </c>
      <c r="Y695" s="9">
        <f>IF(W695&gt;$AC$32,1,0)</f>
        <v/>
      </c>
      <c r="Z695">
        <f>IF(Y695=C695,1,0)</f>
        <v/>
      </c>
    </row>
    <row r="696">
      <c r="A696">
        <f>'3 escalar'!A699</f>
        <v/>
      </c>
      <c r="B696" s="5">
        <f>'3 escalar'!U699</f>
        <v/>
      </c>
      <c r="C696">
        <f>'3 escalar'!B699</f>
        <v/>
      </c>
      <c r="D696" s="7">
        <f>'3 escalar'!C699</f>
        <v/>
      </c>
      <c r="E696" s="7">
        <f>'3 escalar'!D699</f>
        <v/>
      </c>
      <c r="F696" s="7">
        <f>'3 escalar'!E699</f>
        <v/>
      </c>
      <c r="G696" s="7">
        <f>'3 escalar'!F699</f>
        <v/>
      </c>
      <c r="H696" s="7">
        <f>'3 escalar'!G699</f>
        <v/>
      </c>
      <c r="I696" s="7">
        <f>'3 escalar'!H699</f>
        <v/>
      </c>
      <c r="J696" s="7">
        <f>'3 escalar'!I699</f>
        <v/>
      </c>
      <c r="K696" s="7">
        <f>'3 escalar'!J699</f>
        <v/>
      </c>
      <c r="L696" s="7">
        <f>'3 escalar'!K699</f>
        <v/>
      </c>
      <c r="M696" s="7">
        <f>'3 escalar'!L699</f>
        <v/>
      </c>
      <c r="N696" s="7">
        <f>'3 escalar'!M699</f>
        <v/>
      </c>
      <c r="O696" s="7">
        <f>'3 escalar'!N699</f>
        <v/>
      </c>
      <c r="P696" s="7">
        <f>'3 escalar'!O699</f>
        <v/>
      </c>
      <c r="Q696" s="7">
        <f>'3 escalar'!P699</f>
        <v/>
      </c>
      <c r="R696" s="7">
        <f>'3 escalar'!Q699</f>
        <v/>
      </c>
      <c r="S696" s="7">
        <f>'3 escalar'!R699</f>
        <v/>
      </c>
      <c r="T696" s="7">
        <f>'3 escalar'!S699</f>
        <v/>
      </c>
      <c r="U696" s="7">
        <f>'3 escalar'!T699</f>
        <v/>
      </c>
      <c r="V696" s="6">
        <f>$AC$12+D696*$AC$13+E696*$AC$14+F696*$AC$15+G696*$AC$16+H696*$AC$17+I696*$AC$18+J696*$AC$19+K696*$AC$20+L696*$AC$21+M696*$AC$22+N696*$AC$23+O696*$AC$24+P696*$AC$25+Q696*$AC$26+R696*$AC$27+S696*$AC$28+T696*$AC$29+U696*$AC$30</f>
        <v/>
      </c>
      <c r="W696" s="6">
        <f>1/(1+EXP(-V696))</f>
        <v/>
      </c>
      <c r="X696" s="8">
        <f>-IF(C696=1,LN(W696),LN(1-W696))</f>
        <v/>
      </c>
      <c r="Y696" s="9">
        <f>IF(W696&gt;$AC$32,1,0)</f>
        <v/>
      </c>
      <c r="Z696">
        <f>IF(Y696=C696,1,0)</f>
        <v/>
      </c>
    </row>
    <row r="697">
      <c r="A697">
        <f>'3 escalar'!A700</f>
        <v/>
      </c>
      <c r="B697" s="5">
        <f>'3 escalar'!U700</f>
        <v/>
      </c>
      <c r="C697">
        <f>'3 escalar'!B700</f>
        <v/>
      </c>
      <c r="D697" s="7">
        <f>'3 escalar'!C700</f>
        <v/>
      </c>
      <c r="E697" s="7">
        <f>'3 escalar'!D700</f>
        <v/>
      </c>
      <c r="F697" s="7">
        <f>'3 escalar'!E700</f>
        <v/>
      </c>
      <c r="G697" s="7">
        <f>'3 escalar'!F700</f>
        <v/>
      </c>
      <c r="H697" s="7">
        <f>'3 escalar'!G700</f>
        <v/>
      </c>
      <c r="I697" s="7">
        <f>'3 escalar'!H700</f>
        <v/>
      </c>
      <c r="J697" s="7">
        <f>'3 escalar'!I700</f>
        <v/>
      </c>
      <c r="K697" s="7">
        <f>'3 escalar'!J700</f>
        <v/>
      </c>
      <c r="L697" s="7">
        <f>'3 escalar'!K700</f>
        <v/>
      </c>
      <c r="M697" s="7">
        <f>'3 escalar'!L700</f>
        <v/>
      </c>
      <c r="N697" s="7">
        <f>'3 escalar'!M700</f>
        <v/>
      </c>
      <c r="O697" s="7">
        <f>'3 escalar'!N700</f>
        <v/>
      </c>
      <c r="P697" s="7">
        <f>'3 escalar'!O700</f>
        <v/>
      </c>
      <c r="Q697" s="7">
        <f>'3 escalar'!P700</f>
        <v/>
      </c>
      <c r="R697" s="7">
        <f>'3 escalar'!Q700</f>
        <v/>
      </c>
      <c r="S697" s="7">
        <f>'3 escalar'!R700</f>
        <v/>
      </c>
      <c r="T697" s="7">
        <f>'3 escalar'!S700</f>
        <v/>
      </c>
      <c r="U697" s="7">
        <f>'3 escalar'!T700</f>
        <v/>
      </c>
      <c r="V697" s="6">
        <f>$AC$12+D697*$AC$13+E697*$AC$14+F697*$AC$15+G697*$AC$16+H697*$AC$17+I697*$AC$18+J697*$AC$19+K697*$AC$20+L697*$AC$21+M697*$AC$22+N697*$AC$23+O697*$AC$24+P697*$AC$25+Q697*$AC$26+R697*$AC$27+S697*$AC$28+T697*$AC$29+U697*$AC$30</f>
        <v/>
      </c>
      <c r="W697" s="6">
        <f>1/(1+EXP(-V697))</f>
        <v/>
      </c>
      <c r="X697" s="8">
        <f>-IF(C697=1,LN(W697),LN(1-W697))</f>
        <v/>
      </c>
      <c r="Y697" s="9">
        <f>IF(W697&gt;$AC$32,1,0)</f>
        <v/>
      </c>
      <c r="Z697">
        <f>IF(Y697=C697,1,0)</f>
        <v/>
      </c>
    </row>
    <row r="698">
      <c r="A698">
        <f>'3 escalar'!A701</f>
        <v/>
      </c>
      <c r="B698" s="5">
        <f>'3 escalar'!U701</f>
        <v/>
      </c>
      <c r="C698">
        <f>'3 escalar'!B701</f>
        <v/>
      </c>
      <c r="D698" s="7">
        <f>'3 escalar'!C701</f>
        <v/>
      </c>
      <c r="E698" s="7">
        <f>'3 escalar'!D701</f>
        <v/>
      </c>
      <c r="F698" s="7">
        <f>'3 escalar'!E701</f>
        <v/>
      </c>
      <c r="G698" s="7">
        <f>'3 escalar'!F701</f>
        <v/>
      </c>
      <c r="H698" s="7">
        <f>'3 escalar'!G701</f>
        <v/>
      </c>
      <c r="I698" s="7">
        <f>'3 escalar'!H701</f>
        <v/>
      </c>
      <c r="J698" s="7">
        <f>'3 escalar'!I701</f>
        <v/>
      </c>
      <c r="K698" s="7">
        <f>'3 escalar'!J701</f>
        <v/>
      </c>
      <c r="L698" s="7">
        <f>'3 escalar'!K701</f>
        <v/>
      </c>
      <c r="M698" s="7">
        <f>'3 escalar'!L701</f>
        <v/>
      </c>
      <c r="N698" s="7">
        <f>'3 escalar'!M701</f>
        <v/>
      </c>
      <c r="O698" s="7">
        <f>'3 escalar'!N701</f>
        <v/>
      </c>
      <c r="P698" s="7">
        <f>'3 escalar'!O701</f>
        <v/>
      </c>
      <c r="Q698" s="7">
        <f>'3 escalar'!P701</f>
        <v/>
      </c>
      <c r="R698" s="7">
        <f>'3 escalar'!Q701</f>
        <v/>
      </c>
      <c r="S698" s="7">
        <f>'3 escalar'!R701</f>
        <v/>
      </c>
      <c r="T698" s="7">
        <f>'3 escalar'!S701</f>
        <v/>
      </c>
      <c r="U698" s="7">
        <f>'3 escalar'!T701</f>
        <v/>
      </c>
      <c r="V698" s="6">
        <f>$AC$12+D698*$AC$13+E698*$AC$14+F698*$AC$15+G698*$AC$16+H698*$AC$17+I698*$AC$18+J698*$AC$19+K698*$AC$20+L698*$AC$21+M698*$AC$22+N698*$AC$23+O698*$AC$24+P698*$AC$25+Q698*$AC$26+R698*$AC$27+S698*$AC$28+T698*$AC$29+U698*$AC$30</f>
        <v/>
      </c>
      <c r="W698" s="6">
        <f>1/(1+EXP(-V698))</f>
        <v/>
      </c>
      <c r="X698" s="8">
        <f>-IF(C698=1,LN(W698),LN(1-W698))</f>
        <v/>
      </c>
      <c r="Y698" s="9">
        <f>IF(W698&gt;$AC$32,1,0)</f>
        <v/>
      </c>
      <c r="Z698">
        <f>IF(Y698=C698,1,0)</f>
        <v/>
      </c>
    </row>
    <row r="699">
      <c r="A699">
        <f>'3 escalar'!A702</f>
        <v/>
      </c>
      <c r="B699" s="5">
        <f>'3 escalar'!U702</f>
        <v/>
      </c>
      <c r="C699">
        <f>'3 escalar'!B702</f>
        <v/>
      </c>
      <c r="D699" s="7">
        <f>'3 escalar'!C702</f>
        <v/>
      </c>
      <c r="E699" s="7">
        <f>'3 escalar'!D702</f>
        <v/>
      </c>
      <c r="F699" s="7">
        <f>'3 escalar'!E702</f>
        <v/>
      </c>
      <c r="G699" s="7">
        <f>'3 escalar'!F702</f>
        <v/>
      </c>
      <c r="H699" s="7">
        <f>'3 escalar'!G702</f>
        <v/>
      </c>
      <c r="I699" s="7">
        <f>'3 escalar'!H702</f>
        <v/>
      </c>
      <c r="J699" s="7">
        <f>'3 escalar'!I702</f>
        <v/>
      </c>
      <c r="K699" s="7">
        <f>'3 escalar'!J702</f>
        <v/>
      </c>
      <c r="L699" s="7">
        <f>'3 escalar'!K702</f>
        <v/>
      </c>
      <c r="M699" s="7">
        <f>'3 escalar'!L702</f>
        <v/>
      </c>
      <c r="N699" s="7">
        <f>'3 escalar'!M702</f>
        <v/>
      </c>
      <c r="O699" s="7">
        <f>'3 escalar'!N702</f>
        <v/>
      </c>
      <c r="P699" s="7">
        <f>'3 escalar'!O702</f>
        <v/>
      </c>
      <c r="Q699" s="7">
        <f>'3 escalar'!P702</f>
        <v/>
      </c>
      <c r="R699" s="7">
        <f>'3 escalar'!Q702</f>
        <v/>
      </c>
      <c r="S699" s="7">
        <f>'3 escalar'!R702</f>
        <v/>
      </c>
      <c r="T699" s="7">
        <f>'3 escalar'!S702</f>
        <v/>
      </c>
      <c r="U699" s="7">
        <f>'3 escalar'!T702</f>
        <v/>
      </c>
      <c r="V699" s="6">
        <f>$AC$12+D699*$AC$13+E699*$AC$14+F699*$AC$15+G699*$AC$16+H699*$AC$17+I699*$AC$18+J699*$AC$19+K699*$AC$20+L699*$AC$21+M699*$AC$22+N699*$AC$23+O699*$AC$24+P699*$AC$25+Q699*$AC$26+R699*$AC$27+S699*$AC$28+T699*$AC$29+U699*$AC$30</f>
        <v/>
      </c>
      <c r="W699" s="6">
        <f>1/(1+EXP(-V699))</f>
        <v/>
      </c>
      <c r="X699" s="8">
        <f>-IF(C699=1,LN(W699),LN(1-W699))</f>
        <v/>
      </c>
      <c r="Y699" s="9">
        <f>IF(W699&gt;$AC$32,1,0)</f>
        <v/>
      </c>
      <c r="Z699">
        <f>IF(Y699=C699,1,0)</f>
        <v/>
      </c>
    </row>
    <row r="700">
      <c r="A700">
        <f>'3 escalar'!A703</f>
        <v/>
      </c>
      <c r="B700" s="5">
        <f>'3 escalar'!U703</f>
        <v/>
      </c>
      <c r="C700">
        <f>'3 escalar'!B703</f>
        <v/>
      </c>
      <c r="D700" s="7">
        <f>'3 escalar'!C703</f>
        <v/>
      </c>
      <c r="E700" s="7">
        <f>'3 escalar'!D703</f>
        <v/>
      </c>
      <c r="F700" s="7">
        <f>'3 escalar'!E703</f>
        <v/>
      </c>
      <c r="G700" s="7">
        <f>'3 escalar'!F703</f>
        <v/>
      </c>
      <c r="H700" s="7">
        <f>'3 escalar'!G703</f>
        <v/>
      </c>
      <c r="I700" s="7">
        <f>'3 escalar'!H703</f>
        <v/>
      </c>
      <c r="J700" s="7">
        <f>'3 escalar'!I703</f>
        <v/>
      </c>
      <c r="K700" s="7">
        <f>'3 escalar'!J703</f>
        <v/>
      </c>
      <c r="L700" s="7">
        <f>'3 escalar'!K703</f>
        <v/>
      </c>
      <c r="M700" s="7">
        <f>'3 escalar'!L703</f>
        <v/>
      </c>
      <c r="N700" s="7">
        <f>'3 escalar'!M703</f>
        <v/>
      </c>
      <c r="O700" s="7">
        <f>'3 escalar'!N703</f>
        <v/>
      </c>
      <c r="P700" s="7">
        <f>'3 escalar'!O703</f>
        <v/>
      </c>
      <c r="Q700" s="7">
        <f>'3 escalar'!P703</f>
        <v/>
      </c>
      <c r="R700" s="7">
        <f>'3 escalar'!Q703</f>
        <v/>
      </c>
      <c r="S700" s="7">
        <f>'3 escalar'!R703</f>
        <v/>
      </c>
      <c r="T700" s="7">
        <f>'3 escalar'!S703</f>
        <v/>
      </c>
      <c r="U700" s="7">
        <f>'3 escalar'!T703</f>
        <v/>
      </c>
      <c r="V700" s="6">
        <f>$AC$12+D700*$AC$13+E700*$AC$14+F700*$AC$15+G700*$AC$16+H700*$AC$17+I700*$AC$18+J700*$AC$19+K700*$AC$20+L700*$AC$21+M700*$AC$22+N700*$AC$23+O700*$AC$24+P700*$AC$25+Q700*$AC$26+R700*$AC$27+S700*$AC$28+T700*$AC$29+U700*$AC$30</f>
        <v/>
      </c>
      <c r="W700" s="6">
        <f>1/(1+EXP(-V700))</f>
        <v/>
      </c>
      <c r="X700" s="8">
        <f>-IF(C700=1,LN(W700),LN(1-W700))</f>
        <v/>
      </c>
      <c r="Y700" s="9">
        <f>IF(W700&gt;$AC$32,1,0)</f>
        <v/>
      </c>
      <c r="Z700">
        <f>IF(Y700=C700,1,0)</f>
        <v/>
      </c>
    </row>
    <row r="701">
      <c r="A701">
        <f>'3 escalar'!A704</f>
        <v/>
      </c>
      <c r="B701" s="5">
        <f>'3 escalar'!U704</f>
        <v/>
      </c>
      <c r="C701">
        <f>'3 escalar'!B704</f>
        <v/>
      </c>
      <c r="D701" s="7">
        <f>'3 escalar'!C704</f>
        <v/>
      </c>
      <c r="E701" s="7">
        <f>'3 escalar'!D704</f>
        <v/>
      </c>
      <c r="F701" s="7">
        <f>'3 escalar'!E704</f>
        <v/>
      </c>
      <c r="G701" s="7">
        <f>'3 escalar'!F704</f>
        <v/>
      </c>
      <c r="H701" s="7">
        <f>'3 escalar'!G704</f>
        <v/>
      </c>
      <c r="I701" s="7">
        <f>'3 escalar'!H704</f>
        <v/>
      </c>
      <c r="J701" s="7">
        <f>'3 escalar'!I704</f>
        <v/>
      </c>
      <c r="K701" s="7">
        <f>'3 escalar'!J704</f>
        <v/>
      </c>
      <c r="L701" s="7">
        <f>'3 escalar'!K704</f>
        <v/>
      </c>
      <c r="M701" s="7">
        <f>'3 escalar'!L704</f>
        <v/>
      </c>
      <c r="N701" s="7">
        <f>'3 escalar'!M704</f>
        <v/>
      </c>
      <c r="O701" s="7">
        <f>'3 escalar'!N704</f>
        <v/>
      </c>
      <c r="P701" s="7">
        <f>'3 escalar'!O704</f>
        <v/>
      </c>
      <c r="Q701" s="7">
        <f>'3 escalar'!P704</f>
        <v/>
      </c>
      <c r="R701" s="7">
        <f>'3 escalar'!Q704</f>
        <v/>
      </c>
      <c r="S701" s="7">
        <f>'3 escalar'!R704</f>
        <v/>
      </c>
      <c r="T701" s="7">
        <f>'3 escalar'!S704</f>
        <v/>
      </c>
      <c r="U701" s="7">
        <f>'3 escalar'!T704</f>
        <v/>
      </c>
      <c r="V701" s="6">
        <f>$AC$12+D701*$AC$13+E701*$AC$14+F701*$AC$15+G701*$AC$16+H701*$AC$17+I701*$AC$18+J701*$AC$19+K701*$AC$20+L701*$AC$21+M701*$AC$22+N701*$AC$23+O701*$AC$24+P701*$AC$25+Q701*$AC$26+R701*$AC$27+S701*$AC$28+T701*$AC$29+U701*$AC$30</f>
        <v/>
      </c>
      <c r="W701" s="6">
        <f>1/(1+EXP(-V701))</f>
        <v/>
      </c>
      <c r="X701" s="8">
        <f>-IF(C701=1,LN(W701),LN(1-W701))</f>
        <v/>
      </c>
      <c r="Y701" s="9">
        <f>IF(W701&gt;$AC$32,1,0)</f>
        <v/>
      </c>
      <c r="Z701">
        <f>IF(Y701=C701,1,0)</f>
        <v/>
      </c>
    </row>
    <row r="702">
      <c r="A702">
        <f>'3 escalar'!A705</f>
        <v/>
      </c>
      <c r="B702" s="5">
        <f>'3 escalar'!U705</f>
        <v/>
      </c>
      <c r="C702">
        <f>'3 escalar'!B705</f>
        <v/>
      </c>
      <c r="D702" s="7">
        <f>'3 escalar'!C705</f>
        <v/>
      </c>
      <c r="E702" s="7">
        <f>'3 escalar'!D705</f>
        <v/>
      </c>
      <c r="F702" s="7">
        <f>'3 escalar'!E705</f>
        <v/>
      </c>
      <c r="G702" s="7">
        <f>'3 escalar'!F705</f>
        <v/>
      </c>
      <c r="H702" s="7">
        <f>'3 escalar'!G705</f>
        <v/>
      </c>
      <c r="I702" s="7">
        <f>'3 escalar'!H705</f>
        <v/>
      </c>
      <c r="J702" s="7">
        <f>'3 escalar'!I705</f>
        <v/>
      </c>
      <c r="K702" s="7">
        <f>'3 escalar'!J705</f>
        <v/>
      </c>
      <c r="L702" s="7">
        <f>'3 escalar'!K705</f>
        <v/>
      </c>
      <c r="M702" s="7">
        <f>'3 escalar'!L705</f>
        <v/>
      </c>
      <c r="N702" s="7">
        <f>'3 escalar'!M705</f>
        <v/>
      </c>
      <c r="O702" s="7">
        <f>'3 escalar'!N705</f>
        <v/>
      </c>
      <c r="P702" s="7">
        <f>'3 escalar'!O705</f>
        <v/>
      </c>
      <c r="Q702" s="7">
        <f>'3 escalar'!P705</f>
        <v/>
      </c>
      <c r="R702" s="7">
        <f>'3 escalar'!Q705</f>
        <v/>
      </c>
      <c r="S702" s="7">
        <f>'3 escalar'!R705</f>
        <v/>
      </c>
      <c r="T702" s="7">
        <f>'3 escalar'!S705</f>
        <v/>
      </c>
      <c r="U702" s="7">
        <f>'3 escalar'!T705</f>
        <v/>
      </c>
      <c r="V702" s="6">
        <f>$AC$12+D702*$AC$13+E702*$AC$14+F702*$AC$15+G702*$AC$16+H702*$AC$17+I702*$AC$18+J702*$AC$19+K702*$AC$20+L702*$AC$21+M702*$AC$22+N702*$AC$23+O702*$AC$24+P702*$AC$25+Q702*$AC$26+R702*$AC$27+S702*$AC$28+T702*$AC$29+U702*$AC$30</f>
        <v/>
      </c>
      <c r="W702" s="6">
        <f>1/(1+EXP(-V702))</f>
        <v/>
      </c>
      <c r="X702" s="8">
        <f>-IF(C702=1,LN(W702),LN(1-W702))</f>
        <v/>
      </c>
      <c r="Y702" s="9">
        <f>IF(W702&gt;$AC$32,1,0)</f>
        <v/>
      </c>
      <c r="Z702">
        <f>IF(Y702=C702,1,0)</f>
        <v/>
      </c>
    </row>
    <row r="703">
      <c r="A703">
        <f>'3 escalar'!A706</f>
        <v/>
      </c>
      <c r="B703" s="5">
        <f>'3 escalar'!U706</f>
        <v/>
      </c>
      <c r="C703">
        <f>'3 escalar'!B706</f>
        <v/>
      </c>
      <c r="D703" s="7">
        <f>'3 escalar'!C706</f>
        <v/>
      </c>
      <c r="E703" s="7">
        <f>'3 escalar'!D706</f>
        <v/>
      </c>
      <c r="F703" s="7">
        <f>'3 escalar'!E706</f>
        <v/>
      </c>
      <c r="G703" s="7">
        <f>'3 escalar'!F706</f>
        <v/>
      </c>
      <c r="H703" s="7">
        <f>'3 escalar'!G706</f>
        <v/>
      </c>
      <c r="I703" s="7">
        <f>'3 escalar'!H706</f>
        <v/>
      </c>
      <c r="J703" s="7">
        <f>'3 escalar'!I706</f>
        <v/>
      </c>
      <c r="K703" s="7">
        <f>'3 escalar'!J706</f>
        <v/>
      </c>
      <c r="L703" s="7">
        <f>'3 escalar'!K706</f>
        <v/>
      </c>
      <c r="M703" s="7">
        <f>'3 escalar'!L706</f>
        <v/>
      </c>
      <c r="N703" s="7">
        <f>'3 escalar'!M706</f>
        <v/>
      </c>
      <c r="O703" s="7">
        <f>'3 escalar'!N706</f>
        <v/>
      </c>
      <c r="P703" s="7">
        <f>'3 escalar'!O706</f>
        <v/>
      </c>
      <c r="Q703" s="7">
        <f>'3 escalar'!P706</f>
        <v/>
      </c>
      <c r="R703" s="7">
        <f>'3 escalar'!Q706</f>
        <v/>
      </c>
      <c r="S703" s="7">
        <f>'3 escalar'!R706</f>
        <v/>
      </c>
      <c r="T703" s="7">
        <f>'3 escalar'!S706</f>
        <v/>
      </c>
      <c r="U703" s="7">
        <f>'3 escalar'!T706</f>
        <v/>
      </c>
      <c r="V703" s="6">
        <f>$AC$12+D703*$AC$13+E703*$AC$14+F703*$AC$15+G703*$AC$16+H703*$AC$17+I703*$AC$18+J703*$AC$19+K703*$AC$20+L703*$AC$21+M703*$AC$22+N703*$AC$23+O703*$AC$24+P703*$AC$25+Q703*$AC$26+R703*$AC$27+S703*$AC$28+T703*$AC$29+U703*$AC$30</f>
        <v/>
      </c>
      <c r="W703" s="6">
        <f>1/(1+EXP(-V703))</f>
        <v/>
      </c>
      <c r="X703" s="8">
        <f>-IF(C703=1,LN(W703),LN(1-W703))</f>
        <v/>
      </c>
      <c r="Y703" s="9">
        <f>IF(W703&gt;$AC$32,1,0)</f>
        <v/>
      </c>
      <c r="Z703">
        <f>IF(Y703=C703,1,0)</f>
        <v/>
      </c>
    </row>
    <row r="704">
      <c r="A704">
        <f>'3 escalar'!A707</f>
        <v/>
      </c>
      <c r="B704" s="5">
        <f>'3 escalar'!U707</f>
        <v/>
      </c>
      <c r="C704">
        <f>'3 escalar'!B707</f>
        <v/>
      </c>
      <c r="D704" s="7">
        <f>'3 escalar'!C707</f>
        <v/>
      </c>
      <c r="E704" s="7">
        <f>'3 escalar'!D707</f>
        <v/>
      </c>
      <c r="F704" s="7">
        <f>'3 escalar'!E707</f>
        <v/>
      </c>
      <c r="G704" s="7">
        <f>'3 escalar'!F707</f>
        <v/>
      </c>
      <c r="H704" s="7">
        <f>'3 escalar'!G707</f>
        <v/>
      </c>
      <c r="I704" s="7">
        <f>'3 escalar'!H707</f>
        <v/>
      </c>
      <c r="J704" s="7">
        <f>'3 escalar'!I707</f>
        <v/>
      </c>
      <c r="K704" s="7">
        <f>'3 escalar'!J707</f>
        <v/>
      </c>
      <c r="L704" s="7">
        <f>'3 escalar'!K707</f>
        <v/>
      </c>
      <c r="M704" s="7">
        <f>'3 escalar'!L707</f>
        <v/>
      </c>
      <c r="N704" s="7">
        <f>'3 escalar'!M707</f>
        <v/>
      </c>
      <c r="O704" s="7">
        <f>'3 escalar'!N707</f>
        <v/>
      </c>
      <c r="P704" s="7">
        <f>'3 escalar'!O707</f>
        <v/>
      </c>
      <c r="Q704" s="7">
        <f>'3 escalar'!P707</f>
        <v/>
      </c>
      <c r="R704" s="7">
        <f>'3 escalar'!Q707</f>
        <v/>
      </c>
      <c r="S704" s="7">
        <f>'3 escalar'!R707</f>
        <v/>
      </c>
      <c r="T704" s="7">
        <f>'3 escalar'!S707</f>
        <v/>
      </c>
      <c r="U704" s="7">
        <f>'3 escalar'!T707</f>
        <v/>
      </c>
      <c r="V704" s="6">
        <f>$AC$12+D704*$AC$13+E704*$AC$14+F704*$AC$15+G704*$AC$16+H704*$AC$17+I704*$AC$18+J704*$AC$19+K704*$AC$20+L704*$AC$21+M704*$AC$22+N704*$AC$23+O704*$AC$24+P704*$AC$25+Q704*$AC$26+R704*$AC$27+S704*$AC$28+T704*$AC$29+U704*$AC$30</f>
        <v/>
      </c>
      <c r="W704" s="6">
        <f>1/(1+EXP(-V704))</f>
        <v/>
      </c>
      <c r="X704" s="8">
        <f>-IF(C704=1,LN(W704),LN(1-W704))</f>
        <v/>
      </c>
      <c r="Y704" s="9">
        <f>IF(W704&gt;$AC$32,1,0)</f>
        <v/>
      </c>
      <c r="Z704">
        <f>IF(Y704=C704,1,0)</f>
        <v/>
      </c>
    </row>
    <row r="705">
      <c r="A705">
        <f>'3 escalar'!A708</f>
        <v/>
      </c>
      <c r="B705" s="5">
        <f>'3 escalar'!U708</f>
        <v/>
      </c>
      <c r="C705">
        <f>'3 escalar'!B708</f>
        <v/>
      </c>
      <c r="D705" s="7">
        <f>'3 escalar'!C708</f>
        <v/>
      </c>
      <c r="E705" s="7">
        <f>'3 escalar'!D708</f>
        <v/>
      </c>
      <c r="F705" s="7">
        <f>'3 escalar'!E708</f>
        <v/>
      </c>
      <c r="G705" s="7">
        <f>'3 escalar'!F708</f>
        <v/>
      </c>
      <c r="H705" s="7">
        <f>'3 escalar'!G708</f>
        <v/>
      </c>
      <c r="I705" s="7">
        <f>'3 escalar'!H708</f>
        <v/>
      </c>
      <c r="J705" s="7">
        <f>'3 escalar'!I708</f>
        <v/>
      </c>
      <c r="K705" s="7">
        <f>'3 escalar'!J708</f>
        <v/>
      </c>
      <c r="L705" s="7">
        <f>'3 escalar'!K708</f>
        <v/>
      </c>
      <c r="M705" s="7">
        <f>'3 escalar'!L708</f>
        <v/>
      </c>
      <c r="N705" s="7">
        <f>'3 escalar'!M708</f>
        <v/>
      </c>
      <c r="O705" s="7">
        <f>'3 escalar'!N708</f>
        <v/>
      </c>
      <c r="P705" s="7">
        <f>'3 escalar'!O708</f>
        <v/>
      </c>
      <c r="Q705" s="7">
        <f>'3 escalar'!P708</f>
        <v/>
      </c>
      <c r="R705" s="7">
        <f>'3 escalar'!Q708</f>
        <v/>
      </c>
      <c r="S705" s="7">
        <f>'3 escalar'!R708</f>
        <v/>
      </c>
      <c r="T705" s="7">
        <f>'3 escalar'!S708</f>
        <v/>
      </c>
      <c r="U705" s="7">
        <f>'3 escalar'!T708</f>
        <v/>
      </c>
      <c r="V705" s="6">
        <f>$AC$12+D705*$AC$13+E705*$AC$14+F705*$AC$15+G705*$AC$16+H705*$AC$17+I705*$AC$18+J705*$AC$19+K705*$AC$20+L705*$AC$21+M705*$AC$22+N705*$AC$23+O705*$AC$24+P705*$AC$25+Q705*$AC$26+R705*$AC$27+S705*$AC$28+T705*$AC$29+U705*$AC$30</f>
        <v/>
      </c>
      <c r="W705" s="6">
        <f>1/(1+EXP(-V705))</f>
        <v/>
      </c>
      <c r="X705" s="8">
        <f>-IF(C705=1,LN(W705),LN(1-W705))</f>
        <v/>
      </c>
      <c r="Y705" s="9">
        <f>IF(W705&gt;$AC$32,1,0)</f>
        <v/>
      </c>
      <c r="Z705">
        <f>IF(Y705=C705,1,0)</f>
        <v/>
      </c>
    </row>
    <row r="706">
      <c r="A706">
        <f>'3 escalar'!A709</f>
        <v/>
      </c>
      <c r="B706" s="5">
        <f>'3 escalar'!U709</f>
        <v/>
      </c>
      <c r="C706">
        <f>'3 escalar'!B709</f>
        <v/>
      </c>
      <c r="D706" s="7">
        <f>'3 escalar'!C709</f>
        <v/>
      </c>
      <c r="E706" s="7">
        <f>'3 escalar'!D709</f>
        <v/>
      </c>
      <c r="F706" s="7">
        <f>'3 escalar'!E709</f>
        <v/>
      </c>
      <c r="G706" s="7">
        <f>'3 escalar'!F709</f>
        <v/>
      </c>
      <c r="H706" s="7">
        <f>'3 escalar'!G709</f>
        <v/>
      </c>
      <c r="I706" s="7">
        <f>'3 escalar'!H709</f>
        <v/>
      </c>
      <c r="J706" s="7">
        <f>'3 escalar'!I709</f>
        <v/>
      </c>
      <c r="K706" s="7">
        <f>'3 escalar'!J709</f>
        <v/>
      </c>
      <c r="L706" s="7">
        <f>'3 escalar'!K709</f>
        <v/>
      </c>
      <c r="M706" s="7">
        <f>'3 escalar'!L709</f>
        <v/>
      </c>
      <c r="N706" s="7">
        <f>'3 escalar'!M709</f>
        <v/>
      </c>
      <c r="O706" s="7">
        <f>'3 escalar'!N709</f>
        <v/>
      </c>
      <c r="P706" s="7">
        <f>'3 escalar'!O709</f>
        <v/>
      </c>
      <c r="Q706" s="7">
        <f>'3 escalar'!P709</f>
        <v/>
      </c>
      <c r="R706" s="7">
        <f>'3 escalar'!Q709</f>
        <v/>
      </c>
      <c r="S706" s="7">
        <f>'3 escalar'!R709</f>
        <v/>
      </c>
      <c r="T706" s="7">
        <f>'3 escalar'!S709</f>
        <v/>
      </c>
      <c r="U706" s="7">
        <f>'3 escalar'!T709</f>
        <v/>
      </c>
      <c r="V706" s="6">
        <f>$AC$12+D706*$AC$13+E706*$AC$14+F706*$AC$15+G706*$AC$16+H706*$AC$17+I706*$AC$18+J706*$AC$19+K706*$AC$20+L706*$AC$21+M706*$AC$22+N706*$AC$23+O706*$AC$24+P706*$AC$25+Q706*$AC$26+R706*$AC$27+S706*$AC$28+T706*$AC$29+U706*$AC$30</f>
        <v/>
      </c>
      <c r="W706" s="6">
        <f>1/(1+EXP(-V706))</f>
        <v/>
      </c>
      <c r="X706" s="8">
        <f>-IF(C706=1,LN(W706),LN(1-W706))</f>
        <v/>
      </c>
      <c r="Y706" s="9">
        <f>IF(W706&gt;$AC$32,1,0)</f>
        <v/>
      </c>
      <c r="Z706">
        <f>IF(Y706=C706,1,0)</f>
        <v/>
      </c>
    </row>
    <row r="707">
      <c r="A707">
        <f>'3 escalar'!A710</f>
        <v/>
      </c>
      <c r="B707" s="5">
        <f>'3 escalar'!U710</f>
        <v/>
      </c>
      <c r="C707">
        <f>'3 escalar'!B710</f>
        <v/>
      </c>
      <c r="D707" s="7">
        <f>'3 escalar'!C710</f>
        <v/>
      </c>
      <c r="E707" s="7">
        <f>'3 escalar'!D710</f>
        <v/>
      </c>
      <c r="F707" s="7">
        <f>'3 escalar'!E710</f>
        <v/>
      </c>
      <c r="G707" s="7">
        <f>'3 escalar'!F710</f>
        <v/>
      </c>
      <c r="H707" s="7">
        <f>'3 escalar'!G710</f>
        <v/>
      </c>
      <c r="I707" s="7">
        <f>'3 escalar'!H710</f>
        <v/>
      </c>
      <c r="J707" s="7">
        <f>'3 escalar'!I710</f>
        <v/>
      </c>
      <c r="K707" s="7">
        <f>'3 escalar'!J710</f>
        <v/>
      </c>
      <c r="L707" s="7">
        <f>'3 escalar'!K710</f>
        <v/>
      </c>
      <c r="M707" s="7">
        <f>'3 escalar'!L710</f>
        <v/>
      </c>
      <c r="N707" s="7">
        <f>'3 escalar'!M710</f>
        <v/>
      </c>
      <c r="O707" s="7">
        <f>'3 escalar'!N710</f>
        <v/>
      </c>
      <c r="P707" s="7">
        <f>'3 escalar'!O710</f>
        <v/>
      </c>
      <c r="Q707" s="7">
        <f>'3 escalar'!P710</f>
        <v/>
      </c>
      <c r="R707" s="7">
        <f>'3 escalar'!Q710</f>
        <v/>
      </c>
      <c r="S707" s="7">
        <f>'3 escalar'!R710</f>
        <v/>
      </c>
      <c r="T707" s="7">
        <f>'3 escalar'!S710</f>
        <v/>
      </c>
      <c r="U707" s="7">
        <f>'3 escalar'!T710</f>
        <v/>
      </c>
      <c r="V707" s="6">
        <f>$AC$12+D707*$AC$13+E707*$AC$14+F707*$AC$15+G707*$AC$16+H707*$AC$17+I707*$AC$18+J707*$AC$19+K707*$AC$20+L707*$AC$21+M707*$AC$22+N707*$AC$23+O707*$AC$24+P707*$AC$25+Q707*$AC$26+R707*$AC$27+S707*$AC$28+T707*$AC$29+U707*$AC$30</f>
        <v/>
      </c>
      <c r="W707" s="6">
        <f>1/(1+EXP(-V707))</f>
        <v/>
      </c>
      <c r="X707" s="8">
        <f>-IF(C707=1,LN(W707),LN(1-W707))</f>
        <v/>
      </c>
      <c r="Y707" s="9">
        <f>IF(W707&gt;$AC$32,1,0)</f>
        <v/>
      </c>
      <c r="Z707">
        <f>IF(Y707=C707,1,0)</f>
        <v/>
      </c>
    </row>
    <row r="708">
      <c r="A708">
        <f>'3 escalar'!A711</f>
        <v/>
      </c>
      <c r="B708" s="5">
        <f>'3 escalar'!U711</f>
        <v/>
      </c>
      <c r="C708">
        <f>'3 escalar'!B711</f>
        <v/>
      </c>
      <c r="D708" s="7">
        <f>'3 escalar'!C711</f>
        <v/>
      </c>
      <c r="E708" s="7">
        <f>'3 escalar'!D711</f>
        <v/>
      </c>
      <c r="F708" s="7">
        <f>'3 escalar'!E711</f>
        <v/>
      </c>
      <c r="G708" s="7">
        <f>'3 escalar'!F711</f>
        <v/>
      </c>
      <c r="H708" s="7">
        <f>'3 escalar'!G711</f>
        <v/>
      </c>
      <c r="I708" s="7">
        <f>'3 escalar'!H711</f>
        <v/>
      </c>
      <c r="J708" s="7">
        <f>'3 escalar'!I711</f>
        <v/>
      </c>
      <c r="K708" s="7">
        <f>'3 escalar'!J711</f>
        <v/>
      </c>
      <c r="L708" s="7">
        <f>'3 escalar'!K711</f>
        <v/>
      </c>
      <c r="M708" s="7">
        <f>'3 escalar'!L711</f>
        <v/>
      </c>
      <c r="N708" s="7">
        <f>'3 escalar'!M711</f>
        <v/>
      </c>
      <c r="O708" s="7">
        <f>'3 escalar'!N711</f>
        <v/>
      </c>
      <c r="P708" s="7">
        <f>'3 escalar'!O711</f>
        <v/>
      </c>
      <c r="Q708" s="7">
        <f>'3 escalar'!P711</f>
        <v/>
      </c>
      <c r="R708" s="7">
        <f>'3 escalar'!Q711</f>
        <v/>
      </c>
      <c r="S708" s="7">
        <f>'3 escalar'!R711</f>
        <v/>
      </c>
      <c r="T708" s="7">
        <f>'3 escalar'!S711</f>
        <v/>
      </c>
      <c r="U708" s="7">
        <f>'3 escalar'!T711</f>
        <v/>
      </c>
      <c r="V708" s="6">
        <f>$AC$12+D708*$AC$13+E708*$AC$14+F708*$AC$15+G708*$AC$16+H708*$AC$17+I708*$AC$18+J708*$AC$19+K708*$AC$20+L708*$AC$21+M708*$AC$22+N708*$AC$23+O708*$AC$24+P708*$AC$25+Q708*$AC$26+R708*$AC$27+S708*$AC$28+T708*$AC$29+U708*$AC$30</f>
        <v/>
      </c>
      <c r="W708" s="6">
        <f>1/(1+EXP(-V708))</f>
        <v/>
      </c>
      <c r="X708" s="8">
        <f>-IF(C708=1,LN(W708),LN(1-W708))</f>
        <v/>
      </c>
      <c r="Y708" s="9">
        <f>IF(W708&gt;$AC$32,1,0)</f>
        <v/>
      </c>
      <c r="Z708">
        <f>IF(Y708=C708,1,0)</f>
        <v/>
      </c>
    </row>
    <row r="709">
      <c r="A709">
        <f>'3 escalar'!A712</f>
        <v/>
      </c>
      <c r="B709" s="5">
        <f>'3 escalar'!U712</f>
        <v/>
      </c>
      <c r="C709">
        <f>'3 escalar'!B712</f>
        <v/>
      </c>
      <c r="D709" s="7">
        <f>'3 escalar'!C712</f>
        <v/>
      </c>
      <c r="E709" s="7">
        <f>'3 escalar'!D712</f>
        <v/>
      </c>
      <c r="F709" s="7">
        <f>'3 escalar'!E712</f>
        <v/>
      </c>
      <c r="G709" s="7">
        <f>'3 escalar'!F712</f>
        <v/>
      </c>
      <c r="H709" s="7">
        <f>'3 escalar'!G712</f>
        <v/>
      </c>
      <c r="I709" s="7">
        <f>'3 escalar'!H712</f>
        <v/>
      </c>
      <c r="J709" s="7">
        <f>'3 escalar'!I712</f>
        <v/>
      </c>
      <c r="K709" s="7">
        <f>'3 escalar'!J712</f>
        <v/>
      </c>
      <c r="L709" s="7">
        <f>'3 escalar'!K712</f>
        <v/>
      </c>
      <c r="M709" s="7">
        <f>'3 escalar'!L712</f>
        <v/>
      </c>
      <c r="N709" s="7">
        <f>'3 escalar'!M712</f>
        <v/>
      </c>
      <c r="O709" s="7">
        <f>'3 escalar'!N712</f>
        <v/>
      </c>
      <c r="P709" s="7">
        <f>'3 escalar'!O712</f>
        <v/>
      </c>
      <c r="Q709" s="7">
        <f>'3 escalar'!P712</f>
        <v/>
      </c>
      <c r="R709" s="7">
        <f>'3 escalar'!Q712</f>
        <v/>
      </c>
      <c r="S709" s="7">
        <f>'3 escalar'!R712</f>
        <v/>
      </c>
      <c r="T709" s="7">
        <f>'3 escalar'!S712</f>
        <v/>
      </c>
      <c r="U709" s="7">
        <f>'3 escalar'!T712</f>
        <v/>
      </c>
      <c r="V709" s="6">
        <f>$AC$12+D709*$AC$13+E709*$AC$14+F709*$AC$15+G709*$AC$16+H709*$AC$17+I709*$AC$18+J709*$AC$19+K709*$AC$20+L709*$AC$21+M709*$AC$22+N709*$AC$23+O709*$AC$24+P709*$AC$25+Q709*$AC$26+R709*$AC$27+S709*$AC$28+T709*$AC$29+U709*$AC$30</f>
        <v/>
      </c>
      <c r="W709" s="6">
        <f>1/(1+EXP(-V709))</f>
        <v/>
      </c>
      <c r="X709" s="8">
        <f>-IF(C709=1,LN(W709),LN(1-W709))</f>
        <v/>
      </c>
      <c r="Y709" s="9">
        <f>IF(W709&gt;$AC$32,1,0)</f>
        <v/>
      </c>
      <c r="Z709">
        <f>IF(Y709=C709,1,0)</f>
        <v/>
      </c>
    </row>
    <row r="710">
      <c r="A710">
        <f>'3 escalar'!A713</f>
        <v/>
      </c>
      <c r="B710" s="5">
        <f>'3 escalar'!U713</f>
        <v/>
      </c>
      <c r="C710">
        <f>'3 escalar'!B713</f>
        <v/>
      </c>
      <c r="D710" s="7">
        <f>'3 escalar'!C713</f>
        <v/>
      </c>
      <c r="E710" s="7">
        <f>'3 escalar'!D713</f>
        <v/>
      </c>
      <c r="F710" s="7">
        <f>'3 escalar'!E713</f>
        <v/>
      </c>
      <c r="G710" s="7">
        <f>'3 escalar'!F713</f>
        <v/>
      </c>
      <c r="H710" s="7">
        <f>'3 escalar'!G713</f>
        <v/>
      </c>
      <c r="I710" s="7">
        <f>'3 escalar'!H713</f>
        <v/>
      </c>
      <c r="J710" s="7">
        <f>'3 escalar'!I713</f>
        <v/>
      </c>
      <c r="K710" s="7">
        <f>'3 escalar'!J713</f>
        <v/>
      </c>
      <c r="L710" s="7">
        <f>'3 escalar'!K713</f>
        <v/>
      </c>
      <c r="M710" s="7">
        <f>'3 escalar'!L713</f>
        <v/>
      </c>
      <c r="N710" s="7">
        <f>'3 escalar'!M713</f>
        <v/>
      </c>
      <c r="O710" s="7">
        <f>'3 escalar'!N713</f>
        <v/>
      </c>
      <c r="P710" s="7">
        <f>'3 escalar'!O713</f>
        <v/>
      </c>
      <c r="Q710" s="7">
        <f>'3 escalar'!P713</f>
        <v/>
      </c>
      <c r="R710" s="7">
        <f>'3 escalar'!Q713</f>
        <v/>
      </c>
      <c r="S710" s="7">
        <f>'3 escalar'!R713</f>
        <v/>
      </c>
      <c r="T710" s="7">
        <f>'3 escalar'!S713</f>
        <v/>
      </c>
      <c r="U710" s="7">
        <f>'3 escalar'!T713</f>
        <v/>
      </c>
      <c r="V710" s="6">
        <f>$AC$12+D710*$AC$13+E710*$AC$14+F710*$AC$15+G710*$AC$16+H710*$AC$17+I710*$AC$18+J710*$AC$19+K710*$AC$20+L710*$AC$21+M710*$AC$22+N710*$AC$23+O710*$AC$24+P710*$AC$25+Q710*$AC$26+R710*$AC$27+S710*$AC$28+T710*$AC$29+U710*$AC$30</f>
        <v/>
      </c>
      <c r="W710" s="6">
        <f>1/(1+EXP(-V710))</f>
        <v/>
      </c>
      <c r="X710" s="8">
        <f>-IF(C710=1,LN(W710),LN(1-W710))</f>
        <v/>
      </c>
      <c r="Y710" s="9">
        <f>IF(W710&gt;$AC$32,1,0)</f>
        <v/>
      </c>
      <c r="Z710">
        <f>IF(Y710=C710,1,0)</f>
        <v/>
      </c>
    </row>
    <row r="711">
      <c r="A711">
        <f>'3 escalar'!A714</f>
        <v/>
      </c>
      <c r="B711" s="5">
        <f>'3 escalar'!U714</f>
        <v/>
      </c>
      <c r="C711">
        <f>'3 escalar'!B714</f>
        <v/>
      </c>
      <c r="D711" s="7">
        <f>'3 escalar'!C714</f>
        <v/>
      </c>
      <c r="E711" s="7">
        <f>'3 escalar'!D714</f>
        <v/>
      </c>
      <c r="F711" s="7">
        <f>'3 escalar'!E714</f>
        <v/>
      </c>
      <c r="G711" s="7">
        <f>'3 escalar'!F714</f>
        <v/>
      </c>
      <c r="H711" s="7">
        <f>'3 escalar'!G714</f>
        <v/>
      </c>
      <c r="I711" s="7">
        <f>'3 escalar'!H714</f>
        <v/>
      </c>
      <c r="J711" s="7">
        <f>'3 escalar'!I714</f>
        <v/>
      </c>
      <c r="K711" s="7">
        <f>'3 escalar'!J714</f>
        <v/>
      </c>
      <c r="L711" s="7">
        <f>'3 escalar'!K714</f>
        <v/>
      </c>
      <c r="M711" s="7">
        <f>'3 escalar'!L714</f>
        <v/>
      </c>
      <c r="N711" s="7">
        <f>'3 escalar'!M714</f>
        <v/>
      </c>
      <c r="O711" s="7">
        <f>'3 escalar'!N714</f>
        <v/>
      </c>
      <c r="P711" s="7">
        <f>'3 escalar'!O714</f>
        <v/>
      </c>
      <c r="Q711" s="7">
        <f>'3 escalar'!P714</f>
        <v/>
      </c>
      <c r="R711" s="7">
        <f>'3 escalar'!Q714</f>
        <v/>
      </c>
      <c r="S711" s="7">
        <f>'3 escalar'!R714</f>
        <v/>
      </c>
      <c r="T711" s="7">
        <f>'3 escalar'!S714</f>
        <v/>
      </c>
      <c r="U711" s="7">
        <f>'3 escalar'!T714</f>
        <v/>
      </c>
      <c r="V711" s="6">
        <f>$AC$12+D711*$AC$13+E711*$AC$14+F711*$AC$15+G711*$AC$16+H711*$AC$17+I711*$AC$18+J711*$AC$19+K711*$AC$20+L711*$AC$21+M711*$AC$22+N711*$AC$23+O711*$AC$24+P711*$AC$25+Q711*$AC$26+R711*$AC$27+S711*$AC$28+T711*$AC$29+U711*$AC$30</f>
        <v/>
      </c>
      <c r="W711" s="6">
        <f>1/(1+EXP(-V711))</f>
        <v/>
      </c>
      <c r="X711" s="8">
        <f>-IF(C711=1,LN(W711),LN(1-W711))</f>
        <v/>
      </c>
      <c r="Y711" s="9">
        <f>IF(W711&gt;$AC$32,1,0)</f>
        <v/>
      </c>
      <c r="Z711">
        <f>IF(Y711=C711,1,0)</f>
        <v/>
      </c>
    </row>
    <row r="712">
      <c r="A712">
        <f>'3 escalar'!A715</f>
        <v/>
      </c>
      <c r="B712" s="5">
        <f>'3 escalar'!U715</f>
        <v/>
      </c>
      <c r="C712">
        <f>'3 escalar'!B715</f>
        <v/>
      </c>
      <c r="D712" s="7">
        <f>'3 escalar'!C715</f>
        <v/>
      </c>
      <c r="E712" s="7">
        <f>'3 escalar'!D715</f>
        <v/>
      </c>
      <c r="F712" s="7">
        <f>'3 escalar'!E715</f>
        <v/>
      </c>
      <c r="G712" s="7">
        <f>'3 escalar'!F715</f>
        <v/>
      </c>
      <c r="H712" s="7">
        <f>'3 escalar'!G715</f>
        <v/>
      </c>
      <c r="I712" s="7">
        <f>'3 escalar'!H715</f>
        <v/>
      </c>
      <c r="J712" s="7">
        <f>'3 escalar'!I715</f>
        <v/>
      </c>
      <c r="K712" s="7">
        <f>'3 escalar'!J715</f>
        <v/>
      </c>
      <c r="L712" s="7">
        <f>'3 escalar'!K715</f>
        <v/>
      </c>
      <c r="M712" s="7">
        <f>'3 escalar'!L715</f>
        <v/>
      </c>
      <c r="N712" s="7">
        <f>'3 escalar'!M715</f>
        <v/>
      </c>
      <c r="O712" s="7">
        <f>'3 escalar'!N715</f>
        <v/>
      </c>
      <c r="P712" s="7">
        <f>'3 escalar'!O715</f>
        <v/>
      </c>
      <c r="Q712" s="7">
        <f>'3 escalar'!P715</f>
        <v/>
      </c>
      <c r="R712" s="7">
        <f>'3 escalar'!Q715</f>
        <v/>
      </c>
      <c r="S712" s="7">
        <f>'3 escalar'!R715</f>
        <v/>
      </c>
      <c r="T712" s="7">
        <f>'3 escalar'!S715</f>
        <v/>
      </c>
      <c r="U712" s="7">
        <f>'3 escalar'!T715</f>
        <v/>
      </c>
      <c r="V712" s="6">
        <f>$AC$12+D712*$AC$13+E712*$AC$14+F712*$AC$15+G712*$AC$16+H712*$AC$17+I712*$AC$18+J712*$AC$19+K712*$AC$20+L712*$AC$21+M712*$AC$22+N712*$AC$23+O712*$AC$24+P712*$AC$25+Q712*$AC$26+R712*$AC$27+S712*$AC$28+T712*$AC$29+U712*$AC$30</f>
        <v/>
      </c>
      <c r="W712" s="6">
        <f>1/(1+EXP(-V712))</f>
        <v/>
      </c>
      <c r="X712" s="8">
        <f>-IF(C712=1,LN(W712),LN(1-W712))</f>
        <v/>
      </c>
      <c r="Y712" s="9">
        <f>IF(W712&gt;$AC$32,1,0)</f>
        <v/>
      </c>
      <c r="Z712">
        <f>IF(Y712=C712,1,0)</f>
        <v/>
      </c>
    </row>
    <row r="713">
      <c r="A713">
        <f>'3 escalar'!A716</f>
        <v/>
      </c>
      <c r="B713" s="5">
        <f>'3 escalar'!U716</f>
        <v/>
      </c>
      <c r="C713">
        <f>'3 escalar'!B716</f>
        <v/>
      </c>
      <c r="D713" s="7">
        <f>'3 escalar'!C716</f>
        <v/>
      </c>
      <c r="E713" s="7">
        <f>'3 escalar'!D716</f>
        <v/>
      </c>
      <c r="F713" s="7">
        <f>'3 escalar'!E716</f>
        <v/>
      </c>
      <c r="G713" s="7">
        <f>'3 escalar'!F716</f>
        <v/>
      </c>
      <c r="H713" s="7">
        <f>'3 escalar'!G716</f>
        <v/>
      </c>
      <c r="I713" s="7">
        <f>'3 escalar'!H716</f>
        <v/>
      </c>
      <c r="J713" s="7">
        <f>'3 escalar'!I716</f>
        <v/>
      </c>
      <c r="K713" s="7">
        <f>'3 escalar'!J716</f>
        <v/>
      </c>
      <c r="L713" s="7">
        <f>'3 escalar'!K716</f>
        <v/>
      </c>
      <c r="M713" s="7">
        <f>'3 escalar'!L716</f>
        <v/>
      </c>
      <c r="N713" s="7">
        <f>'3 escalar'!M716</f>
        <v/>
      </c>
      <c r="O713" s="7">
        <f>'3 escalar'!N716</f>
        <v/>
      </c>
      <c r="P713" s="7">
        <f>'3 escalar'!O716</f>
        <v/>
      </c>
      <c r="Q713" s="7">
        <f>'3 escalar'!P716</f>
        <v/>
      </c>
      <c r="R713" s="7">
        <f>'3 escalar'!Q716</f>
        <v/>
      </c>
      <c r="S713" s="7">
        <f>'3 escalar'!R716</f>
        <v/>
      </c>
      <c r="T713" s="7">
        <f>'3 escalar'!S716</f>
        <v/>
      </c>
      <c r="U713" s="7">
        <f>'3 escalar'!T716</f>
        <v/>
      </c>
      <c r="V713" s="6">
        <f>$AC$12+D713*$AC$13+E713*$AC$14+F713*$AC$15+G713*$AC$16+H713*$AC$17+I713*$AC$18+J713*$AC$19+K713*$AC$20+L713*$AC$21+M713*$AC$22+N713*$AC$23+O713*$AC$24+P713*$AC$25+Q713*$AC$26+R713*$AC$27+S713*$AC$28+T713*$AC$29+U713*$AC$30</f>
        <v/>
      </c>
      <c r="W713" s="6">
        <f>1/(1+EXP(-V713))</f>
        <v/>
      </c>
      <c r="X713" s="8">
        <f>-IF(C713=1,LN(W713),LN(1-W713))</f>
        <v/>
      </c>
      <c r="Y713" s="9">
        <f>IF(W713&gt;$AC$32,1,0)</f>
        <v/>
      </c>
      <c r="Z713">
        <f>IF(Y713=C713,1,0)</f>
        <v/>
      </c>
    </row>
    <row r="714">
      <c r="A714">
        <f>'3 escalar'!A717</f>
        <v/>
      </c>
      <c r="B714" s="5">
        <f>'3 escalar'!U717</f>
        <v/>
      </c>
      <c r="C714">
        <f>'3 escalar'!B717</f>
        <v/>
      </c>
      <c r="D714" s="7">
        <f>'3 escalar'!C717</f>
        <v/>
      </c>
      <c r="E714" s="7">
        <f>'3 escalar'!D717</f>
        <v/>
      </c>
      <c r="F714" s="7">
        <f>'3 escalar'!E717</f>
        <v/>
      </c>
      <c r="G714" s="7">
        <f>'3 escalar'!F717</f>
        <v/>
      </c>
      <c r="H714" s="7">
        <f>'3 escalar'!G717</f>
        <v/>
      </c>
      <c r="I714" s="7">
        <f>'3 escalar'!H717</f>
        <v/>
      </c>
      <c r="J714" s="7">
        <f>'3 escalar'!I717</f>
        <v/>
      </c>
      <c r="K714" s="7">
        <f>'3 escalar'!J717</f>
        <v/>
      </c>
      <c r="L714" s="7">
        <f>'3 escalar'!K717</f>
        <v/>
      </c>
      <c r="M714" s="7">
        <f>'3 escalar'!L717</f>
        <v/>
      </c>
      <c r="N714" s="7">
        <f>'3 escalar'!M717</f>
        <v/>
      </c>
      <c r="O714" s="7">
        <f>'3 escalar'!N717</f>
        <v/>
      </c>
      <c r="P714" s="7">
        <f>'3 escalar'!O717</f>
        <v/>
      </c>
      <c r="Q714" s="7">
        <f>'3 escalar'!P717</f>
        <v/>
      </c>
      <c r="R714" s="7">
        <f>'3 escalar'!Q717</f>
        <v/>
      </c>
      <c r="S714" s="7">
        <f>'3 escalar'!R717</f>
        <v/>
      </c>
      <c r="T714" s="7">
        <f>'3 escalar'!S717</f>
        <v/>
      </c>
      <c r="U714" s="7">
        <f>'3 escalar'!T717</f>
        <v/>
      </c>
      <c r="V714" s="6">
        <f>$AC$12+D714*$AC$13+E714*$AC$14+F714*$AC$15+G714*$AC$16+H714*$AC$17+I714*$AC$18+J714*$AC$19+K714*$AC$20+L714*$AC$21+M714*$AC$22+N714*$AC$23+O714*$AC$24+P714*$AC$25+Q714*$AC$26+R714*$AC$27+S714*$AC$28+T714*$AC$29+U714*$AC$30</f>
        <v/>
      </c>
      <c r="W714" s="6">
        <f>1/(1+EXP(-V714))</f>
        <v/>
      </c>
      <c r="X714" s="8">
        <f>-IF(C714=1,LN(W714),LN(1-W714))</f>
        <v/>
      </c>
      <c r="Y714" s="9">
        <f>IF(W714&gt;$AC$32,1,0)</f>
        <v/>
      </c>
      <c r="Z714">
        <f>IF(Y714=C714,1,0)</f>
        <v/>
      </c>
    </row>
    <row r="715">
      <c r="A715">
        <f>'3 escalar'!A718</f>
        <v/>
      </c>
      <c r="B715" s="5">
        <f>'3 escalar'!U718</f>
        <v/>
      </c>
      <c r="C715">
        <f>'3 escalar'!B718</f>
        <v/>
      </c>
      <c r="D715" s="7">
        <f>'3 escalar'!C718</f>
        <v/>
      </c>
      <c r="E715" s="7">
        <f>'3 escalar'!D718</f>
        <v/>
      </c>
      <c r="F715" s="7">
        <f>'3 escalar'!E718</f>
        <v/>
      </c>
      <c r="G715" s="7">
        <f>'3 escalar'!F718</f>
        <v/>
      </c>
      <c r="H715" s="7">
        <f>'3 escalar'!G718</f>
        <v/>
      </c>
      <c r="I715" s="7">
        <f>'3 escalar'!H718</f>
        <v/>
      </c>
      <c r="J715" s="7">
        <f>'3 escalar'!I718</f>
        <v/>
      </c>
      <c r="K715" s="7">
        <f>'3 escalar'!J718</f>
        <v/>
      </c>
      <c r="L715" s="7">
        <f>'3 escalar'!K718</f>
        <v/>
      </c>
      <c r="M715" s="7">
        <f>'3 escalar'!L718</f>
        <v/>
      </c>
      <c r="N715" s="7">
        <f>'3 escalar'!M718</f>
        <v/>
      </c>
      <c r="O715" s="7">
        <f>'3 escalar'!N718</f>
        <v/>
      </c>
      <c r="P715" s="7">
        <f>'3 escalar'!O718</f>
        <v/>
      </c>
      <c r="Q715" s="7">
        <f>'3 escalar'!P718</f>
        <v/>
      </c>
      <c r="R715" s="7">
        <f>'3 escalar'!Q718</f>
        <v/>
      </c>
      <c r="S715" s="7">
        <f>'3 escalar'!R718</f>
        <v/>
      </c>
      <c r="T715" s="7">
        <f>'3 escalar'!S718</f>
        <v/>
      </c>
      <c r="U715" s="7">
        <f>'3 escalar'!T718</f>
        <v/>
      </c>
      <c r="V715" s="6">
        <f>$AC$12+D715*$AC$13+E715*$AC$14+F715*$AC$15+G715*$AC$16+H715*$AC$17+I715*$AC$18+J715*$AC$19+K715*$AC$20+L715*$AC$21+M715*$AC$22+N715*$AC$23+O715*$AC$24+P715*$AC$25+Q715*$AC$26+R715*$AC$27+S715*$AC$28+T715*$AC$29+U715*$AC$30</f>
        <v/>
      </c>
      <c r="W715" s="6">
        <f>1/(1+EXP(-V715))</f>
        <v/>
      </c>
      <c r="X715" s="8">
        <f>-IF(C715=1,LN(W715),LN(1-W715))</f>
        <v/>
      </c>
      <c r="Y715" s="9">
        <f>IF(W715&gt;$AC$32,1,0)</f>
        <v/>
      </c>
      <c r="Z715">
        <f>IF(Y715=C715,1,0)</f>
        <v/>
      </c>
    </row>
    <row r="716">
      <c r="A716">
        <f>'3 escalar'!A719</f>
        <v/>
      </c>
      <c r="B716" s="5">
        <f>'3 escalar'!U719</f>
        <v/>
      </c>
      <c r="C716">
        <f>'3 escalar'!B719</f>
        <v/>
      </c>
      <c r="D716" s="7">
        <f>'3 escalar'!C719</f>
        <v/>
      </c>
      <c r="E716" s="7">
        <f>'3 escalar'!D719</f>
        <v/>
      </c>
      <c r="F716" s="7">
        <f>'3 escalar'!E719</f>
        <v/>
      </c>
      <c r="G716" s="7">
        <f>'3 escalar'!F719</f>
        <v/>
      </c>
      <c r="H716" s="7">
        <f>'3 escalar'!G719</f>
        <v/>
      </c>
      <c r="I716" s="7">
        <f>'3 escalar'!H719</f>
        <v/>
      </c>
      <c r="J716" s="7">
        <f>'3 escalar'!I719</f>
        <v/>
      </c>
      <c r="K716" s="7">
        <f>'3 escalar'!J719</f>
        <v/>
      </c>
      <c r="L716" s="7">
        <f>'3 escalar'!K719</f>
        <v/>
      </c>
      <c r="M716" s="7">
        <f>'3 escalar'!L719</f>
        <v/>
      </c>
      <c r="N716" s="7">
        <f>'3 escalar'!M719</f>
        <v/>
      </c>
      <c r="O716" s="7">
        <f>'3 escalar'!N719</f>
        <v/>
      </c>
      <c r="P716" s="7">
        <f>'3 escalar'!O719</f>
        <v/>
      </c>
      <c r="Q716" s="7">
        <f>'3 escalar'!P719</f>
        <v/>
      </c>
      <c r="R716" s="7">
        <f>'3 escalar'!Q719</f>
        <v/>
      </c>
      <c r="S716" s="7">
        <f>'3 escalar'!R719</f>
        <v/>
      </c>
      <c r="T716" s="7">
        <f>'3 escalar'!S719</f>
        <v/>
      </c>
      <c r="U716" s="7">
        <f>'3 escalar'!T719</f>
        <v/>
      </c>
      <c r="V716" s="6">
        <f>$AC$12+D716*$AC$13+E716*$AC$14+F716*$AC$15+G716*$AC$16+H716*$AC$17+I716*$AC$18+J716*$AC$19+K716*$AC$20+L716*$AC$21+M716*$AC$22+N716*$AC$23+O716*$AC$24+P716*$AC$25+Q716*$AC$26+R716*$AC$27+S716*$AC$28+T716*$AC$29+U716*$AC$30</f>
        <v/>
      </c>
      <c r="W716" s="6">
        <f>1/(1+EXP(-V716))</f>
        <v/>
      </c>
      <c r="X716" s="8">
        <f>-IF(C716=1,LN(W716),LN(1-W716))</f>
        <v/>
      </c>
      <c r="Y716" s="9">
        <f>IF(W716&gt;$AC$32,1,0)</f>
        <v/>
      </c>
      <c r="Z716">
        <f>IF(Y716=C716,1,0)</f>
        <v/>
      </c>
    </row>
    <row r="717">
      <c r="A717">
        <f>'3 escalar'!A720</f>
        <v/>
      </c>
      <c r="B717" s="5">
        <f>'3 escalar'!U720</f>
        <v/>
      </c>
      <c r="C717">
        <f>'3 escalar'!B720</f>
        <v/>
      </c>
      <c r="D717" s="7">
        <f>'3 escalar'!C720</f>
        <v/>
      </c>
      <c r="E717" s="7">
        <f>'3 escalar'!D720</f>
        <v/>
      </c>
      <c r="F717" s="7">
        <f>'3 escalar'!E720</f>
        <v/>
      </c>
      <c r="G717" s="7">
        <f>'3 escalar'!F720</f>
        <v/>
      </c>
      <c r="H717" s="7">
        <f>'3 escalar'!G720</f>
        <v/>
      </c>
      <c r="I717" s="7">
        <f>'3 escalar'!H720</f>
        <v/>
      </c>
      <c r="J717" s="7">
        <f>'3 escalar'!I720</f>
        <v/>
      </c>
      <c r="K717" s="7">
        <f>'3 escalar'!J720</f>
        <v/>
      </c>
      <c r="L717" s="7">
        <f>'3 escalar'!K720</f>
        <v/>
      </c>
      <c r="M717" s="7">
        <f>'3 escalar'!L720</f>
        <v/>
      </c>
      <c r="N717" s="7">
        <f>'3 escalar'!M720</f>
        <v/>
      </c>
      <c r="O717" s="7">
        <f>'3 escalar'!N720</f>
        <v/>
      </c>
      <c r="P717" s="7">
        <f>'3 escalar'!O720</f>
        <v/>
      </c>
      <c r="Q717" s="7">
        <f>'3 escalar'!P720</f>
        <v/>
      </c>
      <c r="R717" s="7">
        <f>'3 escalar'!Q720</f>
        <v/>
      </c>
      <c r="S717" s="7">
        <f>'3 escalar'!R720</f>
        <v/>
      </c>
      <c r="T717" s="7">
        <f>'3 escalar'!S720</f>
        <v/>
      </c>
      <c r="U717" s="7">
        <f>'3 escalar'!T720</f>
        <v/>
      </c>
      <c r="V717" s="6">
        <f>$AC$12+D717*$AC$13+E717*$AC$14+F717*$AC$15+G717*$AC$16+H717*$AC$17+I717*$AC$18+J717*$AC$19+K717*$AC$20+L717*$AC$21+M717*$AC$22+N717*$AC$23+O717*$AC$24+P717*$AC$25+Q717*$AC$26+R717*$AC$27+S717*$AC$28+T717*$AC$29+U717*$AC$30</f>
        <v/>
      </c>
      <c r="W717" s="6">
        <f>1/(1+EXP(-V717))</f>
        <v/>
      </c>
      <c r="X717" s="8">
        <f>-IF(C717=1,LN(W717),LN(1-W717))</f>
        <v/>
      </c>
      <c r="Y717" s="9">
        <f>IF(W717&gt;$AC$32,1,0)</f>
        <v/>
      </c>
      <c r="Z717">
        <f>IF(Y717=C717,1,0)</f>
        <v/>
      </c>
    </row>
    <row r="718">
      <c r="A718">
        <f>'3 escalar'!A721</f>
        <v/>
      </c>
      <c r="B718" s="5">
        <f>'3 escalar'!U721</f>
        <v/>
      </c>
      <c r="C718">
        <f>'3 escalar'!B721</f>
        <v/>
      </c>
      <c r="D718" s="7">
        <f>'3 escalar'!C721</f>
        <v/>
      </c>
      <c r="E718" s="7">
        <f>'3 escalar'!D721</f>
        <v/>
      </c>
      <c r="F718" s="7">
        <f>'3 escalar'!E721</f>
        <v/>
      </c>
      <c r="G718" s="7">
        <f>'3 escalar'!F721</f>
        <v/>
      </c>
      <c r="H718" s="7">
        <f>'3 escalar'!G721</f>
        <v/>
      </c>
      <c r="I718" s="7">
        <f>'3 escalar'!H721</f>
        <v/>
      </c>
      <c r="J718" s="7">
        <f>'3 escalar'!I721</f>
        <v/>
      </c>
      <c r="K718" s="7">
        <f>'3 escalar'!J721</f>
        <v/>
      </c>
      <c r="L718" s="7">
        <f>'3 escalar'!K721</f>
        <v/>
      </c>
      <c r="M718" s="7">
        <f>'3 escalar'!L721</f>
        <v/>
      </c>
      <c r="N718" s="7">
        <f>'3 escalar'!M721</f>
        <v/>
      </c>
      <c r="O718" s="7">
        <f>'3 escalar'!N721</f>
        <v/>
      </c>
      <c r="P718" s="7">
        <f>'3 escalar'!O721</f>
        <v/>
      </c>
      <c r="Q718" s="7">
        <f>'3 escalar'!P721</f>
        <v/>
      </c>
      <c r="R718" s="7">
        <f>'3 escalar'!Q721</f>
        <v/>
      </c>
      <c r="S718" s="7">
        <f>'3 escalar'!R721</f>
        <v/>
      </c>
      <c r="T718" s="7">
        <f>'3 escalar'!S721</f>
        <v/>
      </c>
      <c r="U718" s="7">
        <f>'3 escalar'!T721</f>
        <v/>
      </c>
      <c r="V718" s="6">
        <f>$AC$12+D718*$AC$13+E718*$AC$14+F718*$AC$15+G718*$AC$16+H718*$AC$17+I718*$AC$18+J718*$AC$19+K718*$AC$20+L718*$AC$21+M718*$AC$22+N718*$AC$23+O718*$AC$24+P718*$AC$25+Q718*$AC$26+R718*$AC$27+S718*$AC$28+T718*$AC$29+U718*$AC$30</f>
        <v/>
      </c>
      <c r="W718" s="6">
        <f>1/(1+EXP(-V718))</f>
        <v/>
      </c>
      <c r="X718" s="8">
        <f>-IF(C718=1,LN(W718),LN(1-W718))</f>
        <v/>
      </c>
      <c r="Y718" s="9">
        <f>IF(W718&gt;$AC$32,1,0)</f>
        <v/>
      </c>
      <c r="Z718">
        <f>IF(Y718=C718,1,0)</f>
        <v/>
      </c>
    </row>
    <row r="719">
      <c r="A719">
        <f>'3 escalar'!A722</f>
        <v/>
      </c>
      <c r="B719" s="5">
        <f>'3 escalar'!U722</f>
        <v/>
      </c>
      <c r="C719">
        <f>'3 escalar'!B722</f>
        <v/>
      </c>
      <c r="D719" s="7">
        <f>'3 escalar'!C722</f>
        <v/>
      </c>
      <c r="E719" s="7">
        <f>'3 escalar'!D722</f>
        <v/>
      </c>
      <c r="F719" s="7">
        <f>'3 escalar'!E722</f>
        <v/>
      </c>
      <c r="G719" s="7">
        <f>'3 escalar'!F722</f>
        <v/>
      </c>
      <c r="H719" s="7">
        <f>'3 escalar'!G722</f>
        <v/>
      </c>
      <c r="I719" s="7">
        <f>'3 escalar'!H722</f>
        <v/>
      </c>
      <c r="J719" s="7">
        <f>'3 escalar'!I722</f>
        <v/>
      </c>
      <c r="K719" s="7">
        <f>'3 escalar'!J722</f>
        <v/>
      </c>
      <c r="L719" s="7">
        <f>'3 escalar'!K722</f>
        <v/>
      </c>
      <c r="M719" s="7">
        <f>'3 escalar'!L722</f>
        <v/>
      </c>
      <c r="N719" s="7">
        <f>'3 escalar'!M722</f>
        <v/>
      </c>
      <c r="O719" s="7">
        <f>'3 escalar'!N722</f>
        <v/>
      </c>
      <c r="P719" s="7">
        <f>'3 escalar'!O722</f>
        <v/>
      </c>
      <c r="Q719" s="7">
        <f>'3 escalar'!P722</f>
        <v/>
      </c>
      <c r="R719" s="7">
        <f>'3 escalar'!Q722</f>
        <v/>
      </c>
      <c r="S719" s="7">
        <f>'3 escalar'!R722</f>
        <v/>
      </c>
      <c r="T719" s="7">
        <f>'3 escalar'!S722</f>
        <v/>
      </c>
      <c r="U719" s="7">
        <f>'3 escalar'!T722</f>
        <v/>
      </c>
      <c r="V719" s="6">
        <f>$AC$12+D719*$AC$13+E719*$AC$14+F719*$AC$15+G719*$AC$16+H719*$AC$17+I719*$AC$18+J719*$AC$19+K719*$AC$20+L719*$AC$21+M719*$AC$22+N719*$AC$23+O719*$AC$24+P719*$AC$25+Q719*$AC$26+R719*$AC$27+S719*$AC$28+T719*$AC$29+U719*$AC$30</f>
        <v/>
      </c>
      <c r="W719" s="6">
        <f>1/(1+EXP(-V719))</f>
        <v/>
      </c>
      <c r="X719" s="8">
        <f>-IF(C719=1,LN(W719),LN(1-W719))</f>
        <v/>
      </c>
      <c r="Y719" s="9">
        <f>IF(W719&gt;$AC$32,1,0)</f>
        <v/>
      </c>
      <c r="Z719">
        <f>IF(Y719=C719,1,0)</f>
        <v/>
      </c>
    </row>
    <row r="720">
      <c r="A720">
        <f>'3 escalar'!A723</f>
        <v/>
      </c>
      <c r="B720" s="5">
        <f>'3 escalar'!U723</f>
        <v/>
      </c>
      <c r="C720">
        <f>'3 escalar'!B723</f>
        <v/>
      </c>
      <c r="D720" s="7">
        <f>'3 escalar'!C723</f>
        <v/>
      </c>
      <c r="E720" s="7">
        <f>'3 escalar'!D723</f>
        <v/>
      </c>
      <c r="F720" s="7">
        <f>'3 escalar'!E723</f>
        <v/>
      </c>
      <c r="G720" s="7">
        <f>'3 escalar'!F723</f>
        <v/>
      </c>
      <c r="H720" s="7">
        <f>'3 escalar'!G723</f>
        <v/>
      </c>
      <c r="I720" s="7">
        <f>'3 escalar'!H723</f>
        <v/>
      </c>
      <c r="J720" s="7">
        <f>'3 escalar'!I723</f>
        <v/>
      </c>
      <c r="K720" s="7">
        <f>'3 escalar'!J723</f>
        <v/>
      </c>
      <c r="L720" s="7">
        <f>'3 escalar'!K723</f>
        <v/>
      </c>
      <c r="M720" s="7">
        <f>'3 escalar'!L723</f>
        <v/>
      </c>
      <c r="N720" s="7">
        <f>'3 escalar'!M723</f>
        <v/>
      </c>
      <c r="O720" s="7">
        <f>'3 escalar'!N723</f>
        <v/>
      </c>
      <c r="P720" s="7">
        <f>'3 escalar'!O723</f>
        <v/>
      </c>
      <c r="Q720" s="7">
        <f>'3 escalar'!P723</f>
        <v/>
      </c>
      <c r="R720" s="7">
        <f>'3 escalar'!Q723</f>
        <v/>
      </c>
      <c r="S720" s="7">
        <f>'3 escalar'!R723</f>
        <v/>
      </c>
      <c r="T720" s="7">
        <f>'3 escalar'!S723</f>
        <v/>
      </c>
      <c r="U720" s="7">
        <f>'3 escalar'!T723</f>
        <v/>
      </c>
      <c r="V720" s="6">
        <f>$AC$12+D720*$AC$13+E720*$AC$14+F720*$AC$15+G720*$AC$16+H720*$AC$17+I720*$AC$18+J720*$AC$19+K720*$AC$20+L720*$AC$21+M720*$AC$22+N720*$AC$23+O720*$AC$24+P720*$AC$25+Q720*$AC$26+R720*$AC$27+S720*$AC$28+T720*$AC$29+U720*$AC$30</f>
        <v/>
      </c>
      <c r="W720" s="6">
        <f>1/(1+EXP(-V720))</f>
        <v/>
      </c>
      <c r="X720" s="8">
        <f>-IF(C720=1,LN(W720),LN(1-W720))</f>
        <v/>
      </c>
      <c r="Y720" s="9">
        <f>IF(W720&gt;$AC$32,1,0)</f>
        <v/>
      </c>
      <c r="Z720">
        <f>IF(Y720=C720,1,0)</f>
        <v/>
      </c>
    </row>
    <row r="721">
      <c r="A721">
        <f>'3 escalar'!A724</f>
        <v/>
      </c>
      <c r="B721" s="5">
        <f>'3 escalar'!U724</f>
        <v/>
      </c>
      <c r="C721">
        <f>'3 escalar'!B724</f>
        <v/>
      </c>
      <c r="D721" s="7">
        <f>'3 escalar'!C724</f>
        <v/>
      </c>
      <c r="E721" s="7">
        <f>'3 escalar'!D724</f>
        <v/>
      </c>
      <c r="F721" s="7">
        <f>'3 escalar'!E724</f>
        <v/>
      </c>
      <c r="G721" s="7">
        <f>'3 escalar'!F724</f>
        <v/>
      </c>
      <c r="H721" s="7">
        <f>'3 escalar'!G724</f>
        <v/>
      </c>
      <c r="I721" s="7">
        <f>'3 escalar'!H724</f>
        <v/>
      </c>
      <c r="J721" s="7">
        <f>'3 escalar'!I724</f>
        <v/>
      </c>
      <c r="K721" s="7">
        <f>'3 escalar'!J724</f>
        <v/>
      </c>
      <c r="L721" s="7">
        <f>'3 escalar'!K724</f>
        <v/>
      </c>
      <c r="M721" s="7">
        <f>'3 escalar'!L724</f>
        <v/>
      </c>
      <c r="N721" s="7">
        <f>'3 escalar'!M724</f>
        <v/>
      </c>
      <c r="O721" s="7">
        <f>'3 escalar'!N724</f>
        <v/>
      </c>
      <c r="P721" s="7">
        <f>'3 escalar'!O724</f>
        <v/>
      </c>
      <c r="Q721" s="7">
        <f>'3 escalar'!P724</f>
        <v/>
      </c>
      <c r="R721" s="7">
        <f>'3 escalar'!Q724</f>
        <v/>
      </c>
      <c r="S721" s="7">
        <f>'3 escalar'!R724</f>
        <v/>
      </c>
      <c r="T721" s="7">
        <f>'3 escalar'!S724</f>
        <v/>
      </c>
      <c r="U721" s="7">
        <f>'3 escalar'!T724</f>
        <v/>
      </c>
      <c r="V721" s="6">
        <f>$AC$12+D721*$AC$13+E721*$AC$14+F721*$AC$15+G721*$AC$16+H721*$AC$17+I721*$AC$18+J721*$AC$19+K721*$AC$20+L721*$AC$21+M721*$AC$22+N721*$AC$23+O721*$AC$24+P721*$AC$25+Q721*$AC$26+R721*$AC$27+S721*$AC$28+T721*$AC$29+U721*$AC$30</f>
        <v/>
      </c>
      <c r="W721" s="6">
        <f>1/(1+EXP(-V721))</f>
        <v/>
      </c>
      <c r="X721" s="8">
        <f>-IF(C721=1,LN(W721),LN(1-W721))</f>
        <v/>
      </c>
      <c r="Y721" s="9">
        <f>IF(W721&gt;$AC$32,1,0)</f>
        <v/>
      </c>
      <c r="Z721">
        <f>IF(Y721=C721,1,0)</f>
        <v/>
      </c>
    </row>
    <row r="722">
      <c r="A722">
        <f>'3 escalar'!A725</f>
        <v/>
      </c>
      <c r="B722" s="5">
        <f>'3 escalar'!U725</f>
        <v/>
      </c>
      <c r="C722">
        <f>'3 escalar'!B725</f>
        <v/>
      </c>
      <c r="D722" s="7">
        <f>'3 escalar'!C725</f>
        <v/>
      </c>
      <c r="E722" s="7">
        <f>'3 escalar'!D725</f>
        <v/>
      </c>
      <c r="F722" s="7">
        <f>'3 escalar'!E725</f>
        <v/>
      </c>
      <c r="G722" s="7">
        <f>'3 escalar'!F725</f>
        <v/>
      </c>
      <c r="H722" s="7">
        <f>'3 escalar'!G725</f>
        <v/>
      </c>
      <c r="I722" s="7">
        <f>'3 escalar'!H725</f>
        <v/>
      </c>
      <c r="J722" s="7">
        <f>'3 escalar'!I725</f>
        <v/>
      </c>
      <c r="K722" s="7">
        <f>'3 escalar'!J725</f>
        <v/>
      </c>
      <c r="L722" s="7">
        <f>'3 escalar'!K725</f>
        <v/>
      </c>
      <c r="M722" s="7">
        <f>'3 escalar'!L725</f>
        <v/>
      </c>
      <c r="N722" s="7">
        <f>'3 escalar'!M725</f>
        <v/>
      </c>
      <c r="O722" s="7">
        <f>'3 escalar'!N725</f>
        <v/>
      </c>
      <c r="P722" s="7">
        <f>'3 escalar'!O725</f>
        <v/>
      </c>
      <c r="Q722" s="7">
        <f>'3 escalar'!P725</f>
        <v/>
      </c>
      <c r="R722" s="7">
        <f>'3 escalar'!Q725</f>
        <v/>
      </c>
      <c r="S722" s="7">
        <f>'3 escalar'!R725</f>
        <v/>
      </c>
      <c r="T722" s="7">
        <f>'3 escalar'!S725</f>
        <v/>
      </c>
      <c r="U722" s="7">
        <f>'3 escalar'!T725</f>
        <v/>
      </c>
      <c r="V722" s="6">
        <f>$AC$12+D722*$AC$13+E722*$AC$14+F722*$AC$15+G722*$AC$16+H722*$AC$17+I722*$AC$18+J722*$AC$19+K722*$AC$20+L722*$AC$21+M722*$AC$22+N722*$AC$23+O722*$AC$24+P722*$AC$25+Q722*$AC$26+R722*$AC$27+S722*$AC$28+T722*$AC$29+U722*$AC$30</f>
        <v/>
      </c>
      <c r="W722" s="6">
        <f>1/(1+EXP(-V722))</f>
        <v/>
      </c>
      <c r="X722" s="8">
        <f>-IF(C722=1,LN(W722),LN(1-W722))</f>
        <v/>
      </c>
      <c r="Y722" s="9">
        <f>IF(W722&gt;$AC$32,1,0)</f>
        <v/>
      </c>
      <c r="Z722">
        <f>IF(Y722=C722,1,0)</f>
        <v/>
      </c>
    </row>
    <row r="723">
      <c r="A723">
        <f>'3 escalar'!A726</f>
        <v/>
      </c>
      <c r="B723" s="5">
        <f>'3 escalar'!U726</f>
        <v/>
      </c>
      <c r="C723">
        <f>'3 escalar'!B726</f>
        <v/>
      </c>
      <c r="D723" s="7">
        <f>'3 escalar'!C726</f>
        <v/>
      </c>
      <c r="E723" s="7">
        <f>'3 escalar'!D726</f>
        <v/>
      </c>
      <c r="F723" s="7">
        <f>'3 escalar'!E726</f>
        <v/>
      </c>
      <c r="G723" s="7">
        <f>'3 escalar'!F726</f>
        <v/>
      </c>
      <c r="H723" s="7">
        <f>'3 escalar'!G726</f>
        <v/>
      </c>
      <c r="I723" s="7">
        <f>'3 escalar'!H726</f>
        <v/>
      </c>
      <c r="J723" s="7">
        <f>'3 escalar'!I726</f>
        <v/>
      </c>
      <c r="K723" s="7">
        <f>'3 escalar'!J726</f>
        <v/>
      </c>
      <c r="L723" s="7">
        <f>'3 escalar'!K726</f>
        <v/>
      </c>
      <c r="M723" s="7">
        <f>'3 escalar'!L726</f>
        <v/>
      </c>
      <c r="N723" s="7">
        <f>'3 escalar'!M726</f>
        <v/>
      </c>
      <c r="O723" s="7">
        <f>'3 escalar'!N726</f>
        <v/>
      </c>
      <c r="P723" s="7">
        <f>'3 escalar'!O726</f>
        <v/>
      </c>
      <c r="Q723" s="7">
        <f>'3 escalar'!P726</f>
        <v/>
      </c>
      <c r="R723" s="7">
        <f>'3 escalar'!Q726</f>
        <v/>
      </c>
      <c r="S723" s="7">
        <f>'3 escalar'!R726</f>
        <v/>
      </c>
      <c r="T723" s="7">
        <f>'3 escalar'!S726</f>
        <v/>
      </c>
      <c r="U723" s="7">
        <f>'3 escalar'!T726</f>
        <v/>
      </c>
      <c r="V723" s="6">
        <f>$AC$12+D723*$AC$13+E723*$AC$14+F723*$AC$15+G723*$AC$16+H723*$AC$17+I723*$AC$18+J723*$AC$19+K723*$AC$20+L723*$AC$21+M723*$AC$22+N723*$AC$23+O723*$AC$24+P723*$AC$25+Q723*$AC$26+R723*$AC$27+S723*$AC$28+T723*$AC$29+U723*$AC$30</f>
        <v/>
      </c>
      <c r="W723" s="6">
        <f>1/(1+EXP(-V723))</f>
        <v/>
      </c>
      <c r="X723" s="8">
        <f>-IF(C723=1,LN(W723),LN(1-W723))</f>
        <v/>
      </c>
      <c r="Y723" s="9">
        <f>IF(W723&gt;$AC$32,1,0)</f>
        <v/>
      </c>
      <c r="Z723">
        <f>IF(Y723=C723,1,0)</f>
        <v/>
      </c>
    </row>
    <row r="724">
      <c r="A724">
        <f>'3 escalar'!A727</f>
        <v/>
      </c>
      <c r="B724" s="5">
        <f>'3 escalar'!U727</f>
        <v/>
      </c>
      <c r="C724">
        <f>'3 escalar'!B727</f>
        <v/>
      </c>
      <c r="D724" s="7">
        <f>'3 escalar'!C727</f>
        <v/>
      </c>
      <c r="E724" s="7">
        <f>'3 escalar'!D727</f>
        <v/>
      </c>
      <c r="F724" s="7">
        <f>'3 escalar'!E727</f>
        <v/>
      </c>
      <c r="G724" s="7">
        <f>'3 escalar'!F727</f>
        <v/>
      </c>
      <c r="H724" s="7">
        <f>'3 escalar'!G727</f>
        <v/>
      </c>
      <c r="I724" s="7">
        <f>'3 escalar'!H727</f>
        <v/>
      </c>
      <c r="J724" s="7">
        <f>'3 escalar'!I727</f>
        <v/>
      </c>
      <c r="K724" s="7">
        <f>'3 escalar'!J727</f>
        <v/>
      </c>
      <c r="L724" s="7">
        <f>'3 escalar'!K727</f>
        <v/>
      </c>
      <c r="M724" s="7">
        <f>'3 escalar'!L727</f>
        <v/>
      </c>
      <c r="N724" s="7">
        <f>'3 escalar'!M727</f>
        <v/>
      </c>
      <c r="O724" s="7">
        <f>'3 escalar'!N727</f>
        <v/>
      </c>
      <c r="P724" s="7">
        <f>'3 escalar'!O727</f>
        <v/>
      </c>
      <c r="Q724" s="7">
        <f>'3 escalar'!P727</f>
        <v/>
      </c>
      <c r="R724" s="7">
        <f>'3 escalar'!Q727</f>
        <v/>
      </c>
      <c r="S724" s="7">
        <f>'3 escalar'!R727</f>
        <v/>
      </c>
      <c r="T724" s="7">
        <f>'3 escalar'!S727</f>
        <v/>
      </c>
      <c r="U724" s="7">
        <f>'3 escalar'!T727</f>
        <v/>
      </c>
      <c r="V724" s="6">
        <f>$AC$12+D724*$AC$13+E724*$AC$14+F724*$AC$15+G724*$AC$16+H724*$AC$17+I724*$AC$18+J724*$AC$19+K724*$AC$20+L724*$AC$21+M724*$AC$22+N724*$AC$23+O724*$AC$24+P724*$AC$25+Q724*$AC$26+R724*$AC$27+S724*$AC$28+T724*$AC$29+U724*$AC$30</f>
        <v/>
      </c>
      <c r="W724" s="6">
        <f>1/(1+EXP(-V724))</f>
        <v/>
      </c>
      <c r="X724" s="8">
        <f>-IF(C724=1,LN(W724),LN(1-W724))</f>
        <v/>
      </c>
      <c r="Y724" s="9">
        <f>IF(W724&gt;$AC$32,1,0)</f>
        <v/>
      </c>
      <c r="Z724">
        <f>IF(Y724=C724,1,0)</f>
        <v/>
      </c>
    </row>
    <row r="725">
      <c r="A725">
        <f>'3 escalar'!A728</f>
        <v/>
      </c>
      <c r="B725" s="5">
        <f>'3 escalar'!U728</f>
        <v/>
      </c>
      <c r="C725">
        <f>'3 escalar'!B728</f>
        <v/>
      </c>
      <c r="D725" s="7">
        <f>'3 escalar'!C728</f>
        <v/>
      </c>
      <c r="E725" s="7">
        <f>'3 escalar'!D728</f>
        <v/>
      </c>
      <c r="F725" s="7">
        <f>'3 escalar'!E728</f>
        <v/>
      </c>
      <c r="G725" s="7">
        <f>'3 escalar'!F728</f>
        <v/>
      </c>
      <c r="H725" s="7">
        <f>'3 escalar'!G728</f>
        <v/>
      </c>
      <c r="I725" s="7">
        <f>'3 escalar'!H728</f>
        <v/>
      </c>
      <c r="J725" s="7">
        <f>'3 escalar'!I728</f>
        <v/>
      </c>
      <c r="K725" s="7">
        <f>'3 escalar'!J728</f>
        <v/>
      </c>
      <c r="L725" s="7">
        <f>'3 escalar'!K728</f>
        <v/>
      </c>
      <c r="M725" s="7">
        <f>'3 escalar'!L728</f>
        <v/>
      </c>
      <c r="N725" s="7">
        <f>'3 escalar'!M728</f>
        <v/>
      </c>
      <c r="O725" s="7">
        <f>'3 escalar'!N728</f>
        <v/>
      </c>
      <c r="P725" s="7">
        <f>'3 escalar'!O728</f>
        <v/>
      </c>
      <c r="Q725" s="7">
        <f>'3 escalar'!P728</f>
        <v/>
      </c>
      <c r="R725" s="7">
        <f>'3 escalar'!Q728</f>
        <v/>
      </c>
      <c r="S725" s="7">
        <f>'3 escalar'!R728</f>
        <v/>
      </c>
      <c r="T725" s="7">
        <f>'3 escalar'!S728</f>
        <v/>
      </c>
      <c r="U725" s="7">
        <f>'3 escalar'!T728</f>
        <v/>
      </c>
      <c r="V725" s="6">
        <f>$AC$12+D725*$AC$13+E725*$AC$14+F725*$AC$15+G725*$AC$16+H725*$AC$17+I725*$AC$18+J725*$AC$19+K725*$AC$20+L725*$AC$21+M725*$AC$22+N725*$AC$23+O725*$AC$24+P725*$AC$25+Q725*$AC$26+R725*$AC$27+S725*$AC$28+T725*$AC$29+U725*$AC$30</f>
        <v/>
      </c>
      <c r="W725" s="6">
        <f>1/(1+EXP(-V725))</f>
        <v/>
      </c>
      <c r="X725" s="8">
        <f>-IF(C725=1,LN(W725),LN(1-W725))</f>
        <v/>
      </c>
      <c r="Y725" s="9">
        <f>IF(W725&gt;$AC$32,1,0)</f>
        <v/>
      </c>
      <c r="Z725">
        <f>IF(Y725=C725,1,0)</f>
        <v/>
      </c>
    </row>
    <row r="726">
      <c r="A726">
        <f>'3 escalar'!A729</f>
        <v/>
      </c>
      <c r="B726" s="5">
        <f>'3 escalar'!U729</f>
        <v/>
      </c>
      <c r="C726">
        <f>'3 escalar'!B729</f>
        <v/>
      </c>
      <c r="D726" s="7">
        <f>'3 escalar'!C729</f>
        <v/>
      </c>
      <c r="E726" s="7">
        <f>'3 escalar'!D729</f>
        <v/>
      </c>
      <c r="F726" s="7">
        <f>'3 escalar'!E729</f>
        <v/>
      </c>
      <c r="G726" s="7">
        <f>'3 escalar'!F729</f>
        <v/>
      </c>
      <c r="H726" s="7">
        <f>'3 escalar'!G729</f>
        <v/>
      </c>
      <c r="I726" s="7">
        <f>'3 escalar'!H729</f>
        <v/>
      </c>
      <c r="J726" s="7">
        <f>'3 escalar'!I729</f>
        <v/>
      </c>
      <c r="K726" s="7">
        <f>'3 escalar'!J729</f>
        <v/>
      </c>
      <c r="L726" s="7">
        <f>'3 escalar'!K729</f>
        <v/>
      </c>
      <c r="M726" s="7">
        <f>'3 escalar'!L729</f>
        <v/>
      </c>
      <c r="N726" s="7">
        <f>'3 escalar'!M729</f>
        <v/>
      </c>
      <c r="O726" s="7">
        <f>'3 escalar'!N729</f>
        <v/>
      </c>
      <c r="P726" s="7">
        <f>'3 escalar'!O729</f>
        <v/>
      </c>
      <c r="Q726" s="7">
        <f>'3 escalar'!P729</f>
        <v/>
      </c>
      <c r="R726" s="7">
        <f>'3 escalar'!Q729</f>
        <v/>
      </c>
      <c r="S726" s="7">
        <f>'3 escalar'!R729</f>
        <v/>
      </c>
      <c r="T726" s="7">
        <f>'3 escalar'!S729</f>
        <v/>
      </c>
      <c r="U726" s="7">
        <f>'3 escalar'!T729</f>
        <v/>
      </c>
      <c r="V726" s="6">
        <f>$AC$12+D726*$AC$13+E726*$AC$14+F726*$AC$15+G726*$AC$16+H726*$AC$17+I726*$AC$18+J726*$AC$19+K726*$AC$20+L726*$AC$21+M726*$AC$22+N726*$AC$23+O726*$AC$24+P726*$AC$25+Q726*$AC$26+R726*$AC$27+S726*$AC$28+T726*$AC$29+U726*$AC$30</f>
        <v/>
      </c>
      <c r="W726" s="6">
        <f>1/(1+EXP(-V726))</f>
        <v/>
      </c>
      <c r="X726" s="8">
        <f>-IF(C726=1,LN(W726),LN(1-W726))</f>
        <v/>
      </c>
      <c r="Y726" s="9">
        <f>IF(W726&gt;$AC$32,1,0)</f>
        <v/>
      </c>
      <c r="Z726">
        <f>IF(Y726=C726,1,0)</f>
        <v/>
      </c>
    </row>
    <row r="727">
      <c r="A727">
        <f>'3 escalar'!A730</f>
        <v/>
      </c>
      <c r="B727" s="5">
        <f>'3 escalar'!U730</f>
        <v/>
      </c>
      <c r="C727">
        <f>'3 escalar'!B730</f>
        <v/>
      </c>
      <c r="D727" s="7">
        <f>'3 escalar'!C730</f>
        <v/>
      </c>
      <c r="E727" s="7">
        <f>'3 escalar'!D730</f>
        <v/>
      </c>
      <c r="F727" s="7">
        <f>'3 escalar'!E730</f>
        <v/>
      </c>
      <c r="G727" s="7">
        <f>'3 escalar'!F730</f>
        <v/>
      </c>
      <c r="H727" s="7">
        <f>'3 escalar'!G730</f>
        <v/>
      </c>
      <c r="I727" s="7">
        <f>'3 escalar'!H730</f>
        <v/>
      </c>
      <c r="J727" s="7">
        <f>'3 escalar'!I730</f>
        <v/>
      </c>
      <c r="K727" s="7">
        <f>'3 escalar'!J730</f>
        <v/>
      </c>
      <c r="L727" s="7">
        <f>'3 escalar'!K730</f>
        <v/>
      </c>
      <c r="M727" s="7">
        <f>'3 escalar'!L730</f>
        <v/>
      </c>
      <c r="N727" s="7">
        <f>'3 escalar'!M730</f>
        <v/>
      </c>
      <c r="O727" s="7">
        <f>'3 escalar'!N730</f>
        <v/>
      </c>
      <c r="P727" s="7">
        <f>'3 escalar'!O730</f>
        <v/>
      </c>
      <c r="Q727" s="7">
        <f>'3 escalar'!P730</f>
        <v/>
      </c>
      <c r="R727" s="7">
        <f>'3 escalar'!Q730</f>
        <v/>
      </c>
      <c r="S727" s="7">
        <f>'3 escalar'!R730</f>
        <v/>
      </c>
      <c r="T727" s="7">
        <f>'3 escalar'!S730</f>
        <v/>
      </c>
      <c r="U727" s="7">
        <f>'3 escalar'!T730</f>
        <v/>
      </c>
      <c r="V727" s="6">
        <f>$AC$12+D727*$AC$13+E727*$AC$14+F727*$AC$15+G727*$AC$16+H727*$AC$17+I727*$AC$18+J727*$AC$19+K727*$AC$20+L727*$AC$21+M727*$AC$22+N727*$AC$23+O727*$AC$24+P727*$AC$25+Q727*$AC$26+R727*$AC$27+S727*$AC$28+T727*$AC$29+U727*$AC$30</f>
        <v/>
      </c>
      <c r="W727" s="6">
        <f>1/(1+EXP(-V727))</f>
        <v/>
      </c>
      <c r="X727" s="8">
        <f>-IF(C727=1,LN(W727),LN(1-W727))</f>
        <v/>
      </c>
      <c r="Y727" s="9">
        <f>IF(W727&gt;$AC$32,1,0)</f>
        <v/>
      </c>
      <c r="Z727">
        <f>IF(Y727=C727,1,0)</f>
        <v/>
      </c>
    </row>
    <row r="728">
      <c r="A728">
        <f>'3 escalar'!A731</f>
        <v/>
      </c>
      <c r="B728" s="5">
        <f>'3 escalar'!U731</f>
        <v/>
      </c>
      <c r="C728">
        <f>'3 escalar'!B731</f>
        <v/>
      </c>
      <c r="D728" s="7">
        <f>'3 escalar'!C731</f>
        <v/>
      </c>
      <c r="E728" s="7">
        <f>'3 escalar'!D731</f>
        <v/>
      </c>
      <c r="F728" s="7">
        <f>'3 escalar'!E731</f>
        <v/>
      </c>
      <c r="G728" s="7">
        <f>'3 escalar'!F731</f>
        <v/>
      </c>
      <c r="H728" s="7">
        <f>'3 escalar'!G731</f>
        <v/>
      </c>
      <c r="I728" s="7">
        <f>'3 escalar'!H731</f>
        <v/>
      </c>
      <c r="J728" s="7">
        <f>'3 escalar'!I731</f>
        <v/>
      </c>
      <c r="K728" s="7">
        <f>'3 escalar'!J731</f>
        <v/>
      </c>
      <c r="L728" s="7">
        <f>'3 escalar'!K731</f>
        <v/>
      </c>
      <c r="M728" s="7">
        <f>'3 escalar'!L731</f>
        <v/>
      </c>
      <c r="N728" s="7">
        <f>'3 escalar'!M731</f>
        <v/>
      </c>
      <c r="O728" s="7">
        <f>'3 escalar'!N731</f>
        <v/>
      </c>
      <c r="P728" s="7">
        <f>'3 escalar'!O731</f>
        <v/>
      </c>
      <c r="Q728" s="7">
        <f>'3 escalar'!P731</f>
        <v/>
      </c>
      <c r="R728" s="7">
        <f>'3 escalar'!Q731</f>
        <v/>
      </c>
      <c r="S728" s="7">
        <f>'3 escalar'!R731</f>
        <v/>
      </c>
      <c r="T728" s="7">
        <f>'3 escalar'!S731</f>
        <v/>
      </c>
      <c r="U728" s="7">
        <f>'3 escalar'!T731</f>
        <v/>
      </c>
      <c r="V728" s="6">
        <f>$AC$12+D728*$AC$13+E728*$AC$14+F728*$AC$15+G728*$AC$16+H728*$AC$17+I728*$AC$18+J728*$AC$19+K728*$AC$20+L728*$AC$21+M728*$AC$22+N728*$AC$23+O728*$AC$24+P728*$AC$25+Q728*$AC$26+R728*$AC$27+S728*$AC$28+T728*$AC$29+U728*$AC$30</f>
        <v/>
      </c>
      <c r="W728" s="6">
        <f>1/(1+EXP(-V728))</f>
        <v/>
      </c>
      <c r="X728" s="8">
        <f>-IF(C728=1,LN(W728),LN(1-W728))</f>
        <v/>
      </c>
      <c r="Y728" s="9">
        <f>IF(W728&gt;$AC$32,1,0)</f>
        <v/>
      </c>
      <c r="Z728">
        <f>IF(Y728=C728,1,0)</f>
        <v/>
      </c>
    </row>
    <row r="729">
      <c r="A729">
        <f>'3 escalar'!A732</f>
        <v/>
      </c>
      <c r="B729" s="5">
        <f>'3 escalar'!U732</f>
        <v/>
      </c>
      <c r="C729">
        <f>'3 escalar'!B732</f>
        <v/>
      </c>
      <c r="D729" s="7">
        <f>'3 escalar'!C732</f>
        <v/>
      </c>
      <c r="E729" s="7">
        <f>'3 escalar'!D732</f>
        <v/>
      </c>
      <c r="F729" s="7">
        <f>'3 escalar'!E732</f>
        <v/>
      </c>
      <c r="G729" s="7">
        <f>'3 escalar'!F732</f>
        <v/>
      </c>
      <c r="H729" s="7">
        <f>'3 escalar'!G732</f>
        <v/>
      </c>
      <c r="I729" s="7">
        <f>'3 escalar'!H732</f>
        <v/>
      </c>
      <c r="J729" s="7">
        <f>'3 escalar'!I732</f>
        <v/>
      </c>
      <c r="K729" s="7">
        <f>'3 escalar'!J732</f>
        <v/>
      </c>
      <c r="L729" s="7">
        <f>'3 escalar'!K732</f>
        <v/>
      </c>
      <c r="M729" s="7">
        <f>'3 escalar'!L732</f>
        <v/>
      </c>
      <c r="N729" s="7">
        <f>'3 escalar'!M732</f>
        <v/>
      </c>
      <c r="O729" s="7">
        <f>'3 escalar'!N732</f>
        <v/>
      </c>
      <c r="P729" s="7">
        <f>'3 escalar'!O732</f>
        <v/>
      </c>
      <c r="Q729" s="7">
        <f>'3 escalar'!P732</f>
        <v/>
      </c>
      <c r="R729" s="7">
        <f>'3 escalar'!Q732</f>
        <v/>
      </c>
      <c r="S729" s="7">
        <f>'3 escalar'!R732</f>
        <v/>
      </c>
      <c r="T729" s="7">
        <f>'3 escalar'!S732</f>
        <v/>
      </c>
      <c r="U729" s="7">
        <f>'3 escalar'!T732</f>
        <v/>
      </c>
      <c r="V729" s="6">
        <f>$AC$12+D729*$AC$13+E729*$AC$14+F729*$AC$15+G729*$AC$16+H729*$AC$17+I729*$AC$18+J729*$AC$19+K729*$AC$20+L729*$AC$21+M729*$AC$22+N729*$AC$23+O729*$AC$24+P729*$AC$25+Q729*$AC$26+R729*$AC$27+S729*$AC$28+T729*$AC$29+U729*$AC$30</f>
        <v/>
      </c>
      <c r="W729" s="6">
        <f>1/(1+EXP(-V729))</f>
        <v/>
      </c>
      <c r="X729" s="8">
        <f>-IF(C729=1,LN(W729),LN(1-W729))</f>
        <v/>
      </c>
      <c r="Y729" s="9">
        <f>IF(W729&gt;$AC$32,1,0)</f>
        <v/>
      </c>
      <c r="Z729">
        <f>IF(Y729=C729,1,0)</f>
        <v/>
      </c>
    </row>
    <row r="730">
      <c r="A730">
        <f>'3 escalar'!A733</f>
        <v/>
      </c>
      <c r="B730" s="5">
        <f>'3 escalar'!U733</f>
        <v/>
      </c>
      <c r="C730">
        <f>'3 escalar'!B733</f>
        <v/>
      </c>
      <c r="D730" s="7">
        <f>'3 escalar'!C733</f>
        <v/>
      </c>
      <c r="E730" s="7">
        <f>'3 escalar'!D733</f>
        <v/>
      </c>
      <c r="F730" s="7">
        <f>'3 escalar'!E733</f>
        <v/>
      </c>
      <c r="G730" s="7">
        <f>'3 escalar'!F733</f>
        <v/>
      </c>
      <c r="H730" s="7">
        <f>'3 escalar'!G733</f>
        <v/>
      </c>
      <c r="I730" s="7">
        <f>'3 escalar'!H733</f>
        <v/>
      </c>
      <c r="J730" s="7">
        <f>'3 escalar'!I733</f>
        <v/>
      </c>
      <c r="K730" s="7">
        <f>'3 escalar'!J733</f>
        <v/>
      </c>
      <c r="L730" s="7">
        <f>'3 escalar'!K733</f>
        <v/>
      </c>
      <c r="M730" s="7">
        <f>'3 escalar'!L733</f>
        <v/>
      </c>
      <c r="N730" s="7">
        <f>'3 escalar'!M733</f>
        <v/>
      </c>
      <c r="O730" s="7">
        <f>'3 escalar'!N733</f>
        <v/>
      </c>
      <c r="P730" s="7">
        <f>'3 escalar'!O733</f>
        <v/>
      </c>
      <c r="Q730" s="7">
        <f>'3 escalar'!P733</f>
        <v/>
      </c>
      <c r="R730" s="7">
        <f>'3 escalar'!Q733</f>
        <v/>
      </c>
      <c r="S730" s="7">
        <f>'3 escalar'!R733</f>
        <v/>
      </c>
      <c r="T730" s="7">
        <f>'3 escalar'!S733</f>
        <v/>
      </c>
      <c r="U730" s="7">
        <f>'3 escalar'!T733</f>
        <v/>
      </c>
      <c r="V730" s="6">
        <f>$AC$12+D730*$AC$13+E730*$AC$14+F730*$AC$15+G730*$AC$16+H730*$AC$17+I730*$AC$18+J730*$AC$19+K730*$AC$20+L730*$AC$21+M730*$AC$22+N730*$AC$23+O730*$AC$24+P730*$AC$25+Q730*$AC$26+R730*$AC$27+S730*$AC$28+T730*$AC$29+U730*$AC$30</f>
        <v/>
      </c>
      <c r="W730" s="6">
        <f>1/(1+EXP(-V730))</f>
        <v/>
      </c>
      <c r="X730" s="8">
        <f>-IF(C730=1,LN(W730),LN(1-W730))</f>
        <v/>
      </c>
      <c r="Y730" s="9">
        <f>IF(W730&gt;$AC$32,1,0)</f>
        <v/>
      </c>
      <c r="Z730">
        <f>IF(Y730=C730,1,0)</f>
        <v/>
      </c>
    </row>
    <row r="731">
      <c r="A731">
        <f>'3 escalar'!A734</f>
        <v/>
      </c>
      <c r="B731" s="5">
        <f>'3 escalar'!U734</f>
        <v/>
      </c>
      <c r="C731">
        <f>'3 escalar'!B734</f>
        <v/>
      </c>
      <c r="D731" s="7">
        <f>'3 escalar'!C734</f>
        <v/>
      </c>
      <c r="E731" s="7">
        <f>'3 escalar'!D734</f>
        <v/>
      </c>
      <c r="F731" s="7">
        <f>'3 escalar'!E734</f>
        <v/>
      </c>
      <c r="G731" s="7">
        <f>'3 escalar'!F734</f>
        <v/>
      </c>
      <c r="H731" s="7">
        <f>'3 escalar'!G734</f>
        <v/>
      </c>
      <c r="I731" s="7">
        <f>'3 escalar'!H734</f>
        <v/>
      </c>
      <c r="J731" s="7">
        <f>'3 escalar'!I734</f>
        <v/>
      </c>
      <c r="K731" s="7">
        <f>'3 escalar'!J734</f>
        <v/>
      </c>
      <c r="L731" s="7">
        <f>'3 escalar'!K734</f>
        <v/>
      </c>
      <c r="M731" s="7">
        <f>'3 escalar'!L734</f>
        <v/>
      </c>
      <c r="N731" s="7">
        <f>'3 escalar'!M734</f>
        <v/>
      </c>
      <c r="O731" s="7">
        <f>'3 escalar'!N734</f>
        <v/>
      </c>
      <c r="P731" s="7">
        <f>'3 escalar'!O734</f>
        <v/>
      </c>
      <c r="Q731" s="7">
        <f>'3 escalar'!P734</f>
        <v/>
      </c>
      <c r="R731" s="7">
        <f>'3 escalar'!Q734</f>
        <v/>
      </c>
      <c r="S731" s="7">
        <f>'3 escalar'!R734</f>
        <v/>
      </c>
      <c r="T731" s="7">
        <f>'3 escalar'!S734</f>
        <v/>
      </c>
      <c r="U731" s="7">
        <f>'3 escalar'!T734</f>
        <v/>
      </c>
      <c r="V731" s="6">
        <f>$AC$12+D731*$AC$13+E731*$AC$14+F731*$AC$15+G731*$AC$16+H731*$AC$17+I731*$AC$18+J731*$AC$19+K731*$AC$20+L731*$AC$21+M731*$AC$22+N731*$AC$23+O731*$AC$24+P731*$AC$25+Q731*$AC$26+R731*$AC$27+S731*$AC$28+T731*$AC$29+U731*$AC$30</f>
        <v/>
      </c>
      <c r="W731" s="6">
        <f>1/(1+EXP(-V731))</f>
        <v/>
      </c>
      <c r="X731" s="8">
        <f>-IF(C731=1,LN(W731),LN(1-W731))</f>
        <v/>
      </c>
      <c r="Y731" s="9">
        <f>IF(W731&gt;$AC$32,1,0)</f>
        <v/>
      </c>
      <c r="Z731">
        <f>IF(Y731=C731,1,0)</f>
        <v/>
      </c>
    </row>
    <row r="732">
      <c r="A732">
        <f>'3 escalar'!A735</f>
        <v/>
      </c>
      <c r="B732" s="5">
        <f>'3 escalar'!U735</f>
        <v/>
      </c>
      <c r="C732">
        <f>'3 escalar'!B735</f>
        <v/>
      </c>
      <c r="D732" s="7">
        <f>'3 escalar'!C735</f>
        <v/>
      </c>
      <c r="E732" s="7">
        <f>'3 escalar'!D735</f>
        <v/>
      </c>
      <c r="F732" s="7">
        <f>'3 escalar'!E735</f>
        <v/>
      </c>
      <c r="G732" s="7">
        <f>'3 escalar'!F735</f>
        <v/>
      </c>
      <c r="H732" s="7">
        <f>'3 escalar'!G735</f>
        <v/>
      </c>
      <c r="I732" s="7">
        <f>'3 escalar'!H735</f>
        <v/>
      </c>
      <c r="J732" s="7">
        <f>'3 escalar'!I735</f>
        <v/>
      </c>
      <c r="K732" s="7">
        <f>'3 escalar'!J735</f>
        <v/>
      </c>
      <c r="L732" s="7">
        <f>'3 escalar'!K735</f>
        <v/>
      </c>
      <c r="M732" s="7">
        <f>'3 escalar'!L735</f>
        <v/>
      </c>
      <c r="N732" s="7">
        <f>'3 escalar'!M735</f>
        <v/>
      </c>
      <c r="O732" s="7">
        <f>'3 escalar'!N735</f>
        <v/>
      </c>
      <c r="P732" s="7">
        <f>'3 escalar'!O735</f>
        <v/>
      </c>
      <c r="Q732" s="7">
        <f>'3 escalar'!P735</f>
        <v/>
      </c>
      <c r="R732" s="7">
        <f>'3 escalar'!Q735</f>
        <v/>
      </c>
      <c r="S732" s="7">
        <f>'3 escalar'!R735</f>
        <v/>
      </c>
      <c r="T732" s="7">
        <f>'3 escalar'!S735</f>
        <v/>
      </c>
      <c r="U732" s="7">
        <f>'3 escalar'!T735</f>
        <v/>
      </c>
      <c r="V732" s="6">
        <f>$AC$12+D732*$AC$13+E732*$AC$14+F732*$AC$15+G732*$AC$16+H732*$AC$17+I732*$AC$18+J732*$AC$19+K732*$AC$20+L732*$AC$21+M732*$AC$22+N732*$AC$23+O732*$AC$24+P732*$AC$25+Q732*$AC$26+R732*$AC$27+S732*$AC$28+T732*$AC$29+U732*$AC$30</f>
        <v/>
      </c>
      <c r="W732" s="6">
        <f>1/(1+EXP(-V732))</f>
        <v/>
      </c>
      <c r="X732" s="8">
        <f>-IF(C732=1,LN(W732),LN(1-W732))</f>
        <v/>
      </c>
      <c r="Y732" s="9">
        <f>IF(W732&gt;$AC$32,1,0)</f>
        <v/>
      </c>
      <c r="Z732">
        <f>IF(Y732=C732,1,0)</f>
        <v/>
      </c>
    </row>
    <row r="733">
      <c r="A733">
        <f>'3 escalar'!A736</f>
        <v/>
      </c>
      <c r="B733" s="5">
        <f>'3 escalar'!U736</f>
        <v/>
      </c>
      <c r="C733">
        <f>'3 escalar'!B736</f>
        <v/>
      </c>
      <c r="D733" s="7">
        <f>'3 escalar'!C736</f>
        <v/>
      </c>
      <c r="E733" s="7">
        <f>'3 escalar'!D736</f>
        <v/>
      </c>
      <c r="F733" s="7">
        <f>'3 escalar'!E736</f>
        <v/>
      </c>
      <c r="G733" s="7">
        <f>'3 escalar'!F736</f>
        <v/>
      </c>
      <c r="H733" s="7">
        <f>'3 escalar'!G736</f>
        <v/>
      </c>
      <c r="I733" s="7">
        <f>'3 escalar'!H736</f>
        <v/>
      </c>
      <c r="J733" s="7">
        <f>'3 escalar'!I736</f>
        <v/>
      </c>
      <c r="K733" s="7">
        <f>'3 escalar'!J736</f>
        <v/>
      </c>
      <c r="L733" s="7">
        <f>'3 escalar'!K736</f>
        <v/>
      </c>
      <c r="M733" s="7">
        <f>'3 escalar'!L736</f>
        <v/>
      </c>
      <c r="N733" s="7">
        <f>'3 escalar'!M736</f>
        <v/>
      </c>
      <c r="O733" s="7">
        <f>'3 escalar'!N736</f>
        <v/>
      </c>
      <c r="P733" s="7">
        <f>'3 escalar'!O736</f>
        <v/>
      </c>
      <c r="Q733" s="7">
        <f>'3 escalar'!P736</f>
        <v/>
      </c>
      <c r="R733" s="7">
        <f>'3 escalar'!Q736</f>
        <v/>
      </c>
      <c r="S733" s="7">
        <f>'3 escalar'!R736</f>
        <v/>
      </c>
      <c r="T733" s="7">
        <f>'3 escalar'!S736</f>
        <v/>
      </c>
      <c r="U733" s="7">
        <f>'3 escalar'!T736</f>
        <v/>
      </c>
      <c r="V733" s="6">
        <f>$AC$12+D733*$AC$13+E733*$AC$14+F733*$AC$15+G733*$AC$16+H733*$AC$17+I733*$AC$18+J733*$AC$19+K733*$AC$20+L733*$AC$21+M733*$AC$22+N733*$AC$23+O733*$AC$24+P733*$AC$25+Q733*$AC$26+R733*$AC$27+S733*$AC$28+T733*$AC$29+U733*$AC$30</f>
        <v/>
      </c>
      <c r="W733" s="6">
        <f>1/(1+EXP(-V733))</f>
        <v/>
      </c>
      <c r="X733" s="8">
        <f>-IF(C733=1,LN(W733),LN(1-W733))</f>
        <v/>
      </c>
      <c r="Y733" s="9">
        <f>IF(W733&gt;$AC$32,1,0)</f>
        <v/>
      </c>
      <c r="Z733">
        <f>IF(Y733=C733,1,0)</f>
        <v/>
      </c>
    </row>
    <row r="734">
      <c r="A734">
        <f>'3 escalar'!A737</f>
        <v/>
      </c>
      <c r="B734" s="5">
        <f>'3 escalar'!U737</f>
        <v/>
      </c>
      <c r="C734">
        <f>'3 escalar'!B737</f>
        <v/>
      </c>
      <c r="D734" s="7">
        <f>'3 escalar'!C737</f>
        <v/>
      </c>
      <c r="E734" s="7">
        <f>'3 escalar'!D737</f>
        <v/>
      </c>
      <c r="F734" s="7">
        <f>'3 escalar'!E737</f>
        <v/>
      </c>
      <c r="G734" s="7">
        <f>'3 escalar'!F737</f>
        <v/>
      </c>
      <c r="H734" s="7">
        <f>'3 escalar'!G737</f>
        <v/>
      </c>
      <c r="I734" s="7">
        <f>'3 escalar'!H737</f>
        <v/>
      </c>
      <c r="J734" s="7">
        <f>'3 escalar'!I737</f>
        <v/>
      </c>
      <c r="K734" s="7">
        <f>'3 escalar'!J737</f>
        <v/>
      </c>
      <c r="L734" s="7">
        <f>'3 escalar'!K737</f>
        <v/>
      </c>
      <c r="M734" s="7">
        <f>'3 escalar'!L737</f>
        <v/>
      </c>
      <c r="N734" s="7">
        <f>'3 escalar'!M737</f>
        <v/>
      </c>
      <c r="O734" s="7">
        <f>'3 escalar'!N737</f>
        <v/>
      </c>
      <c r="P734" s="7">
        <f>'3 escalar'!O737</f>
        <v/>
      </c>
      <c r="Q734" s="7">
        <f>'3 escalar'!P737</f>
        <v/>
      </c>
      <c r="R734" s="7">
        <f>'3 escalar'!Q737</f>
        <v/>
      </c>
      <c r="S734" s="7">
        <f>'3 escalar'!R737</f>
        <v/>
      </c>
      <c r="T734" s="7">
        <f>'3 escalar'!S737</f>
        <v/>
      </c>
      <c r="U734" s="7">
        <f>'3 escalar'!T737</f>
        <v/>
      </c>
      <c r="V734" s="6">
        <f>$AC$12+D734*$AC$13+E734*$AC$14+F734*$AC$15+G734*$AC$16+H734*$AC$17+I734*$AC$18+J734*$AC$19+K734*$AC$20+L734*$AC$21+M734*$AC$22+N734*$AC$23+O734*$AC$24+P734*$AC$25+Q734*$AC$26+R734*$AC$27+S734*$AC$28+T734*$AC$29+U734*$AC$30</f>
        <v/>
      </c>
      <c r="W734" s="6">
        <f>1/(1+EXP(-V734))</f>
        <v/>
      </c>
      <c r="X734" s="8">
        <f>-IF(C734=1,LN(W734),LN(1-W734))</f>
        <v/>
      </c>
      <c r="Y734" s="9">
        <f>IF(W734&gt;$AC$32,1,0)</f>
        <v/>
      </c>
      <c r="Z734">
        <f>IF(Y734=C734,1,0)</f>
        <v/>
      </c>
    </row>
    <row r="735">
      <c r="A735">
        <f>'3 escalar'!A738</f>
        <v/>
      </c>
      <c r="B735" s="5">
        <f>'3 escalar'!U738</f>
        <v/>
      </c>
      <c r="C735">
        <f>'3 escalar'!B738</f>
        <v/>
      </c>
      <c r="D735" s="7">
        <f>'3 escalar'!C738</f>
        <v/>
      </c>
      <c r="E735" s="7">
        <f>'3 escalar'!D738</f>
        <v/>
      </c>
      <c r="F735" s="7">
        <f>'3 escalar'!E738</f>
        <v/>
      </c>
      <c r="G735" s="7">
        <f>'3 escalar'!F738</f>
        <v/>
      </c>
      <c r="H735" s="7">
        <f>'3 escalar'!G738</f>
        <v/>
      </c>
      <c r="I735" s="7">
        <f>'3 escalar'!H738</f>
        <v/>
      </c>
      <c r="J735" s="7">
        <f>'3 escalar'!I738</f>
        <v/>
      </c>
      <c r="K735" s="7">
        <f>'3 escalar'!J738</f>
        <v/>
      </c>
      <c r="L735" s="7">
        <f>'3 escalar'!K738</f>
        <v/>
      </c>
      <c r="M735" s="7">
        <f>'3 escalar'!L738</f>
        <v/>
      </c>
      <c r="N735" s="7">
        <f>'3 escalar'!M738</f>
        <v/>
      </c>
      <c r="O735" s="7">
        <f>'3 escalar'!N738</f>
        <v/>
      </c>
      <c r="P735" s="7">
        <f>'3 escalar'!O738</f>
        <v/>
      </c>
      <c r="Q735" s="7">
        <f>'3 escalar'!P738</f>
        <v/>
      </c>
      <c r="R735" s="7">
        <f>'3 escalar'!Q738</f>
        <v/>
      </c>
      <c r="S735" s="7">
        <f>'3 escalar'!R738</f>
        <v/>
      </c>
      <c r="T735" s="7">
        <f>'3 escalar'!S738</f>
        <v/>
      </c>
      <c r="U735" s="7">
        <f>'3 escalar'!T738</f>
        <v/>
      </c>
      <c r="V735" s="6">
        <f>$AC$12+D735*$AC$13+E735*$AC$14+F735*$AC$15+G735*$AC$16+H735*$AC$17+I735*$AC$18+J735*$AC$19+K735*$AC$20+L735*$AC$21+M735*$AC$22+N735*$AC$23+O735*$AC$24+P735*$AC$25+Q735*$AC$26+R735*$AC$27+S735*$AC$28+T735*$AC$29+U735*$AC$30</f>
        <v/>
      </c>
      <c r="W735" s="6">
        <f>1/(1+EXP(-V735))</f>
        <v/>
      </c>
      <c r="X735" s="8">
        <f>-IF(C735=1,LN(W735),LN(1-W735))</f>
        <v/>
      </c>
      <c r="Y735" s="9">
        <f>IF(W735&gt;$AC$32,1,0)</f>
        <v/>
      </c>
      <c r="Z735">
        <f>IF(Y735=C735,1,0)</f>
        <v/>
      </c>
    </row>
    <row r="736">
      <c r="A736">
        <f>'3 escalar'!A739</f>
        <v/>
      </c>
      <c r="B736" s="5">
        <f>'3 escalar'!U739</f>
        <v/>
      </c>
      <c r="C736">
        <f>'3 escalar'!B739</f>
        <v/>
      </c>
      <c r="D736" s="7">
        <f>'3 escalar'!C739</f>
        <v/>
      </c>
      <c r="E736" s="7">
        <f>'3 escalar'!D739</f>
        <v/>
      </c>
      <c r="F736" s="7">
        <f>'3 escalar'!E739</f>
        <v/>
      </c>
      <c r="G736" s="7">
        <f>'3 escalar'!F739</f>
        <v/>
      </c>
      <c r="H736" s="7">
        <f>'3 escalar'!G739</f>
        <v/>
      </c>
      <c r="I736" s="7">
        <f>'3 escalar'!H739</f>
        <v/>
      </c>
      <c r="J736" s="7">
        <f>'3 escalar'!I739</f>
        <v/>
      </c>
      <c r="K736" s="7">
        <f>'3 escalar'!J739</f>
        <v/>
      </c>
      <c r="L736" s="7">
        <f>'3 escalar'!K739</f>
        <v/>
      </c>
      <c r="M736" s="7">
        <f>'3 escalar'!L739</f>
        <v/>
      </c>
      <c r="N736" s="7">
        <f>'3 escalar'!M739</f>
        <v/>
      </c>
      <c r="O736" s="7">
        <f>'3 escalar'!N739</f>
        <v/>
      </c>
      <c r="P736" s="7">
        <f>'3 escalar'!O739</f>
        <v/>
      </c>
      <c r="Q736" s="7">
        <f>'3 escalar'!P739</f>
        <v/>
      </c>
      <c r="R736" s="7">
        <f>'3 escalar'!Q739</f>
        <v/>
      </c>
      <c r="S736" s="7">
        <f>'3 escalar'!R739</f>
        <v/>
      </c>
      <c r="T736" s="7">
        <f>'3 escalar'!S739</f>
        <v/>
      </c>
      <c r="U736" s="7">
        <f>'3 escalar'!T739</f>
        <v/>
      </c>
      <c r="V736" s="6">
        <f>$AC$12+D736*$AC$13+E736*$AC$14+F736*$AC$15+G736*$AC$16+H736*$AC$17+I736*$AC$18+J736*$AC$19+K736*$AC$20+L736*$AC$21+M736*$AC$22+N736*$AC$23+O736*$AC$24+P736*$AC$25+Q736*$AC$26+R736*$AC$27+S736*$AC$28+T736*$AC$29+U736*$AC$30</f>
        <v/>
      </c>
      <c r="W736" s="6">
        <f>1/(1+EXP(-V736))</f>
        <v/>
      </c>
      <c r="X736" s="8">
        <f>-IF(C736=1,LN(W736),LN(1-W736))</f>
        <v/>
      </c>
      <c r="Y736" s="9">
        <f>IF(W736&gt;$AC$32,1,0)</f>
        <v/>
      </c>
      <c r="Z736">
        <f>IF(Y736=C736,1,0)</f>
        <v/>
      </c>
    </row>
    <row r="737">
      <c r="A737">
        <f>'3 escalar'!A740</f>
        <v/>
      </c>
      <c r="B737" s="5">
        <f>'3 escalar'!U740</f>
        <v/>
      </c>
      <c r="C737">
        <f>'3 escalar'!B740</f>
        <v/>
      </c>
      <c r="D737" s="7">
        <f>'3 escalar'!C740</f>
        <v/>
      </c>
      <c r="E737" s="7">
        <f>'3 escalar'!D740</f>
        <v/>
      </c>
      <c r="F737" s="7">
        <f>'3 escalar'!E740</f>
        <v/>
      </c>
      <c r="G737" s="7">
        <f>'3 escalar'!F740</f>
        <v/>
      </c>
      <c r="H737" s="7">
        <f>'3 escalar'!G740</f>
        <v/>
      </c>
      <c r="I737" s="7">
        <f>'3 escalar'!H740</f>
        <v/>
      </c>
      <c r="J737" s="7">
        <f>'3 escalar'!I740</f>
        <v/>
      </c>
      <c r="K737" s="7">
        <f>'3 escalar'!J740</f>
        <v/>
      </c>
      <c r="L737" s="7">
        <f>'3 escalar'!K740</f>
        <v/>
      </c>
      <c r="M737" s="7">
        <f>'3 escalar'!L740</f>
        <v/>
      </c>
      <c r="N737" s="7">
        <f>'3 escalar'!M740</f>
        <v/>
      </c>
      <c r="O737" s="7">
        <f>'3 escalar'!N740</f>
        <v/>
      </c>
      <c r="P737" s="7">
        <f>'3 escalar'!O740</f>
        <v/>
      </c>
      <c r="Q737" s="7">
        <f>'3 escalar'!P740</f>
        <v/>
      </c>
      <c r="R737" s="7">
        <f>'3 escalar'!Q740</f>
        <v/>
      </c>
      <c r="S737" s="7">
        <f>'3 escalar'!R740</f>
        <v/>
      </c>
      <c r="T737" s="7">
        <f>'3 escalar'!S740</f>
        <v/>
      </c>
      <c r="U737" s="7">
        <f>'3 escalar'!T740</f>
        <v/>
      </c>
      <c r="V737" s="6">
        <f>$AC$12+D737*$AC$13+E737*$AC$14+F737*$AC$15+G737*$AC$16+H737*$AC$17+I737*$AC$18+J737*$AC$19+K737*$AC$20+L737*$AC$21+M737*$AC$22+N737*$AC$23+O737*$AC$24+P737*$AC$25+Q737*$AC$26+R737*$AC$27+S737*$AC$28+T737*$AC$29+U737*$AC$30</f>
        <v/>
      </c>
      <c r="W737" s="6">
        <f>1/(1+EXP(-V737))</f>
        <v/>
      </c>
      <c r="X737" s="8">
        <f>-IF(C737=1,LN(W737),LN(1-W737))</f>
        <v/>
      </c>
      <c r="Y737" s="9">
        <f>IF(W737&gt;$AC$32,1,0)</f>
        <v/>
      </c>
      <c r="Z737">
        <f>IF(Y737=C737,1,0)</f>
        <v/>
      </c>
    </row>
    <row r="738">
      <c r="A738">
        <f>'3 escalar'!A741</f>
        <v/>
      </c>
      <c r="B738" s="5">
        <f>'3 escalar'!U741</f>
        <v/>
      </c>
      <c r="C738">
        <f>'3 escalar'!B741</f>
        <v/>
      </c>
      <c r="D738" s="7">
        <f>'3 escalar'!C741</f>
        <v/>
      </c>
      <c r="E738" s="7">
        <f>'3 escalar'!D741</f>
        <v/>
      </c>
      <c r="F738" s="7">
        <f>'3 escalar'!E741</f>
        <v/>
      </c>
      <c r="G738" s="7">
        <f>'3 escalar'!F741</f>
        <v/>
      </c>
      <c r="H738" s="7">
        <f>'3 escalar'!G741</f>
        <v/>
      </c>
      <c r="I738" s="7">
        <f>'3 escalar'!H741</f>
        <v/>
      </c>
      <c r="J738" s="7">
        <f>'3 escalar'!I741</f>
        <v/>
      </c>
      <c r="K738" s="7">
        <f>'3 escalar'!J741</f>
        <v/>
      </c>
      <c r="L738" s="7">
        <f>'3 escalar'!K741</f>
        <v/>
      </c>
      <c r="M738" s="7">
        <f>'3 escalar'!L741</f>
        <v/>
      </c>
      <c r="N738" s="7">
        <f>'3 escalar'!M741</f>
        <v/>
      </c>
      <c r="O738" s="7">
        <f>'3 escalar'!N741</f>
        <v/>
      </c>
      <c r="P738" s="7">
        <f>'3 escalar'!O741</f>
        <v/>
      </c>
      <c r="Q738" s="7">
        <f>'3 escalar'!P741</f>
        <v/>
      </c>
      <c r="R738" s="7">
        <f>'3 escalar'!Q741</f>
        <v/>
      </c>
      <c r="S738" s="7">
        <f>'3 escalar'!R741</f>
        <v/>
      </c>
      <c r="T738" s="7">
        <f>'3 escalar'!S741</f>
        <v/>
      </c>
      <c r="U738" s="7">
        <f>'3 escalar'!T741</f>
        <v/>
      </c>
      <c r="V738" s="6">
        <f>$AC$12+D738*$AC$13+E738*$AC$14+F738*$AC$15+G738*$AC$16+H738*$AC$17+I738*$AC$18+J738*$AC$19+K738*$AC$20+L738*$AC$21+M738*$AC$22+N738*$AC$23+O738*$AC$24+P738*$AC$25+Q738*$AC$26+R738*$AC$27+S738*$AC$28+T738*$AC$29+U738*$AC$30</f>
        <v/>
      </c>
      <c r="W738" s="6">
        <f>1/(1+EXP(-V738))</f>
        <v/>
      </c>
      <c r="X738" s="8">
        <f>-IF(C738=1,LN(W738),LN(1-W738))</f>
        <v/>
      </c>
      <c r="Y738" s="9">
        <f>IF(W738&gt;$AC$32,1,0)</f>
        <v/>
      </c>
      <c r="Z738">
        <f>IF(Y738=C738,1,0)</f>
        <v/>
      </c>
    </row>
    <row r="739">
      <c r="A739">
        <f>'3 escalar'!A742</f>
        <v/>
      </c>
      <c r="B739" s="5">
        <f>'3 escalar'!U742</f>
        <v/>
      </c>
      <c r="C739">
        <f>'3 escalar'!B742</f>
        <v/>
      </c>
      <c r="D739" s="7">
        <f>'3 escalar'!C742</f>
        <v/>
      </c>
      <c r="E739" s="7">
        <f>'3 escalar'!D742</f>
        <v/>
      </c>
      <c r="F739" s="7">
        <f>'3 escalar'!E742</f>
        <v/>
      </c>
      <c r="G739" s="7">
        <f>'3 escalar'!F742</f>
        <v/>
      </c>
      <c r="H739" s="7">
        <f>'3 escalar'!G742</f>
        <v/>
      </c>
      <c r="I739" s="7">
        <f>'3 escalar'!H742</f>
        <v/>
      </c>
      <c r="J739" s="7">
        <f>'3 escalar'!I742</f>
        <v/>
      </c>
      <c r="K739" s="7">
        <f>'3 escalar'!J742</f>
        <v/>
      </c>
      <c r="L739" s="7">
        <f>'3 escalar'!K742</f>
        <v/>
      </c>
      <c r="M739" s="7">
        <f>'3 escalar'!L742</f>
        <v/>
      </c>
      <c r="N739" s="7">
        <f>'3 escalar'!M742</f>
        <v/>
      </c>
      <c r="O739" s="7">
        <f>'3 escalar'!N742</f>
        <v/>
      </c>
      <c r="P739" s="7">
        <f>'3 escalar'!O742</f>
        <v/>
      </c>
      <c r="Q739" s="7">
        <f>'3 escalar'!P742</f>
        <v/>
      </c>
      <c r="R739" s="7">
        <f>'3 escalar'!Q742</f>
        <v/>
      </c>
      <c r="S739" s="7">
        <f>'3 escalar'!R742</f>
        <v/>
      </c>
      <c r="T739" s="7">
        <f>'3 escalar'!S742</f>
        <v/>
      </c>
      <c r="U739" s="7">
        <f>'3 escalar'!T742</f>
        <v/>
      </c>
      <c r="V739" s="6">
        <f>$AC$12+D739*$AC$13+E739*$AC$14+F739*$AC$15+G739*$AC$16+H739*$AC$17+I739*$AC$18+J739*$AC$19+K739*$AC$20+L739*$AC$21+M739*$AC$22+N739*$AC$23+O739*$AC$24+P739*$AC$25+Q739*$AC$26+R739*$AC$27+S739*$AC$28+T739*$AC$29+U739*$AC$30</f>
        <v/>
      </c>
      <c r="W739" s="6">
        <f>1/(1+EXP(-V739))</f>
        <v/>
      </c>
      <c r="X739" s="8">
        <f>-IF(C739=1,LN(W739),LN(1-W739))</f>
        <v/>
      </c>
      <c r="Y739" s="9">
        <f>IF(W739&gt;$AC$32,1,0)</f>
        <v/>
      </c>
      <c r="Z739">
        <f>IF(Y739=C739,1,0)</f>
        <v/>
      </c>
    </row>
    <row r="740">
      <c r="A740">
        <f>'3 escalar'!A743</f>
        <v/>
      </c>
      <c r="B740" s="5">
        <f>'3 escalar'!U743</f>
        <v/>
      </c>
      <c r="C740">
        <f>'3 escalar'!B743</f>
        <v/>
      </c>
      <c r="D740" s="7">
        <f>'3 escalar'!C743</f>
        <v/>
      </c>
      <c r="E740" s="7">
        <f>'3 escalar'!D743</f>
        <v/>
      </c>
      <c r="F740" s="7">
        <f>'3 escalar'!E743</f>
        <v/>
      </c>
      <c r="G740" s="7">
        <f>'3 escalar'!F743</f>
        <v/>
      </c>
      <c r="H740" s="7">
        <f>'3 escalar'!G743</f>
        <v/>
      </c>
      <c r="I740" s="7">
        <f>'3 escalar'!H743</f>
        <v/>
      </c>
      <c r="J740" s="7">
        <f>'3 escalar'!I743</f>
        <v/>
      </c>
      <c r="K740" s="7">
        <f>'3 escalar'!J743</f>
        <v/>
      </c>
      <c r="L740" s="7">
        <f>'3 escalar'!K743</f>
        <v/>
      </c>
      <c r="M740" s="7">
        <f>'3 escalar'!L743</f>
        <v/>
      </c>
      <c r="N740" s="7">
        <f>'3 escalar'!M743</f>
        <v/>
      </c>
      <c r="O740" s="7">
        <f>'3 escalar'!N743</f>
        <v/>
      </c>
      <c r="P740" s="7">
        <f>'3 escalar'!O743</f>
        <v/>
      </c>
      <c r="Q740" s="7">
        <f>'3 escalar'!P743</f>
        <v/>
      </c>
      <c r="R740" s="7">
        <f>'3 escalar'!Q743</f>
        <v/>
      </c>
      <c r="S740" s="7">
        <f>'3 escalar'!R743</f>
        <v/>
      </c>
      <c r="T740" s="7">
        <f>'3 escalar'!S743</f>
        <v/>
      </c>
      <c r="U740" s="7">
        <f>'3 escalar'!T743</f>
        <v/>
      </c>
      <c r="V740" s="6">
        <f>$AC$12+D740*$AC$13+E740*$AC$14+F740*$AC$15+G740*$AC$16+H740*$AC$17+I740*$AC$18+J740*$AC$19+K740*$AC$20+L740*$AC$21+M740*$AC$22+N740*$AC$23+O740*$AC$24+P740*$AC$25+Q740*$AC$26+R740*$AC$27+S740*$AC$28+T740*$AC$29+U740*$AC$30</f>
        <v/>
      </c>
      <c r="W740" s="6">
        <f>1/(1+EXP(-V740))</f>
        <v/>
      </c>
      <c r="X740" s="8">
        <f>-IF(C740=1,LN(W740),LN(1-W740))</f>
        <v/>
      </c>
      <c r="Y740" s="9">
        <f>IF(W740&gt;$AC$32,1,0)</f>
        <v/>
      </c>
      <c r="Z740">
        <f>IF(Y740=C740,1,0)</f>
        <v/>
      </c>
    </row>
    <row r="741">
      <c r="A741">
        <f>'3 escalar'!A744</f>
        <v/>
      </c>
      <c r="B741" s="5">
        <f>'3 escalar'!U744</f>
        <v/>
      </c>
      <c r="C741">
        <f>'3 escalar'!B744</f>
        <v/>
      </c>
      <c r="D741" s="7">
        <f>'3 escalar'!C744</f>
        <v/>
      </c>
      <c r="E741" s="7">
        <f>'3 escalar'!D744</f>
        <v/>
      </c>
      <c r="F741" s="7">
        <f>'3 escalar'!E744</f>
        <v/>
      </c>
      <c r="G741" s="7">
        <f>'3 escalar'!F744</f>
        <v/>
      </c>
      <c r="H741" s="7">
        <f>'3 escalar'!G744</f>
        <v/>
      </c>
      <c r="I741" s="7">
        <f>'3 escalar'!H744</f>
        <v/>
      </c>
      <c r="J741" s="7">
        <f>'3 escalar'!I744</f>
        <v/>
      </c>
      <c r="K741" s="7">
        <f>'3 escalar'!J744</f>
        <v/>
      </c>
      <c r="L741" s="7">
        <f>'3 escalar'!K744</f>
        <v/>
      </c>
      <c r="M741" s="7">
        <f>'3 escalar'!L744</f>
        <v/>
      </c>
      <c r="N741" s="7">
        <f>'3 escalar'!M744</f>
        <v/>
      </c>
      <c r="O741" s="7">
        <f>'3 escalar'!N744</f>
        <v/>
      </c>
      <c r="P741" s="7">
        <f>'3 escalar'!O744</f>
        <v/>
      </c>
      <c r="Q741" s="7">
        <f>'3 escalar'!P744</f>
        <v/>
      </c>
      <c r="R741" s="7">
        <f>'3 escalar'!Q744</f>
        <v/>
      </c>
      <c r="S741" s="7">
        <f>'3 escalar'!R744</f>
        <v/>
      </c>
      <c r="T741" s="7">
        <f>'3 escalar'!S744</f>
        <v/>
      </c>
      <c r="U741" s="7">
        <f>'3 escalar'!T744</f>
        <v/>
      </c>
      <c r="V741" s="6">
        <f>$AC$12+D741*$AC$13+E741*$AC$14+F741*$AC$15+G741*$AC$16+H741*$AC$17+I741*$AC$18+J741*$AC$19+K741*$AC$20+L741*$AC$21+M741*$AC$22+N741*$AC$23+O741*$AC$24+P741*$AC$25+Q741*$AC$26+R741*$AC$27+S741*$AC$28+T741*$AC$29+U741*$AC$30</f>
        <v/>
      </c>
      <c r="W741" s="6">
        <f>1/(1+EXP(-V741))</f>
        <v/>
      </c>
      <c r="X741" s="8">
        <f>-IF(C741=1,LN(W741),LN(1-W741))</f>
        <v/>
      </c>
      <c r="Y741" s="9">
        <f>IF(W741&gt;$AC$32,1,0)</f>
        <v/>
      </c>
      <c r="Z741">
        <f>IF(Y741=C741,1,0)</f>
        <v/>
      </c>
    </row>
    <row r="742">
      <c r="A742">
        <f>'3 escalar'!A745</f>
        <v/>
      </c>
      <c r="B742" s="5">
        <f>'3 escalar'!U745</f>
        <v/>
      </c>
      <c r="C742">
        <f>'3 escalar'!B745</f>
        <v/>
      </c>
      <c r="D742" s="7">
        <f>'3 escalar'!C745</f>
        <v/>
      </c>
      <c r="E742" s="7">
        <f>'3 escalar'!D745</f>
        <v/>
      </c>
      <c r="F742" s="7">
        <f>'3 escalar'!E745</f>
        <v/>
      </c>
      <c r="G742" s="7">
        <f>'3 escalar'!F745</f>
        <v/>
      </c>
      <c r="H742" s="7">
        <f>'3 escalar'!G745</f>
        <v/>
      </c>
      <c r="I742" s="7">
        <f>'3 escalar'!H745</f>
        <v/>
      </c>
      <c r="J742" s="7">
        <f>'3 escalar'!I745</f>
        <v/>
      </c>
      <c r="K742" s="7">
        <f>'3 escalar'!J745</f>
        <v/>
      </c>
      <c r="L742" s="7">
        <f>'3 escalar'!K745</f>
        <v/>
      </c>
      <c r="M742" s="7">
        <f>'3 escalar'!L745</f>
        <v/>
      </c>
      <c r="N742" s="7">
        <f>'3 escalar'!M745</f>
        <v/>
      </c>
      <c r="O742" s="7">
        <f>'3 escalar'!N745</f>
        <v/>
      </c>
      <c r="P742" s="7">
        <f>'3 escalar'!O745</f>
        <v/>
      </c>
      <c r="Q742" s="7">
        <f>'3 escalar'!P745</f>
        <v/>
      </c>
      <c r="R742" s="7">
        <f>'3 escalar'!Q745</f>
        <v/>
      </c>
      <c r="S742" s="7">
        <f>'3 escalar'!R745</f>
        <v/>
      </c>
      <c r="T742" s="7">
        <f>'3 escalar'!S745</f>
        <v/>
      </c>
      <c r="U742" s="7">
        <f>'3 escalar'!T745</f>
        <v/>
      </c>
      <c r="V742" s="6">
        <f>$AC$12+D742*$AC$13+E742*$AC$14+F742*$AC$15+G742*$AC$16+H742*$AC$17+I742*$AC$18+J742*$AC$19+K742*$AC$20+L742*$AC$21+M742*$AC$22+N742*$AC$23+O742*$AC$24+P742*$AC$25+Q742*$AC$26+R742*$AC$27+S742*$AC$28+T742*$AC$29+U742*$AC$30</f>
        <v/>
      </c>
      <c r="W742" s="6">
        <f>1/(1+EXP(-V742))</f>
        <v/>
      </c>
      <c r="X742" s="8">
        <f>-IF(C742=1,LN(W742),LN(1-W742))</f>
        <v/>
      </c>
      <c r="Y742" s="9">
        <f>IF(W742&gt;$AC$32,1,0)</f>
        <v/>
      </c>
      <c r="Z742">
        <f>IF(Y742=C742,1,0)</f>
        <v/>
      </c>
    </row>
    <row r="743">
      <c r="A743">
        <f>'3 escalar'!A746</f>
        <v/>
      </c>
      <c r="B743" s="5">
        <f>'3 escalar'!U746</f>
        <v/>
      </c>
      <c r="C743">
        <f>'3 escalar'!B746</f>
        <v/>
      </c>
      <c r="D743" s="7">
        <f>'3 escalar'!C746</f>
        <v/>
      </c>
      <c r="E743" s="7">
        <f>'3 escalar'!D746</f>
        <v/>
      </c>
      <c r="F743" s="7">
        <f>'3 escalar'!E746</f>
        <v/>
      </c>
      <c r="G743" s="7">
        <f>'3 escalar'!F746</f>
        <v/>
      </c>
      <c r="H743" s="7">
        <f>'3 escalar'!G746</f>
        <v/>
      </c>
      <c r="I743" s="7">
        <f>'3 escalar'!H746</f>
        <v/>
      </c>
      <c r="J743" s="7">
        <f>'3 escalar'!I746</f>
        <v/>
      </c>
      <c r="K743" s="7">
        <f>'3 escalar'!J746</f>
        <v/>
      </c>
      <c r="L743" s="7">
        <f>'3 escalar'!K746</f>
        <v/>
      </c>
      <c r="M743" s="7">
        <f>'3 escalar'!L746</f>
        <v/>
      </c>
      <c r="N743" s="7">
        <f>'3 escalar'!M746</f>
        <v/>
      </c>
      <c r="O743" s="7">
        <f>'3 escalar'!N746</f>
        <v/>
      </c>
      <c r="P743" s="7">
        <f>'3 escalar'!O746</f>
        <v/>
      </c>
      <c r="Q743" s="7">
        <f>'3 escalar'!P746</f>
        <v/>
      </c>
      <c r="R743" s="7">
        <f>'3 escalar'!Q746</f>
        <v/>
      </c>
      <c r="S743" s="7">
        <f>'3 escalar'!R746</f>
        <v/>
      </c>
      <c r="T743" s="7">
        <f>'3 escalar'!S746</f>
        <v/>
      </c>
      <c r="U743" s="7">
        <f>'3 escalar'!T746</f>
        <v/>
      </c>
      <c r="V743" s="6">
        <f>$AC$12+D743*$AC$13+E743*$AC$14+F743*$AC$15+G743*$AC$16+H743*$AC$17+I743*$AC$18+J743*$AC$19+K743*$AC$20+L743*$AC$21+M743*$AC$22+N743*$AC$23+O743*$AC$24+P743*$AC$25+Q743*$AC$26+R743*$AC$27+S743*$AC$28+T743*$AC$29+U743*$AC$30</f>
        <v/>
      </c>
      <c r="W743" s="6">
        <f>1/(1+EXP(-V743))</f>
        <v/>
      </c>
      <c r="X743" s="8">
        <f>-IF(C743=1,LN(W743),LN(1-W743))</f>
        <v/>
      </c>
      <c r="Y743" s="9">
        <f>IF(W743&gt;$AC$32,1,0)</f>
        <v/>
      </c>
      <c r="Z743">
        <f>IF(Y743=C743,1,0)</f>
        <v/>
      </c>
    </row>
    <row r="744">
      <c r="A744">
        <f>'3 escalar'!A747</f>
        <v/>
      </c>
      <c r="B744" s="5">
        <f>'3 escalar'!U747</f>
        <v/>
      </c>
      <c r="C744">
        <f>'3 escalar'!B747</f>
        <v/>
      </c>
      <c r="D744" s="7">
        <f>'3 escalar'!C747</f>
        <v/>
      </c>
      <c r="E744" s="7">
        <f>'3 escalar'!D747</f>
        <v/>
      </c>
      <c r="F744" s="7">
        <f>'3 escalar'!E747</f>
        <v/>
      </c>
      <c r="G744" s="7">
        <f>'3 escalar'!F747</f>
        <v/>
      </c>
      <c r="H744" s="7">
        <f>'3 escalar'!G747</f>
        <v/>
      </c>
      <c r="I744" s="7">
        <f>'3 escalar'!H747</f>
        <v/>
      </c>
      <c r="J744" s="7">
        <f>'3 escalar'!I747</f>
        <v/>
      </c>
      <c r="K744" s="7">
        <f>'3 escalar'!J747</f>
        <v/>
      </c>
      <c r="L744" s="7">
        <f>'3 escalar'!K747</f>
        <v/>
      </c>
      <c r="M744" s="7">
        <f>'3 escalar'!L747</f>
        <v/>
      </c>
      <c r="N744" s="7">
        <f>'3 escalar'!M747</f>
        <v/>
      </c>
      <c r="O744" s="7">
        <f>'3 escalar'!N747</f>
        <v/>
      </c>
      <c r="P744" s="7">
        <f>'3 escalar'!O747</f>
        <v/>
      </c>
      <c r="Q744" s="7">
        <f>'3 escalar'!P747</f>
        <v/>
      </c>
      <c r="R744" s="7">
        <f>'3 escalar'!Q747</f>
        <v/>
      </c>
      <c r="S744" s="7">
        <f>'3 escalar'!R747</f>
        <v/>
      </c>
      <c r="T744" s="7">
        <f>'3 escalar'!S747</f>
        <v/>
      </c>
      <c r="U744" s="7">
        <f>'3 escalar'!T747</f>
        <v/>
      </c>
      <c r="V744" s="6">
        <f>$AC$12+D744*$AC$13+E744*$AC$14+F744*$AC$15+G744*$AC$16+H744*$AC$17+I744*$AC$18+J744*$AC$19+K744*$AC$20+L744*$AC$21+M744*$AC$22+N744*$AC$23+O744*$AC$24+P744*$AC$25+Q744*$AC$26+R744*$AC$27+S744*$AC$28+T744*$AC$29+U744*$AC$30</f>
        <v/>
      </c>
      <c r="W744" s="6">
        <f>1/(1+EXP(-V744))</f>
        <v/>
      </c>
      <c r="X744" s="8">
        <f>-IF(C744=1,LN(W744),LN(1-W744))</f>
        <v/>
      </c>
      <c r="Y744" s="9">
        <f>IF(W744&gt;$AC$32,1,0)</f>
        <v/>
      </c>
      <c r="Z744">
        <f>IF(Y744=C744,1,0)</f>
        <v/>
      </c>
    </row>
    <row r="745">
      <c r="A745">
        <f>'3 escalar'!A748</f>
        <v/>
      </c>
      <c r="B745" s="5">
        <f>'3 escalar'!U748</f>
        <v/>
      </c>
      <c r="C745">
        <f>'3 escalar'!B748</f>
        <v/>
      </c>
      <c r="D745" s="7">
        <f>'3 escalar'!C748</f>
        <v/>
      </c>
      <c r="E745" s="7">
        <f>'3 escalar'!D748</f>
        <v/>
      </c>
      <c r="F745" s="7">
        <f>'3 escalar'!E748</f>
        <v/>
      </c>
      <c r="G745" s="7">
        <f>'3 escalar'!F748</f>
        <v/>
      </c>
      <c r="H745" s="7">
        <f>'3 escalar'!G748</f>
        <v/>
      </c>
      <c r="I745" s="7">
        <f>'3 escalar'!H748</f>
        <v/>
      </c>
      <c r="J745" s="7">
        <f>'3 escalar'!I748</f>
        <v/>
      </c>
      <c r="K745" s="7">
        <f>'3 escalar'!J748</f>
        <v/>
      </c>
      <c r="L745" s="7">
        <f>'3 escalar'!K748</f>
        <v/>
      </c>
      <c r="M745" s="7">
        <f>'3 escalar'!L748</f>
        <v/>
      </c>
      <c r="N745" s="7">
        <f>'3 escalar'!M748</f>
        <v/>
      </c>
      <c r="O745" s="7">
        <f>'3 escalar'!N748</f>
        <v/>
      </c>
      <c r="P745" s="7">
        <f>'3 escalar'!O748</f>
        <v/>
      </c>
      <c r="Q745" s="7">
        <f>'3 escalar'!P748</f>
        <v/>
      </c>
      <c r="R745" s="7">
        <f>'3 escalar'!Q748</f>
        <v/>
      </c>
      <c r="S745" s="7">
        <f>'3 escalar'!R748</f>
        <v/>
      </c>
      <c r="T745" s="7">
        <f>'3 escalar'!S748</f>
        <v/>
      </c>
      <c r="U745" s="7">
        <f>'3 escalar'!T748</f>
        <v/>
      </c>
      <c r="V745" s="6">
        <f>$AC$12+D745*$AC$13+E745*$AC$14+F745*$AC$15+G745*$AC$16+H745*$AC$17+I745*$AC$18+J745*$AC$19+K745*$AC$20+L745*$AC$21+M745*$AC$22+N745*$AC$23+O745*$AC$24+P745*$AC$25+Q745*$AC$26+R745*$AC$27+S745*$AC$28+T745*$AC$29+U745*$AC$30</f>
        <v/>
      </c>
      <c r="W745" s="6">
        <f>1/(1+EXP(-V745))</f>
        <v/>
      </c>
      <c r="X745" s="8">
        <f>-IF(C745=1,LN(W745),LN(1-W745))</f>
        <v/>
      </c>
      <c r="Y745" s="9">
        <f>IF(W745&gt;$AC$32,1,0)</f>
        <v/>
      </c>
      <c r="Z745">
        <f>IF(Y745=C745,1,0)</f>
        <v/>
      </c>
    </row>
    <row r="746">
      <c r="A746">
        <f>'3 escalar'!A749</f>
        <v/>
      </c>
      <c r="B746" s="5">
        <f>'3 escalar'!U749</f>
        <v/>
      </c>
      <c r="C746">
        <f>'3 escalar'!B749</f>
        <v/>
      </c>
      <c r="D746" s="7">
        <f>'3 escalar'!C749</f>
        <v/>
      </c>
      <c r="E746" s="7">
        <f>'3 escalar'!D749</f>
        <v/>
      </c>
      <c r="F746" s="7">
        <f>'3 escalar'!E749</f>
        <v/>
      </c>
      <c r="G746" s="7">
        <f>'3 escalar'!F749</f>
        <v/>
      </c>
      <c r="H746" s="7">
        <f>'3 escalar'!G749</f>
        <v/>
      </c>
      <c r="I746" s="7">
        <f>'3 escalar'!H749</f>
        <v/>
      </c>
      <c r="J746" s="7">
        <f>'3 escalar'!I749</f>
        <v/>
      </c>
      <c r="K746" s="7">
        <f>'3 escalar'!J749</f>
        <v/>
      </c>
      <c r="L746" s="7">
        <f>'3 escalar'!K749</f>
        <v/>
      </c>
      <c r="M746" s="7">
        <f>'3 escalar'!L749</f>
        <v/>
      </c>
      <c r="N746" s="7">
        <f>'3 escalar'!M749</f>
        <v/>
      </c>
      <c r="O746" s="7">
        <f>'3 escalar'!N749</f>
        <v/>
      </c>
      <c r="P746" s="7">
        <f>'3 escalar'!O749</f>
        <v/>
      </c>
      <c r="Q746" s="7">
        <f>'3 escalar'!P749</f>
        <v/>
      </c>
      <c r="R746" s="7">
        <f>'3 escalar'!Q749</f>
        <v/>
      </c>
      <c r="S746" s="7">
        <f>'3 escalar'!R749</f>
        <v/>
      </c>
      <c r="T746" s="7">
        <f>'3 escalar'!S749</f>
        <v/>
      </c>
      <c r="U746" s="7">
        <f>'3 escalar'!T749</f>
        <v/>
      </c>
      <c r="V746" s="6">
        <f>$AC$12+D746*$AC$13+E746*$AC$14+F746*$AC$15+G746*$AC$16+H746*$AC$17+I746*$AC$18+J746*$AC$19+K746*$AC$20+L746*$AC$21+M746*$AC$22+N746*$AC$23+O746*$AC$24+P746*$AC$25+Q746*$AC$26+R746*$AC$27+S746*$AC$28+T746*$AC$29+U746*$AC$30</f>
        <v/>
      </c>
      <c r="W746" s="6">
        <f>1/(1+EXP(-V746))</f>
        <v/>
      </c>
      <c r="X746" s="8">
        <f>-IF(C746=1,LN(W746),LN(1-W746))</f>
        <v/>
      </c>
      <c r="Y746" s="9">
        <f>IF(W746&gt;$AC$32,1,0)</f>
        <v/>
      </c>
      <c r="Z746">
        <f>IF(Y746=C746,1,0)</f>
        <v/>
      </c>
    </row>
    <row r="747">
      <c r="A747">
        <f>'3 escalar'!A750</f>
        <v/>
      </c>
      <c r="B747" s="5">
        <f>'3 escalar'!U750</f>
        <v/>
      </c>
      <c r="C747">
        <f>'3 escalar'!B750</f>
        <v/>
      </c>
      <c r="D747" s="7">
        <f>'3 escalar'!C750</f>
        <v/>
      </c>
      <c r="E747" s="7">
        <f>'3 escalar'!D750</f>
        <v/>
      </c>
      <c r="F747" s="7">
        <f>'3 escalar'!E750</f>
        <v/>
      </c>
      <c r="G747" s="7">
        <f>'3 escalar'!F750</f>
        <v/>
      </c>
      <c r="H747" s="7">
        <f>'3 escalar'!G750</f>
        <v/>
      </c>
      <c r="I747" s="7">
        <f>'3 escalar'!H750</f>
        <v/>
      </c>
      <c r="J747" s="7">
        <f>'3 escalar'!I750</f>
        <v/>
      </c>
      <c r="K747" s="7">
        <f>'3 escalar'!J750</f>
        <v/>
      </c>
      <c r="L747" s="7">
        <f>'3 escalar'!K750</f>
        <v/>
      </c>
      <c r="M747" s="7">
        <f>'3 escalar'!L750</f>
        <v/>
      </c>
      <c r="N747" s="7">
        <f>'3 escalar'!M750</f>
        <v/>
      </c>
      <c r="O747" s="7">
        <f>'3 escalar'!N750</f>
        <v/>
      </c>
      <c r="P747" s="7">
        <f>'3 escalar'!O750</f>
        <v/>
      </c>
      <c r="Q747" s="7">
        <f>'3 escalar'!P750</f>
        <v/>
      </c>
      <c r="R747" s="7">
        <f>'3 escalar'!Q750</f>
        <v/>
      </c>
      <c r="S747" s="7">
        <f>'3 escalar'!R750</f>
        <v/>
      </c>
      <c r="T747" s="7">
        <f>'3 escalar'!S750</f>
        <v/>
      </c>
      <c r="U747" s="7">
        <f>'3 escalar'!T750</f>
        <v/>
      </c>
      <c r="V747" s="6">
        <f>$AC$12+D747*$AC$13+E747*$AC$14+F747*$AC$15+G747*$AC$16+H747*$AC$17+I747*$AC$18+J747*$AC$19+K747*$AC$20+L747*$AC$21+M747*$AC$22+N747*$AC$23+O747*$AC$24+P747*$AC$25+Q747*$AC$26+R747*$AC$27+S747*$AC$28+T747*$AC$29+U747*$AC$30</f>
        <v/>
      </c>
      <c r="W747" s="6">
        <f>1/(1+EXP(-V747))</f>
        <v/>
      </c>
      <c r="X747" s="8">
        <f>-IF(C747=1,LN(W747),LN(1-W747))</f>
        <v/>
      </c>
      <c r="Y747" s="9">
        <f>IF(W747&gt;$AC$32,1,0)</f>
        <v/>
      </c>
      <c r="Z747">
        <f>IF(Y747=C747,1,0)</f>
        <v/>
      </c>
    </row>
    <row r="748">
      <c r="A748">
        <f>'3 escalar'!A751</f>
        <v/>
      </c>
      <c r="B748" s="5">
        <f>'3 escalar'!U751</f>
        <v/>
      </c>
      <c r="C748">
        <f>'3 escalar'!B751</f>
        <v/>
      </c>
      <c r="D748" s="7">
        <f>'3 escalar'!C751</f>
        <v/>
      </c>
      <c r="E748" s="7">
        <f>'3 escalar'!D751</f>
        <v/>
      </c>
      <c r="F748" s="7">
        <f>'3 escalar'!E751</f>
        <v/>
      </c>
      <c r="G748" s="7">
        <f>'3 escalar'!F751</f>
        <v/>
      </c>
      <c r="H748" s="7">
        <f>'3 escalar'!G751</f>
        <v/>
      </c>
      <c r="I748" s="7">
        <f>'3 escalar'!H751</f>
        <v/>
      </c>
      <c r="J748" s="7">
        <f>'3 escalar'!I751</f>
        <v/>
      </c>
      <c r="K748" s="7">
        <f>'3 escalar'!J751</f>
        <v/>
      </c>
      <c r="L748" s="7">
        <f>'3 escalar'!K751</f>
        <v/>
      </c>
      <c r="M748" s="7">
        <f>'3 escalar'!L751</f>
        <v/>
      </c>
      <c r="N748" s="7">
        <f>'3 escalar'!M751</f>
        <v/>
      </c>
      <c r="O748" s="7">
        <f>'3 escalar'!N751</f>
        <v/>
      </c>
      <c r="P748" s="7">
        <f>'3 escalar'!O751</f>
        <v/>
      </c>
      <c r="Q748" s="7">
        <f>'3 escalar'!P751</f>
        <v/>
      </c>
      <c r="R748" s="7">
        <f>'3 escalar'!Q751</f>
        <v/>
      </c>
      <c r="S748" s="7">
        <f>'3 escalar'!R751</f>
        <v/>
      </c>
      <c r="T748" s="7">
        <f>'3 escalar'!S751</f>
        <v/>
      </c>
      <c r="U748" s="7">
        <f>'3 escalar'!T751</f>
        <v/>
      </c>
      <c r="V748" s="6">
        <f>$AC$12+D748*$AC$13+E748*$AC$14+F748*$AC$15+G748*$AC$16+H748*$AC$17+I748*$AC$18+J748*$AC$19+K748*$AC$20+L748*$AC$21+M748*$AC$22+N748*$AC$23+O748*$AC$24+P748*$AC$25+Q748*$AC$26+R748*$AC$27+S748*$AC$28+T748*$AC$29+U748*$AC$30</f>
        <v/>
      </c>
      <c r="W748" s="6">
        <f>1/(1+EXP(-V748))</f>
        <v/>
      </c>
      <c r="X748" s="8">
        <f>-IF(C748=1,LN(W748),LN(1-W748))</f>
        <v/>
      </c>
      <c r="Y748" s="9">
        <f>IF(W748&gt;$AC$32,1,0)</f>
        <v/>
      </c>
      <c r="Z748">
        <f>IF(Y748=C748,1,0)</f>
        <v/>
      </c>
    </row>
    <row r="749">
      <c r="A749">
        <f>'3 escalar'!A752</f>
        <v/>
      </c>
      <c r="B749" s="5">
        <f>'3 escalar'!U752</f>
        <v/>
      </c>
      <c r="C749">
        <f>'3 escalar'!B752</f>
        <v/>
      </c>
      <c r="D749" s="7">
        <f>'3 escalar'!C752</f>
        <v/>
      </c>
      <c r="E749" s="7">
        <f>'3 escalar'!D752</f>
        <v/>
      </c>
      <c r="F749" s="7">
        <f>'3 escalar'!E752</f>
        <v/>
      </c>
      <c r="G749" s="7">
        <f>'3 escalar'!F752</f>
        <v/>
      </c>
      <c r="H749" s="7">
        <f>'3 escalar'!G752</f>
        <v/>
      </c>
      <c r="I749" s="7">
        <f>'3 escalar'!H752</f>
        <v/>
      </c>
      <c r="J749" s="7">
        <f>'3 escalar'!I752</f>
        <v/>
      </c>
      <c r="K749" s="7">
        <f>'3 escalar'!J752</f>
        <v/>
      </c>
      <c r="L749" s="7">
        <f>'3 escalar'!K752</f>
        <v/>
      </c>
      <c r="M749" s="7">
        <f>'3 escalar'!L752</f>
        <v/>
      </c>
      <c r="N749" s="7">
        <f>'3 escalar'!M752</f>
        <v/>
      </c>
      <c r="O749" s="7">
        <f>'3 escalar'!N752</f>
        <v/>
      </c>
      <c r="P749" s="7">
        <f>'3 escalar'!O752</f>
        <v/>
      </c>
      <c r="Q749" s="7">
        <f>'3 escalar'!P752</f>
        <v/>
      </c>
      <c r="R749" s="7">
        <f>'3 escalar'!Q752</f>
        <v/>
      </c>
      <c r="S749" s="7">
        <f>'3 escalar'!R752</f>
        <v/>
      </c>
      <c r="T749" s="7">
        <f>'3 escalar'!S752</f>
        <v/>
      </c>
      <c r="U749" s="7">
        <f>'3 escalar'!T752</f>
        <v/>
      </c>
      <c r="V749" s="6">
        <f>$AC$12+D749*$AC$13+E749*$AC$14+F749*$AC$15+G749*$AC$16+H749*$AC$17+I749*$AC$18+J749*$AC$19+K749*$AC$20+L749*$AC$21+M749*$AC$22+N749*$AC$23+O749*$AC$24+P749*$AC$25+Q749*$AC$26+R749*$AC$27+S749*$AC$28+T749*$AC$29+U749*$AC$30</f>
        <v/>
      </c>
      <c r="W749" s="6">
        <f>1/(1+EXP(-V749))</f>
        <v/>
      </c>
      <c r="X749" s="8">
        <f>-IF(C749=1,LN(W749),LN(1-W749))</f>
        <v/>
      </c>
      <c r="Y749" s="9">
        <f>IF(W749&gt;$AC$32,1,0)</f>
        <v/>
      </c>
      <c r="Z749">
        <f>IF(Y749=C749,1,0)</f>
        <v/>
      </c>
    </row>
    <row r="750">
      <c r="A750">
        <f>'3 escalar'!A753</f>
        <v/>
      </c>
      <c r="B750" s="5">
        <f>'3 escalar'!U753</f>
        <v/>
      </c>
      <c r="C750">
        <f>'3 escalar'!B753</f>
        <v/>
      </c>
      <c r="D750" s="7">
        <f>'3 escalar'!C753</f>
        <v/>
      </c>
      <c r="E750" s="7">
        <f>'3 escalar'!D753</f>
        <v/>
      </c>
      <c r="F750" s="7">
        <f>'3 escalar'!E753</f>
        <v/>
      </c>
      <c r="G750" s="7">
        <f>'3 escalar'!F753</f>
        <v/>
      </c>
      <c r="H750" s="7">
        <f>'3 escalar'!G753</f>
        <v/>
      </c>
      <c r="I750" s="7">
        <f>'3 escalar'!H753</f>
        <v/>
      </c>
      <c r="J750" s="7">
        <f>'3 escalar'!I753</f>
        <v/>
      </c>
      <c r="K750" s="7">
        <f>'3 escalar'!J753</f>
        <v/>
      </c>
      <c r="L750" s="7">
        <f>'3 escalar'!K753</f>
        <v/>
      </c>
      <c r="M750" s="7">
        <f>'3 escalar'!L753</f>
        <v/>
      </c>
      <c r="N750" s="7">
        <f>'3 escalar'!M753</f>
        <v/>
      </c>
      <c r="O750" s="7">
        <f>'3 escalar'!N753</f>
        <v/>
      </c>
      <c r="P750" s="7">
        <f>'3 escalar'!O753</f>
        <v/>
      </c>
      <c r="Q750" s="7">
        <f>'3 escalar'!P753</f>
        <v/>
      </c>
      <c r="R750" s="7">
        <f>'3 escalar'!Q753</f>
        <v/>
      </c>
      <c r="S750" s="7">
        <f>'3 escalar'!R753</f>
        <v/>
      </c>
      <c r="T750" s="7">
        <f>'3 escalar'!S753</f>
        <v/>
      </c>
      <c r="U750" s="7">
        <f>'3 escalar'!T753</f>
        <v/>
      </c>
      <c r="V750" s="6">
        <f>$AC$12+D750*$AC$13+E750*$AC$14+F750*$AC$15+G750*$AC$16+H750*$AC$17+I750*$AC$18+J750*$AC$19+K750*$AC$20+L750*$AC$21+M750*$AC$22+N750*$AC$23+O750*$AC$24+P750*$AC$25+Q750*$AC$26+R750*$AC$27+S750*$AC$28+T750*$AC$29+U750*$AC$30</f>
        <v/>
      </c>
      <c r="W750" s="6">
        <f>1/(1+EXP(-V750))</f>
        <v/>
      </c>
      <c r="X750" s="8">
        <f>-IF(C750=1,LN(W750),LN(1-W750))</f>
        <v/>
      </c>
      <c r="Y750" s="9">
        <f>IF(W750&gt;$AC$32,1,0)</f>
        <v/>
      </c>
      <c r="Z750">
        <f>IF(Y750=C750,1,0)</f>
        <v/>
      </c>
    </row>
    <row r="751">
      <c r="A751">
        <f>'3 escalar'!A754</f>
        <v/>
      </c>
      <c r="B751" s="5">
        <f>'3 escalar'!U754</f>
        <v/>
      </c>
      <c r="C751">
        <f>'3 escalar'!B754</f>
        <v/>
      </c>
      <c r="D751" s="7">
        <f>'3 escalar'!C754</f>
        <v/>
      </c>
      <c r="E751" s="7">
        <f>'3 escalar'!D754</f>
        <v/>
      </c>
      <c r="F751" s="7">
        <f>'3 escalar'!E754</f>
        <v/>
      </c>
      <c r="G751" s="7">
        <f>'3 escalar'!F754</f>
        <v/>
      </c>
      <c r="H751" s="7">
        <f>'3 escalar'!G754</f>
        <v/>
      </c>
      <c r="I751" s="7">
        <f>'3 escalar'!H754</f>
        <v/>
      </c>
      <c r="J751" s="7">
        <f>'3 escalar'!I754</f>
        <v/>
      </c>
      <c r="K751" s="7">
        <f>'3 escalar'!J754</f>
        <v/>
      </c>
      <c r="L751" s="7">
        <f>'3 escalar'!K754</f>
        <v/>
      </c>
      <c r="M751" s="7">
        <f>'3 escalar'!L754</f>
        <v/>
      </c>
      <c r="N751" s="7">
        <f>'3 escalar'!M754</f>
        <v/>
      </c>
      <c r="O751" s="7">
        <f>'3 escalar'!N754</f>
        <v/>
      </c>
      <c r="P751" s="7">
        <f>'3 escalar'!O754</f>
        <v/>
      </c>
      <c r="Q751" s="7">
        <f>'3 escalar'!P754</f>
        <v/>
      </c>
      <c r="R751" s="7">
        <f>'3 escalar'!Q754</f>
        <v/>
      </c>
      <c r="S751" s="7">
        <f>'3 escalar'!R754</f>
        <v/>
      </c>
      <c r="T751" s="7">
        <f>'3 escalar'!S754</f>
        <v/>
      </c>
      <c r="U751" s="7">
        <f>'3 escalar'!T754</f>
        <v/>
      </c>
      <c r="V751" s="6">
        <f>$AC$12+D751*$AC$13+E751*$AC$14+F751*$AC$15+G751*$AC$16+H751*$AC$17+I751*$AC$18+J751*$AC$19+K751*$AC$20+L751*$AC$21+M751*$AC$22+N751*$AC$23+O751*$AC$24+P751*$AC$25+Q751*$AC$26+R751*$AC$27+S751*$AC$28+T751*$AC$29+U751*$AC$30</f>
        <v/>
      </c>
      <c r="W751" s="6">
        <f>1/(1+EXP(-V751))</f>
        <v/>
      </c>
      <c r="X751" s="8">
        <f>-IF(C751=1,LN(W751),LN(1-W751))</f>
        <v/>
      </c>
      <c r="Y751" s="9">
        <f>IF(W751&gt;$AC$32,1,0)</f>
        <v/>
      </c>
      <c r="Z751">
        <f>IF(Y751=C751,1,0)</f>
        <v/>
      </c>
    </row>
    <row r="752">
      <c r="A752">
        <f>'3 escalar'!A755</f>
        <v/>
      </c>
      <c r="B752" s="5">
        <f>'3 escalar'!U755</f>
        <v/>
      </c>
      <c r="C752">
        <f>'3 escalar'!B755</f>
        <v/>
      </c>
      <c r="D752" s="7">
        <f>'3 escalar'!C755</f>
        <v/>
      </c>
      <c r="E752" s="7">
        <f>'3 escalar'!D755</f>
        <v/>
      </c>
      <c r="F752" s="7">
        <f>'3 escalar'!E755</f>
        <v/>
      </c>
      <c r="G752" s="7">
        <f>'3 escalar'!F755</f>
        <v/>
      </c>
      <c r="H752" s="7">
        <f>'3 escalar'!G755</f>
        <v/>
      </c>
      <c r="I752" s="7">
        <f>'3 escalar'!H755</f>
        <v/>
      </c>
      <c r="J752" s="7">
        <f>'3 escalar'!I755</f>
        <v/>
      </c>
      <c r="K752" s="7">
        <f>'3 escalar'!J755</f>
        <v/>
      </c>
      <c r="L752" s="7">
        <f>'3 escalar'!K755</f>
        <v/>
      </c>
      <c r="M752" s="7">
        <f>'3 escalar'!L755</f>
        <v/>
      </c>
      <c r="N752" s="7">
        <f>'3 escalar'!M755</f>
        <v/>
      </c>
      <c r="O752" s="7">
        <f>'3 escalar'!N755</f>
        <v/>
      </c>
      <c r="P752" s="7">
        <f>'3 escalar'!O755</f>
        <v/>
      </c>
      <c r="Q752" s="7">
        <f>'3 escalar'!P755</f>
        <v/>
      </c>
      <c r="R752" s="7">
        <f>'3 escalar'!Q755</f>
        <v/>
      </c>
      <c r="S752" s="7">
        <f>'3 escalar'!R755</f>
        <v/>
      </c>
      <c r="T752" s="7">
        <f>'3 escalar'!S755</f>
        <v/>
      </c>
      <c r="U752" s="7">
        <f>'3 escalar'!T755</f>
        <v/>
      </c>
      <c r="V752" s="6">
        <f>$AC$12+D752*$AC$13+E752*$AC$14+F752*$AC$15+G752*$AC$16+H752*$AC$17+I752*$AC$18+J752*$AC$19+K752*$AC$20+L752*$AC$21+M752*$AC$22+N752*$AC$23+O752*$AC$24+P752*$AC$25+Q752*$AC$26+R752*$AC$27+S752*$AC$28+T752*$AC$29+U752*$AC$30</f>
        <v/>
      </c>
      <c r="W752" s="6">
        <f>1/(1+EXP(-V752))</f>
        <v/>
      </c>
      <c r="X752" s="8">
        <f>-IF(C752=1,LN(W752),LN(1-W752))</f>
        <v/>
      </c>
      <c r="Y752" s="9">
        <f>IF(W752&gt;$AC$32,1,0)</f>
        <v/>
      </c>
      <c r="Z752">
        <f>IF(Y752=C752,1,0)</f>
        <v/>
      </c>
    </row>
    <row r="753">
      <c r="A753">
        <f>'3 escalar'!A756</f>
        <v/>
      </c>
      <c r="B753" s="5">
        <f>'3 escalar'!U756</f>
        <v/>
      </c>
      <c r="C753">
        <f>'3 escalar'!B756</f>
        <v/>
      </c>
      <c r="D753" s="7">
        <f>'3 escalar'!C756</f>
        <v/>
      </c>
      <c r="E753" s="7">
        <f>'3 escalar'!D756</f>
        <v/>
      </c>
      <c r="F753" s="7">
        <f>'3 escalar'!E756</f>
        <v/>
      </c>
      <c r="G753" s="7">
        <f>'3 escalar'!F756</f>
        <v/>
      </c>
      <c r="H753" s="7">
        <f>'3 escalar'!G756</f>
        <v/>
      </c>
      <c r="I753" s="7">
        <f>'3 escalar'!H756</f>
        <v/>
      </c>
      <c r="J753" s="7">
        <f>'3 escalar'!I756</f>
        <v/>
      </c>
      <c r="K753" s="7">
        <f>'3 escalar'!J756</f>
        <v/>
      </c>
      <c r="L753" s="7">
        <f>'3 escalar'!K756</f>
        <v/>
      </c>
      <c r="M753" s="7">
        <f>'3 escalar'!L756</f>
        <v/>
      </c>
      <c r="N753" s="7">
        <f>'3 escalar'!M756</f>
        <v/>
      </c>
      <c r="O753" s="7">
        <f>'3 escalar'!N756</f>
        <v/>
      </c>
      <c r="P753" s="7">
        <f>'3 escalar'!O756</f>
        <v/>
      </c>
      <c r="Q753" s="7">
        <f>'3 escalar'!P756</f>
        <v/>
      </c>
      <c r="R753" s="7">
        <f>'3 escalar'!Q756</f>
        <v/>
      </c>
      <c r="S753" s="7">
        <f>'3 escalar'!R756</f>
        <v/>
      </c>
      <c r="T753" s="7">
        <f>'3 escalar'!S756</f>
        <v/>
      </c>
      <c r="U753" s="7">
        <f>'3 escalar'!T756</f>
        <v/>
      </c>
      <c r="V753" s="6">
        <f>$AC$12+D753*$AC$13+E753*$AC$14+F753*$AC$15+G753*$AC$16+H753*$AC$17+I753*$AC$18+J753*$AC$19+K753*$AC$20+L753*$AC$21+M753*$AC$22+N753*$AC$23+O753*$AC$24+P753*$AC$25+Q753*$AC$26+R753*$AC$27+S753*$AC$28+T753*$AC$29+U753*$AC$30</f>
        <v/>
      </c>
      <c r="W753" s="6">
        <f>1/(1+EXP(-V753))</f>
        <v/>
      </c>
      <c r="X753" s="8">
        <f>-IF(C753=1,LN(W753),LN(1-W753))</f>
        <v/>
      </c>
      <c r="Y753" s="9">
        <f>IF(W753&gt;$AC$32,1,0)</f>
        <v/>
      </c>
      <c r="Z753">
        <f>IF(Y753=C753,1,0)</f>
        <v/>
      </c>
    </row>
    <row r="754">
      <c r="A754">
        <f>'3 escalar'!A757</f>
        <v/>
      </c>
      <c r="B754" s="5">
        <f>'3 escalar'!U757</f>
        <v/>
      </c>
      <c r="C754">
        <f>'3 escalar'!B757</f>
        <v/>
      </c>
      <c r="D754" s="7">
        <f>'3 escalar'!C757</f>
        <v/>
      </c>
      <c r="E754" s="7">
        <f>'3 escalar'!D757</f>
        <v/>
      </c>
      <c r="F754" s="7">
        <f>'3 escalar'!E757</f>
        <v/>
      </c>
      <c r="G754" s="7">
        <f>'3 escalar'!F757</f>
        <v/>
      </c>
      <c r="H754" s="7">
        <f>'3 escalar'!G757</f>
        <v/>
      </c>
      <c r="I754" s="7">
        <f>'3 escalar'!H757</f>
        <v/>
      </c>
      <c r="J754" s="7">
        <f>'3 escalar'!I757</f>
        <v/>
      </c>
      <c r="K754" s="7">
        <f>'3 escalar'!J757</f>
        <v/>
      </c>
      <c r="L754" s="7">
        <f>'3 escalar'!K757</f>
        <v/>
      </c>
      <c r="M754" s="7">
        <f>'3 escalar'!L757</f>
        <v/>
      </c>
      <c r="N754" s="7">
        <f>'3 escalar'!M757</f>
        <v/>
      </c>
      <c r="O754" s="7">
        <f>'3 escalar'!N757</f>
        <v/>
      </c>
      <c r="P754" s="7">
        <f>'3 escalar'!O757</f>
        <v/>
      </c>
      <c r="Q754" s="7">
        <f>'3 escalar'!P757</f>
        <v/>
      </c>
      <c r="R754" s="7">
        <f>'3 escalar'!Q757</f>
        <v/>
      </c>
      <c r="S754" s="7">
        <f>'3 escalar'!R757</f>
        <v/>
      </c>
      <c r="T754" s="7">
        <f>'3 escalar'!S757</f>
        <v/>
      </c>
      <c r="U754" s="7">
        <f>'3 escalar'!T757</f>
        <v/>
      </c>
      <c r="V754" s="6">
        <f>$AC$12+D754*$AC$13+E754*$AC$14+F754*$AC$15+G754*$AC$16+H754*$AC$17+I754*$AC$18+J754*$AC$19+K754*$AC$20+L754*$AC$21+M754*$AC$22+N754*$AC$23+O754*$AC$24+P754*$AC$25+Q754*$AC$26+R754*$AC$27+S754*$AC$28+T754*$AC$29+U754*$AC$30</f>
        <v/>
      </c>
      <c r="W754" s="6">
        <f>1/(1+EXP(-V754))</f>
        <v/>
      </c>
      <c r="X754" s="8">
        <f>-IF(C754=1,LN(W754),LN(1-W754))</f>
        <v/>
      </c>
      <c r="Y754" s="9">
        <f>IF(W754&gt;$AC$32,1,0)</f>
        <v/>
      </c>
      <c r="Z754">
        <f>IF(Y754=C754,1,0)</f>
        <v/>
      </c>
    </row>
    <row r="755">
      <c r="A755">
        <f>'3 escalar'!A758</f>
        <v/>
      </c>
      <c r="B755" s="5">
        <f>'3 escalar'!U758</f>
        <v/>
      </c>
      <c r="C755">
        <f>'3 escalar'!B758</f>
        <v/>
      </c>
      <c r="D755" s="7">
        <f>'3 escalar'!C758</f>
        <v/>
      </c>
      <c r="E755" s="7">
        <f>'3 escalar'!D758</f>
        <v/>
      </c>
      <c r="F755" s="7">
        <f>'3 escalar'!E758</f>
        <v/>
      </c>
      <c r="G755" s="7">
        <f>'3 escalar'!F758</f>
        <v/>
      </c>
      <c r="H755" s="7">
        <f>'3 escalar'!G758</f>
        <v/>
      </c>
      <c r="I755" s="7">
        <f>'3 escalar'!H758</f>
        <v/>
      </c>
      <c r="J755" s="7">
        <f>'3 escalar'!I758</f>
        <v/>
      </c>
      <c r="K755" s="7">
        <f>'3 escalar'!J758</f>
        <v/>
      </c>
      <c r="L755" s="7">
        <f>'3 escalar'!K758</f>
        <v/>
      </c>
      <c r="M755" s="7">
        <f>'3 escalar'!L758</f>
        <v/>
      </c>
      <c r="N755" s="7">
        <f>'3 escalar'!M758</f>
        <v/>
      </c>
      <c r="O755" s="7">
        <f>'3 escalar'!N758</f>
        <v/>
      </c>
      <c r="P755" s="7">
        <f>'3 escalar'!O758</f>
        <v/>
      </c>
      <c r="Q755" s="7">
        <f>'3 escalar'!P758</f>
        <v/>
      </c>
      <c r="R755" s="7">
        <f>'3 escalar'!Q758</f>
        <v/>
      </c>
      <c r="S755" s="7">
        <f>'3 escalar'!R758</f>
        <v/>
      </c>
      <c r="T755" s="7">
        <f>'3 escalar'!S758</f>
        <v/>
      </c>
      <c r="U755" s="7">
        <f>'3 escalar'!T758</f>
        <v/>
      </c>
      <c r="V755" s="6">
        <f>$AC$12+D755*$AC$13+E755*$AC$14+F755*$AC$15+G755*$AC$16+H755*$AC$17+I755*$AC$18+J755*$AC$19+K755*$AC$20+L755*$AC$21+M755*$AC$22+N755*$AC$23+O755*$AC$24+P755*$AC$25+Q755*$AC$26+R755*$AC$27+S755*$AC$28+T755*$AC$29+U755*$AC$30</f>
        <v/>
      </c>
      <c r="W755" s="6">
        <f>1/(1+EXP(-V755))</f>
        <v/>
      </c>
      <c r="X755" s="8">
        <f>-IF(C755=1,LN(W755),LN(1-W755))</f>
        <v/>
      </c>
      <c r="Y755" s="9">
        <f>IF(W755&gt;$AC$32,1,0)</f>
        <v/>
      </c>
      <c r="Z755">
        <f>IF(Y755=C755,1,0)</f>
        <v/>
      </c>
    </row>
    <row r="756">
      <c r="A756">
        <f>'3 escalar'!A759</f>
        <v/>
      </c>
      <c r="B756" s="5">
        <f>'3 escalar'!U759</f>
        <v/>
      </c>
      <c r="C756">
        <f>'3 escalar'!B759</f>
        <v/>
      </c>
      <c r="D756" s="7">
        <f>'3 escalar'!C759</f>
        <v/>
      </c>
      <c r="E756" s="7">
        <f>'3 escalar'!D759</f>
        <v/>
      </c>
      <c r="F756" s="7">
        <f>'3 escalar'!E759</f>
        <v/>
      </c>
      <c r="G756" s="7">
        <f>'3 escalar'!F759</f>
        <v/>
      </c>
      <c r="H756" s="7">
        <f>'3 escalar'!G759</f>
        <v/>
      </c>
      <c r="I756" s="7">
        <f>'3 escalar'!H759</f>
        <v/>
      </c>
      <c r="J756" s="7">
        <f>'3 escalar'!I759</f>
        <v/>
      </c>
      <c r="K756" s="7">
        <f>'3 escalar'!J759</f>
        <v/>
      </c>
      <c r="L756" s="7">
        <f>'3 escalar'!K759</f>
        <v/>
      </c>
      <c r="M756" s="7">
        <f>'3 escalar'!L759</f>
        <v/>
      </c>
      <c r="N756" s="7">
        <f>'3 escalar'!M759</f>
        <v/>
      </c>
      <c r="O756" s="7">
        <f>'3 escalar'!N759</f>
        <v/>
      </c>
      <c r="P756" s="7">
        <f>'3 escalar'!O759</f>
        <v/>
      </c>
      <c r="Q756" s="7">
        <f>'3 escalar'!P759</f>
        <v/>
      </c>
      <c r="R756" s="7">
        <f>'3 escalar'!Q759</f>
        <v/>
      </c>
      <c r="S756" s="7">
        <f>'3 escalar'!R759</f>
        <v/>
      </c>
      <c r="T756" s="7">
        <f>'3 escalar'!S759</f>
        <v/>
      </c>
      <c r="U756" s="7">
        <f>'3 escalar'!T759</f>
        <v/>
      </c>
      <c r="V756" s="6">
        <f>$AC$12+D756*$AC$13+E756*$AC$14+F756*$AC$15+G756*$AC$16+H756*$AC$17+I756*$AC$18+J756*$AC$19+K756*$AC$20+L756*$AC$21+M756*$AC$22+N756*$AC$23+O756*$AC$24+P756*$AC$25+Q756*$AC$26+R756*$AC$27+S756*$AC$28+T756*$AC$29+U756*$AC$30</f>
        <v/>
      </c>
      <c r="W756" s="6">
        <f>1/(1+EXP(-V756))</f>
        <v/>
      </c>
      <c r="X756" s="8">
        <f>-IF(C756=1,LN(W756),LN(1-W756))</f>
        <v/>
      </c>
      <c r="Y756" s="9">
        <f>IF(W756&gt;$AC$32,1,0)</f>
        <v/>
      </c>
      <c r="Z756">
        <f>IF(Y756=C756,1,0)</f>
        <v/>
      </c>
    </row>
    <row r="757">
      <c r="A757">
        <f>'3 escalar'!A760</f>
        <v/>
      </c>
      <c r="B757" s="5">
        <f>'3 escalar'!U760</f>
        <v/>
      </c>
      <c r="C757">
        <f>'3 escalar'!B760</f>
        <v/>
      </c>
      <c r="D757" s="7">
        <f>'3 escalar'!C760</f>
        <v/>
      </c>
      <c r="E757" s="7">
        <f>'3 escalar'!D760</f>
        <v/>
      </c>
      <c r="F757" s="7">
        <f>'3 escalar'!E760</f>
        <v/>
      </c>
      <c r="G757" s="7">
        <f>'3 escalar'!F760</f>
        <v/>
      </c>
      <c r="H757" s="7">
        <f>'3 escalar'!G760</f>
        <v/>
      </c>
      <c r="I757" s="7">
        <f>'3 escalar'!H760</f>
        <v/>
      </c>
      <c r="J757" s="7">
        <f>'3 escalar'!I760</f>
        <v/>
      </c>
      <c r="K757" s="7">
        <f>'3 escalar'!J760</f>
        <v/>
      </c>
      <c r="L757" s="7">
        <f>'3 escalar'!K760</f>
        <v/>
      </c>
      <c r="M757" s="7">
        <f>'3 escalar'!L760</f>
        <v/>
      </c>
      <c r="N757" s="7">
        <f>'3 escalar'!M760</f>
        <v/>
      </c>
      <c r="O757" s="7">
        <f>'3 escalar'!N760</f>
        <v/>
      </c>
      <c r="P757" s="7">
        <f>'3 escalar'!O760</f>
        <v/>
      </c>
      <c r="Q757" s="7">
        <f>'3 escalar'!P760</f>
        <v/>
      </c>
      <c r="R757" s="7">
        <f>'3 escalar'!Q760</f>
        <v/>
      </c>
      <c r="S757" s="7">
        <f>'3 escalar'!R760</f>
        <v/>
      </c>
      <c r="T757" s="7">
        <f>'3 escalar'!S760</f>
        <v/>
      </c>
      <c r="U757" s="7">
        <f>'3 escalar'!T760</f>
        <v/>
      </c>
      <c r="V757" s="6">
        <f>$AC$12+D757*$AC$13+E757*$AC$14+F757*$AC$15+G757*$AC$16+H757*$AC$17+I757*$AC$18+J757*$AC$19+K757*$AC$20+L757*$AC$21+M757*$AC$22+N757*$AC$23+O757*$AC$24+P757*$AC$25+Q757*$AC$26+R757*$AC$27+S757*$AC$28+T757*$AC$29+U757*$AC$30</f>
        <v/>
      </c>
      <c r="W757" s="6">
        <f>1/(1+EXP(-V757))</f>
        <v/>
      </c>
      <c r="X757" s="8">
        <f>-IF(C757=1,LN(W757),LN(1-W757))</f>
        <v/>
      </c>
      <c r="Y757" s="9">
        <f>IF(W757&gt;$AC$32,1,0)</f>
        <v/>
      </c>
      <c r="Z757">
        <f>IF(Y757=C757,1,0)</f>
        <v/>
      </c>
    </row>
    <row r="758">
      <c r="A758">
        <f>'3 escalar'!A761</f>
        <v/>
      </c>
      <c r="B758" s="5">
        <f>'3 escalar'!U761</f>
        <v/>
      </c>
      <c r="C758">
        <f>'3 escalar'!B761</f>
        <v/>
      </c>
      <c r="D758" s="7">
        <f>'3 escalar'!C761</f>
        <v/>
      </c>
      <c r="E758" s="7">
        <f>'3 escalar'!D761</f>
        <v/>
      </c>
      <c r="F758" s="7">
        <f>'3 escalar'!E761</f>
        <v/>
      </c>
      <c r="G758" s="7">
        <f>'3 escalar'!F761</f>
        <v/>
      </c>
      <c r="H758" s="7">
        <f>'3 escalar'!G761</f>
        <v/>
      </c>
      <c r="I758" s="7">
        <f>'3 escalar'!H761</f>
        <v/>
      </c>
      <c r="J758" s="7">
        <f>'3 escalar'!I761</f>
        <v/>
      </c>
      <c r="K758" s="7">
        <f>'3 escalar'!J761</f>
        <v/>
      </c>
      <c r="L758" s="7">
        <f>'3 escalar'!K761</f>
        <v/>
      </c>
      <c r="M758" s="7">
        <f>'3 escalar'!L761</f>
        <v/>
      </c>
      <c r="N758" s="7">
        <f>'3 escalar'!M761</f>
        <v/>
      </c>
      <c r="O758" s="7">
        <f>'3 escalar'!N761</f>
        <v/>
      </c>
      <c r="P758" s="7">
        <f>'3 escalar'!O761</f>
        <v/>
      </c>
      <c r="Q758" s="7">
        <f>'3 escalar'!P761</f>
        <v/>
      </c>
      <c r="R758" s="7">
        <f>'3 escalar'!Q761</f>
        <v/>
      </c>
      <c r="S758" s="7">
        <f>'3 escalar'!R761</f>
        <v/>
      </c>
      <c r="T758" s="7">
        <f>'3 escalar'!S761</f>
        <v/>
      </c>
      <c r="U758" s="7">
        <f>'3 escalar'!T761</f>
        <v/>
      </c>
      <c r="V758" s="6">
        <f>$AC$12+D758*$AC$13+E758*$AC$14+F758*$AC$15+G758*$AC$16+H758*$AC$17+I758*$AC$18+J758*$AC$19+K758*$AC$20+L758*$AC$21+M758*$AC$22+N758*$AC$23+O758*$AC$24+P758*$AC$25+Q758*$AC$26+R758*$AC$27+S758*$AC$28+T758*$AC$29+U758*$AC$30</f>
        <v/>
      </c>
      <c r="W758" s="6">
        <f>1/(1+EXP(-V758))</f>
        <v/>
      </c>
      <c r="X758" s="8">
        <f>-IF(C758=1,LN(W758),LN(1-W758))</f>
        <v/>
      </c>
      <c r="Y758" s="9">
        <f>IF(W758&gt;$AC$32,1,0)</f>
        <v/>
      </c>
      <c r="Z758">
        <f>IF(Y758=C758,1,0)</f>
        <v/>
      </c>
    </row>
    <row r="759">
      <c r="A759">
        <f>'3 escalar'!A762</f>
        <v/>
      </c>
      <c r="B759" s="5">
        <f>'3 escalar'!U762</f>
        <v/>
      </c>
      <c r="C759">
        <f>'3 escalar'!B762</f>
        <v/>
      </c>
      <c r="D759" s="7">
        <f>'3 escalar'!C762</f>
        <v/>
      </c>
      <c r="E759" s="7">
        <f>'3 escalar'!D762</f>
        <v/>
      </c>
      <c r="F759" s="7">
        <f>'3 escalar'!E762</f>
        <v/>
      </c>
      <c r="G759" s="7">
        <f>'3 escalar'!F762</f>
        <v/>
      </c>
      <c r="H759" s="7">
        <f>'3 escalar'!G762</f>
        <v/>
      </c>
      <c r="I759" s="7">
        <f>'3 escalar'!H762</f>
        <v/>
      </c>
      <c r="J759" s="7">
        <f>'3 escalar'!I762</f>
        <v/>
      </c>
      <c r="K759" s="7">
        <f>'3 escalar'!J762</f>
        <v/>
      </c>
      <c r="L759" s="7">
        <f>'3 escalar'!K762</f>
        <v/>
      </c>
      <c r="M759" s="7">
        <f>'3 escalar'!L762</f>
        <v/>
      </c>
      <c r="N759" s="7">
        <f>'3 escalar'!M762</f>
        <v/>
      </c>
      <c r="O759" s="7">
        <f>'3 escalar'!N762</f>
        <v/>
      </c>
      <c r="P759" s="7">
        <f>'3 escalar'!O762</f>
        <v/>
      </c>
      <c r="Q759" s="7">
        <f>'3 escalar'!P762</f>
        <v/>
      </c>
      <c r="R759" s="7">
        <f>'3 escalar'!Q762</f>
        <v/>
      </c>
      <c r="S759" s="7">
        <f>'3 escalar'!R762</f>
        <v/>
      </c>
      <c r="T759" s="7">
        <f>'3 escalar'!S762</f>
        <v/>
      </c>
      <c r="U759" s="7">
        <f>'3 escalar'!T762</f>
        <v/>
      </c>
      <c r="V759" s="6">
        <f>$AC$12+D759*$AC$13+E759*$AC$14+F759*$AC$15+G759*$AC$16+H759*$AC$17+I759*$AC$18+J759*$AC$19+K759*$AC$20+L759*$AC$21+M759*$AC$22+N759*$AC$23+O759*$AC$24+P759*$AC$25+Q759*$AC$26+R759*$AC$27+S759*$AC$28+T759*$AC$29+U759*$AC$30</f>
        <v/>
      </c>
      <c r="W759" s="6">
        <f>1/(1+EXP(-V759))</f>
        <v/>
      </c>
      <c r="X759" s="8">
        <f>-IF(C759=1,LN(W759),LN(1-W759))</f>
        <v/>
      </c>
      <c r="Y759" s="9">
        <f>IF(W759&gt;$AC$32,1,0)</f>
        <v/>
      </c>
      <c r="Z759">
        <f>IF(Y759=C759,1,0)</f>
        <v/>
      </c>
    </row>
    <row r="760">
      <c r="A760">
        <f>'3 escalar'!A763</f>
        <v/>
      </c>
      <c r="B760" s="5">
        <f>'3 escalar'!U763</f>
        <v/>
      </c>
      <c r="C760">
        <f>'3 escalar'!B763</f>
        <v/>
      </c>
      <c r="D760" s="7">
        <f>'3 escalar'!C763</f>
        <v/>
      </c>
      <c r="E760" s="7">
        <f>'3 escalar'!D763</f>
        <v/>
      </c>
      <c r="F760" s="7">
        <f>'3 escalar'!E763</f>
        <v/>
      </c>
      <c r="G760" s="7">
        <f>'3 escalar'!F763</f>
        <v/>
      </c>
      <c r="H760" s="7">
        <f>'3 escalar'!G763</f>
        <v/>
      </c>
      <c r="I760" s="7">
        <f>'3 escalar'!H763</f>
        <v/>
      </c>
      <c r="J760" s="7">
        <f>'3 escalar'!I763</f>
        <v/>
      </c>
      <c r="K760" s="7">
        <f>'3 escalar'!J763</f>
        <v/>
      </c>
      <c r="L760" s="7">
        <f>'3 escalar'!K763</f>
        <v/>
      </c>
      <c r="M760" s="7">
        <f>'3 escalar'!L763</f>
        <v/>
      </c>
      <c r="N760" s="7">
        <f>'3 escalar'!M763</f>
        <v/>
      </c>
      <c r="O760" s="7">
        <f>'3 escalar'!N763</f>
        <v/>
      </c>
      <c r="P760" s="7">
        <f>'3 escalar'!O763</f>
        <v/>
      </c>
      <c r="Q760" s="7">
        <f>'3 escalar'!P763</f>
        <v/>
      </c>
      <c r="R760" s="7">
        <f>'3 escalar'!Q763</f>
        <v/>
      </c>
      <c r="S760" s="7">
        <f>'3 escalar'!R763</f>
        <v/>
      </c>
      <c r="T760" s="7">
        <f>'3 escalar'!S763</f>
        <v/>
      </c>
      <c r="U760" s="7">
        <f>'3 escalar'!T763</f>
        <v/>
      </c>
      <c r="V760" s="6">
        <f>$AC$12+D760*$AC$13+E760*$AC$14+F760*$AC$15+G760*$AC$16+H760*$AC$17+I760*$AC$18+J760*$AC$19+K760*$AC$20+L760*$AC$21+M760*$AC$22+N760*$AC$23+O760*$AC$24+P760*$AC$25+Q760*$AC$26+R760*$AC$27+S760*$AC$28+T760*$AC$29+U760*$AC$30</f>
        <v/>
      </c>
      <c r="W760" s="6">
        <f>1/(1+EXP(-V760))</f>
        <v/>
      </c>
      <c r="X760" s="8">
        <f>-IF(C760=1,LN(W760),LN(1-W760))</f>
        <v/>
      </c>
      <c r="Y760" s="9">
        <f>IF(W760&gt;$AC$32,1,0)</f>
        <v/>
      </c>
      <c r="Z760">
        <f>IF(Y760=C760,1,0)</f>
        <v/>
      </c>
    </row>
    <row r="761">
      <c r="A761">
        <f>'3 escalar'!A764</f>
        <v/>
      </c>
      <c r="B761" s="5">
        <f>'3 escalar'!U764</f>
        <v/>
      </c>
      <c r="C761">
        <f>'3 escalar'!B764</f>
        <v/>
      </c>
      <c r="D761" s="7">
        <f>'3 escalar'!C764</f>
        <v/>
      </c>
      <c r="E761" s="7">
        <f>'3 escalar'!D764</f>
        <v/>
      </c>
      <c r="F761" s="7">
        <f>'3 escalar'!E764</f>
        <v/>
      </c>
      <c r="G761" s="7">
        <f>'3 escalar'!F764</f>
        <v/>
      </c>
      <c r="H761" s="7">
        <f>'3 escalar'!G764</f>
        <v/>
      </c>
      <c r="I761" s="7">
        <f>'3 escalar'!H764</f>
        <v/>
      </c>
      <c r="J761" s="7">
        <f>'3 escalar'!I764</f>
        <v/>
      </c>
      <c r="K761" s="7">
        <f>'3 escalar'!J764</f>
        <v/>
      </c>
      <c r="L761" s="7">
        <f>'3 escalar'!K764</f>
        <v/>
      </c>
      <c r="M761" s="7">
        <f>'3 escalar'!L764</f>
        <v/>
      </c>
      <c r="N761" s="7">
        <f>'3 escalar'!M764</f>
        <v/>
      </c>
      <c r="O761" s="7">
        <f>'3 escalar'!N764</f>
        <v/>
      </c>
      <c r="P761" s="7">
        <f>'3 escalar'!O764</f>
        <v/>
      </c>
      <c r="Q761" s="7">
        <f>'3 escalar'!P764</f>
        <v/>
      </c>
      <c r="R761" s="7">
        <f>'3 escalar'!Q764</f>
        <v/>
      </c>
      <c r="S761" s="7">
        <f>'3 escalar'!R764</f>
        <v/>
      </c>
      <c r="T761" s="7">
        <f>'3 escalar'!S764</f>
        <v/>
      </c>
      <c r="U761" s="7">
        <f>'3 escalar'!T764</f>
        <v/>
      </c>
      <c r="V761" s="6">
        <f>$AC$12+D761*$AC$13+E761*$AC$14+F761*$AC$15+G761*$AC$16+H761*$AC$17+I761*$AC$18+J761*$AC$19+K761*$AC$20+L761*$AC$21+M761*$AC$22+N761*$AC$23+O761*$AC$24+P761*$AC$25+Q761*$AC$26+R761*$AC$27+S761*$AC$28+T761*$AC$29+U761*$AC$30</f>
        <v/>
      </c>
      <c r="W761" s="6">
        <f>1/(1+EXP(-V761))</f>
        <v/>
      </c>
      <c r="X761" s="8">
        <f>-IF(C761=1,LN(W761),LN(1-W761))</f>
        <v/>
      </c>
      <c r="Y761" s="9">
        <f>IF(W761&gt;$AC$32,1,0)</f>
        <v/>
      </c>
      <c r="Z761">
        <f>IF(Y761=C761,1,0)</f>
        <v/>
      </c>
    </row>
    <row r="762">
      <c r="A762">
        <f>'3 escalar'!A765</f>
        <v/>
      </c>
      <c r="B762" s="5">
        <f>'3 escalar'!U765</f>
        <v/>
      </c>
      <c r="C762">
        <f>'3 escalar'!B765</f>
        <v/>
      </c>
      <c r="D762" s="7">
        <f>'3 escalar'!C765</f>
        <v/>
      </c>
      <c r="E762" s="7">
        <f>'3 escalar'!D765</f>
        <v/>
      </c>
      <c r="F762" s="7">
        <f>'3 escalar'!E765</f>
        <v/>
      </c>
      <c r="G762" s="7">
        <f>'3 escalar'!F765</f>
        <v/>
      </c>
      <c r="H762" s="7">
        <f>'3 escalar'!G765</f>
        <v/>
      </c>
      <c r="I762" s="7">
        <f>'3 escalar'!H765</f>
        <v/>
      </c>
      <c r="J762" s="7">
        <f>'3 escalar'!I765</f>
        <v/>
      </c>
      <c r="K762" s="7">
        <f>'3 escalar'!J765</f>
        <v/>
      </c>
      <c r="L762" s="7">
        <f>'3 escalar'!K765</f>
        <v/>
      </c>
      <c r="M762" s="7">
        <f>'3 escalar'!L765</f>
        <v/>
      </c>
      <c r="N762" s="7">
        <f>'3 escalar'!M765</f>
        <v/>
      </c>
      <c r="O762" s="7">
        <f>'3 escalar'!N765</f>
        <v/>
      </c>
      <c r="P762" s="7">
        <f>'3 escalar'!O765</f>
        <v/>
      </c>
      <c r="Q762" s="7">
        <f>'3 escalar'!P765</f>
        <v/>
      </c>
      <c r="R762" s="7">
        <f>'3 escalar'!Q765</f>
        <v/>
      </c>
      <c r="S762" s="7">
        <f>'3 escalar'!R765</f>
        <v/>
      </c>
      <c r="T762" s="7">
        <f>'3 escalar'!S765</f>
        <v/>
      </c>
      <c r="U762" s="7">
        <f>'3 escalar'!T765</f>
        <v/>
      </c>
      <c r="V762" s="6">
        <f>$AC$12+D762*$AC$13+E762*$AC$14+F762*$AC$15+G762*$AC$16+H762*$AC$17+I762*$AC$18+J762*$AC$19+K762*$AC$20+L762*$AC$21+M762*$AC$22+N762*$AC$23+O762*$AC$24+P762*$AC$25+Q762*$AC$26+R762*$AC$27+S762*$AC$28+T762*$AC$29+U762*$AC$30</f>
        <v/>
      </c>
      <c r="W762" s="6">
        <f>1/(1+EXP(-V762))</f>
        <v/>
      </c>
      <c r="X762" s="8">
        <f>-IF(C762=1,LN(W762),LN(1-W762))</f>
        <v/>
      </c>
      <c r="Y762" s="9">
        <f>IF(W762&gt;$AC$32,1,0)</f>
        <v/>
      </c>
      <c r="Z762">
        <f>IF(Y762=C762,1,0)</f>
        <v/>
      </c>
    </row>
    <row r="763">
      <c r="A763">
        <f>'3 escalar'!A766</f>
        <v/>
      </c>
      <c r="B763" s="5">
        <f>'3 escalar'!U766</f>
        <v/>
      </c>
      <c r="C763">
        <f>'3 escalar'!B766</f>
        <v/>
      </c>
      <c r="D763" s="7">
        <f>'3 escalar'!C766</f>
        <v/>
      </c>
      <c r="E763" s="7">
        <f>'3 escalar'!D766</f>
        <v/>
      </c>
      <c r="F763" s="7">
        <f>'3 escalar'!E766</f>
        <v/>
      </c>
      <c r="G763" s="7">
        <f>'3 escalar'!F766</f>
        <v/>
      </c>
      <c r="H763" s="7">
        <f>'3 escalar'!G766</f>
        <v/>
      </c>
      <c r="I763" s="7">
        <f>'3 escalar'!H766</f>
        <v/>
      </c>
      <c r="J763" s="7">
        <f>'3 escalar'!I766</f>
        <v/>
      </c>
      <c r="K763" s="7">
        <f>'3 escalar'!J766</f>
        <v/>
      </c>
      <c r="L763" s="7">
        <f>'3 escalar'!K766</f>
        <v/>
      </c>
      <c r="M763" s="7">
        <f>'3 escalar'!L766</f>
        <v/>
      </c>
      <c r="N763" s="7">
        <f>'3 escalar'!M766</f>
        <v/>
      </c>
      <c r="O763" s="7">
        <f>'3 escalar'!N766</f>
        <v/>
      </c>
      <c r="P763" s="7">
        <f>'3 escalar'!O766</f>
        <v/>
      </c>
      <c r="Q763" s="7">
        <f>'3 escalar'!P766</f>
        <v/>
      </c>
      <c r="R763" s="7">
        <f>'3 escalar'!Q766</f>
        <v/>
      </c>
      <c r="S763" s="7">
        <f>'3 escalar'!R766</f>
        <v/>
      </c>
      <c r="T763" s="7">
        <f>'3 escalar'!S766</f>
        <v/>
      </c>
      <c r="U763" s="7">
        <f>'3 escalar'!T766</f>
        <v/>
      </c>
      <c r="V763" s="6">
        <f>$AC$12+D763*$AC$13+E763*$AC$14+F763*$AC$15+G763*$AC$16+H763*$AC$17+I763*$AC$18+J763*$AC$19+K763*$AC$20+L763*$AC$21+M763*$AC$22+N763*$AC$23+O763*$AC$24+P763*$AC$25+Q763*$AC$26+R763*$AC$27+S763*$AC$28+T763*$AC$29+U763*$AC$30</f>
        <v/>
      </c>
      <c r="W763" s="6">
        <f>1/(1+EXP(-V763))</f>
        <v/>
      </c>
      <c r="X763" s="8">
        <f>-IF(C763=1,LN(W763),LN(1-W763))</f>
        <v/>
      </c>
      <c r="Y763" s="9">
        <f>IF(W763&gt;$AC$32,1,0)</f>
        <v/>
      </c>
      <c r="Z763">
        <f>IF(Y763=C763,1,0)</f>
        <v/>
      </c>
    </row>
    <row r="764">
      <c r="A764">
        <f>'3 escalar'!A767</f>
        <v/>
      </c>
      <c r="B764" s="5">
        <f>'3 escalar'!U767</f>
        <v/>
      </c>
      <c r="C764">
        <f>'3 escalar'!B767</f>
        <v/>
      </c>
      <c r="D764" s="7">
        <f>'3 escalar'!C767</f>
        <v/>
      </c>
      <c r="E764" s="7">
        <f>'3 escalar'!D767</f>
        <v/>
      </c>
      <c r="F764" s="7">
        <f>'3 escalar'!E767</f>
        <v/>
      </c>
      <c r="G764" s="7">
        <f>'3 escalar'!F767</f>
        <v/>
      </c>
      <c r="H764" s="7">
        <f>'3 escalar'!G767</f>
        <v/>
      </c>
      <c r="I764" s="7">
        <f>'3 escalar'!H767</f>
        <v/>
      </c>
      <c r="J764" s="7">
        <f>'3 escalar'!I767</f>
        <v/>
      </c>
      <c r="K764" s="7">
        <f>'3 escalar'!J767</f>
        <v/>
      </c>
      <c r="L764" s="7">
        <f>'3 escalar'!K767</f>
        <v/>
      </c>
      <c r="M764" s="7">
        <f>'3 escalar'!L767</f>
        <v/>
      </c>
      <c r="N764" s="7">
        <f>'3 escalar'!M767</f>
        <v/>
      </c>
      <c r="O764" s="7">
        <f>'3 escalar'!N767</f>
        <v/>
      </c>
      <c r="P764" s="7">
        <f>'3 escalar'!O767</f>
        <v/>
      </c>
      <c r="Q764" s="7">
        <f>'3 escalar'!P767</f>
        <v/>
      </c>
      <c r="R764" s="7">
        <f>'3 escalar'!Q767</f>
        <v/>
      </c>
      <c r="S764" s="7">
        <f>'3 escalar'!R767</f>
        <v/>
      </c>
      <c r="T764" s="7">
        <f>'3 escalar'!S767</f>
        <v/>
      </c>
      <c r="U764" s="7">
        <f>'3 escalar'!T767</f>
        <v/>
      </c>
      <c r="V764" s="6">
        <f>$AC$12+D764*$AC$13+E764*$AC$14+F764*$AC$15+G764*$AC$16+H764*$AC$17+I764*$AC$18+J764*$AC$19+K764*$AC$20+L764*$AC$21+M764*$AC$22+N764*$AC$23+O764*$AC$24+P764*$AC$25+Q764*$AC$26+R764*$AC$27+S764*$AC$28+T764*$AC$29+U764*$AC$30</f>
        <v/>
      </c>
      <c r="W764" s="6">
        <f>1/(1+EXP(-V764))</f>
        <v/>
      </c>
      <c r="X764" s="8">
        <f>-IF(C764=1,LN(W764),LN(1-W764))</f>
        <v/>
      </c>
      <c r="Y764" s="9">
        <f>IF(W764&gt;$AC$32,1,0)</f>
        <v/>
      </c>
      <c r="Z764">
        <f>IF(Y764=C764,1,0)</f>
        <v/>
      </c>
    </row>
    <row r="765">
      <c r="A765">
        <f>'3 escalar'!A768</f>
        <v/>
      </c>
      <c r="B765" s="5">
        <f>'3 escalar'!U768</f>
        <v/>
      </c>
      <c r="C765">
        <f>'3 escalar'!B768</f>
        <v/>
      </c>
      <c r="D765" s="7">
        <f>'3 escalar'!C768</f>
        <v/>
      </c>
      <c r="E765" s="7">
        <f>'3 escalar'!D768</f>
        <v/>
      </c>
      <c r="F765" s="7">
        <f>'3 escalar'!E768</f>
        <v/>
      </c>
      <c r="G765" s="7">
        <f>'3 escalar'!F768</f>
        <v/>
      </c>
      <c r="H765" s="7">
        <f>'3 escalar'!G768</f>
        <v/>
      </c>
      <c r="I765" s="7">
        <f>'3 escalar'!H768</f>
        <v/>
      </c>
      <c r="J765" s="7">
        <f>'3 escalar'!I768</f>
        <v/>
      </c>
      <c r="K765" s="7">
        <f>'3 escalar'!J768</f>
        <v/>
      </c>
      <c r="L765" s="7">
        <f>'3 escalar'!K768</f>
        <v/>
      </c>
      <c r="M765" s="7">
        <f>'3 escalar'!L768</f>
        <v/>
      </c>
      <c r="N765" s="7">
        <f>'3 escalar'!M768</f>
        <v/>
      </c>
      <c r="O765" s="7">
        <f>'3 escalar'!N768</f>
        <v/>
      </c>
      <c r="P765" s="7">
        <f>'3 escalar'!O768</f>
        <v/>
      </c>
      <c r="Q765" s="7">
        <f>'3 escalar'!P768</f>
        <v/>
      </c>
      <c r="R765" s="7">
        <f>'3 escalar'!Q768</f>
        <v/>
      </c>
      <c r="S765" s="7">
        <f>'3 escalar'!R768</f>
        <v/>
      </c>
      <c r="T765" s="7">
        <f>'3 escalar'!S768</f>
        <v/>
      </c>
      <c r="U765" s="7">
        <f>'3 escalar'!T768</f>
        <v/>
      </c>
      <c r="V765" s="6">
        <f>$AC$12+D765*$AC$13+E765*$AC$14+F765*$AC$15+G765*$AC$16+H765*$AC$17+I765*$AC$18+J765*$AC$19+K765*$AC$20+L765*$AC$21+M765*$AC$22+N765*$AC$23+O765*$AC$24+P765*$AC$25+Q765*$AC$26+R765*$AC$27+S765*$AC$28+T765*$AC$29+U765*$AC$30</f>
        <v/>
      </c>
      <c r="W765" s="6">
        <f>1/(1+EXP(-V765))</f>
        <v/>
      </c>
      <c r="X765" s="8">
        <f>-IF(C765=1,LN(W765),LN(1-W765))</f>
        <v/>
      </c>
      <c r="Y765" s="9">
        <f>IF(W765&gt;$AC$32,1,0)</f>
        <v/>
      </c>
      <c r="Z765">
        <f>IF(Y765=C765,1,0)</f>
        <v/>
      </c>
    </row>
    <row r="766">
      <c r="A766">
        <f>'3 escalar'!A769</f>
        <v/>
      </c>
      <c r="B766" s="5">
        <f>'3 escalar'!U769</f>
        <v/>
      </c>
      <c r="C766">
        <f>'3 escalar'!B769</f>
        <v/>
      </c>
      <c r="D766" s="7">
        <f>'3 escalar'!C769</f>
        <v/>
      </c>
      <c r="E766" s="7">
        <f>'3 escalar'!D769</f>
        <v/>
      </c>
      <c r="F766" s="7">
        <f>'3 escalar'!E769</f>
        <v/>
      </c>
      <c r="G766" s="7">
        <f>'3 escalar'!F769</f>
        <v/>
      </c>
      <c r="H766" s="7">
        <f>'3 escalar'!G769</f>
        <v/>
      </c>
      <c r="I766" s="7">
        <f>'3 escalar'!H769</f>
        <v/>
      </c>
      <c r="J766" s="7">
        <f>'3 escalar'!I769</f>
        <v/>
      </c>
      <c r="K766" s="7">
        <f>'3 escalar'!J769</f>
        <v/>
      </c>
      <c r="L766" s="7">
        <f>'3 escalar'!K769</f>
        <v/>
      </c>
      <c r="M766" s="7">
        <f>'3 escalar'!L769</f>
        <v/>
      </c>
      <c r="N766" s="7">
        <f>'3 escalar'!M769</f>
        <v/>
      </c>
      <c r="O766" s="7">
        <f>'3 escalar'!N769</f>
        <v/>
      </c>
      <c r="P766" s="7">
        <f>'3 escalar'!O769</f>
        <v/>
      </c>
      <c r="Q766" s="7">
        <f>'3 escalar'!P769</f>
        <v/>
      </c>
      <c r="R766" s="7">
        <f>'3 escalar'!Q769</f>
        <v/>
      </c>
      <c r="S766" s="7">
        <f>'3 escalar'!R769</f>
        <v/>
      </c>
      <c r="T766" s="7">
        <f>'3 escalar'!S769</f>
        <v/>
      </c>
      <c r="U766" s="7">
        <f>'3 escalar'!T769</f>
        <v/>
      </c>
      <c r="V766" s="6">
        <f>$AC$12+D766*$AC$13+E766*$AC$14+F766*$AC$15+G766*$AC$16+H766*$AC$17+I766*$AC$18+J766*$AC$19+K766*$AC$20+L766*$AC$21+M766*$AC$22+N766*$AC$23+O766*$AC$24+P766*$AC$25+Q766*$AC$26+R766*$AC$27+S766*$AC$28+T766*$AC$29+U766*$AC$30</f>
        <v/>
      </c>
      <c r="W766" s="6">
        <f>1/(1+EXP(-V766))</f>
        <v/>
      </c>
      <c r="X766" s="8">
        <f>-IF(C766=1,LN(W766),LN(1-W766))</f>
        <v/>
      </c>
      <c r="Y766" s="9">
        <f>IF(W766&gt;$AC$32,1,0)</f>
        <v/>
      </c>
      <c r="Z766">
        <f>IF(Y766=C766,1,0)</f>
        <v/>
      </c>
    </row>
    <row r="767">
      <c r="A767">
        <f>'3 escalar'!A770</f>
        <v/>
      </c>
      <c r="B767" s="5">
        <f>'3 escalar'!U770</f>
        <v/>
      </c>
      <c r="C767">
        <f>'3 escalar'!B770</f>
        <v/>
      </c>
      <c r="D767" s="7">
        <f>'3 escalar'!C770</f>
        <v/>
      </c>
      <c r="E767" s="7">
        <f>'3 escalar'!D770</f>
        <v/>
      </c>
      <c r="F767" s="7">
        <f>'3 escalar'!E770</f>
        <v/>
      </c>
      <c r="G767" s="7">
        <f>'3 escalar'!F770</f>
        <v/>
      </c>
      <c r="H767" s="7">
        <f>'3 escalar'!G770</f>
        <v/>
      </c>
      <c r="I767" s="7">
        <f>'3 escalar'!H770</f>
        <v/>
      </c>
      <c r="J767" s="7">
        <f>'3 escalar'!I770</f>
        <v/>
      </c>
      <c r="K767" s="7">
        <f>'3 escalar'!J770</f>
        <v/>
      </c>
      <c r="L767" s="7">
        <f>'3 escalar'!K770</f>
        <v/>
      </c>
      <c r="M767" s="7">
        <f>'3 escalar'!L770</f>
        <v/>
      </c>
      <c r="N767" s="7">
        <f>'3 escalar'!M770</f>
        <v/>
      </c>
      <c r="O767" s="7">
        <f>'3 escalar'!N770</f>
        <v/>
      </c>
      <c r="P767" s="7">
        <f>'3 escalar'!O770</f>
        <v/>
      </c>
      <c r="Q767" s="7">
        <f>'3 escalar'!P770</f>
        <v/>
      </c>
      <c r="R767" s="7">
        <f>'3 escalar'!Q770</f>
        <v/>
      </c>
      <c r="S767" s="7">
        <f>'3 escalar'!R770</f>
        <v/>
      </c>
      <c r="T767" s="7">
        <f>'3 escalar'!S770</f>
        <v/>
      </c>
      <c r="U767" s="7">
        <f>'3 escalar'!T770</f>
        <v/>
      </c>
      <c r="V767" s="6">
        <f>$AC$12+D767*$AC$13+E767*$AC$14+F767*$AC$15+G767*$AC$16+H767*$AC$17+I767*$AC$18+J767*$AC$19+K767*$AC$20+L767*$AC$21+M767*$AC$22+N767*$AC$23+O767*$AC$24+P767*$AC$25+Q767*$AC$26+R767*$AC$27+S767*$AC$28+T767*$AC$29+U767*$AC$30</f>
        <v/>
      </c>
      <c r="W767" s="6">
        <f>1/(1+EXP(-V767))</f>
        <v/>
      </c>
      <c r="X767" s="8">
        <f>-IF(C767=1,LN(W767),LN(1-W767))</f>
        <v/>
      </c>
      <c r="Y767" s="9">
        <f>IF(W767&gt;$AC$32,1,0)</f>
        <v/>
      </c>
      <c r="Z767">
        <f>IF(Y767=C767,1,0)</f>
        <v/>
      </c>
    </row>
    <row r="768">
      <c r="A768">
        <f>'3 escalar'!A771</f>
        <v/>
      </c>
      <c r="B768" s="5">
        <f>'3 escalar'!U771</f>
        <v/>
      </c>
      <c r="C768">
        <f>'3 escalar'!B771</f>
        <v/>
      </c>
      <c r="D768" s="7">
        <f>'3 escalar'!C771</f>
        <v/>
      </c>
      <c r="E768" s="7">
        <f>'3 escalar'!D771</f>
        <v/>
      </c>
      <c r="F768" s="7">
        <f>'3 escalar'!E771</f>
        <v/>
      </c>
      <c r="G768" s="7">
        <f>'3 escalar'!F771</f>
        <v/>
      </c>
      <c r="H768" s="7">
        <f>'3 escalar'!G771</f>
        <v/>
      </c>
      <c r="I768" s="7">
        <f>'3 escalar'!H771</f>
        <v/>
      </c>
      <c r="J768" s="7">
        <f>'3 escalar'!I771</f>
        <v/>
      </c>
      <c r="K768" s="7">
        <f>'3 escalar'!J771</f>
        <v/>
      </c>
      <c r="L768" s="7">
        <f>'3 escalar'!K771</f>
        <v/>
      </c>
      <c r="M768" s="7">
        <f>'3 escalar'!L771</f>
        <v/>
      </c>
      <c r="N768" s="7">
        <f>'3 escalar'!M771</f>
        <v/>
      </c>
      <c r="O768" s="7">
        <f>'3 escalar'!N771</f>
        <v/>
      </c>
      <c r="P768" s="7">
        <f>'3 escalar'!O771</f>
        <v/>
      </c>
      <c r="Q768" s="7">
        <f>'3 escalar'!P771</f>
        <v/>
      </c>
      <c r="R768" s="7">
        <f>'3 escalar'!Q771</f>
        <v/>
      </c>
      <c r="S768" s="7">
        <f>'3 escalar'!R771</f>
        <v/>
      </c>
      <c r="T768" s="7">
        <f>'3 escalar'!S771</f>
        <v/>
      </c>
      <c r="U768" s="7">
        <f>'3 escalar'!T771</f>
        <v/>
      </c>
      <c r="V768" s="6">
        <f>$AC$12+D768*$AC$13+E768*$AC$14+F768*$AC$15+G768*$AC$16+H768*$AC$17+I768*$AC$18+J768*$AC$19+K768*$AC$20+L768*$AC$21+M768*$AC$22+N768*$AC$23+O768*$AC$24+P768*$AC$25+Q768*$AC$26+R768*$AC$27+S768*$AC$28+T768*$AC$29+U768*$AC$30</f>
        <v/>
      </c>
      <c r="W768" s="6">
        <f>1/(1+EXP(-V768))</f>
        <v/>
      </c>
      <c r="X768" s="8">
        <f>-IF(C768=1,LN(W768),LN(1-W768))</f>
        <v/>
      </c>
      <c r="Y768" s="9">
        <f>IF(W768&gt;$AC$32,1,0)</f>
        <v/>
      </c>
      <c r="Z768">
        <f>IF(Y768=C768,1,0)</f>
        <v/>
      </c>
    </row>
    <row r="769">
      <c r="A769">
        <f>'3 escalar'!A772</f>
        <v/>
      </c>
      <c r="B769" s="5">
        <f>'3 escalar'!U772</f>
        <v/>
      </c>
      <c r="C769">
        <f>'3 escalar'!B772</f>
        <v/>
      </c>
      <c r="D769" s="7">
        <f>'3 escalar'!C772</f>
        <v/>
      </c>
      <c r="E769" s="7">
        <f>'3 escalar'!D772</f>
        <v/>
      </c>
      <c r="F769" s="7">
        <f>'3 escalar'!E772</f>
        <v/>
      </c>
      <c r="G769" s="7">
        <f>'3 escalar'!F772</f>
        <v/>
      </c>
      <c r="H769" s="7">
        <f>'3 escalar'!G772</f>
        <v/>
      </c>
      <c r="I769" s="7">
        <f>'3 escalar'!H772</f>
        <v/>
      </c>
      <c r="J769" s="7">
        <f>'3 escalar'!I772</f>
        <v/>
      </c>
      <c r="K769" s="7">
        <f>'3 escalar'!J772</f>
        <v/>
      </c>
      <c r="L769" s="7">
        <f>'3 escalar'!K772</f>
        <v/>
      </c>
      <c r="M769" s="7">
        <f>'3 escalar'!L772</f>
        <v/>
      </c>
      <c r="N769" s="7">
        <f>'3 escalar'!M772</f>
        <v/>
      </c>
      <c r="O769" s="7">
        <f>'3 escalar'!N772</f>
        <v/>
      </c>
      <c r="P769" s="7">
        <f>'3 escalar'!O772</f>
        <v/>
      </c>
      <c r="Q769" s="7">
        <f>'3 escalar'!P772</f>
        <v/>
      </c>
      <c r="R769" s="7">
        <f>'3 escalar'!Q772</f>
        <v/>
      </c>
      <c r="S769" s="7">
        <f>'3 escalar'!R772</f>
        <v/>
      </c>
      <c r="T769" s="7">
        <f>'3 escalar'!S772</f>
        <v/>
      </c>
      <c r="U769" s="7">
        <f>'3 escalar'!T772</f>
        <v/>
      </c>
      <c r="V769" s="6">
        <f>$AC$12+D769*$AC$13+E769*$AC$14+F769*$AC$15+G769*$AC$16+H769*$AC$17+I769*$AC$18+J769*$AC$19+K769*$AC$20+L769*$AC$21+M769*$AC$22+N769*$AC$23+O769*$AC$24+P769*$AC$25+Q769*$AC$26+R769*$AC$27+S769*$AC$28+T769*$AC$29+U769*$AC$30</f>
        <v/>
      </c>
      <c r="W769" s="6">
        <f>1/(1+EXP(-V769))</f>
        <v/>
      </c>
      <c r="X769" s="8">
        <f>-IF(C769=1,LN(W769),LN(1-W769))</f>
        <v/>
      </c>
      <c r="Y769" s="9">
        <f>IF(W769&gt;$AC$32,1,0)</f>
        <v/>
      </c>
      <c r="Z769">
        <f>IF(Y769=C769,1,0)</f>
        <v/>
      </c>
    </row>
    <row r="770">
      <c r="A770">
        <f>'3 escalar'!A773</f>
        <v/>
      </c>
      <c r="B770" s="5">
        <f>'3 escalar'!U773</f>
        <v/>
      </c>
      <c r="C770">
        <f>'3 escalar'!B773</f>
        <v/>
      </c>
      <c r="D770" s="7">
        <f>'3 escalar'!C773</f>
        <v/>
      </c>
      <c r="E770" s="7">
        <f>'3 escalar'!D773</f>
        <v/>
      </c>
      <c r="F770" s="7">
        <f>'3 escalar'!E773</f>
        <v/>
      </c>
      <c r="G770" s="7">
        <f>'3 escalar'!F773</f>
        <v/>
      </c>
      <c r="H770" s="7">
        <f>'3 escalar'!G773</f>
        <v/>
      </c>
      <c r="I770" s="7">
        <f>'3 escalar'!H773</f>
        <v/>
      </c>
      <c r="J770" s="7">
        <f>'3 escalar'!I773</f>
        <v/>
      </c>
      <c r="K770" s="7">
        <f>'3 escalar'!J773</f>
        <v/>
      </c>
      <c r="L770" s="7">
        <f>'3 escalar'!K773</f>
        <v/>
      </c>
      <c r="M770" s="7">
        <f>'3 escalar'!L773</f>
        <v/>
      </c>
      <c r="N770" s="7">
        <f>'3 escalar'!M773</f>
        <v/>
      </c>
      <c r="O770" s="7">
        <f>'3 escalar'!N773</f>
        <v/>
      </c>
      <c r="P770" s="7">
        <f>'3 escalar'!O773</f>
        <v/>
      </c>
      <c r="Q770" s="7">
        <f>'3 escalar'!P773</f>
        <v/>
      </c>
      <c r="R770" s="7">
        <f>'3 escalar'!Q773</f>
        <v/>
      </c>
      <c r="S770" s="7">
        <f>'3 escalar'!R773</f>
        <v/>
      </c>
      <c r="T770" s="7">
        <f>'3 escalar'!S773</f>
        <v/>
      </c>
      <c r="U770" s="7">
        <f>'3 escalar'!T773</f>
        <v/>
      </c>
      <c r="V770" s="6">
        <f>$AC$12+D770*$AC$13+E770*$AC$14+F770*$AC$15+G770*$AC$16+H770*$AC$17+I770*$AC$18+J770*$AC$19+K770*$AC$20+L770*$AC$21+M770*$AC$22+N770*$AC$23+O770*$AC$24+P770*$AC$25+Q770*$AC$26+R770*$AC$27+S770*$AC$28+T770*$AC$29+U770*$AC$30</f>
        <v/>
      </c>
      <c r="W770" s="6">
        <f>1/(1+EXP(-V770))</f>
        <v/>
      </c>
      <c r="X770" s="8">
        <f>-IF(C770=1,LN(W770),LN(1-W770))</f>
        <v/>
      </c>
      <c r="Y770" s="9">
        <f>IF(W770&gt;$AC$32,1,0)</f>
        <v/>
      </c>
      <c r="Z770">
        <f>IF(Y770=C770,1,0)</f>
        <v/>
      </c>
    </row>
    <row r="771">
      <c r="A771">
        <f>'3 escalar'!A774</f>
        <v/>
      </c>
      <c r="B771" s="5">
        <f>'3 escalar'!U774</f>
        <v/>
      </c>
      <c r="C771">
        <f>'3 escalar'!B774</f>
        <v/>
      </c>
      <c r="D771" s="7">
        <f>'3 escalar'!C774</f>
        <v/>
      </c>
      <c r="E771" s="7">
        <f>'3 escalar'!D774</f>
        <v/>
      </c>
      <c r="F771" s="7">
        <f>'3 escalar'!E774</f>
        <v/>
      </c>
      <c r="G771" s="7">
        <f>'3 escalar'!F774</f>
        <v/>
      </c>
      <c r="H771" s="7">
        <f>'3 escalar'!G774</f>
        <v/>
      </c>
      <c r="I771" s="7">
        <f>'3 escalar'!H774</f>
        <v/>
      </c>
      <c r="J771" s="7">
        <f>'3 escalar'!I774</f>
        <v/>
      </c>
      <c r="K771" s="7">
        <f>'3 escalar'!J774</f>
        <v/>
      </c>
      <c r="L771" s="7">
        <f>'3 escalar'!K774</f>
        <v/>
      </c>
      <c r="M771" s="7">
        <f>'3 escalar'!L774</f>
        <v/>
      </c>
      <c r="N771" s="7">
        <f>'3 escalar'!M774</f>
        <v/>
      </c>
      <c r="O771" s="7">
        <f>'3 escalar'!N774</f>
        <v/>
      </c>
      <c r="P771" s="7">
        <f>'3 escalar'!O774</f>
        <v/>
      </c>
      <c r="Q771" s="7">
        <f>'3 escalar'!P774</f>
        <v/>
      </c>
      <c r="R771" s="7">
        <f>'3 escalar'!Q774</f>
        <v/>
      </c>
      <c r="S771" s="7">
        <f>'3 escalar'!R774</f>
        <v/>
      </c>
      <c r="T771" s="7">
        <f>'3 escalar'!S774</f>
        <v/>
      </c>
      <c r="U771" s="7">
        <f>'3 escalar'!T774</f>
        <v/>
      </c>
      <c r="V771" s="6">
        <f>$AC$12+D771*$AC$13+E771*$AC$14+F771*$AC$15+G771*$AC$16+H771*$AC$17+I771*$AC$18+J771*$AC$19+K771*$AC$20+L771*$AC$21+M771*$AC$22+N771*$AC$23+O771*$AC$24+P771*$AC$25+Q771*$AC$26+R771*$AC$27+S771*$AC$28+T771*$AC$29+U771*$AC$30</f>
        <v/>
      </c>
      <c r="W771" s="6">
        <f>1/(1+EXP(-V771))</f>
        <v/>
      </c>
      <c r="X771" s="8">
        <f>-IF(C771=1,LN(W771),LN(1-W771))</f>
        <v/>
      </c>
      <c r="Y771" s="9">
        <f>IF(W771&gt;$AC$32,1,0)</f>
        <v/>
      </c>
      <c r="Z771">
        <f>IF(Y771=C771,1,0)</f>
        <v/>
      </c>
    </row>
    <row r="772">
      <c r="A772">
        <f>'3 escalar'!A775</f>
        <v/>
      </c>
      <c r="B772" s="5">
        <f>'3 escalar'!U775</f>
        <v/>
      </c>
      <c r="C772">
        <f>'3 escalar'!B775</f>
        <v/>
      </c>
      <c r="D772" s="7">
        <f>'3 escalar'!C775</f>
        <v/>
      </c>
      <c r="E772" s="7">
        <f>'3 escalar'!D775</f>
        <v/>
      </c>
      <c r="F772" s="7">
        <f>'3 escalar'!E775</f>
        <v/>
      </c>
      <c r="G772" s="7">
        <f>'3 escalar'!F775</f>
        <v/>
      </c>
      <c r="H772" s="7">
        <f>'3 escalar'!G775</f>
        <v/>
      </c>
      <c r="I772" s="7">
        <f>'3 escalar'!H775</f>
        <v/>
      </c>
      <c r="J772" s="7">
        <f>'3 escalar'!I775</f>
        <v/>
      </c>
      <c r="K772" s="7">
        <f>'3 escalar'!J775</f>
        <v/>
      </c>
      <c r="L772" s="7">
        <f>'3 escalar'!K775</f>
        <v/>
      </c>
      <c r="M772" s="7">
        <f>'3 escalar'!L775</f>
        <v/>
      </c>
      <c r="N772" s="7">
        <f>'3 escalar'!M775</f>
        <v/>
      </c>
      <c r="O772" s="7">
        <f>'3 escalar'!N775</f>
        <v/>
      </c>
      <c r="P772" s="7">
        <f>'3 escalar'!O775</f>
        <v/>
      </c>
      <c r="Q772" s="7">
        <f>'3 escalar'!P775</f>
        <v/>
      </c>
      <c r="R772" s="7">
        <f>'3 escalar'!Q775</f>
        <v/>
      </c>
      <c r="S772" s="7">
        <f>'3 escalar'!R775</f>
        <v/>
      </c>
      <c r="T772" s="7">
        <f>'3 escalar'!S775</f>
        <v/>
      </c>
      <c r="U772" s="7">
        <f>'3 escalar'!T775</f>
        <v/>
      </c>
      <c r="V772" s="6">
        <f>$AC$12+D772*$AC$13+E772*$AC$14+F772*$AC$15+G772*$AC$16+H772*$AC$17+I772*$AC$18+J772*$AC$19+K772*$AC$20+L772*$AC$21+M772*$AC$22+N772*$AC$23+O772*$AC$24+P772*$AC$25+Q772*$AC$26+R772*$AC$27+S772*$AC$28+T772*$AC$29+U772*$AC$30</f>
        <v/>
      </c>
      <c r="W772" s="6">
        <f>1/(1+EXP(-V772))</f>
        <v/>
      </c>
      <c r="X772" s="8">
        <f>-IF(C772=1,LN(W772),LN(1-W772))</f>
        <v/>
      </c>
      <c r="Y772" s="9">
        <f>IF(W772&gt;$AC$32,1,0)</f>
        <v/>
      </c>
      <c r="Z772">
        <f>IF(Y772=C772,1,0)</f>
        <v/>
      </c>
    </row>
    <row r="773">
      <c r="A773">
        <f>'3 escalar'!A776</f>
        <v/>
      </c>
      <c r="B773" s="5">
        <f>'3 escalar'!U776</f>
        <v/>
      </c>
      <c r="C773">
        <f>'3 escalar'!B776</f>
        <v/>
      </c>
      <c r="D773" s="7">
        <f>'3 escalar'!C776</f>
        <v/>
      </c>
      <c r="E773" s="7">
        <f>'3 escalar'!D776</f>
        <v/>
      </c>
      <c r="F773" s="7">
        <f>'3 escalar'!E776</f>
        <v/>
      </c>
      <c r="G773" s="7">
        <f>'3 escalar'!F776</f>
        <v/>
      </c>
      <c r="H773" s="7">
        <f>'3 escalar'!G776</f>
        <v/>
      </c>
      <c r="I773" s="7">
        <f>'3 escalar'!H776</f>
        <v/>
      </c>
      <c r="J773" s="7">
        <f>'3 escalar'!I776</f>
        <v/>
      </c>
      <c r="K773" s="7">
        <f>'3 escalar'!J776</f>
        <v/>
      </c>
      <c r="L773" s="7">
        <f>'3 escalar'!K776</f>
        <v/>
      </c>
      <c r="M773" s="7">
        <f>'3 escalar'!L776</f>
        <v/>
      </c>
      <c r="N773" s="7">
        <f>'3 escalar'!M776</f>
        <v/>
      </c>
      <c r="O773" s="7">
        <f>'3 escalar'!N776</f>
        <v/>
      </c>
      <c r="P773" s="7">
        <f>'3 escalar'!O776</f>
        <v/>
      </c>
      <c r="Q773" s="7">
        <f>'3 escalar'!P776</f>
        <v/>
      </c>
      <c r="R773" s="7">
        <f>'3 escalar'!Q776</f>
        <v/>
      </c>
      <c r="S773" s="7">
        <f>'3 escalar'!R776</f>
        <v/>
      </c>
      <c r="T773" s="7">
        <f>'3 escalar'!S776</f>
        <v/>
      </c>
      <c r="U773" s="7">
        <f>'3 escalar'!T776</f>
        <v/>
      </c>
      <c r="V773" s="6">
        <f>$AC$12+D773*$AC$13+E773*$AC$14+F773*$AC$15+G773*$AC$16+H773*$AC$17+I773*$AC$18+J773*$AC$19+K773*$AC$20+L773*$AC$21+M773*$AC$22+N773*$AC$23+O773*$AC$24+P773*$AC$25+Q773*$AC$26+R773*$AC$27+S773*$AC$28+T773*$AC$29+U773*$AC$30</f>
        <v/>
      </c>
      <c r="W773" s="6">
        <f>1/(1+EXP(-V773))</f>
        <v/>
      </c>
      <c r="X773" s="8">
        <f>-IF(C773=1,LN(W773),LN(1-W773))</f>
        <v/>
      </c>
      <c r="Y773" s="9">
        <f>IF(W773&gt;$AC$32,1,0)</f>
        <v/>
      </c>
      <c r="Z773">
        <f>IF(Y773=C773,1,0)</f>
        <v/>
      </c>
    </row>
    <row r="774">
      <c r="A774">
        <f>'3 escalar'!A777</f>
        <v/>
      </c>
      <c r="B774" s="5">
        <f>'3 escalar'!U777</f>
        <v/>
      </c>
      <c r="C774">
        <f>'3 escalar'!B777</f>
        <v/>
      </c>
      <c r="D774" s="7">
        <f>'3 escalar'!C777</f>
        <v/>
      </c>
      <c r="E774" s="7">
        <f>'3 escalar'!D777</f>
        <v/>
      </c>
      <c r="F774" s="7">
        <f>'3 escalar'!E777</f>
        <v/>
      </c>
      <c r="G774" s="7">
        <f>'3 escalar'!F777</f>
        <v/>
      </c>
      <c r="H774" s="7">
        <f>'3 escalar'!G777</f>
        <v/>
      </c>
      <c r="I774" s="7">
        <f>'3 escalar'!H777</f>
        <v/>
      </c>
      <c r="J774" s="7">
        <f>'3 escalar'!I777</f>
        <v/>
      </c>
      <c r="K774" s="7">
        <f>'3 escalar'!J777</f>
        <v/>
      </c>
      <c r="L774" s="7">
        <f>'3 escalar'!K777</f>
        <v/>
      </c>
      <c r="M774" s="7">
        <f>'3 escalar'!L777</f>
        <v/>
      </c>
      <c r="N774" s="7">
        <f>'3 escalar'!M777</f>
        <v/>
      </c>
      <c r="O774" s="7">
        <f>'3 escalar'!N777</f>
        <v/>
      </c>
      <c r="P774" s="7">
        <f>'3 escalar'!O777</f>
        <v/>
      </c>
      <c r="Q774" s="7">
        <f>'3 escalar'!P777</f>
        <v/>
      </c>
      <c r="R774" s="7">
        <f>'3 escalar'!Q777</f>
        <v/>
      </c>
      <c r="S774" s="7">
        <f>'3 escalar'!R777</f>
        <v/>
      </c>
      <c r="T774" s="7">
        <f>'3 escalar'!S777</f>
        <v/>
      </c>
      <c r="U774" s="7">
        <f>'3 escalar'!T777</f>
        <v/>
      </c>
      <c r="V774" s="6">
        <f>$AC$12+D774*$AC$13+E774*$AC$14+F774*$AC$15+G774*$AC$16+H774*$AC$17+I774*$AC$18+J774*$AC$19+K774*$AC$20+L774*$AC$21+M774*$AC$22+N774*$AC$23+O774*$AC$24+P774*$AC$25+Q774*$AC$26+R774*$AC$27+S774*$AC$28+T774*$AC$29+U774*$AC$30</f>
        <v/>
      </c>
      <c r="W774" s="6">
        <f>1/(1+EXP(-V774))</f>
        <v/>
      </c>
      <c r="X774" s="8">
        <f>-IF(C774=1,LN(W774),LN(1-W774))</f>
        <v/>
      </c>
      <c r="Y774" s="9">
        <f>IF(W774&gt;$AC$32,1,0)</f>
        <v/>
      </c>
      <c r="Z774">
        <f>IF(Y774=C774,1,0)</f>
        <v/>
      </c>
    </row>
    <row r="775">
      <c r="A775">
        <f>'3 escalar'!A778</f>
        <v/>
      </c>
      <c r="B775" s="5">
        <f>'3 escalar'!U778</f>
        <v/>
      </c>
      <c r="C775">
        <f>'3 escalar'!B778</f>
        <v/>
      </c>
      <c r="D775" s="7">
        <f>'3 escalar'!C778</f>
        <v/>
      </c>
      <c r="E775" s="7">
        <f>'3 escalar'!D778</f>
        <v/>
      </c>
      <c r="F775" s="7">
        <f>'3 escalar'!E778</f>
        <v/>
      </c>
      <c r="G775" s="7">
        <f>'3 escalar'!F778</f>
        <v/>
      </c>
      <c r="H775" s="7">
        <f>'3 escalar'!G778</f>
        <v/>
      </c>
      <c r="I775" s="7">
        <f>'3 escalar'!H778</f>
        <v/>
      </c>
      <c r="J775" s="7">
        <f>'3 escalar'!I778</f>
        <v/>
      </c>
      <c r="K775" s="7">
        <f>'3 escalar'!J778</f>
        <v/>
      </c>
      <c r="L775" s="7">
        <f>'3 escalar'!K778</f>
        <v/>
      </c>
      <c r="M775" s="7">
        <f>'3 escalar'!L778</f>
        <v/>
      </c>
      <c r="N775" s="7">
        <f>'3 escalar'!M778</f>
        <v/>
      </c>
      <c r="O775" s="7">
        <f>'3 escalar'!N778</f>
        <v/>
      </c>
      <c r="P775" s="7">
        <f>'3 escalar'!O778</f>
        <v/>
      </c>
      <c r="Q775" s="7">
        <f>'3 escalar'!P778</f>
        <v/>
      </c>
      <c r="R775" s="7">
        <f>'3 escalar'!Q778</f>
        <v/>
      </c>
      <c r="S775" s="7">
        <f>'3 escalar'!R778</f>
        <v/>
      </c>
      <c r="T775" s="7">
        <f>'3 escalar'!S778</f>
        <v/>
      </c>
      <c r="U775" s="7">
        <f>'3 escalar'!T778</f>
        <v/>
      </c>
      <c r="V775" s="6">
        <f>$AC$12+D775*$AC$13+E775*$AC$14+F775*$AC$15+G775*$AC$16+H775*$AC$17+I775*$AC$18+J775*$AC$19+K775*$AC$20+L775*$AC$21+M775*$AC$22+N775*$AC$23+O775*$AC$24+P775*$AC$25+Q775*$AC$26+R775*$AC$27+S775*$AC$28+T775*$AC$29+U775*$AC$30</f>
        <v/>
      </c>
      <c r="W775" s="6">
        <f>1/(1+EXP(-V775))</f>
        <v/>
      </c>
      <c r="X775" s="8">
        <f>-IF(C775=1,LN(W775),LN(1-W775))</f>
        <v/>
      </c>
      <c r="Y775" s="9">
        <f>IF(W775&gt;$AC$32,1,0)</f>
        <v/>
      </c>
      <c r="Z775">
        <f>IF(Y775=C775,1,0)</f>
        <v/>
      </c>
    </row>
    <row r="776">
      <c r="A776">
        <f>'3 escalar'!A779</f>
        <v/>
      </c>
      <c r="B776" s="5">
        <f>'3 escalar'!U779</f>
        <v/>
      </c>
      <c r="C776">
        <f>'3 escalar'!B779</f>
        <v/>
      </c>
      <c r="D776" s="7">
        <f>'3 escalar'!C779</f>
        <v/>
      </c>
      <c r="E776" s="7">
        <f>'3 escalar'!D779</f>
        <v/>
      </c>
      <c r="F776" s="7">
        <f>'3 escalar'!E779</f>
        <v/>
      </c>
      <c r="G776" s="7">
        <f>'3 escalar'!F779</f>
        <v/>
      </c>
      <c r="H776" s="7">
        <f>'3 escalar'!G779</f>
        <v/>
      </c>
      <c r="I776" s="7">
        <f>'3 escalar'!H779</f>
        <v/>
      </c>
      <c r="J776" s="7">
        <f>'3 escalar'!I779</f>
        <v/>
      </c>
      <c r="K776" s="7">
        <f>'3 escalar'!J779</f>
        <v/>
      </c>
      <c r="L776" s="7">
        <f>'3 escalar'!K779</f>
        <v/>
      </c>
      <c r="M776" s="7">
        <f>'3 escalar'!L779</f>
        <v/>
      </c>
      <c r="N776" s="7">
        <f>'3 escalar'!M779</f>
        <v/>
      </c>
      <c r="O776" s="7">
        <f>'3 escalar'!N779</f>
        <v/>
      </c>
      <c r="P776" s="7">
        <f>'3 escalar'!O779</f>
        <v/>
      </c>
      <c r="Q776" s="7">
        <f>'3 escalar'!P779</f>
        <v/>
      </c>
      <c r="R776" s="7">
        <f>'3 escalar'!Q779</f>
        <v/>
      </c>
      <c r="S776" s="7">
        <f>'3 escalar'!R779</f>
        <v/>
      </c>
      <c r="T776" s="7">
        <f>'3 escalar'!S779</f>
        <v/>
      </c>
      <c r="U776" s="7">
        <f>'3 escalar'!T779</f>
        <v/>
      </c>
      <c r="V776" s="6">
        <f>$AC$12+D776*$AC$13+E776*$AC$14+F776*$AC$15+G776*$AC$16+H776*$AC$17+I776*$AC$18+J776*$AC$19+K776*$AC$20+L776*$AC$21+M776*$AC$22+N776*$AC$23+O776*$AC$24+P776*$AC$25+Q776*$AC$26+R776*$AC$27+S776*$AC$28+T776*$AC$29+U776*$AC$30</f>
        <v/>
      </c>
      <c r="W776" s="6">
        <f>1/(1+EXP(-V776))</f>
        <v/>
      </c>
      <c r="X776" s="8">
        <f>-IF(C776=1,LN(W776),LN(1-W776))</f>
        <v/>
      </c>
      <c r="Y776" s="9">
        <f>IF(W776&gt;$AC$32,1,0)</f>
        <v/>
      </c>
      <c r="Z776">
        <f>IF(Y776=C776,1,0)</f>
        <v/>
      </c>
    </row>
    <row r="777">
      <c r="A777">
        <f>'3 escalar'!A780</f>
        <v/>
      </c>
      <c r="B777" s="5">
        <f>'3 escalar'!U780</f>
        <v/>
      </c>
      <c r="C777">
        <f>'3 escalar'!B780</f>
        <v/>
      </c>
      <c r="D777" s="7">
        <f>'3 escalar'!C780</f>
        <v/>
      </c>
      <c r="E777" s="7">
        <f>'3 escalar'!D780</f>
        <v/>
      </c>
      <c r="F777" s="7">
        <f>'3 escalar'!E780</f>
        <v/>
      </c>
      <c r="G777" s="7">
        <f>'3 escalar'!F780</f>
        <v/>
      </c>
      <c r="H777" s="7">
        <f>'3 escalar'!G780</f>
        <v/>
      </c>
      <c r="I777" s="7">
        <f>'3 escalar'!H780</f>
        <v/>
      </c>
      <c r="J777" s="7">
        <f>'3 escalar'!I780</f>
        <v/>
      </c>
      <c r="K777" s="7">
        <f>'3 escalar'!J780</f>
        <v/>
      </c>
      <c r="L777" s="7">
        <f>'3 escalar'!K780</f>
        <v/>
      </c>
      <c r="M777" s="7">
        <f>'3 escalar'!L780</f>
        <v/>
      </c>
      <c r="N777" s="7">
        <f>'3 escalar'!M780</f>
        <v/>
      </c>
      <c r="O777" s="7">
        <f>'3 escalar'!N780</f>
        <v/>
      </c>
      <c r="P777" s="7">
        <f>'3 escalar'!O780</f>
        <v/>
      </c>
      <c r="Q777" s="7">
        <f>'3 escalar'!P780</f>
        <v/>
      </c>
      <c r="R777" s="7">
        <f>'3 escalar'!Q780</f>
        <v/>
      </c>
      <c r="S777" s="7">
        <f>'3 escalar'!R780</f>
        <v/>
      </c>
      <c r="T777" s="7">
        <f>'3 escalar'!S780</f>
        <v/>
      </c>
      <c r="U777" s="7">
        <f>'3 escalar'!T780</f>
        <v/>
      </c>
      <c r="V777" s="6">
        <f>$AC$12+D777*$AC$13+E777*$AC$14+F777*$AC$15+G777*$AC$16+H777*$AC$17+I777*$AC$18+J777*$AC$19+K777*$AC$20+L777*$AC$21+M777*$AC$22+N777*$AC$23+O777*$AC$24+P777*$AC$25+Q777*$AC$26+R777*$AC$27+S777*$AC$28+T777*$AC$29+U777*$AC$30</f>
        <v/>
      </c>
      <c r="W777" s="6">
        <f>1/(1+EXP(-V777))</f>
        <v/>
      </c>
      <c r="X777" s="8">
        <f>-IF(C777=1,LN(W777),LN(1-W777))</f>
        <v/>
      </c>
      <c r="Y777" s="9">
        <f>IF(W777&gt;$AC$32,1,0)</f>
        <v/>
      </c>
      <c r="Z777">
        <f>IF(Y777=C777,1,0)</f>
        <v/>
      </c>
    </row>
    <row r="778">
      <c r="A778">
        <f>'3 escalar'!A781</f>
        <v/>
      </c>
      <c r="B778" s="5">
        <f>'3 escalar'!U781</f>
        <v/>
      </c>
      <c r="C778">
        <f>'3 escalar'!B781</f>
        <v/>
      </c>
      <c r="D778" s="7">
        <f>'3 escalar'!C781</f>
        <v/>
      </c>
      <c r="E778" s="7">
        <f>'3 escalar'!D781</f>
        <v/>
      </c>
      <c r="F778" s="7">
        <f>'3 escalar'!E781</f>
        <v/>
      </c>
      <c r="G778" s="7">
        <f>'3 escalar'!F781</f>
        <v/>
      </c>
      <c r="H778" s="7">
        <f>'3 escalar'!G781</f>
        <v/>
      </c>
      <c r="I778" s="7">
        <f>'3 escalar'!H781</f>
        <v/>
      </c>
      <c r="J778" s="7">
        <f>'3 escalar'!I781</f>
        <v/>
      </c>
      <c r="K778" s="7">
        <f>'3 escalar'!J781</f>
        <v/>
      </c>
      <c r="L778" s="7">
        <f>'3 escalar'!K781</f>
        <v/>
      </c>
      <c r="M778" s="7">
        <f>'3 escalar'!L781</f>
        <v/>
      </c>
      <c r="N778" s="7">
        <f>'3 escalar'!M781</f>
        <v/>
      </c>
      <c r="O778" s="7">
        <f>'3 escalar'!N781</f>
        <v/>
      </c>
      <c r="P778" s="7">
        <f>'3 escalar'!O781</f>
        <v/>
      </c>
      <c r="Q778" s="7">
        <f>'3 escalar'!P781</f>
        <v/>
      </c>
      <c r="R778" s="7">
        <f>'3 escalar'!Q781</f>
        <v/>
      </c>
      <c r="S778" s="7">
        <f>'3 escalar'!R781</f>
        <v/>
      </c>
      <c r="T778" s="7">
        <f>'3 escalar'!S781</f>
        <v/>
      </c>
      <c r="U778" s="7">
        <f>'3 escalar'!T781</f>
        <v/>
      </c>
      <c r="V778" s="6">
        <f>$AC$12+D778*$AC$13+E778*$AC$14+F778*$AC$15+G778*$AC$16+H778*$AC$17+I778*$AC$18+J778*$AC$19+K778*$AC$20+L778*$AC$21+M778*$AC$22+N778*$AC$23+O778*$AC$24+P778*$AC$25+Q778*$AC$26+R778*$AC$27+S778*$AC$28+T778*$AC$29+U778*$AC$30</f>
        <v/>
      </c>
      <c r="W778" s="6">
        <f>1/(1+EXP(-V778))</f>
        <v/>
      </c>
      <c r="X778" s="8">
        <f>-IF(C778=1,LN(W778),LN(1-W778))</f>
        <v/>
      </c>
      <c r="Y778" s="9">
        <f>IF(W778&gt;$AC$32,1,0)</f>
        <v/>
      </c>
      <c r="Z778">
        <f>IF(Y778=C778,1,0)</f>
        <v/>
      </c>
    </row>
    <row r="779">
      <c r="A779">
        <f>'3 escalar'!A782</f>
        <v/>
      </c>
      <c r="B779" s="5">
        <f>'3 escalar'!U782</f>
        <v/>
      </c>
      <c r="C779">
        <f>'3 escalar'!B782</f>
        <v/>
      </c>
      <c r="D779" s="7">
        <f>'3 escalar'!C782</f>
        <v/>
      </c>
      <c r="E779" s="7">
        <f>'3 escalar'!D782</f>
        <v/>
      </c>
      <c r="F779" s="7">
        <f>'3 escalar'!E782</f>
        <v/>
      </c>
      <c r="G779" s="7">
        <f>'3 escalar'!F782</f>
        <v/>
      </c>
      <c r="H779" s="7">
        <f>'3 escalar'!G782</f>
        <v/>
      </c>
      <c r="I779" s="7">
        <f>'3 escalar'!H782</f>
        <v/>
      </c>
      <c r="J779" s="7">
        <f>'3 escalar'!I782</f>
        <v/>
      </c>
      <c r="K779" s="7">
        <f>'3 escalar'!J782</f>
        <v/>
      </c>
      <c r="L779" s="7">
        <f>'3 escalar'!K782</f>
        <v/>
      </c>
      <c r="M779" s="7">
        <f>'3 escalar'!L782</f>
        <v/>
      </c>
      <c r="N779" s="7">
        <f>'3 escalar'!M782</f>
        <v/>
      </c>
      <c r="O779" s="7">
        <f>'3 escalar'!N782</f>
        <v/>
      </c>
      <c r="P779" s="7">
        <f>'3 escalar'!O782</f>
        <v/>
      </c>
      <c r="Q779" s="7">
        <f>'3 escalar'!P782</f>
        <v/>
      </c>
      <c r="R779" s="7">
        <f>'3 escalar'!Q782</f>
        <v/>
      </c>
      <c r="S779" s="7">
        <f>'3 escalar'!R782</f>
        <v/>
      </c>
      <c r="T779" s="7">
        <f>'3 escalar'!S782</f>
        <v/>
      </c>
      <c r="U779" s="7">
        <f>'3 escalar'!T782</f>
        <v/>
      </c>
      <c r="V779" s="6">
        <f>$AC$12+D779*$AC$13+E779*$AC$14+F779*$AC$15+G779*$AC$16+H779*$AC$17+I779*$AC$18+J779*$AC$19+K779*$AC$20+L779*$AC$21+M779*$AC$22+N779*$AC$23+O779*$AC$24+P779*$AC$25+Q779*$AC$26+R779*$AC$27+S779*$AC$28+T779*$AC$29+U779*$AC$30</f>
        <v/>
      </c>
      <c r="W779" s="6">
        <f>1/(1+EXP(-V779))</f>
        <v/>
      </c>
      <c r="X779" s="8">
        <f>-IF(C779=1,LN(W779),LN(1-W779))</f>
        <v/>
      </c>
      <c r="Y779" s="9">
        <f>IF(W779&gt;$AC$32,1,0)</f>
        <v/>
      </c>
      <c r="Z779">
        <f>IF(Y779=C779,1,0)</f>
        <v/>
      </c>
    </row>
    <row r="780">
      <c r="A780">
        <f>'3 escalar'!A783</f>
        <v/>
      </c>
      <c r="B780" s="5">
        <f>'3 escalar'!U783</f>
        <v/>
      </c>
      <c r="C780">
        <f>'3 escalar'!B783</f>
        <v/>
      </c>
      <c r="D780" s="7">
        <f>'3 escalar'!C783</f>
        <v/>
      </c>
      <c r="E780" s="7">
        <f>'3 escalar'!D783</f>
        <v/>
      </c>
      <c r="F780" s="7">
        <f>'3 escalar'!E783</f>
        <v/>
      </c>
      <c r="G780" s="7">
        <f>'3 escalar'!F783</f>
        <v/>
      </c>
      <c r="H780" s="7">
        <f>'3 escalar'!G783</f>
        <v/>
      </c>
      <c r="I780" s="7">
        <f>'3 escalar'!H783</f>
        <v/>
      </c>
      <c r="J780" s="7">
        <f>'3 escalar'!I783</f>
        <v/>
      </c>
      <c r="K780" s="7">
        <f>'3 escalar'!J783</f>
        <v/>
      </c>
      <c r="L780" s="7">
        <f>'3 escalar'!K783</f>
        <v/>
      </c>
      <c r="M780" s="7">
        <f>'3 escalar'!L783</f>
        <v/>
      </c>
      <c r="N780" s="7">
        <f>'3 escalar'!M783</f>
        <v/>
      </c>
      <c r="O780" s="7">
        <f>'3 escalar'!N783</f>
        <v/>
      </c>
      <c r="P780" s="7">
        <f>'3 escalar'!O783</f>
        <v/>
      </c>
      <c r="Q780" s="7">
        <f>'3 escalar'!P783</f>
        <v/>
      </c>
      <c r="R780" s="7">
        <f>'3 escalar'!Q783</f>
        <v/>
      </c>
      <c r="S780" s="7">
        <f>'3 escalar'!R783</f>
        <v/>
      </c>
      <c r="T780" s="7">
        <f>'3 escalar'!S783</f>
        <v/>
      </c>
      <c r="U780" s="7">
        <f>'3 escalar'!T783</f>
        <v/>
      </c>
      <c r="V780" s="6">
        <f>$AC$12+D780*$AC$13+E780*$AC$14+F780*$AC$15+G780*$AC$16+H780*$AC$17+I780*$AC$18+J780*$AC$19+K780*$AC$20+L780*$AC$21+M780*$AC$22+N780*$AC$23+O780*$AC$24+P780*$AC$25+Q780*$AC$26+R780*$AC$27+S780*$AC$28+T780*$AC$29+U780*$AC$30</f>
        <v/>
      </c>
      <c r="W780" s="6">
        <f>1/(1+EXP(-V780))</f>
        <v/>
      </c>
      <c r="X780" s="8">
        <f>-IF(C780=1,LN(W780),LN(1-W780))</f>
        <v/>
      </c>
      <c r="Y780" s="9">
        <f>IF(W780&gt;$AC$32,1,0)</f>
        <v/>
      </c>
      <c r="Z780">
        <f>IF(Y780=C780,1,0)</f>
        <v/>
      </c>
    </row>
    <row r="781">
      <c r="A781">
        <f>'3 escalar'!A784</f>
        <v/>
      </c>
      <c r="B781" s="5">
        <f>'3 escalar'!U784</f>
        <v/>
      </c>
      <c r="C781">
        <f>'3 escalar'!B784</f>
        <v/>
      </c>
      <c r="D781" s="7">
        <f>'3 escalar'!C784</f>
        <v/>
      </c>
      <c r="E781" s="7">
        <f>'3 escalar'!D784</f>
        <v/>
      </c>
      <c r="F781" s="7">
        <f>'3 escalar'!E784</f>
        <v/>
      </c>
      <c r="G781" s="7">
        <f>'3 escalar'!F784</f>
        <v/>
      </c>
      <c r="H781" s="7">
        <f>'3 escalar'!G784</f>
        <v/>
      </c>
      <c r="I781" s="7">
        <f>'3 escalar'!H784</f>
        <v/>
      </c>
      <c r="J781" s="7">
        <f>'3 escalar'!I784</f>
        <v/>
      </c>
      <c r="K781" s="7">
        <f>'3 escalar'!J784</f>
        <v/>
      </c>
      <c r="L781" s="7">
        <f>'3 escalar'!K784</f>
        <v/>
      </c>
      <c r="M781" s="7">
        <f>'3 escalar'!L784</f>
        <v/>
      </c>
      <c r="N781" s="7">
        <f>'3 escalar'!M784</f>
        <v/>
      </c>
      <c r="O781" s="7">
        <f>'3 escalar'!N784</f>
        <v/>
      </c>
      <c r="P781" s="7">
        <f>'3 escalar'!O784</f>
        <v/>
      </c>
      <c r="Q781" s="7">
        <f>'3 escalar'!P784</f>
        <v/>
      </c>
      <c r="R781" s="7">
        <f>'3 escalar'!Q784</f>
        <v/>
      </c>
      <c r="S781" s="7">
        <f>'3 escalar'!R784</f>
        <v/>
      </c>
      <c r="T781" s="7">
        <f>'3 escalar'!S784</f>
        <v/>
      </c>
      <c r="U781" s="7">
        <f>'3 escalar'!T784</f>
        <v/>
      </c>
      <c r="V781" s="6">
        <f>$AC$12+D781*$AC$13+E781*$AC$14+F781*$AC$15+G781*$AC$16+H781*$AC$17+I781*$AC$18+J781*$AC$19+K781*$AC$20+L781*$AC$21+M781*$AC$22+N781*$AC$23+O781*$AC$24+P781*$AC$25+Q781*$AC$26+R781*$AC$27+S781*$AC$28+T781*$AC$29+U781*$AC$30</f>
        <v/>
      </c>
      <c r="W781" s="6">
        <f>1/(1+EXP(-V781))</f>
        <v/>
      </c>
      <c r="X781" s="8">
        <f>-IF(C781=1,LN(W781),LN(1-W781))</f>
        <v/>
      </c>
      <c r="Y781" s="9">
        <f>IF(W781&gt;$AC$32,1,0)</f>
        <v/>
      </c>
      <c r="Z781">
        <f>IF(Y781=C781,1,0)</f>
        <v/>
      </c>
    </row>
    <row r="782">
      <c r="A782">
        <f>'3 escalar'!A785</f>
        <v/>
      </c>
      <c r="B782" s="5">
        <f>'3 escalar'!U785</f>
        <v/>
      </c>
      <c r="C782">
        <f>'3 escalar'!B785</f>
        <v/>
      </c>
      <c r="D782" s="7">
        <f>'3 escalar'!C785</f>
        <v/>
      </c>
      <c r="E782" s="7">
        <f>'3 escalar'!D785</f>
        <v/>
      </c>
      <c r="F782" s="7">
        <f>'3 escalar'!E785</f>
        <v/>
      </c>
      <c r="G782" s="7">
        <f>'3 escalar'!F785</f>
        <v/>
      </c>
      <c r="H782" s="7">
        <f>'3 escalar'!G785</f>
        <v/>
      </c>
      <c r="I782" s="7">
        <f>'3 escalar'!H785</f>
        <v/>
      </c>
      <c r="J782" s="7">
        <f>'3 escalar'!I785</f>
        <v/>
      </c>
      <c r="K782" s="7">
        <f>'3 escalar'!J785</f>
        <v/>
      </c>
      <c r="L782" s="7">
        <f>'3 escalar'!K785</f>
        <v/>
      </c>
      <c r="M782" s="7">
        <f>'3 escalar'!L785</f>
        <v/>
      </c>
      <c r="N782" s="7">
        <f>'3 escalar'!M785</f>
        <v/>
      </c>
      <c r="O782" s="7">
        <f>'3 escalar'!N785</f>
        <v/>
      </c>
      <c r="P782" s="7">
        <f>'3 escalar'!O785</f>
        <v/>
      </c>
      <c r="Q782" s="7">
        <f>'3 escalar'!P785</f>
        <v/>
      </c>
      <c r="R782" s="7">
        <f>'3 escalar'!Q785</f>
        <v/>
      </c>
      <c r="S782" s="7">
        <f>'3 escalar'!R785</f>
        <v/>
      </c>
      <c r="T782" s="7">
        <f>'3 escalar'!S785</f>
        <v/>
      </c>
      <c r="U782" s="7">
        <f>'3 escalar'!T785</f>
        <v/>
      </c>
      <c r="V782" s="6">
        <f>$AC$12+D782*$AC$13+E782*$AC$14+F782*$AC$15+G782*$AC$16+H782*$AC$17+I782*$AC$18+J782*$AC$19+K782*$AC$20+L782*$AC$21+M782*$AC$22+N782*$AC$23+O782*$AC$24+P782*$AC$25+Q782*$AC$26+R782*$AC$27+S782*$AC$28+T782*$AC$29+U782*$AC$30</f>
        <v/>
      </c>
      <c r="W782" s="6">
        <f>1/(1+EXP(-V782))</f>
        <v/>
      </c>
      <c r="X782" s="8">
        <f>-IF(C782=1,LN(W782),LN(1-W782))</f>
        <v/>
      </c>
      <c r="Y782" s="9">
        <f>IF(W782&gt;$AC$32,1,0)</f>
        <v/>
      </c>
      <c r="Z782">
        <f>IF(Y782=C782,1,0)</f>
        <v/>
      </c>
    </row>
    <row r="783">
      <c r="A783">
        <f>'3 escalar'!A786</f>
        <v/>
      </c>
      <c r="B783" s="5">
        <f>'3 escalar'!U786</f>
        <v/>
      </c>
      <c r="C783">
        <f>'3 escalar'!B786</f>
        <v/>
      </c>
      <c r="D783" s="7">
        <f>'3 escalar'!C786</f>
        <v/>
      </c>
      <c r="E783" s="7">
        <f>'3 escalar'!D786</f>
        <v/>
      </c>
      <c r="F783" s="7">
        <f>'3 escalar'!E786</f>
        <v/>
      </c>
      <c r="G783" s="7">
        <f>'3 escalar'!F786</f>
        <v/>
      </c>
      <c r="H783" s="7">
        <f>'3 escalar'!G786</f>
        <v/>
      </c>
      <c r="I783" s="7">
        <f>'3 escalar'!H786</f>
        <v/>
      </c>
      <c r="J783" s="7">
        <f>'3 escalar'!I786</f>
        <v/>
      </c>
      <c r="K783" s="7">
        <f>'3 escalar'!J786</f>
        <v/>
      </c>
      <c r="L783" s="7">
        <f>'3 escalar'!K786</f>
        <v/>
      </c>
      <c r="M783" s="7">
        <f>'3 escalar'!L786</f>
        <v/>
      </c>
      <c r="N783" s="7">
        <f>'3 escalar'!M786</f>
        <v/>
      </c>
      <c r="O783" s="7">
        <f>'3 escalar'!N786</f>
        <v/>
      </c>
      <c r="P783" s="7">
        <f>'3 escalar'!O786</f>
        <v/>
      </c>
      <c r="Q783" s="7">
        <f>'3 escalar'!P786</f>
        <v/>
      </c>
      <c r="R783" s="7">
        <f>'3 escalar'!Q786</f>
        <v/>
      </c>
      <c r="S783" s="7">
        <f>'3 escalar'!R786</f>
        <v/>
      </c>
      <c r="T783" s="7">
        <f>'3 escalar'!S786</f>
        <v/>
      </c>
      <c r="U783" s="7">
        <f>'3 escalar'!T786</f>
        <v/>
      </c>
      <c r="V783" s="6">
        <f>$AC$12+D783*$AC$13+E783*$AC$14+F783*$AC$15+G783*$AC$16+H783*$AC$17+I783*$AC$18+J783*$AC$19+K783*$AC$20+L783*$AC$21+M783*$AC$22+N783*$AC$23+O783*$AC$24+P783*$AC$25+Q783*$AC$26+R783*$AC$27+S783*$AC$28+T783*$AC$29+U783*$AC$30</f>
        <v/>
      </c>
      <c r="W783" s="6">
        <f>1/(1+EXP(-V783))</f>
        <v/>
      </c>
      <c r="X783" s="8">
        <f>-IF(C783=1,LN(W783),LN(1-W783))</f>
        <v/>
      </c>
      <c r="Y783" s="9">
        <f>IF(W783&gt;$AC$32,1,0)</f>
        <v/>
      </c>
      <c r="Z783">
        <f>IF(Y783=C783,1,0)</f>
        <v/>
      </c>
    </row>
    <row r="784">
      <c r="A784">
        <f>'3 escalar'!A787</f>
        <v/>
      </c>
      <c r="B784" s="5">
        <f>'3 escalar'!U787</f>
        <v/>
      </c>
      <c r="C784">
        <f>'3 escalar'!B787</f>
        <v/>
      </c>
      <c r="D784" s="7">
        <f>'3 escalar'!C787</f>
        <v/>
      </c>
      <c r="E784" s="7">
        <f>'3 escalar'!D787</f>
        <v/>
      </c>
      <c r="F784" s="7">
        <f>'3 escalar'!E787</f>
        <v/>
      </c>
      <c r="G784" s="7">
        <f>'3 escalar'!F787</f>
        <v/>
      </c>
      <c r="H784" s="7">
        <f>'3 escalar'!G787</f>
        <v/>
      </c>
      <c r="I784" s="7">
        <f>'3 escalar'!H787</f>
        <v/>
      </c>
      <c r="J784" s="7">
        <f>'3 escalar'!I787</f>
        <v/>
      </c>
      <c r="K784" s="7">
        <f>'3 escalar'!J787</f>
        <v/>
      </c>
      <c r="L784" s="7">
        <f>'3 escalar'!K787</f>
        <v/>
      </c>
      <c r="M784" s="7">
        <f>'3 escalar'!L787</f>
        <v/>
      </c>
      <c r="N784" s="7">
        <f>'3 escalar'!M787</f>
        <v/>
      </c>
      <c r="O784" s="7">
        <f>'3 escalar'!N787</f>
        <v/>
      </c>
      <c r="P784" s="7">
        <f>'3 escalar'!O787</f>
        <v/>
      </c>
      <c r="Q784" s="7">
        <f>'3 escalar'!P787</f>
        <v/>
      </c>
      <c r="R784" s="7">
        <f>'3 escalar'!Q787</f>
        <v/>
      </c>
      <c r="S784" s="7">
        <f>'3 escalar'!R787</f>
        <v/>
      </c>
      <c r="T784" s="7">
        <f>'3 escalar'!S787</f>
        <v/>
      </c>
      <c r="U784" s="7">
        <f>'3 escalar'!T787</f>
        <v/>
      </c>
      <c r="V784" s="6">
        <f>$AC$12+D784*$AC$13+E784*$AC$14+F784*$AC$15+G784*$AC$16+H784*$AC$17+I784*$AC$18+J784*$AC$19+K784*$AC$20+L784*$AC$21+M784*$AC$22+N784*$AC$23+O784*$AC$24+P784*$AC$25+Q784*$AC$26+R784*$AC$27+S784*$AC$28+T784*$AC$29+U784*$AC$30</f>
        <v/>
      </c>
      <c r="W784" s="6">
        <f>1/(1+EXP(-V784))</f>
        <v/>
      </c>
      <c r="X784" s="8">
        <f>-IF(C784=1,LN(W784),LN(1-W784))</f>
        <v/>
      </c>
      <c r="Y784" s="9">
        <f>IF(W784&gt;$AC$32,1,0)</f>
        <v/>
      </c>
      <c r="Z784">
        <f>IF(Y784=C784,1,0)</f>
        <v/>
      </c>
    </row>
    <row r="785">
      <c r="A785">
        <f>'3 escalar'!A788</f>
        <v/>
      </c>
      <c r="B785" s="5">
        <f>'3 escalar'!U788</f>
        <v/>
      </c>
      <c r="C785">
        <f>'3 escalar'!B788</f>
        <v/>
      </c>
      <c r="D785" s="7">
        <f>'3 escalar'!C788</f>
        <v/>
      </c>
      <c r="E785" s="7">
        <f>'3 escalar'!D788</f>
        <v/>
      </c>
      <c r="F785" s="7">
        <f>'3 escalar'!E788</f>
        <v/>
      </c>
      <c r="G785" s="7">
        <f>'3 escalar'!F788</f>
        <v/>
      </c>
      <c r="H785" s="7">
        <f>'3 escalar'!G788</f>
        <v/>
      </c>
      <c r="I785" s="7">
        <f>'3 escalar'!H788</f>
        <v/>
      </c>
      <c r="J785" s="7">
        <f>'3 escalar'!I788</f>
        <v/>
      </c>
      <c r="K785" s="7">
        <f>'3 escalar'!J788</f>
        <v/>
      </c>
      <c r="L785" s="7">
        <f>'3 escalar'!K788</f>
        <v/>
      </c>
      <c r="M785" s="7">
        <f>'3 escalar'!L788</f>
        <v/>
      </c>
      <c r="N785" s="7">
        <f>'3 escalar'!M788</f>
        <v/>
      </c>
      <c r="O785" s="7">
        <f>'3 escalar'!N788</f>
        <v/>
      </c>
      <c r="P785" s="7">
        <f>'3 escalar'!O788</f>
        <v/>
      </c>
      <c r="Q785" s="7">
        <f>'3 escalar'!P788</f>
        <v/>
      </c>
      <c r="R785" s="7">
        <f>'3 escalar'!Q788</f>
        <v/>
      </c>
      <c r="S785" s="7">
        <f>'3 escalar'!R788</f>
        <v/>
      </c>
      <c r="T785" s="7">
        <f>'3 escalar'!S788</f>
        <v/>
      </c>
      <c r="U785" s="7">
        <f>'3 escalar'!T788</f>
        <v/>
      </c>
      <c r="V785" s="6">
        <f>$AC$12+D785*$AC$13+E785*$AC$14+F785*$AC$15+G785*$AC$16+H785*$AC$17+I785*$AC$18+J785*$AC$19+K785*$AC$20+L785*$AC$21+M785*$AC$22+N785*$AC$23+O785*$AC$24+P785*$AC$25+Q785*$AC$26+R785*$AC$27+S785*$AC$28+T785*$AC$29+U785*$AC$30</f>
        <v/>
      </c>
      <c r="W785" s="6">
        <f>1/(1+EXP(-V785))</f>
        <v/>
      </c>
      <c r="X785" s="8">
        <f>-IF(C785=1,LN(W785),LN(1-W785))</f>
        <v/>
      </c>
      <c r="Y785" s="9">
        <f>IF(W785&gt;$AC$32,1,0)</f>
        <v/>
      </c>
      <c r="Z785">
        <f>IF(Y785=C785,1,0)</f>
        <v/>
      </c>
    </row>
    <row r="786">
      <c r="A786">
        <f>'3 escalar'!A789</f>
        <v/>
      </c>
      <c r="B786" s="5">
        <f>'3 escalar'!U789</f>
        <v/>
      </c>
      <c r="C786">
        <f>'3 escalar'!B789</f>
        <v/>
      </c>
      <c r="D786" s="7">
        <f>'3 escalar'!C789</f>
        <v/>
      </c>
      <c r="E786" s="7">
        <f>'3 escalar'!D789</f>
        <v/>
      </c>
      <c r="F786" s="7">
        <f>'3 escalar'!E789</f>
        <v/>
      </c>
      <c r="G786" s="7">
        <f>'3 escalar'!F789</f>
        <v/>
      </c>
      <c r="H786" s="7">
        <f>'3 escalar'!G789</f>
        <v/>
      </c>
      <c r="I786" s="7">
        <f>'3 escalar'!H789</f>
        <v/>
      </c>
      <c r="J786" s="7">
        <f>'3 escalar'!I789</f>
        <v/>
      </c>
      <c r="K786" s="7">
        <f>'3 escalar'!J789</f>
        <v/>
      </c>
      <c r="L786" s="7">
        <f>'3 escalar'!K789</f>
        <v/>
      </c>
      <c r="M786" s="7">
        <f>'3 escalar'!L789</f>
        <v/>
      </c>
      <c r="N786" s="7">
        <f>'3 escalar'!M789</f>
        <v/>
      </c>
      <c r="O786" s="7">
        <f>'3 escalar'!N789</f>
        <v/>
      </c>
      <c r="P786" s="7">
        <f>'3 escalar'!O789</f>
        <v/>
      </c>
      <c r="Q786" s="7">
        <f>'3 escalar'!P789</f>
        <v/>
      </c>
      <c r="R786" s="7">
        <f>'3 escalar'!Q789</f>
        <v/>
      </c>
      <c r="S786" s="7">
        <f>'3 escalar'!R789</f>
        <v/>
      </c>
      <c r="T786" s="7">
        <f>'3 escalar'!S789</f>
        <v/>
      </c>
      <c r="U786" s="7">
        <f>'3 escalar'!T789</f>
        <v/>
      </c>
      <c r="V786" s="6">
        <f>$AC$12+D786*$AC$13+E786*$AC$14+F786*$AC$15+G786*$AC$16+H786*$AC$17+I786*$AC$18+J786*$AC$19+K786*$AC$20+L786*$AC$21+M786*$AC$22+N786*$AC$23+O786*$AC$24+P786*$AC$25+Q786*$AC$26+R786*$AC$27+S786*$AC$28+T786*$AC$29+U786*$AC$30</f>
        <v/>
      </c>
      <c r="W786" s="6">
        <f>1/(1+EXP(-V786))</f>
        <v/>
      </c>
      <c r="X786" s="8">
        <f>-IF(C786=1,LN(W786),LN(1-W786))</f>
        <v/>
      </c>
      <c r="Y786" s="9">
        <f>IF(W786&gt;$AC$32,1,0)</f>
        <v/>
      </c>
      <c r="Z786">
        <f>IF(Y786=C786,1,0)</f>
        <v/>
      </c>
    </row>
    <row r="787">
      <c r="A787">
        <f>'3 escalar'!A790</f>
        <v/>
      </c>
      <c r="B787" s="5">
        <f>'3 escalar'!U790</f>
        <v/>
      </c>
      <c r="C787">
        <f>'3 escalar'!B790</f>
        <v/>
      </c>
      <c r="D787" s="7">
        <f>'3 escalar'!C790</f>
        <v/>
      </c>
      <c r="E787" s="7">
        <f>'3 escalar'!D790</f>
        <v/>
      </c>
      <c r="F787" s="7">
        <f>'3 escalar'!E790</f>
        <v/>
      </c>
      <c r="G787" s="7">
        <f>'3 escalar'!F790</f>
        <v/>
      </c>
      <c r="H787" s="7">
        <f>'3 escalar'!G790</f>
        <v/>
      </c>
      <c r="I787" s="7">
        <f>'3 escalar'!H790</f>
        <v/>
      </c>
      <c r="J787" s="7">
        <f>'3 escalar'!I790</f>
        <v/>
      </c>
      <c r="K787" s="7">
        <f>'3 escalar'!J790</f>
        <v/>
      </c>
      <c r="L787" s="7">
        <f>'3 escalar'!K790</f>
        <v/>
      </c>
      <c r="M787" s="7">
        <f>'3 escalar'!L790</f>
        <v/>
      </c>
      <c r="N787" s="7">
        <f>'3 escalar'!M790</f>
        <v/>
      </c>
      <c r="O787" s="7">
        <f>'3 escalar'!N790</f>
        <v/>
      </c>
      <c r="P787" s="7">
        <f>'3 escalar'!O790</f>
        <v/>
      </c>
      <c r="Q787" s="7">
        <f>'3 escalar'!P790</f>
        <v/>
      </c>
      <c r="R787" s="7">
        <f>'3 escalar'!Q790</f>
        <v/>
      </c>
      <c r="S787" s="7">
        <f>'3 escalar'!R790</f>
        <v/>
      </c>
      <c r="T787" s="7">
        <f>'3 escalar'!S790</f>
        <v/>
      </c>
      <c r="U787" s="7">
        <f>'3 escalar'!T790</f>
        <v/>
      </c>
      <c r="V787" s="6">
        <f>$AC$12+D787*$AC$13+E787*$AC$14+F787*$AC$15+G787*$AC$16+H787*$AC$17+I787*$AC$18+J787*$AC$19+K787*$AC$20+L787*$AC$21+M787*$AC$22+N787*$AC$23+O787*$AC$24+P787*$AC$25+Q787*$AC$26+R787*$AC$27+S787*$AC$28+T787*$AC$29+U787*$AC$30</f>
        <v/>
      </c>
      <c r="W787" s="6">
        <f>1/(1+EXP(-V787))</f>
        <v/>
      </c>
      <c r="X787" s="8">
        <f>-IF(C787=1,LN(W787),LN(1-W787))</f>
        <v/>
      </c>
      <c r="Y787" s="9">
        <f>IF(W787&gt;$AC$32,1,0)</f>
        <v/>
      </c>
      <c r="Z787">
        <f>IF(Y787=C787,1,0)</f>
        <v/>
      </c>
    </row>
    <row r="788">
      <c r="A788">
        <f>'3 escalar'!A791</f>
        <v/>
      </c>
      <c r="B788" s="5">
        <f>'3 escalar'!U791</f>
        <v/>
      </c>
      <c r="C788">
        <f>'3 escalar'!B791</f>
        <v/>
      </c>
      <c r="D788" s="7">
        <f>'3 escalar'!C791</f>
        <v/>
      </c>
      <c r="E788" s="7">
        <f>'3 escalar'!D791</f>
        <v/>
      </c>
      <c r="F788" s="7">
        <f>'3 escalar'!E791</f>
        <v/>
      </c>
      <c r="G788" s="7">
        <f>'3 escalar'!F791</f>
        <v/>
      </c>
      <c r="H788" s="7">
        <f>'3 escalar'!G791</f>
        <v/>
      </c>
      <c r="I788" s="7">
        <f>'3 escalar'!H791</f>
        <v/>
      </c>
      <c r="J788" s="7">
        <f>'3 escalar'!I791</f>
        <v/>
      </c>
      <c r="K788" s="7">
        <f>'3 escalar'!J791</f>
        <v/>
      </c>
      <c r="L788" s="7">
        <f>'3 escalar'!K791</f>
        <v/>
      </c>
      <c r="M788" s="7">
        <f>'3 escalar'!L791</f>
        <v/>
      </c>
      <c r="N788" s="7">
        <f>'3 escalar'!M791</f>
        <v/>
      </c>
      <c r="O788" s="7">
        <f>'3 escalar'!N791</f>
        <v/>
      </c>
      <c r="P788" s="7">
        <f>'3 escalar'!O791</f>
        <v/>
      </c>
      <c r="Q788" s="7">
        <f>'3 escalar'!P791</f>
        <v/>
      </c>
      <c r="R788" s="7">
        <f>'3 escalar'!Q791</f>
        <v/>
      </c>
      <c r="S788" s="7">
        <f>'3 escalar'!R791</f>
        <v/>
      </c>
      <c r="T788" s="7">
        <f>'3 escalar'!S791</f>
        <v/>
      </c>
      <c r="U788" s="7">
        <f>'3 escalar'!T791</f>
        <v/>
      </c>
      <c r="V788" s="6">
        <f>$AC$12+D788*$AC$13+E788*$AC$14+F788*$AC$15+G788*$AC$16+H788*$AC$17+I788*$AC$18+J788*$AC$19+K788*$AC$20+L788*$AC$21+M788*$AC$22+N788*$AC$23+O788*$AC$24+P788*$AC$25+Q788*$AC$26+R788*$AC$27+S788*$AC$28+T788*$AC$29+U788*$AC$30</f>
        <v/>
      </c>
      <c r="W788" s="6">
        <f>1/(1+EXP(-V788))</f>
        <v/>
      </c>
      <c r="X788" s="8">
        <f>-IF(C788=1,LN(W788),LN(1-W788))</f>
        <v/>
      </c>
      <c r="Y788" s="9">
        <f>IF(W788&gt;$AC$32,1,0)</f>
        <v/>
      </c>
      <c r="Z788">
        <f>IF(Y788=C788,1,0)</f>
        <v/>
      </c>
    </row>
    <row r="789">
      <c r="A789">
        <f>'3 escalar'!A792</f>
        <v/>
      </c>
      <c r="B789" s="5">
        <f>'3 escalar'!U792</f>
        <v/>
      </c>
      <c r="C789">
        <f>'3 escalar'!B792</f>
        <v/>
      </c>
      <c r="D789" s="7">
        <f>'3 escalar'!C792</f>
        <v/>
      </c>
      <c r="E789" s="7">
        <f>'3 escalar'!D792</f>
        <v/>
      </c>
      <c r="F789" s="7">
        <f>'3 escalar'!E792</f>
        <v/>
      </c>
      <c r="G789" s="7">
        <f>'3 escalar'!F792</f>
        <v/>
      </c>
      <c r="H789" s="7">
        <f>'3 escalar'!G792</f>
        <v/>
      </c>
      <c r="I789" s="7">
        <f>'3 escalar'!H792</f>
        <v/>
      </c>
      <c r="J789" s="7">
        <f>'3 escalar'!I792</f>
        <v/>
      </c>
      <c r="K789" s="7">
        <f>'3 escalar'!J792</f>
        <v/>
      </c>
      <c r="L789" s="7">
        <f>'3 escalar'!K792</f>
        <v/>
      </c>
      <c r="M789" s="7">
        <f>'3 escalar'!L792</f>
        <v/>
      </c>
      <c r="N789" s="7">
        <f>'3 escalar'!M792</f>
        <v/>
      </c>
      <c r="O789" s="7">
        <f>'3 escalar'!N792</f>
        <v/>
      </c>
      <c r="P789" s="7">
        <f>'3 escalar'!O792</f>
        <v/>
      </c>
      <c r="Q789" s="7">
        <f>'3 escalar'!P792</f>
        <v/>
      </c>
      <c r="R789" s="7">
        <f>'3 escalar'!Q792</f>
        <v/>
      </c>
      <c r="S789" s="7">
        <f>'3 escalar'!R792</f>
        <v/>
      </c>
      <c r="T789" s="7">
        <f>'3 escalar'!S792</f>
        <v/>
      </c>
      <c r="U789" s="7">
        <f>'3 escalar'!T792</f>
        <v/>
      </c>
      <c r="V789" s="6">
        <f>$AC$12+D789*$AC$13+E789*$AC$14+F789*$AC$15+G789*$AC$16+H789*$AC$17+I789*$AC$18+J789*$AC$19+K789*$AC$20+L789*$AC$21+M789*$AC$22+N789*$AC$23+O789*$AC$24+P789*$AC$25+Q789*$AC$26+R789*$AC$27+S789*$AC$28+T789*$AC$29+U789*$AC$30</f>
        <v/>
      </c>
      <c r="W789" s="6">
        <f>1/(1+EXP(-V789))</f>
        <v/>
      </c>
      <c r="X789" s="8">
        <f>-IF(C789=1,LN(W789),LN(1-W789))</f>
        <v/>
      </c>
      <c r="Y789" s="9">
        <f>IF(W789&gt;$AC$32,1,0)</f>
        <v/>
      </c>
      <c r="Z789">
        <f>IF(Y789=C789,1,0)</f>
        <v/>
      </c>
    </row>
    <row r="790">
      <c r="A790">
        <f>'3 escalar'!A793</f>
        <v/>
      </c>
      <c r="B790" s="5">
        <f>'3 escalar'!U793</f>
        <v/>
      </c>
      <c r="C790">
        <f>'3 escalar'!B793</f>
        <v/>
      </c>
      <c r="D790" s="7">
        <f>'3 escalar'!C793</f>
        <v/>
      </c>
      <c r="E790" s="7">
        <f>'3 escalar'!D793</f>
        <v/>
      </c>
      <c r="F790" s="7">
        <f>'3 escalar'!E793</f>
        <v/>
      </c>
      <c r="G790" s="7">
        <f>'3 escalar'!F793</f>
        <v/>
      </c>
      <c r="H790" s="7">
        <f>'3 escalar'!G793</f>
        <v/>
      </c>
      <c r="I790" s="7">
        <f>'3 escalar'!H793</f>
        <v/>
      </c>
      <c r="J790" s="7">
        <f>'3 escalar'!I793</f>
        <v/>
      </c>
      <c r="K790" s="7">
        <f>'3 escalar'!J793</f>
        <v/>
      </c>
      <c r="L790" s="7">
        <f>'3 escalar'!K793</f>
        <v/>
      </c>
      <c r="M790" s="7">
        <f>'3 escalar'!L793</f>
        <v/>
      </c>
      <c r="N790" s="7">
        <f>'3 escalar'!M793</f>
        <v/>
      </c>
      <c r="O790" s="7">
        <f>'3 escalar'!N793</f>
        <v/>
      </c>
      <c r="P790" s="7">
        <f>'3 escalar'!O793</f>
        <v/>
      </c>
      <c r="Q790" s="7">
        <f>'3 escalar'!P793</f>
        <v/>
      </c>
      <c r="R790" s="7">
        <f>'3 escalar'!Q793</f>
        <v/>
      </c>
      <c r="S790" s="7">
        <f>'3 escalar'!R793</f>
        <v/>
      </c>
      <c r="T790" s="7">
        <f>'3 escalar'!S793</f>
        <v/>
      </c>
      <c r="U790" s="7">
        <f>'3 escalar'!T793</f>
        <v/>
      </c>
      <c r="V790" s="6">
        <f>$AC$12+D790*$AC$13+E790*$AC$14+F790*$AC$15+G790*$AC$16+H790*$AC$17+I790*$AC$18+J790*$AC$19+K790*$AC$20+L790*$AC$21+M790*$AC$22+N790*$AC$23+O790*$AC$24+P790*$AC$25+Q790*$AC$26+R790*$AC$27+S790*$AC$28+T790*$AC$29+U790*$AC$30</f>
        <v/>
      </c>
      <c r="W790" s="6">
        <f>1/(1+EXP(-V790))</f>
        <v/>
      </c>
      <c r="X790" s="8">
        <f>-IF(C790=1,LN(W790),LN(1-W790))</f>
        <v/>
      </c>
      <c r="Y790" s="9">
        <f>IF(W790&gt;$AC$32,1,0)</f>
        <v/>
      </c>
      <c r="Z790">
        <f>IF(Y790=C790,1,0)</f>
        <v/>
      </c>
    </row>
    <row r="791">
      <c r="A791">
        <f>'3 escalar'!A794</f>
        <v/>
      </c>
      <c r="B791" s="5">
        <f>'3 escalar'!U794</f>
        <v/>
      </c>
      <c r="C791">
        <f>'3 escalar'!B794</f>
        <v/>
      </c>
      <c r="D791" s="7">
        <f>'3 escalar'!C794</f>
        <v/>
      </c>
      <c r="E791" s="7">
        <f>'3 escalar'!D794</f>
        <v/>
      </c>
      <c r="F791" s="7">
        <f>'3 escalar'!E794</f>
        <v/>
      </c>
      <c r="G791" s="7">
        <f>'3 escalar'!F794</f>
        <v/>
      </c>
      <c r="H791" s="7">
        <f>'3 escalar'!G794</f>
        <v/>
      </c>
      <c r="I791" s="7">
        <f>'3 escalar'!H794</f>
        <v/>
      </c>
      <c r="J791" s="7">
        <f>'3 escalar'!I794</f>
        <v/>
      </c>
      <c r="K791" s="7">
        <f>'3 escalar'!J794</f>
        <v/>
      </c>
      <c r="L791" s="7">
        <f>'3 escalar'!K794</f>
        <v/>
      </c>
      <c r="M791" s="7">
        <f>'3 escalar'!L794</f>
        <v/>
      </c>
      <c r="N791" s="7">
        <f>'3 escalar'!M794</f>
        <v/>
      </c>
      <c r="O791" s="7">
        <f>'3 escalar'!N794</f>
        <v/>
      </c>
      <c r="P791" s="7">
        <f>'3 escalar'!O794</f>
        <v/>
      </c>
      <c r="Q791" s="7">
        <f>'3 escalar'!P794</f>
        <v/>
      </c>
      <c r="R791" s="7">
        <f>'3 escalar'!Q794</f>
        <v/>
      </c>
      <c r="S791" s="7">
        <f>'3 escalar'!R794</f>
        <v/>
      </c>
      <c r="T791" s="7">
        <f>'3 escalar'!S794</f>
        <v/>
      </c>
      <c r="U791" s="7">
        <f>'3 escalar'!T794</f>
        <v/>
      </c>
      <c r="V791" s="6">
        <f>$AC$12+D791*$AC$13+E791*$AC$14+F791*$AC$15+G791*$AC$16+H791*$AC$17+I791*$AC$18+J791*$AC$19+K791*$AC$20+L791*$AC$21+M791*$AC$22+N791*$AC$23+O791*$AC$24+P791*$AC$25+Q791*$AC$26+R791*$AC$27+S791*$AC$28+T791*$AC$29+U791*$AC$30</f>
        <v/>
      </c>
      <c r="W791" s="6">
        <f>1/(1+EXP(-V791))</f>
        <v/>
      </c>
      <c r="X791" s="8">
        <f>-IF(C791=1,LN(W791),LN(1-W791))</f>
        <v/>
      </c>
      <c r="Y791" s="9">
        <f>IF(W791&gt;$AC$32,1,0)</f>
        <v/>
      </c>
      <c r="Z791">
        <f>IF(Y791=C791,1,0)</f>
        <v/>
      </c>
    </row>
    <row r="792">
      <c r="A792">
        <f>'3 escalar'!A795</f>
        <v/>
      </c>
      <c r="B792" s="5">
        <f>'3 escalar'!U795</f>
        <v/>
      </c>
      <c r="C792">
        <f>'3 escalar'!B795</f>
        <v/>
      </c>
      <c r="D792" s="7">
        <f>'3 escalar'!C795</f>
        <v/>
      </c>
      <c r="E792" s="7">
        <f>'3 escalar'!D795</f>
        <v/>
      </c>
      <c r="F792" s="7">
        <f>'3 escalar'!E795</f>
        <v/>
      </c>
      <c r="G792" s="7">
        <f>'3 escalar'!F795</f>
        <v/>
      </c>
      <c r="H792" s="7">
        <f>'3 escalar'!G795</f>
        <v/>
      </c>
      <c r="I792" s="7">
        <f>'3 escalar'!H795</f>
        <v/>
      </c>
      <c r="J792" s="7">
        <f>'3 escalar'!I795</f>
        <v/>
      </c>
      <c r="K792" s="7">
        <f>'3 escalar'!J795</f>
        <v/>
      </c>
      <c r="L792" s="7">
        <f>'3 escalar'!K795</f>
        <v/>
      </c>
      <c r="M792" s="7">
        <f>'3 escalar'!L795</f>
        <v/>
      </c>
      <c r="N792" s="7">
        <f>'3 escalar'!M795</f>
        <v/>
      </c>
      <c r="O792" s="7">
        <f>'3 escalar'!N795</f>
        <v/>
      </c>
      <c r="P792" s="7">
        <f>'3 escalar'!O795</f>
        <v/>
      </c>
      <c r="Q792" s="7">
        <f>'3 escalar'!P795</f>
        <v/>
      </c>
      <c r="R792" s="7">
        <f>'3 escalar'!Q795</f>
        <v/>
      </c>
      <c r="S792" s="7">
        <f>'3 escalar'!R795</f>
        <v/>
      </c>
      <c r="T792" s="7">
        <f>'3 escalar'!S795</f>
        <v/>
      </c>
      <c r="U792" s="7">
        <f>'3 escalar'!T795</f>
        <v/>
      </c>
      <c r="V792" s="6">
        <f>$AC$12+D792*$AC$13+E792*$AC$14+F792*$AC$15+G792*$AC$16+H792*$AC$17+I792*$AC$18+J792*$AC$19+K792*$AC$20+L792*$AC$21+M792*$AC$22+N792*$AC$23+O792*$AC$24+P792*$AC$25+Q792*$AC$26+R792*$AC$27+S792*$AC$28+T792*$AC$29+U792*$AC$30</f>
        <v/>
      </c>
      <c r="W792" s="6">
        <f>1/(1+EXP(-V792))</f>
        <v/>
      </c>
      <c r="X792" s="8">
        <f>-IF(C792=1,LN(W792),LN(1-W792))</f>
        <v/>
      </c>
      <c r="Y792" s="9">
        <f>IF(W792&gt;$AC$32,1,0)</f>
        <v/>
      </c>
      <c r="Z792">
        <f>IF(Y792=C792,1,0)</f>
        <v/>
      </c>
    </row>
    <row r="793">
      <c r="A793">
        <f>'3 escalar'!A796</f>
        <v/>
      </c>
      <c r="B793" s="5">
        <f>'3 escalar'!U796</f>
        <v/>
      </c>
      <c r="C793">
        <f>'3 escalar'!B796</f>
        <v/>
      </c>
      <c r="D793" s="7">
        <f>'3 escalar'!C796</f>
        <v/>
      </c>
      <c r="E793" s="7">
        <f>'3 escalar'!D796</f>
        <v/>
      </c>
      <c r="F793" s="7">
        <f>'3 escalar'!E796</f>
        <v/>
      </c>
      <c r="G793" s="7">
        <f>'3 escalar'!F796</f>
        <v/>
      </c>
      <c r="H793" s="7">
        <f>'3 escalar'!G796</f>
        <v/>
      </c>
      <c r="I793" s="7">
        <f>'3 escalar'!H796</f>
        <v/>
      </c>
      <c r="J793" s="7">
        <f>'3 escalar'!I796</f>
        <v/>
      </c>
      <c r="K793" s="7">
        <f>'3 escalar'!J796</f>
        <v/>
      </c>
      <c r="L793" s="7">
        <f>'3 escalar'!K796</f>
        <v/>
      </c>
      <c r="M793" s="7">
        <f>'3 escalar'!L796</f>
        <v/>
      </c>
      <c r="N793" s="7">
        <f>'3 escalar'!M796</f>
        <v/>
      </c>
      <c r="O793" s="7">
        <f>'3 escalar'!N796</f>
        <v/>
      </c>
      <c r="P793" s="7">
        <f>'3 escalar'!O796</f>
        <v/>
      </c>
      <c r="Q793" s="7">
        <f>'3 escalar'!P796</f>
        <v/>
      </c>
      <c r="R793" s="7">
        <f>'3 escalar'!Q796</f>
        <v/>
      </c>
      <c r="S793" s="7">
        <f>'3 escalar'!R796</f>
        <v/>
      </c>
      <c r="T793" s="7">
        <f>'3 escalar'!S796</f>
        <v/>
      </c>
      <c r="U793" s="7">
        <f>'3 escalar'!T796</f>
        <v/>
      </c>
      <c r="V793" s="6">
        <f>$AC$12+D793*$AC$13+E793*$AC$14+F793*$AC$15+G793*$AC$16+H793*$AC$17+I793*$AC$18+J793*$AC$19+K793*$AC$20+L793*$AC$21+M793*$AC$22+N793*$AC$23+O793*$AC$24+P793*$AC$25+Q793*$AC$26+R793*$AC$27+S793*$AC$28+T793*$AC$29+U793*$AC$30</f>
        <v/>
      </c>
      <c r="W793" s="6">
        <f>1/(1+EXP(-V793))</f>
        <v/>
      </c>
      <c r="X793" s="8">
        <f>-IF(C793=1,LN(W793),LN(1-W793))</f>
        <v/>
      </c>
      <c r="Y793" s="9">
        <f>IF(W793&gt;$AC$32,1,0)</f>
        <v/>
      </c>
      <c r="Z793">
        <f>IF(Y793=C793,1,0)</f>
        <v/>
      </c>
    </row>
    <row r="794">
      <c r="A794">
        <f>'3 escalar'!A797</f>
        <v/>
      </c>
      <c r="B794" s="5">
        <f>'3 escalar'!U797</f>
        <v/>
      </c>
      <c r="C794">
        <f>'3 escalar'!B797</f>
        <v/>
      </c>
      <c r="D794" s="7">
        <f>'3 escalar'!C797</f>
        <v/>
      </c>
      <c r="E794" s="7">
        <f>'3 escalar'!D797</f>
        <v/>
      </c>
      <c r="F794" s="7">
        <f>'3 escalar'!E797</f>
        <v/>
      </c>
      <c r="G794" s="7">
        <f>'3 escalar'!F797</f>
        <v/>
      </c>
      <c r="H794" s="7">
        <f>'3 escalar'!G797</f>
        <v/>
      </c>
      <c r="I794" s="7">
        <f>'3 escalar'!H797</f>
        <v/>
      </c>
      <c r="J794" s="7">
        <f>'3 escalar'!I797</f>
        <v/>
      </c>
      <c r="K794" s="7">
        <f>'3 escalar'!J797</f>
        <v/>
      </c>
      <c r="L794" s="7">
        <f>'3 escalar'!K797</f>
        <v/>
      </c>
      <c r="M794" s="7">
        <f>'3 escalar'!L797</f>
        <v/>
      </c>
      <c r="N794" s="7">
        <f>'3 escalar'!M797</f>
        <v/>
      </c>
      <c r="O794" s="7">
        <f>'3 escalar'!N797</f>
        <v/>
      </c>
      <c r="P794" s="7">
        <f>'3 escalar'!O797</f>
        <v/>
      </c>
      <c r="Q794" s="7">
        <f>'3 escalar'!P797</f>
        <v/>
      </c>
      <c r="R794" s="7">
        <f>'3 escalar'!Q797</f>
        <v/>
      </c>
      <c r="S794" s="7">
        <f>'3 escalar'!R797</f>
        <v/>
      </c>
      <c r="T794" s="7">
        <f>'3 escalar'!S797</f>
        <v/>
      </c>
      <c r="U794" s="7">
        <f>'3 escalar'!T797</f>
        <v/>
      </c>
      <c r="V794" s="6">
        <f>$AC$12+D794*$AC$13+E794*$AC$14+F794*$AC$15+G794*$AC$16+H794*$AC$17+I794*$AC$18+J794*$AC$19+K794*$AC$20+L794*$AC$21+M794*$AC$22+N794*$AC$23+O794*$AC$24+P794*$AC$25+Q794*$AC$26+R794*$AC$27+S794*$AC$28+T794*$AC$29+U794*$AC$30</f>
        <v/>
      </c>
      <c r="W794" s="6">
        <f>1/(1+EXP(-V794))</f>
        <v/>
      </c>
      <c r="X794" s="8">
        <f>-IF(C794=1,LN(W794),LN(1-W794))</f>
        <v/>
      </c>
      <c r="Y794" s="9">
        <f>IF(W794&gt;$AC$32,1,0)</f>
        <v/>
      </c>
      <c r="Z794">
        <f>IF(Y794=C794,1,0)</f>
        <v/>
      </c>
    </row>
    <row r="795">
      <c r="A795">
        <f>'3 escalar'!A798</f>
        <v/>
      </c>
      <c r="B795" s="5">
        <f>'3 escalar'!U798</f>
        <v/>
      </c>
      <c r="C795">
        <f>'3 escalar'!B798</f>
        <v/>
      </c>
      <c r="D795" s="7">
        <f>'3 escalar'!C798</f>
        <v/>
      </c>
      <c r="E795" s="7">
        <f>'3 escalar'!D798</f>
        <v/>
      </c>
      <c r="F795" s="7">
        <f>'3 escalar'!E798</f>
        <v/>
      </c>
      <c r="G795" s="7">
        <f>'3 escalar'!F798</f>
        <v/>
      </c>
      <c r="H795" s="7">
        <f>'3 escalar'!G798</f>
        <v/>
      </c>
      <c r="I795" s="7">
        <f>'3 escalar'!H798</f>
        <v/>
      </c>
      <c r="J795" s="7">
        <f>'3 escalar'!I798</f>
        <v/>
      </c>
      <c r="K795" s="7">
        <f>'3 escalar'!J798</f>
        <v/>
      </c>
      <c r="L795" s="7">
        <f>'3 escalar'!K798</f>
        <v/>
      </c>
      <c r="M795" s="7">
        <f>'3 escalar'!L798</f>
        <v/>
      </c>
      <c r="N795" s="7">
        <f>'3 escalar'!M798</f>
        <v/>
      </c>
      <c r="O795" s="7">
        <f>'3 escalar'!N798</f>
        <v/>
      </c>
      <c r="P795" s="7">
        <f>'3 escalar'!O798</f>
        <v/>
      </c>
      <c r="Q795" s="7">
        <f>'3 escalar'!P798</f>
        <v/>
      </c>
      <c r="R795" s="7">
        <f>'3 escalar'!Q798</f>
        <v/>
      </c>
      <c r="S795" s="7">
        <f>'3 escalar'!R798</f>
        <v/>
      </c>
      <c r="T795" s="7">
        <f>'3 escalar'!S798</f>
        <v/>
      </c>
      <c r="U795" s="7">
        <f>'3 escalar'!T798</f>
        <v/>
      </c>
      <c r="V795" s="6">
        <f>$AC$12+D795*$AC$13+E795*$AC$14+F795*$AC$15+G795*$AC$16+H795*$AC$17+I795*$AC$18+J795*$AC$19+K795*$AC$20+L795*$AC$21+M795*$AC$22+N795*$AC$23+O795*$AC$24+P795*$AC$25+Q795*$AC$26+R795*$AC$27+S795*$AC$28+T795*$AC$29+U795*$AC$30</f>
        <v/>
      </c>
      <c r="W795" s="6">
        <f>1/(1+EXP(-V795))</f>
        <v/>
      </c>
      <c r="X795" s="8">
        <f>-IF(C795=1,LN(W795),LN(1-W795))</f>
        <v/>
      </c>
      <c r="Y795" s="9">
        <f>IF(W795&gt;$AC$32,1,0)</f>
        <v/>
      </c>
      <c r="Z795">
        <f>IF(Y795=C795,1,0)</f>
        <v/>
      </c>
    </row>
    <row r="796">
      <c r="A796">
        <f>'3 escalar'!A799</f>
        <v/>
      </c>
      <c r="B796" s="5">
        <f>'3 escalar'!U799</f>
        <v/>
      </c>
      <c r="C796">
        <f>'3 escalar'!B799</f>
        <v/>
      </c>
      <c r="D796" s="7">
        <f>'3 escalar'!C799</f>
        <v/>
      </c>
      <c r="E796" s="7">
        <f>'3 escalar'!D799</f>
        <v/>
      </c>
      <c r="F796" s="7">
        <f>'3 escalar'!E799</f>
        <v/>
      </c>
      <c r="G796" s="7">
        <f>'3 escalar'!F799</f>
        <v/>
      </c>
      <c r="H796" s="7">
        <f>'3 escalar'!G799</f>
        <v/>
      </c>
      <c r="I796" s="7">
        <f>'3 escalar'!H799</f>
        <v/>
      </c>
      <c r="J796" s="7">
        <f>'3 escalar'!I799</f>
        <v/>
      </c>
      <c r="K796" s="7">
        <f>'3 escalar'!J799</f>
        <v/>
      </c>
      <c r="L796" s="7">
        <f>'3 escalar'!K799</f>
        <v/>
      </c>
      <c r="M796" s="7">
        <f>'3 escalar'!L799</f>
        <v/>
      </c>
      <c r="N796" s="7">
        <f>'3 escalar'!M799</f>
        <v/>
      </c>
      <c r="O796" s="7">
        <f>'3 escalar'!N799</f>
        <v/>
      </c>
      <c r="P796" s="7">
        <f>'3 escalar'!O799</f>
        <v/>
      </c>
      <c r="Q796" s="7">
        <f>'3 escalar'!P799</f>
        <v/>
      </c>
      <c r="R796" s="7">
        <f>'3 escalar'!Q799</f>
        <v/>
      </c>
      <c r="S796" s="7">
        <f>'3 escalar'!R799</f>
        <v/>
      </c>
      <c r="T796" s="7">
        <f>'3 escalar'!S799</f>
        <v/>
      </c>
      <c r="U796" s="7">
        <f>'3 escalar'!T799</f>
        <v/>
      </c>
      <c r="V796" s="6">
        <f>$AC$12+D796*$AC$13+E796*$AC$14+F796*$AC$15+G796*$AC$16+H796*$AC$17+I796*$AC$18+J796*$AC$19+K796*$AC$20+L796*$AC$21+M796*$AC$22+N796*$AC$23+O796*$AC$24+P796*$AC$25+Q796*$AC$26+R796*$AC$27+S796*$AC$28+T796*$AC$29+U796*$AC$30</f>
        <v/>
      </c>
      <c r="W796" s="6">
        <f>1/(1+EXP(-V796))</f>
        <v/>
      </c>
      <c r="X796" s="8">
        <f>-IF(C796=1,LN(W796),LN(1-W796))</f>
        <v/>
      </c>
      <c r="Y796" s="9">
        <f>IF(W796&gt;$AC$32,1,0)</f>
        <v/>
      </c>
      <c r="Z796">
        <f>IF(Y796=C796,1,0)</f>
        <v/>
      </c>
    </row>
    <row r="797">
      <c r="A797">
        <f>'3 escalar'!A800</f>
        <v/>
      </c>
      <c r="B797" s="5">
        <f>'3 escalar'!U800</f>
        <v/>
      </c>
      <c r="C797">
        <f>'3 escalar'!B800</f>
        <v/>
      </c>
      <c r="D797" s="7">
        <f>'3 escalar'!C800</f>
        <v/>
      </c>
      <c r="E797" s="7">
        <f>'3 escalar'!D800</f>
        <v/>
      </c>
      <c r="F797" s="7">
        <f>'3 escalar'!E800</f>
        <v/>
      </c>
      <c r="G797" s="7">
        <f>'3 escalar'!F800</f>
        <v/>
      </c>
      <c r="H797" s="7">
        <f>'3 escalar'!G800</f>
        <v/>
      </c>
      <c r="I797" s="7">
        <f>'3 escalar'!H800</f>
        <v/>
      </c>
      <c r="J797" s="7">
        <f>'3 escalar'!I800</f>
        <v/>
      </c>
      <c r="K797" s="7">
        <f>'3 escalar'!J800</f>
        <v/>
      </c>
      <c r="L797" s="7">
        <f>'3 escalar'!K800</f>
        <v/>
      </c>
      <c r="M797" s="7">
        <f>'3 escalar'!L800</f>
        <v/>
      </c>
      <c r="N797" s="7">
        <f>'3 escalar'!M800</f>
        <v/>
      </c>
      <c r="O797" s="7">
        <f>'3 escalar'!N800</f>
        <v/>
      </c>
      <c r="P797" s="7">
        <f>'3 escalar'!O800</f>
        <v/>
      </c>
      <c r="Q797" s="7">
        <f>'3 escalar'!P800</f>
        <v/>
      </c>
      <c r="R797" s="7">
        <f>'3 escalar'!Q800</f>
        <v/>
      </c>
      <c r="S797" s="7">
        <f>'3 escalar'!R800</f>
        <v/>
      </c>
      <c r="T797" s="7">
        <f>'3 escalar'!S800</f>
        <v/>
      </c>
      <c r="U797" s="7">
        <f>'3 escalar'!T800</f>
        <v/>
      </c>
      <c r="V797" s="6">
        <f>$AC$12+D797*$AC$13+E797*$AC$14+F797*$AC$15+G797*$AC$16+H797*$AC$17+I797*$AC$18+J797*$AC$19+K797*$AC$20+L797*$AC$21+M797*$AC$22+N797*$AC$23+O797*$AC$24+P797*$AC$25+Q797*$AC$26+R797*$AC$27+S797*$AC$28+T797*$AC$29+U797*$AC$30</f>
        <v/>
      </c>
      <c r="W797" s="6">
        <f>1/(1+EXP(-V797))</f>
        <v/>
      </c>
      <c r="X797" s="8">
        <f>-IF(C797=1,LN(W797),LN(1-W797))</f>
        <v/>
      </c>
      <c r="Y797" s="9">
        <f>IF(W797&gt;$AC$32,1,0)</f>
        <v/>
      </c>
      <c r="Z797">
        <f>IF(Y797=C797,1,0)</f>
        <v/>
      </c>
    </row>
    <row r="798">
      <c r="A798">
        <f>'3 escalar'!A801</f>
        <v/>
      </c>
      <c r="B798" s="5">
        <f>'3 escalar'!U801</f>
        <v/>
      </c>
      <c r="C798">
        <f>'3 escalar'!B801</f>
        <v/>
      </c>
      <c r="D798" s="7">
        <f>'3 escalar'!C801</f>
        <v/>
      </c>
      <c r="E798" s="7">
        <f>'3 escalar'!D801</f>
        <v/>
      </c>
      <c r="F798" s="7">
        <f>'3 escalar'!E801</f>
        <v/>
      </c>
      <c r="G798" s="7">
        <f>'3 escalar'!F801</f>
        <v/>
      </c>
      <c r="H798" s="7">
        <f>'3 escalar'!G801</f>
        <v/>
      </c>
      <c r="I798" s="7">
        <f>'3 escalar'!H801</f>
        <v/>
      </c>
      <c r="J798" s="7">
        <f>'3 escalar'!I801</f>
        <v/>
      </c>
      <c r="K798" s="7">
        <f>'3 escalar'!J801</f>
        <v/>
      </c>
      <c r="L798" s="7">
        <f>'3 escalar'!K801</f>
        <v/>
      </c>
      <c r="M798" s="7">
        <f>'3 escalar'!L801</f>
        <v/>
      </c>
      <c r="N798" s="7">
        <f>'3 escalar'!M801</f>
        <v/>
      </c>
      <c r="O798" s="7">
        <f>'3 escalar'!N801</f>
        <v/>
      </c>
      <c r="P798" s="7">
        <f>'3 escalar'!O801</f>
        <v/>
      </c>
      <c r="Q798" s="7">
        <f>'3 escalar'!P801</f>
        <v/>
      </c>
      <c r="R798" s="7">
        <f>'3 escalar'!Q801</f>
        <v/>
      </c>
      <c r="S798" s="7">
        <f>'3 escalar'!R801</f>
        <v/>
      </c>
      <c r="T798" s="7">
        <f>'3 escalar'!S801</f>
        <v/>
      </c>
      <c r="U798" s="7">
        <f>'3 escalar'!T801</f>
        <v/>
      </c>
      <c r="V798" s="6">
        <f>$AC$12+D798*$AC$13+E798*$AC$14+F798*$AC$15+G798*$AC$16+H798*$AC$17+I798*$AC$18+J798*$AC$19+K798*$AC$20+L798*$AC$21+M798*$AC$22+N798*$AC$23+O798*$AC$24+P798*$AC$25+Q798*$AC$26+R798*$AC$27+S798*$AC$28+T798*$AC$29+U798*$AC$30</f>
        <v/>
      </c>
      <c r="W798" s="6">
        <f>1/(1+EXP(-V798))</f>
        <v/>
      </c>
      <c r="X798" s="8">
        <f>-IF(C798=1,LN(W798),LN(1-W798))</f>
        <v/>
      </c>
      <c r="Y798" s="9">
        <f>IF(W798&gt;$AC$32,1,0)</f>
        <v/>
      </c>
      <c r="Z798">
        <f>IF(Y798=C798,1,0)</f>
        <v/>
      </c>
    </row>
    <row r="799">
      <c r="A799">
        <f>'3 escalar'!A802</f>
        <v/>
      </c>
      <c r="B799" s="5">
        <f>'3 escalar'!U802</f>
        <v/>
      </c>
      <c r="C799">
        <f>'3 escalar'!B802</f>
        <v/>
      </c>
      <c r="D799" s="7">
        <f>'3 escalar'!C802</f>
        <v/>
      </c>
      <c r="E799" s="7">
        <f>'3 escalar'!D802</f>
        <v/>
      </c>
      <c r="F799" s="7">
        <f>'3 escalar'!E802</f>
        <v/>
      </c>
      <c r="G799" s="7">
        <f>'3 escalar'!F802</f>
        <v/>
      </c>
      <c r="H799" s="7">
        <f>'3 escalar'!G802</f>
        <v/>
      </c>
      <c r="I799" s="7">
        <f>'3 escalar'!H802</f>
        <v/>
      </c>
      <c r="J799" s="7">
        <f>'3 escalar'!I802</f>
        <v/>
      </c>
      <c r="K799" s="7">
        <f>'3 escalar'!J802</f>
        <v/>
      </c>
      <c r="L799" s="7">
        <f>'3 escalar'!K802</f>
        <v/>
      </c>
      <c r="M799" s="7">
        <f>'3 escalar'!L802</f>
        <v/>
      </c>
      <c r="N799" s="7">
        <f>'3 escalar'!M802</f>
        <v/>
      </c>
      <c r="O799" s="7">
        <f>'3 escalar'!N802</f>
        <v/>
      </c>
      <c r="P799" s="7">
        <f>'3 escalar'!O802</f>
        <v/>
      </c>
      <c r="Q799" s="7">
        <f>'3 escalar'!P802</f>
        <v/>
      </c>
      <c r="R799" s="7">
        <f>'3 escalar'!Q802</f>
        <v/>
      </c>
      <c r="S799" s="7">
        <f>'3 escalar'!R802</f>
        <v/>
      </c>
      <c r="T799" s="7">
        <f>'3 escalar'!S802</f>
        <v/>
      </c>
      <c r="U799" s="7">
        <f>'3 escalar'!T802</f>
        <v/>
      </c>
      <c r="V799" s="6">
        <f>$AC$12+D799*$AC$13+E799*$AC$14+F799*$AC$15+G799*$AC$16+H799*$AC$17+I799*$AC$18+J799*$AC$19+K799*$AC$20+L799*$AC$21+M799*$AC$22+N799*$AC$23+O799*$AC$24+P799*$AC$25+Q799*$AC$26+R799*$AC$27+S799*$AC$28+T799*$AC$29+U799*$AC$30</f>
        <v/>
      </c>
      <c r="W799" s="6">
        <f>1/(1+EXP(-V799))</f>
        <v/>
      </c>
      <c r="X799" s="8">
        <f>-IF(C799=1,LN(W799),LN(1-W799))</f>
        <v/>
      </c>
      <c r="Y799" s="9">
        <f>IF(W799&gt;$AC$32,1,0)</f>
        <v/>
      </c>
      <c r="Z799">
        <f>IF(Y799=C799,1,0)</f>
        <v/>
      </c>
    </row>
    <row r="800">
      <c r="A800">
        <f>'3 escalar'!A803</f>
        <v/>
      </c>
      <c r="B800" s="5">
        <f>'3 escalar'!U803</f>
        <v/>
      </c>
      <c r="C800">
        <f>'3 escalar'!B803</f>
        <v/>
      </c>
      <c r="D800" s="7">
        <f>'3 escalar'!C803</f>
        <v/>
      </c>
      <c r="E800" s="7">
        <f>'3 escalar'!D803</f>
        <v/>
      </c>
      <c r="F800" s="7">
        <f>'3 escalar'!E803</f>
        <v/>
      </c>
      <c r="G800" s="7">
        <f>'3 escalar'!F803</f>
        <v/>
      </c>
      <c r="H800" s="7">
        <f>'3 escalar'!G803</f>
        <v/>
      </c>
      <c r="I800" s="7">
        <f>'3 escalar'!H803</f>
        <v/>
      </c>
      <c r="J800" s="7">
        <f>'3 escalar'!I803</f>
        <v/>
      </c>
      <c r="K800" s="7">
        <f>'3 escalar'!J803</f>
        <v/>
      </c>
      <c r="L800" s="7">
        <f>'3 escalar'!K803</f>
        <v/>
      </c>
      <c r="M800" s="7">
        <f>'3 escalar'!L803</f>
        <v/>
      </c>
      <c r="N800" s="7">
        <f>'3 escalar'!M803</f>
        <v/>
      </c>
      <c r="O800" s="7">
        <f>'3 escalar'!N803</f>
        <v/>
      </c>
      <c r="P800" s="7">
        <f>'3 escalar'!O803</f>
        <v/>
      </c>
      <c r="Q800" s="7">
        <f>'3 escalar'!P803</f>
        <v/>
      </c>
      <c r="R800" s="7">
        <f>'3 escalar'!Q803</f>
        <v/>
      </c>
      <c r="S800" s="7">
        <f>'3 escalar'!R803</f>
        <v/>
      </c>
      <c r="T800" s="7">
        <f>'3 escalar'!S803</f>
        <v/>
      </c>
      <c r="U800" s="7">
        <f>'3 escalar'!T803</f>
        <v/>
      </c>
      <c r="V800" s="6">
        <f>$AC$12+D800*$AC$13+E800*$AC$14+F800*$AC$15+G800*$AC$16+H800*$AC$17+I800*$AC$18+J800*$AC$19+K800*$AC$20+L800*$AC$21+M800*$AC$22+N800*$AC$23+O800*$AC$24+P800*$AC$25+Q800*$AC$26+R800*$AC$27+S800*$AC$28+T800*$AC$29+U800*$AC$30</f>
        <v/>
      </c>
      <c r="W800" s="6">
        <f>1/(1+EXP(-V800))</f>
        <v/>
      </c>
      <c r="X800" s="8">
        <f>-IF(C800=1,LN(W800),LN(1-W800))</f>
        <v/>
      </c>
      <c r="Y800" s="9">
        <f>IF(W800&gt;$AC$32,1,0)</f>
        <v/>
      </c>
      <c r="Z800">
        <f>IF(Y800=C800,1,0)</f>
        <v/>
      </c>
    </row>
    <row r="801">
      <c r="A801">
        <f>'3 escalar'!A804</f>
        <v/>
      </c>
      <c r="B801" s="5">
        <f>'3 escalar'!U804</f>
        <v/>
      </c>
      <c r="C801">
        <f>'3 escalar'!B804</f>
        <v/>
      </c>
      <c r="D801" s="7">
        <f>'3 escalar'!C804</f>
        <v/>
      </c>
      <c r="E801" s="7">
        <f>'3 escalar'!D804</f>
        <v/>
      </c>
      <c r="F801" s="7">
        <f>'3 escalar'!E804</f>
        <v/>
      </c>
      <c r="G801" s="7">
        <f>'3 escalar'!F804</f>
        <v/>
      </c>
      <c r="H801" s="7">
        <f>'3 escalar'!G804</f>
        <v/>
      </c>
      <c r="I801" s="7">
        <f>'3 escalar'!H804</f>
        <v/>
      </c>
      <c r="J801" s="7">
        <f>'3 escalar'!I804</f>
        <v/>
      </c>
      <c r="K801" s="7">
        <f>'3 escalar'!J804</f>
        <v/>
      </c>
      <c r="L801" s="7">
        <f>'3 escalar'!K804</f>
        <v/>
      </c>
      <c r="M801" s="7">
        <f>'3 escalar'!L804</f>
        <v/>
      </c>
      <c r="N801" s="7">
        <f>'3 escalar'!M804</f>
        <v/>
      </c>
      <c r="O801" s="7">
        <f>'3 escalar'!N804</f>
        <v/>
      </c>
      <c r="P801" s="7">
        <f>'3 escalar'!O804</f>
        <v/>
      </c>
      <c r="Q801" s="7">
        <f>'3 escalar'!P804</f>
        <v/>
      </c>
      <c r="R801" s="7">
        <f>'3 escalar'!Q804</f>
        <v/>
      </c>
      <c r="S801" s="7">
        <f>'3 escalar'!R804</f>
        <v/>
      </c>
      <c r="T801" s="7">
        <f>'3 escalar'!S804</f>
        <v/>
      </c>
      <c r="U801" s="7">
        <f>'3 escalar'!T804</f>
        <v/>
      </c>
      <c r="V801" s="6">
        <f>$AC$12+D801*$AC$13+E801*$AC$14+F801*$AC$15+G801*$AC$16+H801*$AC$17+I801*$AC$18+J801*$AC$19+K801*$AC$20+L801*$AC$21+M801*$AC$22+N801*$AC$23+O801*$AC$24+P801*$AC$25+Q801*$AC$26+R801*$AC$27+S801*$AC$28+T801*$AC$29+U801*$AC$30</f>
        <v/>
      </c>
      <c r="W801" s="6">
        <f>1/(1+EXP(-V801))</f>
        <v/>
      </c>
      <c r="X801" s="8">
        <f>-IF(C801=1,LN(W801),LN(1-W801))</f>
        <v/>
      </c>
      <c r="Y801" s="9">
        <f>IF(W801&gt;$AC$32,1,0)</f>
        <v/>
      </c>
      <c r="Z801">
        <f>IF(Y801=C801,1,0)</f>
        <v/>
      </c>
    </row>
    <row r="802">
      <c r="A802">
        <f>'3 escalar'!A805</f>
        <v/>
      </c>
      <c r="B802" s="5">
        <f>'3 escalar'!U805</f>
        <v/>
      </c>
      <c r="C802">
        <f>'3 escalar'!B805</f>
        <v/>
      </c>
      <c r="D802" s="7">
        <f>'3 escalar'!C805</f>
        <v/>
      </c>
      <c r="E802" s="7">
        <f>'3 escalar'!D805</f>
        <v/>
      </c>
      <c r="F802" s="7">
        <f>'3 escalar'!E805</f>
        <v/>
      </c>
      <c r="G802" s="7">
        <f>'3 escalar'!F805</f>
        <v/>
      </c>
      <c r="H802" s="7">
        <f>'3 escalar'!G805</f>
        <v/>
      </c>
      <c r="I802" s="7">
        <f>'3 escalar'!H805</f>
        <v/>
      </c>
      <c r="J802" s="7">
        <f>'3 escalar'!I805</f>
        <v/>
      </c>
      <c r="K802" s="7">
        <f>'3 escalar'!J805</f>
        <v/>
      </c>
      <c r="L802" s="7">
        <f>'3 escalar'!K805</f>
        <v/>
      </c>
      <c r="M802" s="7">
        <f>'3 escalar'!L805</f>
        <v/>
      </c>
      <c r="N802" s="7">
        <f>'3 escalar'!M805</f>
        <v/>
      </c>
      <c r="O802" s="7">
        <f>'3 escalar'!N805</f>
        <v/>
      </c>
      <c r="P802" s="7">
        <f>'3 escalar'!O805</f>
        <v/>
      </c>
      <c r="Q802" s="7">
        <f>'3 escalar'!P805</f>
        <v/>
      </c>
      <c r="R802" s="7">
        <f>'3 escalar'!Q805</f>
        <v/>
      </c>
      <c r="S802" s="7">
        <f>'3 escalar'!R805</f>
        <v/>
      </c>
      <c r="T802" s="7">
        <f>'3 escalar'!S805</f>
        <v/>
      </c>
      <c r="U802" s="7">
        <f>'3 escalar'!T805</f>
        <v/>
      </c>
      <c r="V802" s="6">
        <f>$AC$12+D802*$AC$13+E802*$AC$14+F802*$AC$15+G802*$AC$16+H802*$AC$17+I802*$AC$18+J802*$AC$19+K802*$AC$20+L802*$AC$21+M802*$AC$22+N802*$AC$23+O802*$AC$24+P802*$AC$25+Q802*$AC$26+R802*$AC$27+S802*$AC$28+T802*$AC$29+U802*$AC$30</f>
        <v/>
      </c>
      <c r="W802" s="6">
        <f>1/(1+EXP(-V802))</f>
        <v/>
      </c>
      <c r="X802" s="8">
        <f>-IF(C802=1,LN(W802),LN(1-W802))</f>
        <v/>
      </c>
      <c r="Y802" s="9">
        <f>IF(W802&gt;$AC$32,1,0)</f>
        <v/>
      </c>
      <c r="Z802">
        <f>IF(Y802=C802,1,0)</f>
        <v/>
      </c>
    </row>
    <row r="803">
      <c r="A803">
        <f>'3 escalar'!A806</f>
        <v/>
      </c>
      <c r="B803" s="5">
        <f>'3 escalar'!U806</f>
        <v/>
      </c>
      <c r="C803">
        <f>'3 escalar'!B806</f>
        <v/>
      </c>
      <c r="D803" s="7">
        <f>'3 escalar'!C806</f>
        <v/>
      </c>
      <c r="E803" s="7">
        <f>'3 escalar'!D806</f>
        <v/>
      </c>
      <c r="F803" s="7">
        <f>'3 escalar'!E806</f>
        <v/>
      </c>
      <c r="G803" s="7">
        <f>'3 escalar'!F806</f>
        <v/>
      </c>
      <c r="H803" s="7">
        <f>'3 escalar'!G806</f>
        <v/>
      </c>
      <c r="I803" s="7">
        <f>'3 escalar'!H806</f>
        <v/>
      </c>
      <c r="J803" s="7">
        <f>'3 escalar'!I806</f>
        <v/>
      </c>
      <c r="K803" s="7">
        <f>'3 escalar'!J806</f>
        <v/>
      </c>
      <c r="L803" s="7">
        <f>'3 escalar'!K806</f>
        <v/>
      </c>
      <c r="M803" s="7">
        <f>'3 escalar'!L806</f>
        <v/>
      </c>
      <c r="N803" s="7">
        <f>'3 escalar'!M806</f>
        <v/>
      </c>
      <c r="O803" s="7">
        <f>'3 escalar'!N806</f>
        <v/>
      </c>
      <c r="P803" s="7">
        <f>'3 escalar'!O806</f>
        <v/>
      </c>
      <c r="Q803" s="7">
        <f>'3 escalar'!P806</f>
        <v/>
      </c>
      <c r="R803" s="7">
        <f>'3 escalar'!Q806</f>
        <v/>
      </c>
      <c r="S803" s="7">
        <f>'3 escalar'!R806</f>
        <v/>
      </c>
      <c r="T803" s="7">
        <f>'3 escalar'!S806</f>
        <v/>
      </c>
      <c r="U803" s="7">
        <f>'3 escalar'!T806</f>
        <v/>
      </c>
      <c r="V803" s="6">
        <f>$AC$12+D803*$AC$13+E803*$AC$14+F803*$AC$15+G803*$AC$16+H803*$AC$17+I803*$AC$18+J803*$AC$19+K803*$AC$20+L803*$AC$21+M803*$AC$22+N803*$AC$23+O803*$AC$24+P803*$AC$25+Q803*$AC$26+R803*$AC$27+S803*$AC$28+T803*$AC$29+U803*$AC$30</f>
        <v/>
      </c>
      <c r="W803" s="6">
        <f>1/(1+EXP(-V803))</f>
        <v/>
      </c>
      <c r="X803" s="8">
        <f>-IF(C803=1,LN(W803),LN(1-W803))</f>
        <v/>
      </c>
      <c r="Y803" s="9">
        <f>IF(W803&gt;$AC$32,1,0)</f>
        <v/>
      </c>
      <c r="Z803">
        <f>IF(Y803=C803,1,0)</f>
        <v/>
      </c>
    </row>
    <row r="804">
      <c r="A804">
        <f>'3 escalar'!A807</f>
        <v/>
      </c>
      <c r="B804" s="5">
        <f>'3 escalar'!U807</f>
        <v/>
      </c>
      <c r="C804">
        <f>'3 escalar'!B807</f>
        <v/>
      </c>
      <c r="D804" s="7">
        <f>'3 escalar'!C807</f>
        <v/>
      </c>
      <c r="E804" s="7">
        <f>'3 escalar'!D807</f>
        <v/>
      </c>
      <c r="F804" s="7">
        <f>'3 escalar'!E807</f>
        <v/>
      </c>
      <c r="G804" s="7">
        <f>'3 escalar'!F807</f>
        <v/>
      </c>
      <c r="H804" s="7">
        <f>'3 escalar'!G807</f>
        <v/>
      </c>
      <c r="I804" s="7">
        <f>'3 escalar'!H807</f>
        <v/>
      </c>
      <c r="J804" s="7">
        <f>'3 escalar'!I807</f>
        <v/>
      </c>
      <c r="K804" s="7">
        <f>'3 escalar'!J807</f>
        <v/>
      </c>
      <c r="L804" s="7">
        <f>'3 escalar'!K807</f>
        <v/>
      </c>
      <c r="M804" s="7">
        <f>'3 escalar'!L807</f>
        <v/>
      </c>
      <c r="N804" s="7">
        <f>'3 escalar'!M807</f>
        <v/>
      </c>
      <c r="O804" s="7">
        <f>'3 escalar'!N807</f>
        <v/>
      </c>
      <c r="P804" s="7">
        <f>'3 escalar'!O807</f>
        <v/>
      </c>
      <c r="Q804" s="7">
        <f>'3 escalar'!P807</f>
        <v/>
      </c>
      <c r="R804" s="7">
        <f>'3 escalar'!Q807</f>
        <v/>
      </c>
      <c r="S804" s="7">
        <f>'3 escalar'!R807</f>
        <v/>
      </c>
      <c r="T804" s="7">
        <f>'3 escalar'!S807</f>
        <v/>
      </c>
      <c r="U804" s="7">
        <f>'3 escalar'!T807</f>
        <v/>
      </c>
      <c r="V804" s="6">
        <f>$AC$12+D804*$AC$13+E804*$AC$14+F804*$AC$15+G804*$AC$16+H804*$AC$17+I804*$AC$18+J804*$AC$19+K804*$AC$20+L804*$AC$21+M804*$AC$22+N804*$AC$23+O804*$AC$24+P804*$AC$25+Q804*$AC$26+R804*$AC$27+S804*$AC$28+T804*$AC$29+U804*$AC$30</f>
        <v/>
      </c>
      <c r="W804" s="6">
        <f>1/(1+EXP(-V804))</f>
        <v/>
      </c>
      <c r="X804" s="8">
        <f>-IF(C804=1,LN(W804),LN(1-W804))</f>
        <v/>
      </c>
      <c r="Y804" s="9">
        <f>IF(W804&gt;$AC$32,1,0)</f>
        <v/>
      </c>
      <c r="Z804">
        <f>IF(Y804=C804,1,0)</f>
        <v/>
      </c>
    </row>
    <row r="805">
      <c r="A805">
        <f>'3 escalar'!A808</f>
        <v/>
      </c>
      <c r="B805" s="5">
        <f>'3 escalar'!U808</f>
        <v/>
      </c>
      <c r="C805">
        <f>'3 escalar'!B808</f>
        <v/>
      </c>
      <c r="D805" s="7">
        <f>'3 escalar'!C808</f>
        <v/>
      </c>
      <c r="E805" s="7">
        <f>'3 escalar'!D808</f>
        <v/>
      </c>
      <c r="F805" s="7">
        <f>'3 escalar'!E808</f>
        <v/>
      </c>
      <c r="G805" s="7">
        <f>'3 escalar'!F808</f>
        <v/>
      </c>
      <c r="H805" s="7">
        <f>'3 escalar'!G808</f>
        <v/>
      </c>
      <c r="I805" s="7">
        <f>'3 escalar'!H808</f>
        <v/>
      </c>
      <c r="J805" s="7">
        <f>'3 escalar'!I808</f>
        <v/>
      </c>
      <c r="K805" s="7">
        <f>'3 escalar'!J808</f>
        <v/>
      </c>
      <c r="L805" s="7">
        <f>'3 escalar'!K808</f>
        <v/>
      </c>
      <c r="M805" s="7">
        <f>'3 escalar'!L808</f>
        <v/>
      </c>
      <c r="N805" s="7">
        <f>'3 escalar'!M808</f>
        <v/>
      </c>
      <c r="O805" s="7">
        <f>'3 escalar'!N808</f>
        <v/>
      </c>
      <c r="P805" s="7">
        <f>'3 escalar'!O808</f>
        <v/>
      </c>
      <c r="Q805" s="7">
        <f>'3 escalar'!P808</f>
        <v/>
      </c>
      <c r="R805" s="7">
        <f>'3 escalar'!Q808</f>
        <v/>
      </c>
      <c r="S805" s="7">
        <f>'3 escalar'!R808</f>
        <v/>
      </c>
      <c r="T805" s="7">
        <f>'3 escalar'!S808</f>
        <v/>
      </c>
      <c r="U805" s="7">
        <f>'3 escalar'!T808</f>
        <v/>
      </c>
      <c r="V805" s="6">
        <f>$AC$12+D805*$AC$13+E805*$AC$14+F805*$AC$15+G805*$AC$16+H805*$AC$17+I805*$AC$18+J805*$AC$19+K805*$AC$20+L805*$AC$21+M805*$AC$22+N805*$AC$23+O805*$AC$24+P805*$AC$25+Q805*$AC$26+R805*$AC$27+S805*$AC$28+T805*$AC$29+U805*$AC$30</f>
        <v/>
      </c>
      <c r="W805" s="6">
        <f>1/(1+EXP(-V805))</f>
        <v/>
      </c>
      <c r="X805" s="8">
        <f>-IF(C805=1,LN(W805),LN(1-W805))</f>
        <v/>
      </c>
      <c r="Y805" s="9">
        <f>IF(W805&gt;$AC$32,1,0)</f>
        <v/>
      </c>
      <c r="Z805">
        <f>IF(Y805=C805,1,0)</f>
        <v/>
      </c>
    </row>
    <row r="806">
      <c r="A806">
        <f>'3 escalar'!A809</f>
        <v/>
      </c>
      <c r="B806" s="5">
        <f>'3 escalar'!U809</f>
        <v/>
      </c>
      <c r="C806">
        <f>'3 escalar'!B809</f>
        <v/>
      </c>
      <c r="D806" s="7">
        <f>'3 escalar'!C809</f>
        <v/>
      </c>
      <c r="E806" s="7">
        <f>'3 escalar'!D809</f>
        <v/>
      </c>
      <c r="F806" s="7">
        <f>'3 escalar'!E809</f>
        <v/>
      </c>
      <c r="G806" s="7">
        <f>'3 escalar'!F809</f>
        <v/>
      </c>
      <c r="H806" s="7">
        <f>'3 escalar'!G809</f>
        <v/>
      </c>
      <c r="I806" s="7">
        <f>'3 escalar'!H809</f>
        <v/>
      </c>
      <c r="J806" s="7">
        <f>'3 escalar'!I809</f>
        <v/>
      </c>
      <c r="K806" s="7">
        <f>'3 escalar'!J809</f>
        <v/>
      </c>
      <c r="L806" s="7">
        <f>'3 escalar'!K809</f>
        <v/>
      </c>
      <c r="M806" s="7">
        <f>'3 escalar'!L809</f>
        <v/>
      </c>
      <c r="N806" s="7">
        <f>'3 escalar'!M809</f>
        <v/>
      </c>
      <c r="O806" s="7">
        <f>'3 escalar'!N809</f>
        <v/>
      </c>
      <c r="P806" s="7">
        <f>'3 escalar'!O809</f>
        <v/>
      </c>
      <c r="Q806" s="7">
        <f>'3 escalar'!P809</f>
        <v/>
      </c>
      <c r="R806" s="7">
        <f>'3 escalar'!Q809</f>
        <v/>
      </c>
      <c r="S806" s="7">
        <f>'3 escalar'!R809</f>
        <v/>
      </c>
      <c r="T806" s="7">
        <f>'3 escalar'!S809</f>
        <v/>
      </c>
      <c r="U806" s="7">
        <f>'3 escalar'!T809</f>
        <v/>
      </c>
      <c r="V806" s="6">
        <f>$AC$12+D806*$AC$13+E806*$AC$14+F806*$AC$15+G806*$AC$16+H806*$AC$17+I806*$AC$18+J806*$AC$19+K806*$AC$20+L806*$AC$21+M806*$AC$22+N806*$AC$23+O806*$AC$24+P806*$AC$25+Q806*$AC$26+R806*$AC$27+S806*$AC$28+T806*$AC$29+U806*$AC$30</f>
        <v/>
      </c>
      <c r="W806" s="6">
        <f>1/(1+EXP(-V806))</f>
        <v/>
      </c>
      <c r="X806" s="8">
        <f>-IF(C806=1,LN(W806),LN(1-W806))</f>
        <v/>
      </c>
      <c r="Y806" s="9">
        <f>IF(W806&gt;$AC$32,1,0)</f>
        <v/>
      </c>
      <c r="Z806">
        <f>IF(Y806=C806,1,0)</f>
        <v/>
      </c>
    </row>
    <row r="807">
      <c r="A807">
        <f>'3 escalar'!A810</f>
        <v/>
      </c>
      <c r="B807" s="5">
        <f>'3 escalar'!U810</f>
        <v/>
      </c>
      <c r="C807">
        <f>'3 escalar'!B810</f>
        <v/>
      </c>
      <c r="D807" s="7">
        <f>'3 escalar'!C810</f>
        <v/>
      </c>
      <c r="E807" s="7">
        <f>'3 escalar'!D810</f>
        <v/>
      </c>
      <c r="F807" s="7">
        <f>'3 escalar'!E810</f>
        <v/>
      </c>
      <c r="G807" s="7">
        <f>'3 escalar'!F810</f>
        <v/>
      </c>
      <c r="H807" s="7">
        <f>'3 escalar'!G810</f>
        <v/>
      </c>
      <c r="I807" s="7">
        <f>'3 escalar'!H810</f>
        <v/>
      </c>
      <c r="J807" s="7">
        <f>'3 escalar'!I810</f>
        <v/>
      </c>
      <c r="K807" s="7">
        <f>'3 escalar'!J810</f>
        <v/>
      </c>
      <c r="L807" s="7">
        <f>'3 escalar'!K810</f>
        <v/>
      </c>
      <c r="M807" s="7">
        <f>'3 escalar'!L810</f>
        <v/>
      </c>
      <c r="N807" s="7">
        <f>'3 escalar'!M810</f>
        <v/>
      </c>
      <c r="O807" s="7">
        <f>'3 escalar'!N810</f>
        <v/>
      </c>
      <c r="P807" s="7">
        <f>'3 escalar'!O810</f>
        <v/>
      </c>
      <c r="Q807" s="7">
        <f>'3 escalar'!P810</f>
        <v/>
      </c>
      <c r="R807" s="7">
        <f>'3 escalar'!Q810</f>
        <v/>
      </c>
      <c r="S807" s="7">
        <f>'3 escalar'!R810</f>
        <v/>
      </c>
      <c r="T807" s="7">
        <f>'3 escalar'!S810</f>
        <v/>
      </c>
      <c r="U807" s="7">
        <f>'3 escalar'!T810</f>
        <v/>
      </c>
      <c r="V807" s="6">
        <f>$AC$12+D807*$AC$13+E807*$AC$14+F807*$AC$15+G807*$AC$16+H807*$AC$17+I807*$AC$18+J807*$AC$19+K807*$AC$20+L807*$AC$21+M807*$AC$22+N807*$AC$23+O807*$AC$24+P807*$AC$25+Q807*$AC$26+R807*$AC$27+S807*$AC$28+T807*$AC$29+U807*$AC$30</f>
        <v/>
      </c>
      <c r="W807" s="6">
        <f>1/(1+EXP(-V807))</f>
        <v/>
      </c>
      <c r="X807" s="8">
        <f>-IF(C807=1,LN(W807),LN(1-W807))</f>
        <v/>
      </c>
      <c r="Y807" s="9">
        <f>IF(W807&gt;$AC$32,1,0)</f>
        <v/>
      </c>
      <c r="Z807">
        <f>IF(Y807=C807,1,0)</f>
        <v/>
      </c>
    </row>
    <row r="808">
      <c r="A808">
        <f>'3 escalar'!A811</f>
        <v/>
      </c>
      <c r="B808" s="5">
        <f>'3 escalar'!U811</f>
        <v/>
      </c>
      <c r="C808">
        <f>'3 escalar'!B811</f>
        <v/>
      </c>
      <c r="D808" s="7">
        <f>'3 escalar'!C811</f>
        <v/>
      </c>
      <c r="E808" s="7">
        <f>'3 escalar'!D811</f>
        <v/>
      </c>
      <c r="F808" s="7">
        <f>'3 escalar'!E811</f>
        <v/>
      </c>
      <c r="G808" s="7">
        <f>'3 escalar'!F811</f>
        <v/>
      </c>
      <c r="H808" s="7">
        <f>'3 escalar'!G811</f>
        <v/>
      </c>
      <c r="I808" s="7">
        <f>'3 escalar'!H811</f>
        <v/>
      </c>
      <c r="J808" s="7">
        <f>'3 escalar'!I811</f>
        <v/>
      </c>
      <c r="K808" s="7">
        <f>'3 escalar'!J811</f>
        <v/>
      </c>
      <c r="L808" s="7">
        <f>'3 escalar'!K811</f>
        <v/>
      </c>
      <c r="M808" s="7">
        <f>'3 escalar'!L811</f>
        <v/>
      </c>
      <c r="N808" s="7">
        <f>'3 escalar'!M811</f>
        <v/>
      </c>
      <c r="O808" s="7">
        <f>'3 escalar'!N811</f>
        <v/>
      </c>
      <c r="P808" s="7">
        <f>'3 escalar'!O811</f>
        <v/>
      </c>
      <c r="Q808" s="7">
        <f>'3 escalar'!P811</f>
        <v/>
      </c>
      <c r="R808" s="7">
        <f>'3 escalar'!Q811</f>
        <v/>
      </c>
      <c r="S808" s="7">
        <f>'3 escalar'!R811</f>
        <v/>
      </c>
      <c r="T808" s="7">
        <f>'3 escalar'!S811</f>
        <v/>
      </c>
      <c r="U808" s="7">
        <f>'3 escalar'!T811</f>
        <v/>
      </c>
      <c r="V808" s="6">
        <f>$AC$12+D808*$AC$13+E808*$AC$14+F808*$AC$15+G808*$AC$16+H808*$AC$17+I808*$AC$18+J808*$AC$19+K808*$AC$20+L808*$AC$21+M808*$AC$22+N808*$AC$23+O808*$AC$24+P808*$AC$25+Q808*$AC$26+R808*$AC$27+S808*$AC$28+T808*$AC$29+U808*$AC$30</f>
        <v/>
      </c>
      <c r="W808" s="6">
        <f>1/(1+EXP(-V808))</f>
        <v/>
      </c>
      <c r="X808" s="8">
        <f>-IF(C808=1,LN(W808),LN(1-W808))</f>
        <v/>
      </c>
      <c r="Y808" s="9">
        <f>IF(W808&gt;$AC$32,1,0)</f>
        <v/>
      </c>
      <c r="Z808">
        <f>IF(Y808=C808,1,0)</f>
        <v/>
      </c>
    </row>
    <row r="809">
      <c r="A809">
        <f>'3 escalar'!A812</f>
        <v/>
      </c>
      <c r="B809" s="5">
        <f>'3 escalar'!U812</f>
        <v/>
      </c>
      <c r="C809">
        <f>'3 escalar'!B812</f>
        <v/>
      </c>
      <c r="D809" s="7">
        <f>'3 escalar'!C812</f>
        <v/>
      </c>
      <c r="E809" s="7">
        <f>'3 escalar'!D812</f>
        <v/>
      </c>
      <c r="F809" s="7">
        <f>'3 escalar'!E812</f>
        <v/>
      </c>
      <c r="G809" s="7">
        <f>'3 escalar'!F812</f>
        <v/>
      </c>
      <c r="H809" s="7">
        <f>'3 escalar'!G812</f>
        <v/>
      </c>
      <c r="I809" s="7">
        <f>'3 escalar'!H812</f>
        <v/>
      </c>
      <c r="J809" s="7">
        <f>'3 escalar'!I812</f>
        <v/>
      </c>
      <c r="K809" s="7">
        <f>'3 escalar'!J812</f>
        <v/>
      </c>
      <c r="L809" s="7">
        <f>'3 escalar'!K812</f>
        <v/>
      </c>
      <c r="M809" s="7">
        <f>'3 escalar'!L812</f>
        <v/>
      </c>
      <c r="N809" s="7">
        <f>'3 escalar'!M812</f>
        <v/>
      </c>
      <c r="O809" s="7">
        <f>'3 escalar'!N812</f>
        <v/>
      </c>
      <c r="P809" s="7">
        <f>'3 escalar'!O812</f>
        <v/>
      </c>
      <c r="Q809" s="7">
        <f>'3 escalar'!P812</f>
        <v/>
      </c>
      <c r="R809" s="7">
        <f>'3 escalar'!Q812</f>
        <v/>
      </c>
      <c r="S809" s="7">
        <f>'3 escalar'!R812</f>
        <v/>
      </c>
      <c r="T809" s="7">
        <f>'3 escalar'!S812</f>
        <v/>
      </c>
      <c r="U809" s="7">
        <f>'3 escalar'!T812</f>
        <v/>
      </c>
      <c r="V809" s="6">
        <f>$AC$12+D809*$AC$13+E809*$AC$14+F809*$AC$15+G809*$AC$16+H809*$AC$17+I809*$AC$18+J809*$AC$19+K809*$AC$20+L809*$AC$21+M809*$AC$22+N809*$AC$23+O809*$AC$24+P809*$AC$25+Q809*$AC$26+R809*$AC$27+S809*$AC$28+T809*$AC$29+U809*$AC$30</f>
        <v/>
      </c>
      <c r="W809" s="6">
        <f>1/(1+EXP(-V809))</f>
        <v/>
      </c>
      <c r="X809" s="8">
        <f>-IF(C809=1,LN(W809),LN(1-W809))</f>
        <v/>
      </c>
      <c r="Y809" s="9">
        <f>IF(W809&gt;$AC$32,1,0)</f>
        <v/>
      </c>
      <c r="Z809">
        <f>IF(Y809=C809,1,0)</f>
        <v/>
      </c>
    </row>
    <row r="810">
      <c r="A810">
        <f>'3 escalar'!A813</f>
        <v/>
      </c>
      <c r="B810" s="5">
        <f>'3 escalar'!U813</f>
        <v/>
      </c>
      <c r="C810">
        <f>'3 escalar'!B813</f>
        <v/>
      </c>
      <c r="D810" s="7">
        <f>'3 escalar'!C813</f>
        <v/>
      </c>
      <c r="E810" s="7">
        <f>'3 escalar'!D813</f>
        <v/>
      </c>
      <c r="F810" s="7">
        <f>'3 escalar'!E813</f>
        <v/>
      </c>
      <c r="G810" s="7">
        <f>'3 escalar'!F813</f>
        <v/>
      </c>
      <c r="H810" s="7">
        <f>'3 escalar'!G813</f>
        <v/>
      </c>
      <c r="I810" s="7">
        <f>'3 escalar'!H813</f>
        <v/>
      </c>
      <c r="J810" s="7">
        <f>'3 escalar'!I813</f>
        <v/>
      </c>
      <c r="K810" s="7">
        <f>'3 escalar'!J813</f>
        <v/>
      </c>
      <c r="L810" s="7">
        <f>'3 escalar'!K813</f>
        <v/>
      </c>
      <c r="M810" s="7">
        <f>'3 escalar'!L813</f>
        <v/>
      </c>
      <c r="N810" s="7">
        <f>'3 escalar'!M813</f>
        <v/>
      </c>
      <c r="O810" s="7">
        <f>'3 escalar'!N813</f>
        <v/>
      </c>
      <c r="P810" s="7">
        <f>'3 escalar'!O813</f>
        <v/>
      </c>
      <c r="Q810" s="7">
        <f>'3 escalar'!P813</f>
        <v/>
      </c>
      <c r="R810" s="7">
        <f>'3 escalar'!Q813</f>
        <v/>
      </c>
      <c r="S810" s="7">
        <f>'3 escalar'!R813</f>
        <v/>
      </c>
      <c r="T810" s="7">
        <f>'3 escalar'!S813</f>
        <v/>
      </c>
      <c r="U810" s="7">
        <f>'3 escalar'!T813</f>
        <v/>
      </c>
      <c r="V810" s="6">
        <f>$AC$12+D810*$AC$13+E810*$AC$14+F810*$AC$15+G810*$AC$16+H810*$AC$17+I810*$AC$18+J810*$AC$19+K810*$AC$20+L810*$AC$21+M810*$AC$22+N810*$AC$23+O810*$AC$24+P810*$AC$25+Q810*$AC$26+R810*$AC$27+S810*$AC$28+T810*$AC$29+U810*$AC$30</f>
        <v/>
      </c>
      <c r="W810" s="6">
        <f>1/(1+EXP(-V810))</f>
        <v/>
      </c>
      <c r="X810" s="8">
        <f>-IF(C810=1,LN(W810),LN(1-W810))</f>
        <v/>
      </c>
      <c r="Y810" s="9">
        <f>IF(W810&gt;$AC$32,1,0)</f>
        <v/>
      </c>
      <c r="Z810">
        <f>IF(Y810=C810,1,0)</f>
        <v/>
      </c>
    </row>
    <row r="811">
      <c r="A811">
        <f>'3 escalar'!A814</f>
        <v/>
      </c>
      <c r="B811" s="5">
        <f>'3 escalar'!U814</f>
        <v/>
      </c>
      <c r="C811">
        <f>'3 escalar'!B814</f>
        <v/>
      </c>
      <c r="D811" s="7">
        <f>'3 escalar'!C814</f>
        <v/>
      </c>
      <c r="E811" s="7">
        <f>'3 escalar'!D814</f>
        <v/>
      </c>
      <c r="F811" s="7">
        <f>'3 escalar'!E814</f>
        <v/>
      </c>
      <c r="G811" s="7">
        <f>'3 escalar'!F814</f>
        <v/>
      </c>
      <c r="H811" s="7">
        <f>'3 escalar'!G814</f>
        <v/>
      </c>
      <c r="I811" s="7">
        <f>'3 escalar'!H814</f>
        <v/>
      </c>
      <c r="J811" s="7">
        <f>'3 escalar'!I814</f>
        <v/>
      </c>
      <c r="K811" s="7">
        <f>'3 escalar'!J814</f>
        <v/>
      </c>
      <c r="L811" s="7">
        <f>'3 escalar'!K814</f>
        <v/>
      </c>
      <c r="M811" s="7">
        <f>'3 escalar'!L814</f>
        <v/>
      </c>
      <c r="N811" s="7">
        <f>'3 escalar'!M814</f>
        <v/>
      </c>
      <c r="O811" s="7">
        <f>'3 escalar'!N814</f>
        <v/>
      </c>
      <c r="P811" s="7">
        <f>'3 escalar'!O814</f>
        <v/>
      </c>
      <c r="Q811" s="7">
        <f>'3 escalar'!P814</f>
        <v/>
      </c>
      <c r="R811" s="7">
        <f>'3 escalar'!Q814</f>
        <v/>
      </c>
      <c r="S811" s="7">
        <f>'3 escalar'!R814</f>
        <v/>
      </c>
      <c r="T811" s="7">
        <f>'3 escalar'!S814</f>
        <v/>
      </c>
      <c r="U811" s="7">
        <f>'3 escalar'!T814</f>
        <v/>
      </c>
      <c r="V811" s="6">
        <f>$AC$12+D811*$AC$13+E811*$AC$14+F811*$AC$15+G811*$AC$16+H811*$AC$17+I811*$AC$18+J811*$AC$19+K811*$AC$20+L811*$AC$21+M811*$AC$22+N811*$AC$23+O811*$AC$24+P811*$AC$25+Q811*$AC$26+R811*$AC$27+S811*$AC$28+T811*$AC$29+U811*$AC$30</f>
        <v/>
      </c>
      <c r="W811" s="6">
        <f>1/(1+EXP(-V811))</f>
        <v/>
      </c>
      <c r="X811" s="8">
        <f>-IF(C811=1,LN(W811),LN(1-W811))</f>
        <v/>
      </c>
      <c r="Y811" s="9">
        <f>IF(W811&gt;$AC$32,1,0)</f>
        <v/>
      </c>
      <c r="Z811">
        <f>IF(Y811=C811,1,0)</f>
        <v/>
      </c>
    </row>
    <row r="812">
      <c r="A812">
        <f>'3 escalar'!A815</f>
        <v/>
      </c>
      <c r="B812" s="5">
        <f>'3 escalar'!U815</f>
        <v/>
      </c>
      <c r="C812">
        <f>'3 escalar'!B815</f>
        <v/>
      </c>
      <c r="D812" s="7">
        <f>'3 escalar'!C815</f>
        <v/>
      </c>
      <c r="E812" s="7">
        <f>'3 escalar'!D815</f>
        <v/>
      </c>
      <c r="F812" s="7">
        <f>'3 escalar'!E815</f>
        <v/>
      </c>
      <c r="G812" s="7">
        <f>'3 escalar'!F815</f>
        <v/>
      </c>
      <c r="H812" s="7">
        <f>'3 escalar'!G815</f>
        <v/>
      </c>
      <c r="I812" s="7">
        <f>'3 escalar'!H815</f>
        <v/>
      </c>
      <c r="J812" s="7">
        <f>'3 escalar'!I815</f>
        <v/>
      </c>
      <c r="K812" s="7">
        <f>'3 escalar'!J815</f>
        <v/>
      </c>
      <c r="L812" s="7">
        <f>'3 escalar'!K815</f>
        <v/>
      </c>
      <c r="M812" s="7">
        <f>'3 escalar'!L815</f>
        <v/>
      </c>
      <c r="N812" s="7">
        <f>'3 escalar'!M815</f>
        <v/>
      </c>
      <c r="O812" s="7">
        <f>'3 escalar'!N815</f>
        <v/>
      </c>
      <c r="P812" s="7">
        <f>'3 escalar'!O815</f>
        <v/>
      </c>
      <c r="Q812" s="7">
        <f>'3 escalar'!P815</f>
        <v/>
      </c>
      <c r="R812" s="7">
        <f>'3 escalar'!Q815</f>
        <v/>
      </c>
      <c r="S812" s="7">
        <f>'3 escalar'!R815</f>
        <v/>
      </c>
      <c r="T812" s="7">
        <f>'3 escalar'!S815</f>
        <v/>
      </c>
      <c r="U812" s="7">
        <f>'3 escalar'!T815</f>
        <v/>
      </c>
      <c r="V812" s="6">
        <f>$AC$12+D812*$AC$13+E812*$AC$14+F812*$AC$15+G812*$AC$16+H812*$AC$17+I812*$AC$18+J812*$AC$19+K812*$AC$20+L812*$AC$21+M812*$AC$22+N812*$AC$23+O812*$AC$24+P812*$AC$25+Q812*$AC$26+R812*$AC$27+S812*$AC$28+T812*$AC$29+U812*$AC$30</f>
        <v/>
      </c>
      <c r="W812" s="6">
        <f>1/(1+EXP(-V812))</f>
        <v/>
      </c>
      <c r="X812" s="8">
        <f>-IF(C812=1,LN(W812),LN(1-W812))</f>
        <v/>
      </c>
      <c r="Y812" s="9">
        <f>IF(W812&gt;$AC$32,1,0)</f>
        <v/>
      </c>
      <c r="Z812">
        <f>IF(Y812=C812,1,0)</f>
        <v/>
      </c>
    </row>
    <row r="813">
      <c r="A813">
        <f>'3 escalar'!A816</f>
        <v/>
      </c>
      <c r="B813" s="5">
        <f>'3 escalar'!U816</f>
        <v/>
      </c>
      <c r="C813">
        <f>'3 escalar'!B816</f>
        <v/>
      </c>
      <c r="D813" s="7">
        <f>'3 escalar'!C816</f>
        <v/>
      </c>
      <c r="E813" s="7">
        <f>'3 escalar'!D816</f>
        <v/>
      </c>
      <c r="F813" s="7">
        <f>'3 escalar'!E816</f>
        <v/>
      </c>
      <c r="G813" s="7">
        <f>'3 escalar'!F816</f>
        <v/>
      </c>
      <c r="H813" s="7">
        <f>'3 escalar'!G816</f>
        <v/>
      </c>
      <c r="I813" s="7">
        <f>'3 escalar'!H816</f>
        <v/>
      </c>
      <c r="J813" s="7">
        <f>'3 escalar'!I816</f>
        <v/>
      </c>
      <c r="K813" s="7">
        <f>'3 escalar'!J816</f>
        <v/>
      </c>
      <c r="L813" s="7">
        <f>'3 escalar'!K816</f>
        <v/>
      </c>
      <c r="M813" s="7">
        <f>'3 escalar'!L816</f>
        <v/>
      </c>
      <c r="N813" s="7">
        <f>'3 escalar'!M816</f>
        <v/>
      </c>
      <c r="O813" s="7">
        <f>'3 escalar'!N816</f>
        <v/>
      </c>
      <c r="P813" s="7">
        <f>'3 escalar'!O816</f>
        <v/>
      </c>
      <c r="Q813" s="7">
        <f>'3 escalar'!P816</f>
        <v/>
      </c>
      <c r="R813" s="7">
        <f>'3 escalar'!Q816</f>
        <v/>
      </c>
      <c r="S813" s="7">
        <f>'3 escalar'!R816</f>
        <v/>
      </c>
      <c r="T813" s="7">
        <f>'3 escalar'!S816</f>
        <v/>
      </c>
      <c r="U813" s="7">
        <f>'3 escalar'!T816</f>
        <v/>
      </c>
      <c r="V813" s="6">
        <f>$AC$12+D813*$AC$13+E813*$AC$14+F813*$AC$15+G813*$AC$16+H813*$AC$17+I813*$AC$18+J813*$AC$19+K813*$AC$20+L813*$AC$21+M813*$AC$22+N813*$AC$23+O813*$AC$24+P813*$AC$25+Q813*$AC$26+R813*$AC$27+S813*$AC$28+T813*$AC$29+U813*$AC$30</f>
        <v/>
      </c>
      <c r="W813" s="6">
        <f>1/(1+EXP(-V813))</f>
        <v/>
      </c>
      <c r="X813" s="8">
        <f>-IF(C813=1,LN(W813),LN(1-W813))</f>
        <v/>
      </c>
      <c r="Y813" s="9">
        <f>IF(W813&gt;$AC$32,1,0)</f>
        <v/>
      </c>
      <c r="Z813">
        <f>IF(Y813=C813,1,0)</f>
        <v/>
      </c>
    </row>
    <row r="814">
      <c r="A814">
        <f>'3 escalar'!A817</f>
        <v/>
      </c>
      <c r="B814" s="5">
        <f>'3 escalar'!U817</f>
        <v/>
      </c>
      <c r="C814">
        <f>'3 escalar'!B817</f>
        <v/>
      </c>
      <c r="D814" s="7">
        <f>'3 escalar'!C817</f>
        <v/>
      </c>
      <c r="E814" s="7">
        <f>'3 escalar'!D817</f>
        <v/>
      </c>
      <c r="F814" s="7">
        <f>'3 escalar'!E817</f>
        <v/>
      </c>
      <c r="G814" s="7">
        <f>'3 escalar'!F817</f>
        <v/>
      </c>
      <c r="H814" s="7">
        <f>'3 escalar'!G817</f>
        <v/>
      </c>
      <c r="I814" s="7">
        <f>'3 escalar'!H817</f>
        <v/>
      </c>
      <c r="J814" s="7">
        <f>'3 escalar'!I817</f>
        <v/>
      </c>
      <c r="K814" s="7">
        <f>'3 escalar'!J817</f>
        <v/>
      </c>
      <c r="L814" s="7">
        <f>'3 escalar'!K817</f>
        <v/>
      </c>
      <c r="M814" s="7">
        <f>'3 escalar'!L817</f>
        <v/>
      </c>
      <c r="N814" s="7">
        <f>'3 escalar'!M817</f>
        <v/>
      </c>
      <c r="O814" s="7">
        <f>'3 escalar'!N817</f>
        <v/>
      </c>
      <c r="P814" s="7">
        <f>'3 escalar'!O817</f>
        <v/>
      </c>
      <c r="Q814" s="7">
        <f>'3 escalar'!P817</f>
        <v/>
      </c>
      <c r="R814" s="7">
        <f>'3 escalar'!Q817</f>
        <v/>
      </c>
      <c r="S814" s="7">
        <f>'3 escalar'!R817</f>
        <v/>
      </c>
      <c r="T814" s="7">
        <f>'3 escalar'!S817</f>
        <v/>
      </c>
      <c r="U814" s="7">
        <f>'3 escalar'!T817</f>
        <v/>
      </c>
      <c r="V814" s="6">
        <f>$AC$12+D814*$AC$13+E814*$AC$14+F814*$AC$15+G814*$AC$16+H814*$AC$17+I814*$AC$18+J814*$AC$19+K814*$AC$20+L814*$AC$21+M814*$AC$22+N814*$AC$23+O814*$AC$24+P814*$AC$25+Q814*$AC$26+R814*$AC$27+S814*$AC$28+T814*$AC$29+U814*$AC$30</f>
        <v/>
      </c>
      <c r="W814" s="6">
        <f>1/(1+EXP(-V814))</f>
        <v/>
      </c>
      <c r="X814" s="8">
        <f>-IF(C814=1,LN(W814),LN(1-W814))</f>
        <v/>
      </c>
      <c r="Y814" s="9">
        <f>IF(W814&gt;$AC$32,1,0)</f>
        <v/>
      </c>
      <c r="Z814">
        <f>IF(Y814=C814,1,0)</f>
        <v/>
      </c>
    </row>
    <row r="815">
      <c r="A815">
        <f>'3 escalar'!A818</f>
        <v/>
      </c>
      <c r="B815" s="5">
        <f>'3 escalar'!U818</f>
        <v/>
      </c>
      <c r="C815">
        <f>'3 escalar'!B818</f>
        <v/>
      </c>
      <c r="D815" s="7">
        <f>'3 escalar'!C818</f>
        <v/>
      </c>
      <c r="E815" s="7">
        <f>'3 escalar'!D818</f>
        <v/>
      </c>
      <c r="F815" s="7">
        <f>'3 escalar'!E818</f>
        <v/>
      </c>
      <c r="G815" s="7">
        <f>'3 escalar'!F818</f>
        <v/>
      </c>
      <c r="H815" s="7">
        <f>'3 escalar'!G818</f>
        <v/>
      </c>
      <c r="I815" s="7">
        <f>'3 escalar'!H818</f>
        <v/>
      </c>
      <c r="J815" s="7">
        <f>'3 escalar'!I818</f>
        <v/>
      </c>
      <c r="K815" s="7">
        <f>'3 escalar'!J818</f>
        <v/>
      </c>
      <c r="L815" s="7">
        <f>'3 escalar'!K818</f>
        <v/>
      </c>
      <c r="M815" s="7">
        <f>'3 escalar'!L818</f>
        <v/>
      </c>
      <c r="N815" s="7">
        <f>'3 escalar'!M818</f>
        <v/>
      </c>
      <c r="O815" s="7">
        <f>'3 escalar'!N818</f>
        <v/>
      </c>
      <c r="P815" s="7">
        <f>'3 escalar'!O818</f>
        <v/>
      </c>
      <c r="Q815" s="7">
        <f>'3 escalar'!P818</f>
        <v/>
      </c>
      <c r="R815" s="7">
        <f>'3 escalar'!Q818</f>
        <v/>
      </c>
      <c r="S815" s="7">
        <f>'3 escalar'!R818</f>
        <v/>
      </c>
      <c r="T815" s="7">
        <f>'3 escalar'!S818</f>
        <v/>
      </c>
      <c r="U815" s="7">
        <f>'3 escalar'!T818</f>
        <v/>
      </c>
      <c r="V815" s="6">
        <f>$AC$12+D815*$AC$13+E815*$AC$14+F815*$AC$15+G815*$AC$16+H815*$AC$17+I815*$AC$18+J815*$AC$19+K815*$AC$20+L815*$AC$21+M815*$AC$22+N815*$AC$23+O815*$AC$24+P815*$AC$25+Q815*$AC$26+R815*$AC$27+S815*$AC$28+T815*$AC$29+U815*$AC$30</f>
        <v/>
      </c>
      <c r="W815" s="6">
        <f>1/(1+EXP(-V815))</f>
        <v/>
      </c>
      <c r="X815" s="8">
        <f>-IF(C815=1,LN(W815),LN(1-W815))</f>
        <v/>
      </c>
      <c r="Y815" s="9">
        <f>IF(W815&gt;$AC$32,1,0)</f>
        <v/>
      </c>
      <c r="Z815">
        <f>IF(Y815=C815,1,0)</f>
        <v/>
      </c>
    </row>
    <row r="816">
      <c r="A816">
        <f>'3 escalar'!A819</f>
        <v/>
      </c>
      <c r="B816" s="5">
        <f>'3 escalar'!U819</f>
        <v/>
      </c>
      <c r="C816">
        <f>'3 escalar'!B819</f>
        <v/>
      </c>
      <c r="D816" s="7">
        <f>'3 escalar'!C819</f>
        <v/>
      </c>
      <c r="E816" s="7">
        <f>'3 escalar'!D819</f>
        <v/>
      </c>
      <c r="F816" s="7">
        <f>'3 escalar'!E819</f>
        <v/>
      </c>
      <c r="G816" s="7">
        <f>'3 escalar'!F819</f>
        <v/>
      </c>
      <c r="H816" s="7">
        <f>'3 escalar'!G819</f>
        <v/>
      </c>
      <c r="I816" s="7">
        <f>'3 escalar'!H819</f>
        <v/>
      </c>
      <c r="J816" s="7">
        <f>'3 escalar'!I819</f>
        <v/>
      </c>
      <c r="K816" s="7">
        <f>'3 escalar'!J819</f>
        <v/>
      </c>
      <c r="L816" s="7">
        <f>'3 escalar'!K819</f>
        <v/>
      </c>
      <c r="M816" s="7">
        <f>'3 escalar'!L819</f>
        <v/>
      </c>
      <c r="N816" s="7">
        <f>'3 escalar'!M819</f>
        <v/>
      </c>
      <c r="O816" s="7">
        <f>'3 escalar'!N819</f>
        <v/>
      </c>
      <c r="P816" s="7">
        <f>'3 escalar'!O819</f>
        <v/>
      </c>
      <c r="Q816" s="7">
        <f>'3 escalar'!P819</f>
        <v/>
      </c>
      <c r="R816" s="7">
        <f>'3 escalar'!Q819</f>
        <v/>
      </c>
      <c r="S816" s="7">
        <f>'3 escalar'!R819</f>
        <v/>
      </c>
      <c r="T816" s="7">
        <f>'3 escalar'!S819</f>
        <v/>
      </c>
      <c r="U816" s="7">
        <f>'3 escalar'!T819</f>
        <v/>
      </c>
      <c r="V816" s="6">
        <f>$AC$12+D816*$AC$13+E816*$AC$14+F816*$AC$15+G816*$AC$16+H816*$AC$17+I816*$AC$18+J816*$AC$19+K816*$AC$20+L816*$AC$21+M816*$AC$22+N816*$AC$23+O816*$AC$24+P816*$AC$25+Q816*$AC$26+R816*$AC$27+S816*$AC$28+T816*$AC$29+U816*$AC$30</f>
        <v/>
      </c>
      <c r="W816" s="6">
        <f>1/(1+EXP(-V816))</f>
        <v/>
      </c>
      <c r="X816" s="8">
        <f>-IF(C816=1,LN(W816),LN(1-W816))</f>
        <v/>
      </c>
      <c r="Y816" s="9">
        <f>IF(W816&gt;$AC$32,1,0)</f>
        <v/>
      </c>
      <c r="Z816">
        <f>IF(Y816=C816,1,0)</f>
        <v/>
      </c>
    </row>
    <row r="817">
      <c r="A817">
        <f>'3 escalar'!A820</f>
        <v/>
      </c>
      <c r="B817" s="5">
        <f>'3 escalar'!U820</f>
        <v/>
      </c>
      <c r="C817">
        <f>'3 escalar'!B820</f>
        <v/>
      </c>
      <c r="D817" s="7">
        <f>'3 escalar'!C820</f>
        <v/>
      </c>
      <c r="E817" s="7">
        <f>'3 escalar'!D820</f>
        <v/>
      </c>
      <c r="F817" s="7">
        <f>'3 escalar'!E820</f>
        <v/>
      </c>
      <c r="G817" s="7">
        <f>'3 escalar'!F820</f>
        <v/>
      </c>
      <c r="H817" s="7">
        <f>'3 escalar'!G820</f>
        <v/>
      </c>
      <c r="I817" s="7">
        <f>'3 escalar'!H820</f>
        <v/>
      </c>
      <c r="J817" s="7">
        <f>'3 escalar'!I820</f>
        <v/>
      </c>
      <c r="K817" s="7">
        <f>'3 escalar'!J820</f>
        <v/>
      </c>
      <c r="L817" s="7">
        <f>'3 escalar'!K820</f>
        <v/>
      </c>
      <c r="M817" s="7">
        <f>'3 escalar'!L820</f>
        <v/>
      </c>
      <c r="N817" s="7">
        <f>'3 escalar'!M820</f>
        <v/>
      </c>
      <c r="O817" s="7">
        <f>'3 escalar'!N820</f>
        <v/>
      </c>
      <c r="P817" s="7">
        <f>'3 escalar'!O820</f>
        <v/>
      </c>
      <c r="Q817" s="7">
        <f>'3 escalar'!P820</f>
        <v/>
      </c>
      <c r="R817" s="7">
        <f>'3 escalar'!Q820</f>
        <v/>
      </c>
      <c r="S817" s="7">
        <f>'3 escalar'!R820</f>
        <v/>
      </c>
      <c r="T817" s="7">
        <f>'3 escalar'!S820</f>
        <v/>
      </c>
      <c r="U817" s="7">
        <f>'3 escalar'!T820</f>
        <v/>
      </c>
      <c r="V817" s="6">
        <f>$AC$12+D817*$AC$13+E817*$AC$14+F817*$AC$15+G817*$AC$16+H817*$AC$17+I817*$AC$18+J817*$AC$19+K817*$AC$20+L817*$AC$21+M817*$AC$22+N817*$AC$23+O817*$AC$24+P817*$AC$25+Q817*$AC$26+R817*$AC$27+S817*$AC$28+T817*$AC$29+U817*$AC$30</f>
        <v/>
      </c>
      <c r="W817" s="6">
        <f>1/(1+EXP(-V817))</f>
        <v/>
      </c>
      <c r="X817" s="8">
        <f>-IF(C817=1,LN(W817),LN(1-W817))</f>
        <v/>
      </c>
      <c r="Y817" s="9">
        <f>IF(W817&gt;$AC$32,1,0)</f>
        <v/>
      </c>
      <c r="Z817">
        <f>IF(Y817=C817,1,0)</f>
        <v/>
      </c>
    </row>
    <row r="818">
      <c r="A818">
        <f>'3 escalar'!A821</f>
        <v/>
      </c>
      <c r="B818" s="5">
        <f>'3 escalar'!U821</f>
        <v/>
      </c>
      <c r="C818">
        <f>'3 escalar'!B821</f>
        <v/>
      </c>
      <c r="D818" s="7">
        <f>'3 escalar'!C821</f>
        <v/>
      </c>
      <c r="E818" s="7">
        <f>'3 escalar'!D821</f>
        <v/>
      </c>
      <c r="F818" s="7">
        <f>'3 escalar'!E821</f>
        <v/>
      </c>
      <c r="G818" s="7">
        <f>'3 escalar'!F821</f>
        <v/>
      </c>
      <c r="H818" s="7">
        <f>'3 escalar'!G821</f>
        <v/>
      </c>
      <c r="I818" s="7">
        <f>'3 escalar'!H821</f>
        <v/>
      </c>
      <c r="J818" s="7">
        <f>'3 escalar'!I821</f>
        <v/>
      </c>
      <c r="K818" s="7">
        <f>'3 escalar'!J821</f>
        <v/>
      </c>
      <c r="L818" s="7">
        <f>'3 escalar'!K821</f>
        <v/>
      </c>
      <c r="M818" s="7">
        <f>'3 escalar'!L821</f>
        <v/>
      </c>
      <c r="N818" s="7">
        <f>'3 escalar'!M821</f>
        <v/>
      </c>
      <c r="O818" s="7">
        <f>'3 escalar'!N821</f>
        <v/>
      </c>
      <c r="P818" s="7">
        <f>'3 escalar'!O821</f>
        <v/>
      </c>
      <c r="Q818" s="7">
        <f>'3 escalar'!P821</f>
        <v/>
      </c>
      <c r="R818" s="7">
        <f>'3 escalar'!Q821</f>
        <v/>
      </c>
      <c r="S818" s="7">
        <f>'3 escalar'!R821</f>
        <v/>
      </c>
      <c r="T818" s="7">
        <f>'3 escalar'!S821</f>
        <v/>
      </c>
      <c r="U818" s="7">
        <f>'3 escalar'!T821</f>
        <v/>
      </c>
      <c r="V818" s="6">
        <f>$AC$12+D818*$AC$13+E818*$AC$14+F818*$AC$15+G818*$AC$16+H818*$AC$17+I818*$AC$18+J818*$AC$19+K818*$AC$20+L818*$AC$21+M818*$AC$22+N818*$AC$23+O818*$AC$24+P818*$AC$25+Q818*$AC$26+R818*$AC$27+S818*$AC$28+T818*$AC$29+U818*$AC$30</f>
        <v/>
      </c>
      <c r="W818" s="6">
        <f>1/(1+EXP(-V818))</f>
        <v/>
      </c>
      <c r="X818" s="8">
        <f>-IF(C818=1,LN(W818),LN(1-W818))</f>
        <v/>
      </c>
      <c r="Y818" s="9">
        <f>IF(W818&gt;$AC$32,1,0)</f>
        <v/>
      </c>
      <c r="Z818">
        <f>IF(Y818=C818,1,0)</f>
        <v/>
      </c>
    </row>
    <row r="819">
      <c r="A819">
        <f>'3 escalar'!A822</f>
        <v/>
      </c>
      <c r="B819" s="5">
        <f>'3 escalar'!U822</f>
        <v/>
      </c>
      <c r="C819">
        <f>'3 escalar'!B822</f>
        <v/>
      </c>
      <c r="D819" s="7">
        <f>'3 escalar'!C822</f>
        <v/>
      </c>
      <c r="E819" s="7">
        <f>'3 escalar'!D822</f>
        <v/>
      </c>
      <c r="F819" s="7">
        <f>'3 escalar'!E822</f>
        <v/>
      </c>
      <c r="G819" s="7">
        <f>'3 escalar'!F822</f>
        <v/>
      </c>
      <c r="H819" s="7">
        <f>'3 escalar'!G822</f>
        <v/>
      </c>
      <c r="I819" s="7">
        <f>'3 escalar'!H822</f>
        <v/>
      </c>
      <c r="J819" s="7">
        <f>'3 escalar'!I822</f>
        <v/>
      </c>
      <c r="K819" s="7">
        <f>'3 escalar'!J822</f>
        <v/>
      </c>
      <c r="L819" s="7">
        <f>'3 escalar'!K822</f>
        <v/>
      </c>
      <c r="M819" s="7">
        <f>'3 escalar'!L822</f>
        <v/>
      </c>
      <c r="N819" s="7">
        <f>'3 escalar'!M822</f>
        <v/>
      </c>
      <c r="O819" s="7">
        <f>'3 escalar'!N822</f>
        <v/>
      </c>
      <c r="P819" s="7">
        <f>'3 escalar'!O822</f>
        <v/>
      </c>
      <c r="Q819" s="7">
        <f>'3 escalar'!P822</f>
        <v/>
      </c>
      <c r="R819" s="7">
        <f>'3 escalar'!Q822</f>
        <v/>
      </c>
      <c r="S819" s="7">
        <f>'3 escalar'!R822</f>
        <v/>
      </c>
      <c r="T819" s="7">
        <f>'3 escalar'!S822</f>
        <v/>
      </c>
      <c r="U819" s="7">
        <f>'3 escalar'!T822</f>
        <v/>
      </c>
      <c r="V819" s="6">
        <f>$AC$12+D819*$AC$13+E819*$AC$14+F819*$AC$15+G819*$AC$16+H819*$AC$17+I819*$AC$18+J819*$AC$19+K819*$AC$20+L819*$AC$21+M819*$AC$22+N819*$AC$23+O819*$AC$24+P819*$AC$25+Q819*$AC$26+R819*$AC$27+S819*$AC$28+T819*$AC$29+U819*$AC$30</f>
        <v/>
      </c>
      <c r="W819" s="6">
        <f>1/(1+EXP(-V819))</f>
        <v/>
      </c>
      <c r="X819" s="8">
        <f>-IF(C819=1,LN(W819),LN(1-W819))</f>
        <v/>
      </c>
      <c r="Y819" s="9">
        <f>IF(W819&gt;$AC$32,1,0)</f>
        <v/>
      </c>
      <c r="Z819">
        <f>IF(Y819=C819,1,0)</f>
        <v/>
      </c>
    </row>
    <row r="820">
      <c r="A820">
        <f>'3 escalar'!A823</f>
        <v/>
      </c>
      <c r="B820" s="5">
        <f>'3 escalar'!U823</f>
        <v/>
      </c>
      <c r="C820">
        <f>'3 escalar'!B823</f>
        <v/>
      </c>
      <c r="D820" s="7">
        <f>'3 escalar'!C823</f>
        <v/>
      </c>
      <c r="E820" s="7">
        <f>'3 escalar'!D823</f>
        <v/>
      </c>
      <c r="F820" s="7">
        <f>'3 escalar'!E823</f>
        <v/>
      </c>
      <c r="G820" s="7">
        <f>'3 escalar'!F823</f>
        <v/>
      </c>
      <c r="H820" s="7">
        <f>'3 escalar'!G823</f>
        <v/>
      </c>
      <c r="I820" s="7">
        <f>'3 escalar'!H823</f>
        <v/>
      </c>
      <c r="J820" s="7">
        <f>'3 escalar'!I823</f>
        <v/>
      </c>
      <c r="K820" s="7">
        <f>'3 escalar'!J823</f>
        <v/>
      </c>
      <c r="L820" s="7">
        <f>'3 escalar'!K823</f>
        <v/>
      </c>
      <c r="M820" s="7">
        <f>'3 escalar'!L823</f>
        <v/>
      </c>
      <c r="N820" s="7">
        <f>'3 escalar'!M823</f>
        <v/>
      </c>
      <c r="O820" s="7">
        <f>'3 escalar'!N823</f>
        <v/>
      </c>
      <c r="P820" s="7">
        <f>'3 escalar'!O823</f>
        <v/>
      </c>
      <c r="Q820" s="7">
        <f>'3 escalar'!P823</f>
        <v/>
      </c>
      <c r="R820" s="7">
        <f>'3 escalar'!Q823</f>
        <v/>
      </c>
      <c r="S820" s="7">
        <f>'3 escalar'!R823</f>
        <v/>
      </c>
      <c r="T820" s="7">
        <f>'3 escalar'!S823</f>
        <v/>
      </c>
      <c r="U820" s="7">
        <f>'3 escalar'!T823</f>
        <v/>
      </c>
      <c r="V820" s="6">
        <f>$AC$12+D820*$AC$13+E820*$AC$14+F820*$AC$15+G820*$AC$16+H820*$AC$17+I820*$AC$18+J820*$AC$19+K820*$AC$20+L820*$AC$21+M820*$AC$22+N820*$AC$23+O820*$AC$24+P820*$AC$25+Q820*$AC$26+R820*$AC$27+S820*$AC$28+T820*$AC$29+U820*$AC$30</f>
        <v/>
      </c>
      <c r="W820" s="6">
        <f>1/(1+EXP(-V820))</f>
        <v/>
      </c>
      <c r="X820" s="8">
        <f>-IF(C820=1,LN(W820),LN(1-W820))</f>
        <v/>
      </c>
      <c r="Y820" s="9">
        <f>IF(W820&gt;$AC$32,1,0)</f>
        <v/>
      </c>
      <c r="Z820">
        <f>IF(Y820=C820,1,0)</f>
        <v/>
      </c>
    </row>
    <row r="821">
      <c r="A821">
        <f>'3 escalar'!A824</f>
        <v/>
      </c>
      <c r="B821" s="5">
        <f>'3 escalar'!U824</f>
        <v/>
      </c>
      <c r="C821">
        <f>'3 escalar'!B824</f>
        <v/>
      </c>
      <c r="D821" s="7">
        <f>'3 escalar'!C824</f>
        <v/>
      </c>
      <c r="E821" s="7">
        <f>'3 escalar'!D824</f>
        <v/>
      </c>
      <c r="F821" s="7">
        <f>'3 escalar'!E824</f>
        <v/>
      </c>
      <c r="G821" s="7">
        <f>'3 escalar'!F824</f>
        <v/>
      </c>
      <c r="H821" s="7">
        <f>'3 escalar'!G824</f>
        <v/>
      </c>
      <c r="I821" s="7">
        <f>'3 escalar'!H824</f>
        <v/>
      </c>
      <c r="J821" s="7">
        <f>'3 escalar'!I824</f>
        <v/>
      </c>
      <c r="K821" s="7">
        <f>'3 escalar'!J824</f>
        <v/>
      </c>
      <c r="L821" s="7">
        <f>'3 escalar'!K824</f>
        <v/>
      </c>
      <c r="M821" s="7">
        <f>'3 escalar'!L824</f>
        <v/>
      </c>
      <c r="N821" s="7">
        <f>'3 escalar'!M824</f>
        <v/>
      </c>
      <c r="O821" s="7">
        <f>'3 escalar'!N824</f>
        <v/>
      </c>
      <c r="P821" s="7">
        <f>'3 escalar'!O824</f>
        <v/>
      </c>
      <c r="Q821" s="7">
        <f>'3 escalar'!P824</f>
        <v/>
      </c>
      <c r="R821" s="7">
        <f>'3 escalar'!Q824</f>
        <v/>
      </c>
      <c r="S821" s="7">
        <f>'3 escalar'!R824</f>
        <v/>
      </c>
      <c r="T821" s="7">
        <f>'3 escalar'!S824</f>
        <v/>
      </c>
      <c r="U821" s="7">
        <f>'3 escalar'!T824</f>
        <v/>
      </c>
      <c r="V821" s="6">
        <f>$AC$12+D821*$AC$13+E821*$AC$14+F821*$AC$15+G821*$AC$16+H821*$AC$17+I821*$AC$18+J821*$AC$19+K821*$AC$20+L821*$AC$21+M821*$AC$22+N821*$AC$23+O821*$AC$24+P821*$AC$25+Q821*$AC$26+R821*$AC$27+S821*$AC$28+T821*$AC$29+U821*$AC$30</f>
        <v/>
      </c>
      <c r="W821" s="6">
        <f>1/(1+EXP(-V821))</f>
        <v/>
      </c>
      <c r="X821" s="8">
        <f>-IF(C821=1,LN(W821),LN(1-W821))</f>
        <v/>
      </c>
      <c r="Y821" s="9">
        <f>IF(W821&gt;$AC$32,1,0)</f>
        <v/>
      </c>
      <c r="Z821">
        <f>IF(Y821=C821,1,0)</f>
        <v/>
      </c>
    </row>
    <row r="822">
      <c r="A822">
        <f>'3 escalar'!A825</f>
        <v/>
      </c>
      <c r="B822" s="5">
        <f>'3 escalar'!U825</f>
        <v/>
      </c>
      <c r="C822">
        <f>'3 escalar'!B825</f>
        <v/>
      </c>
      <c r="D822" s="7">
        <f>'3 escalar'!C825</f>
        <v/>
      </c>
      <c r="E822" s="7">
        <f>'3 escalar'!D825</f>
        <v/>
      </c>
      <c r="F822" s="7">
        <f>'3 escalar'!E825</f>
        <v/>
      </c>
      <c r="G822" s="7">
        <f>'3 escalar'!F825</f>
        <v/>
      </c>
      <c r="H822" s="7">
        <f>'3 escalar'!G825</f>
        <v/>
      </c>
      <c r="I822" s="7">
        <f>'3 escalar'!H825</f>
        <v/>
      </c>
      <c r="J822" s="7">
        <f>'3 escalar'!I825</f>
        <v/>
      </c>
      <c r="K822" s="7">
        <f>'3 escalar'!J825</f>
        <v/>
      </c>
      <c r="L822" s="7">
        <f>'3 escalar'!K825</f>
        <v/>
      </c>
      <c r="M822" s="7">
        <f>'3 escalar'!L825</f>
        <v/>
      </c>
      <c r="N822" s="7">
        <f>'3 escalar'!M825</f>
        <v/>
      </c>
      <c r="O822" s="7">
        <f>'3 escalar'!N825</f>
        <v/>
      </c>
      <c r="P822" s="7">
        <f>'3 escalar'!O825</f>
        <v/>
      </c>
      <c r="Q822" s="7">
        <f>'3 escalar'!P825</f>
        <v/>
      </c>
      <c r="R822" s="7">
        <f>'3 escalar'!Q825</f>
        <v/>
      </c>
      <c r="S822" s="7">
        <f>'3 escalar'!R825</f>
        <v/>
      </c>
      <c r="T822" s="7">
        <f>'3 escalar'!S825</f>
        <v/>
      </c>
      <c r="U822" s="7">
        <f>'3 escalar'!T825</f>
        <v/>
      </c>
      <c r="V822" s="6">
        <f>$AC$12+D822*$AC$13+E822*$AC$14+F822*$AC$15+G822*$AC$16+H822*$AC$17+I822*$AC$18+J822*$AC$19+K822*$AC$20+L822*$AC$21+M822*$AC$22+N822*$AC$23+O822*$AC$24+P822*$AC$25+Q822*$AC$26+R822*$AC$27+S822*$AC$28+T822*$AC$29+U822*$AC$30</f>
        <v/>
      </c>
      <c r="W822" s="6">
        <f>1/(1+EXP(-V822))</f>
        <v/>
      </c>
      <c r="X822" s="8">
        <f>-IF(C822=1,LN(W822),LN(1-W822))</f>
        <v/>
      </c>
      <c r="Y822" s="9">
        <f>IF(W822&gt;$AC$32,1,0)</f>
        <v/>
      </c>
      <c r="Z822">
        <f>IF(Y822=C822,1,0)</f>
        <v/>
      </c>
    </row>
    <row r="823">
      <c r="A823">
        <f>'3 escalar'!A826</f>
        <v/>
      </c>
      <c r="B823" s="5">
        <f>'3 escalar'!U826</f>
        <v/>
      </c>
      <c r="C823">
        <f>'3 escalar'!B826</f>
        <v/>
      </c>
      <c r="D823" s="7">
        <f>'3 escalar'!C826</f>
        <v/>
      </c>
      <c r="E823" s="7">
        <f>'3 escalar'!D826</f>
        <v/>
      </c>
      <c r="F823" s="7">
        <f>'3 escalar'!E826</f>
        <v/>
      </c>
      <c r="G823" s="7">
        <f>'3 escalar'!F826</f>
        <v/>
      </c>
      <c r="H823" s="7">
        <f>'3 escalar'!G826</f>
        <v/>
      </c>
      <c r="I823" s="7">
        <f>'3 escalar'!H826</f>
        <v/>
      </c>
      <c r="J823" s="7">
        <f>'3 escalar'!I826</f>
        <v/>
      </c>
      <c r="K823" s="7">
        <f>'3 escalar'!J826</f>
        <v/>
      </c>
      <c r="L823" s="7">
        <f>'3 escalar'!K826</f>
        <v/>
      </c>
      <c r="M823" s="7">
        <f>'3 escalar'!L826</f>
        <v/>
      </c>
      <c r="N823" s="7">
        <f>'3 escalar'!M826</f>
        <v/>
      </c>
      <c r="O823" s="7">
        <f>'3 escalar'!N826</f>
        <v/>
      </c>
      <c r="P823" s="7">
        <f>'3 escalar'!O826</f>
        <v/>
      </c>
      <c r="Q823" s="7">
        <f>'3 escalar'!P826</f>
        <v/>
      </c>
      <c r="R823" s="7">
        <f>'3 escalar'!Q826</f>
        <v/>
      </c>
      <c r="S823" s="7">
        <f>'3 escalar'!R826</f>
        <v/>
      </c>
      <c r="T823" s="7">
        <f>'3 escalar'!S826</f>
        <v/>
      </c>
      <c r="U823" s="7">
        <f>'3 escalar'!T826</f>
        <v/>
      </c>
      <c r="V823" s="6">
        <f>$AC$12+D823*$AC$13+E823*$AC$14+F823*$AC$15+G823*$AC$16+H823*$AC$17+I823*$AC$18+J823*$AC$19+K823*$AC$20+L823*$AC$21+M823*$AC$22+N823*$AC$23+O823*$AC$24+P823*$AC$25+Q823*$AC$26+R823*$AC$27+S823*$AC$28+T823*$AC$29+U823*$AC$30</f>
        <v/>
      </c>
      <c r="W823" s="6">
        <f>1/(1+EXP(-V823))</f>
        <v/>
      </c>
      <c r="X823" s="8">
        <f>-IF(C823=1,LN(W823),LN(1-W823))</f>
        <v/>
      </c>
      <c r="Y823" s="9">
        <f>IF(W823&gt;$AC$32,1,0)</f>
        <v/>
      </c>
      <c r="Z823">
        <f>IF(Y823=C823,1,0)</f>
        <v/>
      </c>
    </row>
    <row r="824">
      <c r="A824">
        <f>'3 escalar'!A827</f>
        <v/>
      </c>
      <c r="B824" s="5">
        <f>'3 escalar'!U827</f>
        <v/>
      </c>
      <c r="C824">
        <f>'3 escalar'!B827</f>
        <v/>
      </c>
      <c r="D824" s="7">
        <f>'3 escalar'!C827</f>
        <v/>
      </c>
      <c r="E824" s="7">
        <f>'3 escalar'!D827</f>
        <v/>
      </c>
      <c r="F824" s="7">
        <f>'3 escalar'!E827</f>
        <v/>
      </c>
      <c r="G824" s="7">
        <f>'3 escalar'!F827</f>
        <v/>
      </c>
      <c r="H824" s="7">
        <f>'3 escalar'!G827</f>
        <v/>
      </c>
      <c r="I824" s="7">
        <f>'3 escalar'!H827</f>
        <v/>
      </c>
      <c r="J824" s="7">
        <f>'3 escalar'!I827</f>
        <v/>
      </c>
      <c r="K824" s="7">
        <f>'3 escalar'!J827</f>
        <v/>
      </c>
      <c r="L824" s="7">
        <f>'3 escalar'!K827</f>
        <v/>
      </c>
      <c r="M824" s="7">
        <f>'3 escalar'!L827</f>
        <v/>
      </c>
      <c r="N824" s="7">
        <f>'3 escalar'!M827</f>
        <v/>
      </c>
      <c r="O824" s="7">
        <f>'3 escalar'!N827</f>
        <v/>
      </c>
      <c r="P824" s="7">
        <f>'3 escalar'!O827</f>
        <v/>
      </c>
      <c r="Q824" s="7">
        <f>'3 escalar'!P827</f>
        <v/>
      </c>
      <c r="R824" s="7">
        <f>'3 escalar'!Q827</f>
        <v/>
      </c>
      <c r="S824" s="7">
        <f>'3 escalar'!R827</f>
        <v/>
      </c>
      <c r="T824" s="7">
        <f>'3 escalar'!S827</f>
        <v/>
      </c>
      <c r="U824" s="7">
        <f>'3 escalar'!T827</f>
        <v/>
      </c>
      <c r="V824" s="6">
        <f>$AC$12+D824*$AC$13+E824*$AC$14+F824*$AC$15+G824*$AC$16+H824*$AC$17+I824*$AC$18+J824*$AC$19+K824*$AC$20+L824*$AC$21+M824*$AC$22+N824*$AC$23+O824*$AC$24+P824*$AC$25+Q824*$AC$26+R824*$AC$27+S824*$AC$28+T824*$AC$29+U824*$AC$30</f>
        <v/>
      </c>
      <c r="W824" s="6">
        <f>1/(1+EXP(-V824))</f>
        <v/>
      </c>
      <c r="X824" s="8">
        <f>-IF(C824=1,LN(W824),LN(1-W824))</f>
        <v/>
      </c>
      <c r="Y824" s="9">
        <f>IF(W824&gt;$AC$32,1,0)</f>
        <v/>
      </c>
      <c r="Z824">
        <f>IF(Y824=C824,1,0)</f>
        <v/>
      </c>
    </row>
    <row r="825">
      <c r="A825">
        <f>'3 escalar'!A828</f>
        <v/>
      </c>
      <c r="B825" s="5">
        <f>'3 escalar'!U828</f>
        <v/>
      </c>
      <c r="C825">
        <f>'3 escalar'!B828</f>
        <v/>
      </c>
      <c r="D825" s="7">
        <f>'3 escalar'!C828</f>
        <v/>
      </c>
      <c r="E825" s="7">
        <f>'3 escalar'!D828</f>
        <v/>
      </c>
      <c r="F825" s="7">
        <f>'3 escalar'!E828</f>
        <v/>
      </c>
      <c r="G825" s="7">
        <f>'3 escalar'!F828</f>
        <v/>
      </c>
      <c r="H825" s="7">
        <f>'3 escalar'!G828</f>
        <v/>
      </c>
      <c r="I825" s="7">
        <f>'3 escalar'!H828</f>
        <v/>
      </c>
      <c r="J825" s="7">
        <f>'3 escalar'!I828</f>
        <v/>
      </c>
      <c r="K825" s="7">
        <f>'3 escalar'!J828</f>
        <v/>
      </c>
      <c r="L825" s="7">
        <f>'3 escalar'!K828</f>
        <v/>
      </c>
      <c r="M825" s="7">
        <f>'3 escalar'!L828</f>
        <v/>
      </c>
      <c r="N825" s="7">
        <f>'3 escalar'!M828</f>
        <v/>
      </c>
      <c r="O825" s="7">
        <f>'3 escalar'!N828</f>
        <v/>
      </c>
      <c r="P825" s="7">
        <f>'3 escalar'!O828</f>
        <v/>
      </c>
      <c r="Q825" s="7">
        <f>'3 escalar'!P828</f>
        <v/>
      </c>
      <c r="R825" s="7">
        <f>'3 escalar'!Q828</f>
        <v/>
      </c>
      <c r="S825" s="7">
        <f>'3 escalar'!R828</f>
        <v/>
      </c>
      <c r="T825" s="7">
        <f>'3 escalar'!S828</f>
        <v/>
      </c>
      <c r="U825" s="7">
        <f>'3 escalar'!T828</f>
        <v/>
      </c>
      <c r="V825" s="6">
        <f>$AC$12+D825*$AC$13+E825*$AC$14+F825*$AC$15+G825*$AC$16+H825*$AC$17+I825*$AC$18+J825*$AC$19+K825*$AC$20+L825*$AC$21+M825*$AC$22+N825*$AC$23+O825*$AC$24+P825*$AC$25+Q825*$AC$26+R825*$AC$27+S825*$AC$28+T825*$AC$29+U825*$AC$30</f>
        <v/>
      </c>
      <c r="W825" s="6">
        <f>1/(1+EXP(-V825))</f>
        <v/>
      </c>
      <c r="X825" s="8">
        <f>-IF(C825=1,LN(W825),LN(1-W825))</f>
        <v/>
      </c>
      <c r="Y825" s="9">
        <f>IF(W825&gt;$AC$32,1,0)</f>
        <v/>
      </c>
      <c r="Z825">
        <f>IF(Y825=C825,1,0)</f>
        <v/>
      </c>
    </row>
    <row r="826">
      <c r="A826">
        <f>'3 escalar'!A829</f>
        <v/>
      </c>
      <c r="B826" s="5">
        <f>'3 escalar'!U829</f>
        <v/>
      </c>
      <c r="C826">
        <f>'3 escalar'!B829</f>
        <v/>
      </c>
      <c r="D826" s="7">
        <f>'3 escalar'!C829</f>
        <v/>
      </c>
      <c r="E826" s="7">
        <f>'3 escalar'!D829</f>
        <v/>
      </c>
      <c r="F826" s="7">
        <f>'3 escalar'!E829</f>
        <v/>
      </c>
      <c r="G826" s="7">
        <f>'3 escalar'!F829</f>
        <v/>
      </c>
      <c r="H826" s="7">
        <f>'3 escalar'!G829</f>
        <v/>
      </c>
      <c r="I826" s="7">
        <f>'3 escalar'!H829</f>
        <v/>
      </c>
      <c r="J826" s="7">
        <f>'3 escalar'!I829</f>
        <v/>
      </c>
      <c r="K826" s="7">
        <f>'3 escalar'!J829</f>
        <v/>
      </c>
      <c r="L826" s="7">
        <f>'3 escalar'!K829</f>
        <v/>
      </c>
      <c r="M826" s="7">
        <f>'3 escalar'!L829</f>
        <v/>
      </c>
      <c r="N826" s="7">
        <f>'3 escalar'!M829</f>
        <v/>
      </c>
      <c r="O826" s="7">
        <f>'3 escalar'!N829</f>
        <v/>
      </c>
      <c r="P826" s="7">
        <f>'3 escalar'!O829</f>
        <v/>
      </c>
      <c r="Q826" s="7">
        <f>'3 escalar'!P829</f>
        <v/>
      </c>
      <c r="R826" s="7">
        <f>'3 escalar'!Q829</f>
        <v/>
      </c>
      <c r="S826" s="7">
        <f>'3 escalar'!R829</f>
        <v/>
      </c>
      <c r="T826" s="7">
        <f>'3 escalar'!S829</f>
        <v/>
      </c>
      <c r="U826" s="7">
        <f>'3 escalar'!T829</f>
        <v/>
      </c>
      <c r="V826" s="6">
        <f>$AC$12+D826*$AC$13+E826*$AC$14+F826*$AC$15+G826*$AC$16+H826*$AC$17+I826*$AC$18+J826*$AC$19+K826*$AC$20+L826*$AC$21+M826*$AC$22+N826*$AC$23+O826*$AC$24+P826*$AC$25+Q826*$AC$26+R826*$AC$27+S826*$AC$28+T826*$AC$29+U826*$AC$30</f>
        <v/>
      </c>
      <c r="W826" s="6">
        <f>1/(1+EXP(-V826))</f>
        <v/>
      </c>
      <c r="X826" s="8">
        <f>-IF(C826=1,LN(W826),LN(1-W826))</f>
        <v/>
      </c>
      <c r="Y826" s="9">
        <f>IF(W826&gt;$AC$32,1,0)</f>
        <v/>
      </c>
      <c r="Z826">
        <f>IF(Y826=C826,1,0)</f>
        <v/>
      </c>
    </row>
    <row r="827">
      <c r="A827">
        <f>'3 escalar'!A830</f>
        <v/>
      </c>
      <c r="B827" s="5">
        <f>'3 escalar'!U830</f>
        <v/>
      </c>
      <c r="C827">
        <f>'3 escalar'!B830</f>
        <v/>
      </c>
      <c r="D827" s="7">
        <f>'3 escalar'!C830</f>
        <v/>
      </c>
      <c r="E827" s="7">
        <f>'3 escalar'!D830</f>
        <v/>
      </c>
      <c r="F827" s="7">
        <f>'3 escalar'!E830</f>
        <v/>
      </c>
      <c r="G827" s="7">
        <f>'3 escalar'!F830</f>
        <v/>
      </c>
      <c r="H827" s="7">
        <f>'3 escalar'!G830</f>
        <v/>
      </c>
      <c r="I827" s="7">
        <f>'3 escalar'!H830</f>
        <v/>
      </c>
      <c r="J827" s="7">
        <f>'3 escalar'!I830</f>
        <v/>
      </c>
      <c r="K827" s="7">
        <f>'3 escalar'!J830</f>
        <v/>
      </c>
      <c r="L827" s="7">
        <f>'3 escalar'!K830</f>
        <v/>
      </c>
      <c r="M827" s="7">
        <f>'3 escalar'!L830</f>
        <v/>
      </c>
      <c r="N827" s="7">
        <f>'3 escalar'!M830</f>
        <v/>
      </c>
      <c r="O827" s="7">
        <f>'3 escalar'!N830</f>
        <v/>
      </c>
      <c r="P827" s="7">
        <f>'3 escalar'!O830</f>
        <v/>
      </c>
      <c r="Q827" s="7">
        <f>'3 escalar'!P830</f>
        <v/>
      </c>
      <c r="R827" s="7">
        <f>'3 escalar'!Q830</f>
        <v/>
      </c>
      <c r="S827" s="7">
        <f>'3 escalar'!R830</f>
        <v/>
      </c>
      <c r="T827" s="7">
        <f>'3 escalar'!S830</f>
        <v/>
      </c>
      <c r="U827" s="7">
        <f>'3 escalar'!T830</f>
        <v/>
      </c>
      <c r="V827" s="6">
        <f>$AC$12+D827*$AC$13+E827*$AC$14+F827*$AC$15+G827*$AC$16+H827*$AC$17+I827*$AC$18+J827*$AC$19+K827*$AC$20+L827*$AC$21+M827*$AC$22+N827*$AC$23+O827*$AC$24+P827*$AC$25+Q827*$AC$26+R827*$AC$27+S827*$AC$28+T827*$AC$29+U827*$AC$30</f>
        <v/>
      </c>
      <c r="W827" s="6">
        <f>1/(1+EXP(-V827))</f>
        <v/>
      </c>
      <c r="X827" s="8">
        <f>-IF(C827=1,LN(W827),LN(1-W827))</f>
        <v/>
      </c>
      <c r="Y827" s="9">
        <f>IF(W827&gt;$AC$32,1,0)</f>
        <v/>
      </c>
      <c r="Z827">
        <f>IF(Y827=C827,1,0)</f>
        <v/>
      </c>
    </row>
    <row r="828">
      <c r="A828">
        <f>'3 escalar'!A831</f>
        <v/>
      </c>
      <c r="B828" s="5">
        <f>'3 escalar'!U831</f>
        <v/>
      </c>
      <c r="C828">
        <f>'3 escalar'!B831</f>
        <v/>
      </c>
      <c r="D828" s="7">
        <f>'3 escalar'!C831</f>
        <v/>
      </c>
      <c r="E828" s="7">
        <f>'3 escalar'!D831</f>
        <v/>
      </c>
      <c r="F828" s="7">
        <f>'3 escalar'!E831</f>
        <v/>
      </c>
      <c r="G828" s="7">
        <f>'3 escalar'!F831</f>
        <v/>
      </c>
      <c r="H828" s="7">
        <f>'3 escalar'!G831</f>
        <v/>
      </c>
      <c r="I828" s="7">
        <f>'3 escalar'!H831</f>
        <v/>
      </c>
      <c r="J828" s="7">
        <f>'3 escalar'!I831</f>
        <v/>
      </c>
      <c r="K828" s="7">
        <f>'3 escalar'!J831</f>
        <v/>
      </c>
      <c r="L828" s="7">
        <f>'3 escalar'!K831</f>
        <v/>
      </c>
      <c r="M828" s="7">
        <f>'3 escalar'!L831</f>
        <v/>
      </c>
      <c r="N828" s="7">
        <f>'3 escalar'!M831</f>
        <v/>
      </c>
      <c r="O828" s="7">
        <f>'3 escalar'!N831</f>
        <v/>
      </c>
      <c r="P828" s="7">
        <f>'3 escalar'!O831</f>
        <v/>
      </c>
      <c r="Q828" s="7">
        <f>'3 escalar'!P831</f>
        <v/>
      </c>
      <c r="R828" s="7">
        <f>'3 escalar'!Q831</f>
        <v/>
      </c>
      <c r="S828" s="7">
        <f>'3 escalar'!R831</f>
        <v/>
      </c>
      <c r="T828" s="7">
        <f>'3 escalar'!S831</f>
        <v/>
      </c>
      <c r="U828" s="7">
        <f>'3 escalar'!T831</f>
        <v/>
      </c>
      <c r="V828" s="6">
        <f>$AC$12+D828*$AC$13+E828*$AC$14+F828*$AC$15+G828*$AC$16+H828*$AC$17+I828*$AC$18+J828*$AC$19+K828*$AC$20+L828*$AC$21+M828*$AC$22+N828*$AC$23+O828*$AC$24+P828*$AC$25+Q828*$AC$26+R828*$AC$27+S828*$AC$28+T828*$AC$29+U828*$AC$30</f>
        <v/>
      </c>
      <c r="W828" s="6">
        <f>1/(1+EXP(-V828))</f>
        <v/>
      </c>
      <c r="X828" s="8">
        <f>-IF(C828=1,LN(W828),LN(1-W828))</f>
        <v/>
      </c>
      <c r="Y828" s="9">
        <f>IF(W828&gt;$AC$32,1,0)</f>
        <v/>
      </c>
      <c r="Z828">
        <f>IF(Y828=C828,1,0)</f>
        <v/>
      </c>
    </row>
    <row r="829">
      <c r="A829">
        <f>'3 escalar'!A832</f>
        <v/>
      </c>
      <c r="B829" s="5">
        <f>'3 escalar'!U832</f>
        <v/>
      </c>
      <c r="C829">
        <f>'3 escalar'!B832</f>
        <v/>
      </c>
      <c r="D829" s="7">
        <f>'3 escalar'!C832</f>
        <v/>
      </c>
      <c r="E829" s="7">
        <f>'3 escalar'!D832</f>
        <v/>
      </c>
      <c r="F829" s="7">
        <f>'3 escalar'!E832</f>
        <v/>
      </c>
      <c r="G829" s="7">
        <f>'3 escalar'!F832</f>
        <v/>
      </c>
      <c r="H829" s="7">
        <f>'3 escalar'!G832</f>
        <v/>
      </c>
      <c r="I829" s="7">
        <f>'3 escalar'!H832</f>
        <v/>
      </c>
      <c r="J829" s="7">
        <f>'3 escalar'!I832</f>
        <v/>
      </c>
      <c r="K829" s="7">
        <f>'3 escalar'!J832</f>
        <v/>
      </c>
      <c r="L829" s="7">
        <f>'3 escalar'!K832</f>
        <v/>
      </c>
      <c r="M829" s="7">
        <f>'3 escalar'!L832</f>
        <v/>
      </c>
      <c r="N829" s="7">
        <f>'3 escalar'!M832</f>
        <v/>
      </c>
      <c r="O829" s="7">
        <f>'3 escalar'!N832</f>
        <v/>
      </c>
      <c r="P829" s="7">
        <f>'3 escalar'!O832</f>
        <v/>
      </c>
      <c r="Q829" s="7">
        <f>'3 escalar'!P832</f>
        <v/>
      </c>
      <c r="R829" s="7">
        <f>'3 escalar'!Q832</f>
        <v/>
      </c>
      <c r="S829" s="7">
        <f>'3 escalar'!R832</f>
        <v/>
      </c>
      <c r="T829" s="7">
        <f>'3 escalar'!S832</f>
        <v/>
      </c>
      <c r="U829" s="7">
        <f>'3 escalar'!T832</f>
        <v/>
      </c>
      <c r="V829" s="6">
        <f>$AC$12+D829*$AC$13+E829*$AC$14+F829*$AC$15+G829*$AC$16+H829*$AC$17+I829*$AC$18+J829*$AC$19+K829*$AC$20+L829*$AC$21+M829*$AC$22+N829*$AC$23+O829*$AC$24+P829*$AC$25+Q829*$AC$26+R829*$AC$27+S829*$AC$28+T829*$AC$29+U829*$AC$30</f>
        <v/>
      </c>
      <c r="W829" s="6">
        <f>1/(1+EXP(-V829))</f>
        <v/>
      </c>
      <c r="X829" s="8">
        <f>-IF(C829=1,LN(W829),LN(1-W829))</f>
        <v/>
      </c>
      <c r="Y829" s="9">
        <f>IF(W829&gt;$AC$32,1,0)</f>
        <v/>
      </c>
      <c r="Z829">
        <f>IF(Y829=C829,1,0)</f>
        <v/>
      </c>
    </row>
    <row r="830">
      <c r="A830">
        <f>'3 escalar'!A833</f>
        <v/>
      </c>
      <c r="B830" s="5">
        <f>'3 escalar'!U833</f>
        <v/>
      </c>
      <c r="C830">
        <f>'3 escalar'!B833</f>
        <v/>
      </c>
      <c r="D830" s="7">
        <f>'3 escalar'!C833</f>
        <v/>
      </c>
      <c r="E830" s="7">
        <f>'3 escalar'!D833</f>
        <v/>
      </c>
      <c r="F830" s="7">
        <f>'3 escalar'!E833</f>
        <v/>
      </c>
      <c r="G830" s="7">
        <f>'3 escalar'!F833</f>
        <v/>
      </c>
      <c r="H830" s="7">
        <f>'3 escalar'!G833</f>
        <v/>
      </c>
      <c r="I830" s="7">
        <f>'3 escalar'!H833</f>
        <v/>
      </c>
      <c r="J830" s="7">
        <f>'3 escalar'!I833</f>
        <v/>
      </c>
      <c r="K830" s="7">
        <f>'3 escalar'!J833</f>
        <v/>
      </c>
      <c r="L830" s="7">
        <f>'3 escalar'!K833</f>
        <v/>
      </c>
      <c r="M830" s="7">
        <f>'3 escalar'!L833</f>
        <v/>
      </c>
      <c r="N830" s="7">
        <f>'3 escalar'!M833</f>
        <v/>
      </c>
      <c r="O830" s="7">
        <f>'3 escalar'!N833</f>
        <v/>
      </c>
      <c r="P830" s="7">
        <f>'3 escalar'!O833</f>
        <v/>
      </c>
      <c r="Q830" s="7">
        <f>'3 escalar'!P833</f>
        <v/>
      </c>
      <c r="R830" s="7">
        <f>'3 escalar'!Q833</f>
        <v/>
      </c>
      <c r="S830" s="7">
        <f>'3 escalar'!R833</f>
        <v/>
      </c>
      <c r="T830" s="7">
        <f>'3 escalar'!S833</f>
        <v/>
      </c>
      <c r="U830" s="7">
        <f>'3 escalar'!T833</f>
        <v/>
      </c>
      <c r="V830" s="6">
        <f>$AC$12+D830*$AC$13+E830*$AC$14+F830*$AC$15+G830*$AC$16+H830*$AC$17+I830*$AC$18+J830*$AC$19+K830*$AC$20+L830*$AC$21+M830*$AC$22+N830*$AC$23+O830*$AC$24+P830*$AC$25+Q830*$AC$26+R830*$AC$27+S830*$AC$28+T830*$AC$29+U830*$AC$30</f>
        <v/>
      </c>
      <c r="W830" s="6">
        <f>1/(1+EXP(-V830))</f>
        <v/>
      </c>
      <c r="X830" s="8">
        <f>-IF(C830=1,LN(W830),LN(1-W830))</f>
        <v/>
      </c>
      <c r="Y830" s="9">
        <f>IF(W830&gt;$AC$32,1,0)</f>
        <v/>
      </c>
      <c r="Z830">
        <f>IF(Y830=C830,1,0)</f>
        <v/>
      </c>
    </row>
    <row r="831">
      <c r="A831">
        <f>'3 escalar'!A834</f>
        <v/>
      </c>
      <c r="B831" s="5">
        <f>'3 escalar'!U834</f>
        <v/>
      </c>
      <c r="C831">
        <f>'3 escalar'!B834</f>
        <v/>
      </c>
      <c r="D831" s="7">
        <f>'3 escalar'!C834</f>
        <v/>
      </c>
      <c r="E831" s="7">
        <f>'3 escalar'!D834</f>
        <v/>
      </c>
      <c r="F831" s="7">
        <f>'3 escalar'!E834</f>
        <v/>
      </c>
      <c r="G831" s="7">
        <f>'3 escalar'!F834</f>
        <v/>
      </c>
      <c r="H831" s="7">
        <f>'3 escalar'!G834</f>
        <v/>
      </c>
      <c r="I831" s="7">
        <f>'3 escalar'!H834</f>
        <v/>
      </c>
      <c r="J831" s="7">
        <f>'3 escalar'!I834</f>
        <v/>
      </c>
      <c r="K831" s="7">
        <f>'3 escalar'!J834</f>
        <v/>
      </c>
      <c r="L831" s="7">
        <f>'3 escalar'!K834</f>
        <v/>
      </c>
      <c r="M831" s="7">
        <f>'3 escalar'!L834</f>
        <v/>
      </c>
      <c r="N831" s="7">
        <f>'3 escalar'!M834</f>
        <v/>
      </c>
      <c r="O831" s="7">
        <f>'3 escalar'!N834</f>
        <v/>
      </c>
      <c r="P831" s="7">
        <f>'3 escalar'!O834</f>
        <v/>
      </c>
      <c r="Q831" s="7">
        <f>'3 escalar'!P834</f>
        <v/>
      </c>
      <c r="R831" s="7">
        <f>'3 escalar'!Q834</f>
        <v/>
      </c>
      <c r="S831" s="7">
        <f>'3 escalar'!R834</f>
        <v/>
      </c>
      <c r="T831" s="7">
        <f>'3 escalar'!S834</f>
        <v/>
      </c>
      <c r="U831" s="7">
        <f>'3 escalar'!T834</f>
        <v/>
      </c>
      <c r="V831" s="6">
        <f>$AC$12+D831*$AC$13+E831*$AC$14+F831*$AC$15+G831*$AC$16+H831*$AC$17+I831*$AC$18+J831*$AC$19+K831*$AC$20+L831*$AC$21+M831*$AC$22+N831*$AC$23+O831*$AC$24+P831*$AC$25+Q831*$AC$26+R831*$AC$27+S831*$AC$28+T831*$AC$29+U831*$AC$30</f>
        <v/>
      </c>
      <c r="W831" s="6">
        <f>1/(1+EXP(-V831))</f>
        <v/>
      </c>
      <c r="X831" s="8">
        <f>-IF(C831=1,LN(W831),LN(1-W831))</f>
        <v/>
      </c>
      <c r="Y831" s="9">
        <f>IF(W831&gt;$AC$32,1,0)</f>
        <v/>
      </c>
      <c r="Z831">
        <f>IF(Y831=C831,1,0)</f>
        <v/>
      </c>
    </row>
    <row r="832">
      <c r="A832">
        <f>'3 escalar'!A835</f>
        <v/>
      </c>
      <c r="B832" s="5">
        <f>'3 escalar'!U835</f>
        <v/>
      </c>
      <c r="C832">
        <f>'3 escalar'!B835</f>
        <v/>
      </c>
      <c r="D832" s="7">
        <f>'3 escalar'!C835</f>
        <v/>
      </c>
      <c r="E832" s="7">
        <f>'3 escalar'!D835</f>
        <v/>
      </c>
      <c r="F832" s="7">
        <f>'3 escalar'!E835</f>
        <v/>
      </c>
      <c r="G832" s="7">
        <f>'3 escalar'!F835</f>
        <v/>
      </c>
      <c r="H832" s="7">
        <f>'3 escalar'!G835</f>
        <v/>
      </c>
      <c r="I832" s="7">
        <f>'3 escalar'!H835</f>
        <v/>
      </c>
      <c r="J832" s="7">
        <f>'3 escalar'!I835</f>
        <v/>
      </c>
      <c r="K832" s="7">
        <f>'3 escalar'!J835</f>
        <v/>
      </c>
      <c r="L832" s="7">
        <f>'3 escalar'!K835</f>
        <v/>
      </c>
      <c r="M832" s="7">
        <f>'3 escalar'!L835</f>
        <v/>
      </c>
      <c r="N832" s="7">
        <f>'3 escalar'!M835</f>
        <v/>
      </c>
      <c r="O832" s="7">
        <f>'3 escalar'!N835</f>
        <v/>
      </c>
      <c r="P832" s="7">
        <f>'3 escalar'!O835</f>
        <v/>
      </c>
      <c r="Q832" s="7">
        <f>'3 escalar'!P835</f>
        <v/>
      </c>
      <c r="R832" s="7">
        <f>'3 escalar'!Q835</f>
        <v/>
      </c>
      <c r="S832" s="7">
        <f>'3 escalar'!R835</f>
        <v/>
      </c>
      <c r="T832" s="7">
        <f>'3 escalar'!S835</f>
        <v/>
      </c>
      <c r="U832" s="7">
        <f>'3 escalar'!T835</f>
        <v/>
      </c>
      <c r="V832" s="6">
        <f>$AC$12+D832*$AC$13+E832*$AC$14+F832*$AC$15+G832*$AC$16+H832*$AC$17+I832*$AC$18+J832*$AC$19+K832*$AC$20+L832*$AC$21+M832*$AC$22+N832*$AC$23+O832*$AC$24+P832*$AC$25+Q832*$AC$26+R832*$AC$27+S832*$AC$28+T832*$AC$29+U832*$AC$30</f>
        <v/>
      </c>
      <c r="W832" s="6">
        <f>1/(1+EXP(-V832))</f>
        <v/>
      </c>
      <c r="X832" s="8">
        <f>-IF(C832=1,LN(W832),LN(1-W832))</f>
        <v/>
      </c>
      <c r="Y832" s="9">
        <f>IF(W832&gt;$AC$32,1,0)</f>
        <v/>
      </c>
      <c r="Z832">
        <f>IF(Y832=C832,1,0)</f>
        <v/>
      </c>
    </row>
    <row r="833">
      <c r="A833">
        <f>'3 escalar'!A836</f>
        <v/>
      </c>
      <c r="B833" s="5">
        <f>'3 escalar'!U836</f>
        <v/>
      </c>
      <c r="C833">
        <f>'3 escalar'!B836</f>
        <v/>
      </c>
      <c r="D833" s="7">
        <f>'3 escalar'!C836</f>
        <v/>
      </c>
      <c r="E833" s="7">
        <f>'3 escalar'!D836</f>
        <v/>
      </c>
      <c r="F833" s="7">
        <f>'3 escalar'!E836</f>
        <v/>
      </c>
      <c r="G833" s="7">
        <f>'3 escalar'!F836</f>
        <v/>
      </c>
      <c r="H833" s="7">
        <f>'3 escalar'!G836</f>
        <v/>
      </c>
      <c r="I833" s="7">
        <f>'3 escalar'!H836</f>
        <v/>
      </c>
      <c r="J833" s="7">
        <f>'3 escalar'!I836</f>
        <v/>
      </c>
      <c r="K833" s="7">
        <f>'3 escalar'!J836</f>
        <v/>
      </c>
      <c r="L833" s="7">
        <f>'3 escalar'!K836</f>
        <v/>
      </c>
      <c r="M833" s="7">
        <f>'3 escalar'!L836</f>
        <v/>
      </c>
      <c r="N833" s="7">
        <f>'3 escalar'!M836</f>
        <v/>
      </c>
      <c r="O833" s="7">
        <f>'3 escalar'!N836</f>
        <v/>
      </c>
      <c r="P833" s="7">
        <f>'3 escalar'!O836</f>
        <v/>
      </c>
      <c r="Q833" s="7">
        <f>'3 escalar'!P836</f>
        <v/>
      </c>
      <c r="R833" s="7">
        <f>'3 escalar'!Q836</f>
        <v/>
      </c>
      <c r="S833" s="7">
        <f>'3 escalar'!R836</f>
        <v/>
      </c>
      <c r="T833" s="7">
        <f>'3 escalar'!S836</f>
        <v/>
      </c>
      <c r="U833" s="7">
        <f>'3 escalar'!T836</f>
        <v/>
      </c>
      <c r="V833" s="6">
        <f>$AC$12+D833*$AC$13+E833*$AC$14+F833*$AC$15+G833*$AC$16+H833*$AC$17+I833*$AC$18+J833*$AC$19+K833*$AC$20+L833*$AC$21+M833*$AC$22+N833*$AC$23+O833*$AC$24+P833*$AC$25+Q833*$AC$26+R833*$AC$27+S833*$AC$28+T833*$AC$29+U833*$AC$30</f>
        <v/>
      </c>
      <c r="W833" s="6">
        <f>1/(1+EXP(-V833))</f>
        <v/>
      </c>
      <c r="X833" s="8">
        <f>-IF(C833=1,LN(W833),LN(1-W833))</f>
        <v/>
      </c>
      <c r="Y833" s="9">
        <f>IF(W833&gt;$AC$32,1,0)</f>
        <v/>
      </c>
      <c r="Z833">
        <f>IF(Y833=C833,1,0)</f>
        <v/>
      </c>
    </row>
    <row r="834">
      <c r="A834">
        <f>'3 escalar'!A837</f>
        <v/>
      </c>
      <c r="B834" s="5">
        <f>'3 escalar'!U837</f>
        <v/>
      </c>
      <c r="C834">
        <f>'3 escalar'!B837</f>
        <v/>
      </c>
      <c r="D834" s="7">
        <f>'3 escalar'!C837</f>
        <v/>
      </c>
      <c r="E834" s="7">
        <f>'3 escalar'!D837</f>
        <v/>
      </c>
      <c r="F834" s="7">
        <f>'3 escalar'!E837</f>
        <v/>
      </c>
      <c r="G834" s="7">
        <f>'3 escalar'!F837</f>
        <v/>
      </c>
      <c r="H834" s="7">
        <f>'3 escalar'!G837</f>
        <v/>
      </c>
      <c r="I834" s="7">
        <f>'3 escalar'!H837</f>
        <v/>
      </c>
      <c r="J834" s="7">
        <f>'3 escalar'!I837</f>
        <v/>
      </c>
      <c r="K834" s="7">
        <f>'3 escalar'!J837</f>
        <v/>
      </c>
      <c r="L834" s="7">
        <f>'3 escalar'!K837</f>
        <v/>
      </c>
      <c r="M834" s="7">
        <f>'3 escalar'!L837</f>
        <v/>
      </c>
      <c r="N834" s="7">
        <f>'3 escalar'!M837</f>
        <v/>
      </c>
      <c r="O834" s="7">
        <f>'3 escalar'!N837</f>
        <v/>
      </c>
      <c r="P834" s="7">
        <f>'3 escalar'!O837</f>
        <v/>
      </c>
      <c r="Q834" s="7">
        <f>'3 escalar'!P837</f>
        <v/>
      </c>
      <c r="R834" s="7">
        <f>'3 escalar'!Q837</f>
        <v/>
      </c>
      <c r="S834" s="7">
        <f>'3 escalar'!R837</f>
        <v/>
      </c>
      <c r="T834" s="7">
        <f>'3 escalar'!S837</f>
        <v/>
      </c>
      <c r="U834" s="7">
        <f>'3 escalar'!T837</f>
        <v/>
      </c>
      <c r="V834" s="6">
        <f>$AC$12+D834*$AC$13+E834*$AC$14+F834*$AC$15+G834*$AC$16+H834*$AC$17+I834*$AC$18+J834*$AC$19+K834*$AC$20+L834*$AC$21+M834*$AC$22+N834*$AC$23+O834*$AC$24+P834*$AC$25+Q834*$AC$26+R834*$AC$27+S834*$AC$28+T834*$AC$29+U834*$AC$30</f>
        <v/>
      </c>
      <c r="W834" s="6">
        <f>1/(1+EXP(-V834))</f>
        <v/>
      </c>
      <c r="X834" s="8">
        <f>-IF(C834=1,LN(W834),LN(1-W834))</f>
        <v/>
      </c>
      <c r="Y834" s="9">
        <f>IF(W834&gt;$AC$32,1,0)</f>
        <v/>
      </c>
      <c r="Z834">
        <f>IF(Y834=C834,1,0)</f>
        <v/>
      </c>
    </row>
    <row r="835">
      <c r="A835">
        <f>'3 escalar'!A838</f>
        <v/>
      </c>
      <c r="B835" s="5">
        <f>'3 escalar'!U838</f>
        <v/>
      </c>
      <c r="C835">
        <f>'3 escalar'!B838</f>
        <v/>
      </c>
      <c r="D835" s="7">
        <f>'3 escalar'!C838</f>
        <v/>
      </c>
      <c r="E835" s="7">
        <f>'3 escalar'!D838</f>
        <v/>
      </c>
      <c r="F835" s="7">
        <f>'3 escalar'!E838</f>
        <v/>
      </c>
      <c r="G835" s="7">
        <f>'3 escalar'!F838</f>
        <v/>
      </c>
      <c r="H835" s="7">
        <f>'3 escalar'!G838</f>
        <v/>
      </c>
      <c r="I835" s="7">
        <f>'3 escalar'!H838</f>
        <v/>
      </c>
      <c r="J835" s="7">
        <f>'3 escalar'!I838</f>
        <v/>
      </c>
      <c r="K835" s="7">
        <f>'3 escalar'!J838</f>
        <v/>
      </c>
      <c r="L835" s="7">
        <f>'3 escalar'!K838</f>
        <v/>
      </c>
      <c r="M835" s="7">
        <f>'3 escalar'!L838</f>
        <v/>
      </c>
      <c r="N835" s="7">
        <f>'3 escalar'!M838</f>
        <v/>
      </c>
      <c r="O835" s="7">
        <f>'3 escalar'!N838</f>
        <v/>
      </c>
      <c r="P835" s="7">
        <f>'3 escalar'!O838</f>
        <v/>
      </c>
      <c r="Q835" s="7">
        <f>'3 escalar'!P838</f>
        <v/>
      </c>
      <c r="R835" s="7">
        <f>'3 escalar'!Q838</f>
        <v/>
      </c>
      <c r="S835" s="7">
        <f>'3 escalar'!R838</f>
        <v/>
      </c>
      <c r="T835" s="7">
        <f>'3 escalar'!S838</f>
        <v/>
      </c>
      <c r="U835" s="7">
        <f>'3 escalar'!T838</f>
        <v/>
      </c>
      <c r="V835" s="6">
        <f>$AC$12+D835*$AC$13+E835*$AC$14+F835*$AC$15+G835*$AC$16+H835*$AC$17+I835*$AC$18+J835*$AC$19+K835*$AC$20+L835*$AC$21+M835*$AC$22+N835*$AC$23+O835*$AC$24+P835*$AC$25+Q835*$AC$26+R835*$AC$27+S835*$AC$28+T835*$AC$29+U835*$AC$30</f>
        <v/>
      </c>
      <c r="W835" s="6">
        <f>1/(1+EXP(-V835))</f>
        <v/>
      </c>
      <c r="X835" s="8">
        <f>-IF(C835=1,LN(W835),LN(1-W835))</f>
        <v/>
      </c>
      <c r="Y835" s="9">
        <f>IF(W835&gt;$AC$32,1,0)</f>
        <v/>
      </c>
      <c r="Z835">
        <f>IF(Y835=C835,1,0)</f>
        <v/>
      </c>
    </row>
    <row r="836">
      <c r="A836">
        <f>'3 escalar'!A839</f>
        <v/>
      </c>
      <c r="B836" s="5">
        <f>'3 escalar'!U839</f>
        <v/>
      </c>
      <c r="C836">
        <f>'3 escalar'!B839</f>
        <v/>
      </c>
      <c r="D836" s="7">
        <f>'3 escalar'!C839</f>
        <v/>
      </c>
      <c r="E836" s="7">
        <f>'3 escalar'!D839</f>
        <v/>
      </c>
      <c r="F836" s="7">
        <f>'3 escalar'!E839</f>
        <v/>
      </c>
      <c r="G836" s="7">
        <f>'3 escalar'!F839</f>
        <v/>
      </c>
      <c r="H836" s="7">
        <f>'3 escalar'!G839</f>
        <v/>
      </c>
      <c r="I836" s="7">
        <f>'3 escalar'!H839</f>
        <v/>
      </c>
      <c r="J836" s="7">
        <f>'3 escalar'!I839</f>
        <v/>
      </c>
      <c r="K836" s="7">
        <f>'3 escalar'!J839</f>
        <v/>
      </c>
      <c r="L836" s="7">
        <f>'3 escalar'!K839</f>
        <v/>
      </c>
      <c r="M836" s="7">
        <f>'3 escalar'!L839</f>
        <v/>
      </c>
      <c r="N836" s="7">
        <f>'3 escalar'!M839</f>
        <v/>
      </c>
      <c r="O836" s="7">
        <f>'3 escalar'!N839</f>
        <v/>
      </c>
      <c r="P836" s="7">
        <f>'3 escalar'!O839</f>
        <v/>
      </c>
      <c r="Q836" s="7">
        <f>'3 escalar'!P839</f>
        <v/>
      </c>
      <c r="R836" s="7">
        <f>'3 escalar'!Q839</f>
        <v/>
      </c>
      <c r="S836" s="7">
        <f>'3 escalar'!R839</f>
        <v/>
      </c>
      <c r="T836" s="7">
        <f>'3 escalar'!S839</f>
        <v/>
      </c>
      <c r="U836" s="7">
        <f>'3 escalar'!T839</f>
        <v/>
      </c>
      <c r="V836" s="6">
        <f>$AC$12+D836*$AC$13+E836*$AC$14+F836*$AC$15+G836*$AC$16+H836*$AC$17+I836*$AC$18+J836*$AC$19+K836*$AC$20+L836*$AC$21+M836*$AC$22+N836*$AC$23+O836*$AC$24+P836*$AC$25+Q836*$AC$26+R836*$AC$27+S836*$AC$28+T836*$AC$29+U836*$AC$30</f>
        <v/>
      </c>
      <c r="W836" s="6">
        <f>1/(1+EXP(-V836))</f>
        <v/>
      </c>
      <c r="X836" s="8">
        <f>-IF(C836=1,LN(W836),LN(1-W836))</f>
        <v/>
      </c>
      <c r="Y836" s="9">
        <f>IF(W836&gt;$AC$32,1,0)</f>
        <v/>
      </c>
      <c r="Z836">
        <f>IF(Y836=C836,1,0)</f>
        <v/>
      </c>
    </row>
    <row r="837">
      <c r="A837">
        <f>'3 escalar'!A840</f>
        <v/>
      </c>
      <c r="B837" s="5">
        <f>'3 escalar'!U840</f>
        <v/>
      </c>
      <c r="C837">
        <f>'3 escalar'!B840</f>
        <v/>
      </c>
      <c r="D837" s="7">
        <f>'3 escalar'!C840</f>
        <v/>
      </c>
      <c r="E837" s="7">
        <f>'3 escalar'!D840</f>
        <v/>
      </c>
      <c r="F837" s="7">
        <f>'3 escalar'!E840</f>
        <v/>
      </c>
      <c r="G837" s="7">
        <f>'3 escalar'!F840</f>
        <v/>
      </c>
      <c r="H837" s="7">
        <f>'3 escalar'!G840</f>
        <v/>
      </c>
      <c r="I837" s="7">
        <f>'3 escalar'!H840</f>
        <v/>
      </c>
      <c r="J837" s="7">
        <f>'3 escalar'!I840</f>
        <v/>
      </c>
      <c r="K837" s="7">
        <f>'3 escalar'!J840</f>
        <v/>
      </c>
      <c r="L837" s="7">
        <f>'3 escalar'!K840</f>
        <v/>
      </c>
      <c r="M837" s="7">
        <f>'3 escalar'!L840</f>
        <v/>
      </c>
      <c r="N837" s="7">
        <f>'3 escalar'!M840</f>
        <v/>
      </c>
      <c r="O837" s="7">
        <f>'3 escalar'!N840</f>
        <v/>
      </c>
      <c r="P837" s="7">
        <f>'3 escalar'!O840</f>
        <v/>
      </c>
      <c r="Q837" s="7">
        <f>'3 escalar'!P840</f>
        <v/>
      </c>
      <c r="R837" s="7">
        <f>'3 escalar'!Q840</f>
        <v/>
      </c>
      <c r="S837" s="7">
        <f>'3 escalar'!R840</f>
        <v/>
      </c>
      <c r="T837" s="7">
        <f>'3 escalar'!S840</f>
        <v/>
      </c>
      <c r="U837" s="7">
        <f>'3 escalar'!T840</f>
        <v/>
      </c>
      <c r="V837" s="6">
        <f>$AC$12+D837*$AC$13+E837*$AC$14+F837*$AC$15+G837*$AC$16+H837*$AC$17+I837*$AC$18+J837*$AC$19+K837*$AC$20+L837*$AC$21+M837*$AC$22+N837*$AC$23+O837*$AC$24+P837*$AC$25+Q837*$AC$26+R837*$AC$27+S837*$AC$28+T837*$AC$29+U837*$AC$30</f>
        <v/>
      </c>
      <c r="W837" s="6">
        <f>1/(1+EXP(-V837))</f>
        <v/>
      </c>
      <c r="X837" s="8">
        <f>-IF(C837=1,LN(W837),LN(1-W837))</f>
        <v/>
      </c>
      <c r="Y837" s="9">
        <f>IF(W837&gt;$AC$32,1,0)</f>
        <v/>
      </c>
      <c r="Z837">
        <f>IF(Y837=C837,1,0)</f>
        <v/>
      </c>
    </row>
    <row r="838">
      <c r="A838">
        <f>'3 escalar'!A841</f>
        <v/>
      </c>
      <c r="B838" s="5">
        <f>'3 escalar'!U841</f>
        <v/>
      </c>
      <c r="C838">
        <f>'3 escalar'!B841</f>
        <v/>
      </c>
      <c r="D838" s="7">
        <f>'3 escalar'!C841</f>
        <v/>
      </c>
      <c r="E838" s="7">
        <f>'3 escalar'!D841</f>
        <v/>
      </c>
      <c r="F838" s="7">
        <f>'3 escalar'!E841</f>
        <v/>
      </c>
      <c r="G838" s="7">
        <f>'3 escalar'!F841</f>
        <v/>
      </c>
      <c r="H838" s="7">
        <f>'3 escalar'!G841</f>
        <v/>
      </c>
      <c r="I838" s="7">
        <f>'3 escalar'!H841</f>
        <v/>
      </c>
      <c r="J838" s="7">
        <f>'3 escalar'!I841</f>
        <v/>
      </c>
      <c r="K838" s="7">
        <f>'3 escalar'!J841</f>
        <v/>
      </c>
      <c r="L838" s="7">
        <f>'3 escalar'!K841</f>
        <v/>
      </c>
      <c r="M838" s="7">
        <f>'3 escalar'!L841</f>
        <v/>
      </c>
      <c r="N838" s="7">
        <f>'3 escalar'!M841</f>
        <v/>
      </c>
      <c r="O838" s="7">
        <f>'3 escalar'!N841</f>
        <v/>
      </c>
      <c r="P838" s="7">
        <f>'3 escalar'!O841</f>
        <v/>
      </c>
      <c r="Q838" s="7">
        <f>'3 escalar'!P841</f>
        <v/>
      </c>
      <c r="R838" s="7">
        <f>'3 escalar'!Q841</f>
        <v/>
      </c>
      <c r="S838" s="7">
        <f>'3 escalar'!R841</f>
        <v/>
      </c>
      <c r="T838" s="7">
        <f>'3 escalar'!S841</f>
        <v/>
      </c>
      <c r="U838" s="7">
        <f>'3 escalar'!T841</f>
        <v/>
      </c>
      <c r="V838" s="6">
        <f>$AC$12+D838*$AC$13+E838*$AC$14+F838*$AC$15+G838*$AC$16+H838*$AC$17+I838*$AC$18+J838*$AC$19+K838*$AC$20+L838*$AC$21+M838*$AC$22+N838*$AC$23+O838*$AC$24+P838*$AC$25+Q838*$AC$26+R838*$AC$27+S838*$AC$28+T838*$AC$29+U838*$AC$30</f>
        <v/>
      </c>
      <c r="W838" s="6">
        <f>1/(1+EXP(-V838))</f>
        <v/>
      </c>
      <c r="X838" s="8">
        <f>-IF(C838=1,LN(W838),LN(1-W838))</f>
        <v/>
      </c>
      <c r="Y838" s="9">
        <f>IF(W838&gt;$AC$32,1,0)</f>
        <v/>
      </c>
      <c r="Z838">
        <f>IF(Y838=C838,1,0)</f>
        <v/>
      </c>
    </row>
    <row r="839">
      <c r="A839">
        <f>'3 escalar'!A842</f>
        <v/>
      </c>
      <c r="B839" s="5">
        <f>'3 escalar'!U842</f>
        <v/>
      </c>
      <c r="C839">
        <f>'3 escalar'!B842</f>
        <v/>
      </c>
      <c r="D839" s="7">
        <f>'3 escalar'!C842</f>
        <v/>
      </c>
      <c r="E839" s="7">
        <f>'3 escalar'!D842</f>
        <v/>
      </c>
      <c r="F839" s="7">
        <f>'3 escalar'!E842</f>
        <v/>
      </c>
      <c r="G839" s="7">
        <f>'3 escalar'!F842</f>
        <v/>
      </c>
      <c r="H839" s="7">
        <f>'3 escalar'!G842</f>
        <v/>
      </c>
      <c r="I839" s="7">
        <f>'3 escalar'!H842</f>
        <v/>
      </c>
      <c r="J839" s="7">
        <f>'3 escalar'!I842</f>
        <v/>
      </c>
      <c r="K839" s="7">
        <f>'3 escalar'!J842</f>
        <v/>
      </c>
      <c r="L839" s="7">
        <f>'3 escalar'!K842</f>
        <v/>
      </c>
      <c r="M839" s="7">
        <f>'3 escalar'!L842</f>
        <v/>
      </c>
      <c r="N839" s="7">
        <f>'3 escalar'!M842</f>
        <v/>
      </c>
      <c r="O839" s="7">
        <f>'3 escalar'!N842</f>
        <v/>
      </c>
      <c r="P839" s="7">
        <f>'3 escalar'!O842</f>
        <v/>
      </c>
      <c r="Q839" s="7">
        <f>'3 escalar'!P842</f>
        <v/>
      </c>
      <c r="R839" s="7">
        <f>'3 escalar'!Q842</f>
        <v/>
      </c>
      <c r="S839" s="7">
        <f>'3 escalar'!R842</f>
        <v/>
      </c>
      <c r="T839" s="7">
        <f>'3 escalar'!S842</f>
        <v/>
      </c>
      <c r="U839" s="7">
        <f>'3 escalar'!T842</f>
        <v/>
      </c>
      <c r="V839" s="6">
        <f>$AC$12+D839*$AC$13+E839*$AC$14+F839*$AC$15+G839*$AC$16+H839*$AC$17+I839*$AC$18+J839*$AC$19+K839*$AC$20+L839*$AC$21+M839*$AC$22+N839*$AC$23+O839*$AC$24+P839*$AC$25+Q839*$AC$26+R839*$AC$27+S839*$AC$28+T839*$AC$29+U839*$AC$30</f>
        <v/>
      </c>
      <c r="W839" s="6">
        <f>1/(1+EXP(-V839))</f>
        <v/>
      </c>
      <c r="X839" s="8">
        <f>-IF(C839=1,LN(W839),LN(1-W839))</f>
        <v/>
      </c>
      <c r="Y839" s="9">
        <f>IF(W839&gt;$AC$32,1,0)</f>
        <v/>
      </c>
      <c r="Z839">
        <f>IF(Y839=C839,1,0)</f>
        <v/>
      </c>
    </row>
    <row r="840">
      <c r="A840">
        <f>'3 escalar'!A843</f>
        <v/>
      </c>
      <c r="B840" s="5">
        <f>'3 escalar'!U843</f>
        <v/>
      </c>
      <c r="C840">
        <f>'3 escalar'!B843</f>
        <v/>
      </c>
      <c r="D840" s="7">
        <f>'3 escalar'!C843</f>
        <v/>
      </c>
      <c r="E840" s="7">
        <f>'3 escalar'!D843</f>
        <v/>
      </c>
      <c r="F840" s="7">
        <f>'3 escalar'!E843</f>
        <v/>
      </c>
      <c r="G840" s="7">
        <f>'3 escalar'!F843</f>
        <v/>
      </c>
      <c r="H840" s="7">
        <f>'3 escalar'!G843</f>
        <v/>
      </c>
      <c r="I840" s="7">
        <f>'3 escalar'!H843</f>
        <v/>
      </c>
      <c r="J840" s="7">
        <f>'3 escalar'!I843</f>
        <v/>
      </c>
      <c r="K840" s="7">
        <f>'3 escalar'!J843</f>
        <v/>
      </c>
      <c r="L840" s="7">
        <f>'3 escalar'!K843</f>
        <v/>
      </c>
      <c r="M840" s="7">
        <f>'3 escalar'!L843</f>
        <v/>
      </c>
      <c r="N840" s="7">
        <f>'3 escalar'!M843</f>
        <v/>
      </c>
      <c r="O840" s="7">
        <f>'3 escalar'!N843</f>
        <v/>
      </c>
      <c r="P840" s="7">
        <f>'3 escalar'!O843</f>
        <v/>
      </c>
      <c r="Q840" s="7">
        <f>'3 escalar'!P843</f>
        <v/>
      </c>
      <c r="R840" s="7">
        <f>'3 escalar'!Q843</f>
        <v/>
      </c>
      <c r="S840" s="7">
        <f>'3 escalar'!R843</f>
        <v/>
      </c>
      <c r="T840" s="7">
        <f>'3 escalar'!S843</f>
        <v/>
      </c>
      <c r="U840" s="7">
        <f>'3 escalar'!T843</f>
        <v/>
      </c>
      <c r="V840" s="6">
        <f>$AC$12+D840*$AC$13+E840*$AC$14+F840*$AC$15+G840*$AC$16+H840*$AC$17+I840*$AC$18+J840*$AC$19+K840*$AC$20+L840*$AC$21+M840*$AC$22+N840*$AC$23+O840*$AC$24+P840*$AC$25+Q840*$AC$26+R840*$AC$27+S840*$AC$28+T840*$AC$29+U840*$AC$30</f>
        <v/>
      </c>
      <c r="W840" s="6">
        <f>1/(1+EXP(-V840))</f>
        <v/>
      </c>
      <c r="X840" s="8">
        <f>-IF(C840=1,LN(W840),LN(1-W840))</f>
        <v/>
      </c>
      <c r="Y840" s="9">
        <f>IF(W840&gt;$AC$32,1,0)</f>
        <v/>
      </c>
      <c r="Z840">
        <f>IF(Y840=C840,1,0)</f>
        <v/>
      </c>
    </row>
    <row r="841">
      <c r="A841">
        <f>'3 escalar'!A844</f>
        <v/>
      </c>
      <c r="B841" s="5">
        <f>'3 escalar'!U844</f>
        <v/>
      </c>
      <c r="C841">
        <f>'3 escalar'!B844</f>
        <v/>
      </c>
      <c r="D841" s="7">
        <f>'3 escalar'!C844</f>
        <v/>
      </c>
      <c r="E841" s="7">
        <f>'3 escalar'!D844</f>
        <v/>
      </c>
      <c r="F841" s="7">
        <f>'3 escalar'!E844</f>
        <v/>
      </c>
      <c r="G841" s="7">
        <f>'3 escalar'!F844</f>
        <v/>
      </c>
      <c r="H841" s="7">
        <f>'3 escalar'!G844</f>
        <v/>
      </c>
      <c r="I841" s="7">
        <f>'3 escalar'!H844</f>
        <v/>
      </c>
      <c r="J841" s="7">
        <f>'3 escalar'!I844</f>
        <v/>
      </c>
      <c r="K841" s="7">
        <f>'3 escalar'!J844</f>
        <v/>
      </c>
      <c r="L841" s="7">
        <f>'3 escalar'!K844</f>
        <v/>
      </c>
      <c r="M841" s="7">
        <f>'3 escalar'!L844</f>
        <v/>
      </c>
      <c r="N841" s="7">
        <f>'3 escalar'!M844</f>
        <v/>
      </c>
      <c r="O841" s="7">
        <f>'3 escalar'!N844</f>
        <v/>
      </c>
      <c r="P841" s="7">
        <f>'3 escalar'!O844</f>
        <v/>
      </c>
      <c r="Q841" s="7">
        <f>'3 escalar'!P844</f>
        <v/>
      </c>
      <c r="R841" s="7">
        <f>'3 escalar'!Q844</f>
        <v/>
      </c>
      <c r="S841" s="7">
        <f>'3 escalar'!R844</f>
        <v/>
      </c>
      <c r="T841" s="7">
        <f>'3 escalar'!S844</f>
        <v/>
      </c>
      <c r="U841" s="7">
        <f>'3 escalar'!T844</f>
        <v/>
      </c>
      <c r="V841" s="6">
        <f>$AC$12+D841*$AC$13+E841*$AC$14+F841*$AC$15+G841*$AC$16+H841*$AC$17+I841*$AC$18+J841*$AC$19+K841*$AC$20+L841*$AC$21+M841*$AC$22+N841*$AC$23+O841*$AC$24+P841*$AC$25+Q841*$AC$26+R841*$AC$27+S841*$AC$28+T841*$AC$29+U841*$AC$30</f>
        <v/>
      </c>
      <c r="W841" s="6">
        <f>1/(1+EXP(-V841))</f>
        <v/>
      </c>
      <c r="X841" s="8">
        <f>-IF(C841=1,LN(W841),LN(1-W841))</f>
        <v/>
      </c>
      <c r="Y841" s="9">
        <f>IF(W841&gt;$AC$32,1,0)</f>
        <v/>
      </c>
      <c r="Z841">
        <f>IF(Y841=C841,1,0)</f>
        <v/>
      </c>
    </row>
    <row r="842">
      <c r="A842">
        <f>'3 escalar'!A845</f>
        <v/>
      </c>
      <c r="B842" s="5">
        <f>'3 escalar'!U845</f>
        <v/>
      </c>
      <c r="C842">
        <f>'3 escalar'!B845</f>
        <v/>
      </c>
      <c r="D842" s="7">
        <f>'3 escalar'!C845</f>
        <v/>
      </c>
      <c r="E842" s="7">
        <f>'3 escalar'!D845</f>
        <v/>
      </c>
      <c r="F842" s="7">
        <f>'3 escalar'!E845</f>
        <v/>
      </c>
      <c r="G842" s="7">
        <f>'3 escalar'!F845</f>
        <v/>
      </c>
      <c r="H842" s="7">
        <f>'3 escalar'!G845</f>
        <v/>
      </c>
      <c r="I842" s="7">
        <f>'3 escalar'!H845</f>
        <v/>
      </c>
      <c r="J842" s="7">
        <f>'3 escalar'!I845</f>
        <v/>
      </c>
      <c r="K842" s="7">
        <f>'3 escalar'!J845</f>
        <v/>
      </c>
      <c r="L842" s="7">
        <f>'3 escalar'!K845</f>
        <v/>
      </c>
      <c r="M842" s="7">
        <f>'3 escalar'!L845</f>
        <v/>
      </c>
      <c r="N842" s="7">
        <f>'3 escalar'!M845</f>
        <v/>
      </c>
      <c r="O842" s="7">
        <f>'3 escalar'!N845</f>
        <v/>
      </c>
      <c r="P842" s="7">
        <f>'3 escalar'!O845</f>
        <v/>
      </c>
      <c r="Q842" s="7">
        <f>'3 escalar'!P845</f>
        <v/>
      </c>
      <c r="R842" s="7">
        <f>'3 escalar'!Q845</f>
        <v/>
      </c>
      <c r="S842" s="7">
        <f>'3 escalar'!R845</f>
        <v/>
      </c>
      <c r="T842" s="7">
        <f>'3 escalar'!S845</f>
        <v/>
      </c>
      <c r="U842" s="7">
        <f>'3 escalar'!T845</f>
        <v/>
      </c>
      <c r="V842" s="6">
        <f>$AC$12+D842*$AC$13+E842*$AC$14+F842*$AC$15+G842*$AC$16+H842*$AC$17+I842*$AC$18+J842*$AC$19+K842*$AC$20+L842*$AC$21+M842*$AC$22+N842*$AC$23+O842*$AC$24+P842*$AC$25+Q842*$AC$26+R842*$AC$27+S842*$AC$28+T842*$AC$29+U842*$AC$30</f>
        <v/>
      </c>
      <c r="W842" s="6">
        <f>1/(1+EXP(-V842))</f>
        <v/>
      </c>
      <c r="X842" s="8">
        <f>-IF(C842=1,LN(W842),LN(1-W842))</f>
        <v/>
      </c>
      <c r="Y842" s="9">
        <f>IF(W842&gt;$AC$32,1,0)</f>
        <v/>
      </c>
      <c r="Z842">
        <f>IF(Y842=C842,1,0)</f>
        <v/>
      </c>
    </row>
    <row r="843">
      <c r="A843">
        <f>'3 escalar'!A846</f>
        <v/>
      </c>
      <c r="B843" s="5">
        <f>'3 escalar'!U846</f>
        <v/>
      </c>
      <c r="C843">
        <f>'3 escalar'!B846</f>
        <v/>
      </c>
      <c r="D843" s="7">
        <f>'3 escalar'!C846</f>
        <v/>
      </c>
      <c r="E843" s="7">
        <f>'3 escalar'!D846</f>
        <v/>
      </c>
      <c r="F843" s="7">
        <f>'3 escalar'!E846</f>
        <v/>
      </c>
      <c r="G843" s="7">
        <f>'3 escalar'!F846</f>
        <v/>
      </c>
      <c r="H843" s="7">
        <f>'3 escalar'!G846</f>
        <v/>
      </c>
      <c r="I843" s="7">
        <f>'3 escalar'!H846</f>
        <v/>
      </c>
      <c r="J843" s="7">
        <f>'3 escalar'!I846</f>
        <v/>
      </c>
      <c r="K843" s="7">
        <f>'3 escalar'!J846</f>
        <v/>
      </c>
      <c r="L843" s="7">
        <f>'3 escalar'!K846</f>
        <v/>
      </c>
      <c r="M843" s="7">
        <f>'3 escalar'!L846</f>
        <v/>
      </c>
      <c r="N843" s="7">
        <f>'3 escalar'!M846</f>
        <v/>
      </c>
      <c r="O843" s="7">
        <f>'3 escalar'!N846</f>
        <v/>
      </c>
      <c r="P843" s="7">
        <f>'3 escalar'!O846</f>
        <v/>
      </c>
      <c r="Q843" s="7">
        <f>'3 escalar'!P846</f>
        <v/>
      </c>
      <c r="R843" s="7">
        <f>'3 escalar'!Q846</f>
        <v/>
      </c>
      <c r="S843" s="7">
        <f>'3 escalar'!R846</f>
        <v/>
      </c>
      <c r="T843" s="7">
        <f>'3 escalar'!S846</f>
        <v/>
      </c>
      <c r="U843" s="7">
        <f>'3 escalar'!T846</f>
        <v/>
      </c>
      <c r="V843" s="6">
        <f>$AC$12+D843*$AC$13+E843*$AC$14+F843*$AC$15+G843*$AC$16+H843*$AC$17+I843*$AC$18+J843*$AC$19+K843*$AC$20+L843*$AC$21+M843*$AC$22+N843*$AC$23+O843*$AC$24+P843*$AC$25+Q843*$AC$26+R843*$AC$27+S843*$AC$28+T843*$AC$29+U843*$AC$30</f>
        <v/>
      </c>
      <c r="W843" s="6">
        <f>1/(1+EXP(-V843))</f>
        <v/>
      </c>
      <c r="X843" s="8">
        <f>-IF(C843=1,LN(W843),LN(1-W843))</f>
        <v/>
      </c>
      <c r="Y843" s="9">
        <f>IF(W843&gt;$AC$32,1,0)</f>
        <v/>
      </c>
      <c r="Z843">
        <f>IF(Y843=C843,1,0)</f>
        <v/>
      </c>
    </row>
    <row r="844">
      <c r="A844">
        <f>'3 escalar'!A847</f>
        <v/>
      </c>
      <c r="B844" s="5">
        <f>'3 escalar'!U847</f>
        <v/>
      </c>
      <c r="C844">
        <f>'3 escalar'!B847</f>
        <v/>
      </c>
      <c r="D844" s="7">
        <f>'3 escalar'!C847</f>
        <v/>
      </c>
      <c r="E844" s="7">
        <f>'3 escalar'!D847</f>
        <v/>
      </c>
      <c r="F844" s="7">
        <f>'3 escalar'!E847</f>
        <v/>
      </c>
      <c r="G844" s="7">
        <f>'3 escalar'!F847</f>
        <v/>
      </c>
      <c r="H844" s="7">
        <f>'3 escalar'!G847</f>
        <v/>
      </c>
      <c r="I844" s="7">
        <f>'3 escalar'!H847</f>
        <v/>
      </c>
      <c r="J844" s="7">
        <f>'3 escalar'!I847</f>
        <v/>
      </c>
      <c r="K844" s="7">
        <f>'3 escalar'!J847</f>
        <v/>
      </c>
      <c r="L844" s="7">
        <f>'3 escalar'!K847</f>
        <v/>
      </c>
      <c r="M844" s="7">
        <f>'3 escalar'!L847</f>
        <v/>
      </c>
      <c r="N844" s="7">
        <f>'3 escalar'!M847</f>
        <v/>
      </c>
      <c r="O844" s="7">
        <f>'3 escalar'!N847</f>
        <v/>
      </c>
      <c r="P844" s="7">
        <f>'3 escalar'!O847</f>
        <v/>
      </c>
      <c r="Q844" s="7">
        <f>'3 escalar'!P847</f>
        <v/>
      </c>
      <c r="R844" s="7">
        <f>'3 escalar'!Q847</f>
        <v/>
      </c>
      <c r="S844" s="7">
        <f>'3 escalar'!R847</f>
        <v/>
      </c>
      <c r="T844" s="7">
        <f>'3 escalar'!S847</f>
        <v/>
      </c>
      <c r="U844" s="7">
        <f>'3 escalar'!T847</f>
        <v/>
      </c>
      <c r="V844" s="6">
        <f>$AC$12+D844*$AC$13+E844*$AC$14+F844*$AC$15+G844*$AC$16+H844*$AC$17+I844*$AC$18+J844*$AC$19+K844*$AC$20+L844*$AC$21+M844*$AC$22+N844*$AC$23+O844*$AC$24+P844*$AC$25+Q844*$AC$26+R844*$AC$27+S844*$AC$28+T844*$AC$29+U844*$AC$30</f>
        <v/>
      </c>
      <c r="W844" s="6">
        <f>1/(1+EXP(-V844))</f>
        <v/>
      </c>
      <c r="X844" s="8">
        <f>-IF(C844=1,LN(W844),LN(1-W844))</f>
        <v/>
      </c>
      <c r="Y844" s="9">
        <f>IF(W844&gt;$AC$32,1,0)</f>
        <v/>
      </c>
      <c r="Z844">
        <f>IF(Y844=C844,1,0)</f>
        <v/>
      </c>
    </row>
    <row r="845">
      <c r="A845">
        <f>'3 escalar'!A848</f>
        <v/>
      </c>
      <c r="B845" s="5">
        <f>'3 escalar'!U848</f>
        <v/>
      </c>
      <c r="C845">
        <f>'3 escalar'!B848</f>
        <v/>
      </c>
      <c r="D845" s="7">
        <f>'3 escalar'!C848</f>
        <v/>
      </c>
      <c r="E845" s="7">
        <f>'3 escalar'!D848</f>
        <v/>
      </c>
      <c r="F845" s="7">
        <f>'3 escalar'!E848</f>
        <v/>
      </c>
      <c r="G845" s="7">
        <f>'3 escalar'!F848</f>
        <v/>
      </c>
      <c r="H845" s="7">
        <f>'3 escalar'!G848</f>
        <v/>
      </c>
      <c r="I845" s="7">
        <f>'3 escalar'!H848</f>
        <v/>
      </c>
      <c r="J845" s="7">
        <f>'3 escalar'!I848</f>
        <v/>
      </c>
      <c r="K845" s="7">
        <f>'3 escalar'!J848</f>
        <v/>
      </c>
      <c r="L845" s="7">
        <f>'3 escalar'!K848</f>
        <v/>
      </c>
      <c r="M845" s="7">
        <f>'3 escalar'!L848</f>
        <v/>
      </c>
      <c r="N845" s="7">
        <f>'3 escalar'!M848</f>
        <v/>
      </c>
      <c r="O845" s="7">
        <f>'3 escalar'!N848</f>
        <v/>
      </c>
      <c r="P845" s="7">
        <f>'3 escalar'!O848</f>
        <v/>
      </c>
      <c r="Q845" s="7">
        <f>'3 escalar'!P848</f>
        <v/>
      </c>
      <c r="R845" s="7">
        <f>'3 escalar'!Q848</f>
        <v/>
      </c>
      <c r="S845" s="7">
        <f>'3 escalar'!R848</f>
        <v/>
      </c>
      <c r="T845" s="7">
        <f>'3 escalar'!S848</f>
        <v/>
      </c>
      <c r="U845" s="7">
        <f>'3 escalar'!T848</f>
        <v/>
      </c>
      <c r="V845" s="6">
        <f>$AC$12+D845*$AC$13+E845*$AC$14+F845*$AC$15+G845*$AC$16+H845*$AC$17+I845*$AC$18+J845*$AC$19+K845*$AC$20+L845*$AC$21+M845*$AC$22+N845*$AC$23+O845*$AC$24+P845*$AC$25+Q845*$AC$26+R845*$AC$27+S845*$AC$28+T845*$AC$29+U845*$AC$30</f>
        <v/>
      </c>
      <c r="W845" s="6">
        <f>1/(1+EXP(-V845))</f>
        <v/>
      </c>
      <c r="X845" s="8">
        <f>-IF(C845=1,LN(W845),LN(1-W845))</f>
        <v/>
      </c>
      <c r="Y845" s="9">
        <f>IF(W845&gt;$AC$32,1,0)</f>
        <v/>
      </c>
      <c r="Z845">
        <f>IF(Y845=C845,1,0)</f>
        <v/>
      </c>
    </row>
    <row r="846">
      <c r="A846">
        <f>'3 escalar'!A849</f>
        <v/>
      </c>
      <c r="B846" s="5">
        <f>'3 escalar'!U849</f>
        <v/>
      </c>
      <c r="C846">
        <f>'3 escalar'!B849</f>
        <v/>
      </c>
      <c r="D846" s="7">
        <f>'3 escalar'!C849</f>
        <v/>
      </c>
      <c r="E846" s="7">
        <f>'3 escalar'!D849</f>
        <v/>
      </c>
      <c r="F846" s="7">
        <f>'3 escalar'!E849</f>
        <v/>
      </c>
      <c r="G846" s="7">
        <f>'3 escalar'!F849</f>
        <v/>
      </c>
      <c r="H846" s="7">
        <f>'3 escalar'!G849</f>
        <v/>
      </c>
      <c r="I846" s="7">
        <f>'3 escalar'!H849</f>
        <v/>
      </c>
      <c r="J846" s="7">
        <f>'3 escalar'!I849</f>
        <v/>
      </c>
      <c r="K846" s="7">
        <f>'3 escalar'!J849</f>
        <v/>
      </c>
      <c r="L846" s="7">
        <f>'3 escalar'!K849</f>
        <v/>
      </c>
      <c r="M846" s="7">
        <f>'3 escalar'!L849</f>
        <v/>
      </c>
      <c r="N846" s="7">
        <f>'3 escalar'!M849</f>
        <v/>
      </c>
      <c r="O846" s="7">
        <f>'3 escalar'!N849</f>
        <v/>
      </c>
      <c r="P846" s="7">
        <f>'3 escalar'!O849</f>
        <v/>
      </c>
      <c r="Q846" s="7">
        <f>'3 escalar'!P849</f>
        <v/>
      </c>
      <c r="R846" s="7">
        <f>'3 escalar'!Q849</f>
        <v/>
      </c>
      <c r="S846" s="7">
        <f>'3 escalar'!R849</f>
        <v/>
      </c>
      <c r="T846" s="7">
        <f>'3 escalar'!S849</f>
        <v/>
      </c>
      <c r="U846" s="7">
        <f>'3 escalar'!T849</f>
        <v/>
      </c>
      <c r="V846" s="6">
        <f>$AC$12+D846*$AC$13+E846*$AC$14+F846*$AC$15+G846*$AC$16+H846*$AC$17+I846*$AC$18+J846*$AC$19+K846*$AC$20+L846*$AC$21+M846*$AC$22+N846*$AC$23+O846*$AC$24+P846*$AC$25+Q846*$AC$26+R846*$AC$27+S846*$AC$28+T846*$AC$29+U846*$AC$30</f>
        <v/>
      </c>
      <c r="W846" s="6">
        <f>1/(1+EXP(-V846))</f>
        <v/>
      </c>
      <c r="X846" s="8">
        <f>-IF(C846=1,LN(W846),LN(1-W846))</f>
        <v/>
      </c>
      <c r="Y846" s="9">
        <f>IF(W846&gt;$AC$32,1,0)</f>
        <v/>
      </c>
      <c r="Z846">
        <f>IF(Y846=C846,1,0)</f>
        <v/>
      </c>
    </row>
    <row r="847">
      <c r="A847">
        <f>'3 escalar'!A850</f>
        <v/>
      </c>
      <c r="B847" s="5">
        <f>'3 escalar'!U850</f>
        <v/>
      </c>
      <c r="C847">
        <f>'3 escalar'!B850</f>
        <v/>
      </c>
      <c r="D847" s="7">
        <f>'3 escalar'!C850</f>
        <v/>
      </c>
      <c r="E847" s="7">
        <f>'3 escalar'!D850</f>
        <v/>
      </c>
      <c r="F847" s="7">
        <f>'3 escalar'!E850</f>
        <v/>
      </c>
      <c r="G847" s="7">
        <f>'3 escalar'!F850</f>
        <v/>
      </c>
      <c r="H847" s="7">
        <f>'3 escalar'!G850</f>
        <v/>
      </c>
      <c r="I847" s="7">
        <f>'3 escalar'!H850</f>
        <v/>
      </c>
      <c r="J847" s="7">
        <f>'3 escalar'!I850</f>
        <v/>
      </c>
      <c r="K847" s="7">
        <f>'3 escalar'!J850</f>
        <v/>
      </c>
      <c r="L847" s="7">
        <f>'3 escalar'!K850</f>
        <v/>
      </c>
      <c r="M847" s="7">
        <f>'3 escalar'!L850</f>
        <v/>
      </c>
      <c r="N847" s="7">
        <f>'3 escalar'!M850</f>
        <v/>
      </c>
      <c r="O847" s="7">
        <f>'3 escalar'!N850</f>
        <v/>
      </c>
      <c r="P847" s="7">
        <f>'3 escalar'!O850</f>
        <v/>
      </c>
      <c r="Q847" s="7">
        <f>'3 escalar'!P850</f>
        <v/>
      </c>
      <c r="R847" s="7">
        <f>'3 escalar'!Q850</f>
        <v/>
      </c>
      <c r="S847" s="7">
        <f>'3 escalar'!R850</f>
        <v/>
      </c>
      <c r="T847" s="7">
        <f>'3 escalar'!S850</f>
        <v/>
      </c>
      <c r="U847" s="7">
        <f>'3 escalar'!T850</f>
        <v/>
      </c>
      <c r="V847" s="6">
        <f>$AC$12+D847*$AC$13+E847*$AC$14+F847*$AC$15+G847*$AC$16+H847*$AC$17+I847*$AC$18+J847*$AC$19+K847*$AC$20+L847*$AC$21+M847*$AC$22+N847*$AC$23+O847*$AC$24+P847*$AC$25+Q847*$AC$26+R847*$AC$27+S847*$AC$28+T847*$AC$29+U847*$AC$30</f>
        <v/>
      </c>
      <c r="W847" s="6">
        <f>1/(1+EXP(-V847))</f>
        <v/>
      </c>
      <c r="X847" s="8">
        <f>-IF(C847=1,LN(W847),LN(1-W847))</f>
        <v/>
      </c>
      <c r="Y847" s="9">
        <f>IF(W847&gt;$AC$32,1,0)</f>
        <v/>
      </c>
      <c r="Z847">
        <f>IF(Y847=C847,1,0)</f>
        <v/>
      </c>
    </row>
    <row r="848">
      <c r="A848">
        <f>'3 escalar'!A851</f>
        <v/>
      </c>
      <c r="B848" s="5">
        <f>'3 escalar'!U851</f>
        <v/>
      </c>
      <c r="C848">
        <f>'3 escalar'!B851</f>
        <v/>
      </c>
      <c r="D848" s="7">
        <f>'3 escalar'!C851</f>
        <v/>
      </c>
      <c r="E848" s="7">
        <f>'3 escalar'!D851</f>
        <v/>
      </c>
      <c r="F848" s="7">
        <f>'3 escalar'!E851</f>
        <v/>
      </c>
      <c r="G848" s="7">
        <f>'3 escalar'!F851</f>
        <v/>
      </c>
      <c r="H848" s="7">
        <f>'3 escalar'!G851</f>
        <v/>
      </c>
      <c r="I848" s="7">
        <f>'3 escalar'!H851</f>
        <v/>
      </c>
      <c r="J848" s="7">
        <f>'3 escalar'!I851</f>
        <v/>
      </c>
      <c r="K848" s="7">
        <f>'3 escalar'!J851</f>
        <v/>
      </c>
      <c r="L848" s="7">
        <f>'3 escalar'!K851</f>
        <v/>
      </c>
      <c r="M848" s="7">
        <f>'3 escalar'!L851</f>
        <v/>
      </c>
      <c r="N848" s="7">
        <f>'3 escalar'!M851</f>
        <v/>
      </c>
      <c r="O848" s="7">
        <f>'3 escalar'!N851</f>
        <v/>
      </c>
      <c r="P848" s="7">
        <f>'3 escalar'!O851</f>
        <v/>
      </c>
      <c r="Q848" s="7">
        <f>'3 escalar'!P851</f>
        <v/>
      </c>
      <c r="R848" s="7">
        <f>'3 escalar'!Q851</f>
        <v/>
      </c>
      <c r="S848" s="7">
        <f>'3 escalar'!R851</f>
        <v/>
      </c>
      <c r="T848" s="7">
        <f>'3 escalar'!S851</f>
        <v/>
      </c>
      <c r="U848" s="7">
        <f>'3 escalar'!T851</f>
        <v/>
      </c>
      <c r="V848" s="6">
        <f>$AC$12+D848*$AC$13+E848*$AC$14+F848*$AC$15+G848*$AC$16+H848*$AC$17+I848*$AC$18+J848*$AC$19+K848*$AC$20+L848*$AC$21+M848*$AC$22+N848*$AC$23+O848*$AC$24+P848*$AC$25+Q848*$AC$26+R848*$AC$27+S848*$AC$28+T848*$AC$29+U848*$AC$30</f>
        <v/>
      </c>
      <c r="W848" s="6">
        <f>1/(1+EXP(-V848))</f>
        <v/>
      </c>
      <c r="X848" s="8">
        <f>-IF(C848=1,LN(W848),LN(1-W848))</f>
        <v/>
      </c>
      <c r="Y848" s="9">
        <f>IF(W848&gt;$AC$32,1,0)</f>
        <v/>
      </c>
      <c r="Z848">
        <f>IF(Y848=C848,1,0)</f>
        <v/>
      </c>
    </row>
    <row r="849">
      <c r="A849">
        <f>'3 escalar'!A852</f>
        <v/>
      </c>
      <c r="B849" s="5">
        <f>'3 escalar'!U852</f>
        <v/>
      </c>
      <c r="C849">
        <f>'3 escalar'!B852</f>
        <v/>
      </c>
      <c r="D849" s="7">
        <f>'3 escalar'!C852</f>
        <v/>
      </c>
      <c r="E849" s="7">
        <f>'3 escalar'!D852</f>
        <v/>
      </c>
      <c r="F849" s="7">
        <f>'3 escalar'!E852</f>
        <v/>
      </c>
      <c r="G849" s="7">
        <f>'3 escalar'!F852</f>
        <v/>
      </c>
      <c r="H849" s="7">
        <f>'3 escalar'!G852</f>
        <v/>
      </c>
      <c r="I849" s="7">
        <f>'3 escalar'!H852</f>
        <v/>
      </c>
      <c r="J849" s="7">
        <f>'3 escalar'!I852</f>
        <v/>
      </c>
      <c r="K849" s="7">
        <f>'3 escalar'!J852</f>
        <v/>
      </c>
      <c r="L849" s="7">
        <f>'3 escalar'!K852</f>
        <v/>
      </c>
      <c r="M849" s="7">
        <f>'3 escalar'!L852</f>
        <v/>
      </c>
      <c r="N849" s="7">
        <f>'3 escalar'!M852</f>
        <v/>
      </c>
      <c r="O849" s="7">
        <f>'3 escalar'!N852</f>
        <v/>
      </c>
      <c r="P849" s="7">
        <f>'3 escalar'!O852</f>
        <v/>
      </c>
      <c r="Q849" s="7">
        <f>'3 escalar'!P852</f>
        <v/>
      </c>
      <c r="R849" s="7">
        <f>'3 escalar'!Q852</f>
        <v/>
      </c>
      <c r="S849" s="7">
        <f>'3 escalar'!R852</f>
        <v/>
      </c>
      <c r="T849" s="7">
        <f>'3 escalar'!S852</f>
        <v/>
      </c>
      <c r="U849" s="7">
        <f>'3 escalar'!T852</f>
        <v/>
      </c>
      <c r="V849" s="6">
        <f>$AC$12+D849*$AC$13+E849*$AC$14+F849*$AC$15+G849*$AC$16+H849*$AC$17+I849*$AC$18+J849*$AC$19+K849*$AC$20+L849*$AC$21+M849*$AC$22+N849*$AC$23+O849*$AC$24+P849*$AC$25+Q849*$AC$26+R849*$AC$27+S849*$AC$28+T849*$AC$29+U849*$AC$30</f>
        <v/>
      </c>
      <c r="W849" s="6">
        <f>1/(1+EXP(-V849))</f>
        <v/>
      </c>
      <c r="X849" s="8">
        <f>-IF(C849=1,LN(W849),LN(1-W849))</f>
        <v/>
      </c>
      <c r="Y849" s="9">
        <f>IF(W849&gt;$AC$32,1,0)</f>
        <v/>
      </c>
      <c r="Z849">
        <f>IF(Y849=C849,1,0)</f>
        <v/>
      </c>
    </row>
    <row r="850">
      <c r="A850">
        <f>'3 escalar'!A853</f>
        <v/>
      </c>
      <c r="B850" s="5">
        <f>'3 escalar'!U853</f>
        <v/>
      </c>
      <c r="C850">
        <f>'3 escalar'!B853</f>
        <v/>
      </c>
      <c r="D850" s="7">
        <f>'3 escalar'!C853</f>
        <v/>
      </c>
      <c r="E850" s="7">
        <f>'3 escalar'!D853</f>
        <v/>
      </c>
      <c r="F850" s="7">
        <f>'3 escalar'!E853</f>
        <v/>
      </c>
      <c r="G850" s="7">
        <f>'3 escalar'!F853</f>
        <v/>
      </c>
      <c r="H850" s="7">
        <f>'3 escalar'!G853</f>
        <v/>
      </c>
      <c r="I850" s="7">
        <f>'3 escalar'!H853</f>
        <v/>
      </c>
      <c r="J850" s="7">
        <f>'3 escalar'!I853</f>
        <v/>
      </c>
      <c r="K850" s="7">
        <f>'3 escalar'!J853</f>
        <v/>
      </c>
      <c r="L850" s="7">
        <f>'3 escalar'!K853</f>
        <v/>
      </c>
      <c r="M850" s="7">
        <f>'3 escalar'!L853</f>
        <v/>
      </c>
      <c r="N850" s="7">
        <f>'3 escalar'!M853</f>
        <v/>
      </c>
      <c r="O850" s="7">
        <f>'3 escalar'!N853</f>
        <v/>
      </c>
      <c r="P850" s="7">
        <f>'3 escalar'!O853</f>
        <v/>
      </c>
      <c r="Q850" s="7">
        <f>'3 escalar'!P853</f>
        <v/>
      </c>
      <c r="R850" s="7">
        <f>'3 escalar'!Q853</f>
        <v/>
      </c>
      <c r="S850" s="7">
        <f>'3 escalar'!R853</f>
        <v/>
      </c>
      <c r="T850" s="7">
        <f>'3 escalar'!S853</f>
        <v/>
      </c>
      <c r="U850" s="7">
        <f>'3 escalar'!T853</f>
        <v/>
      </c>
      <c r="V850" s="6">
        <f>$AC$12+D850*$AC$13+E850*$AC$14+F850*$AC$15+G850*$AC$16+H850*$AC$17+I850*$AC$18+J850*$AC$19+K850*$AC$20+L850*$AC$21+M850*$AC$22+N850*$AC$23+O850*$AC$24+P850*$AC$25+Q850*$AC$26+R850*$AC$27+S850*$AC$28+T850*$AC$29+U850*$AC$30</f>
        <v/>
      </c>
      <c r="W850" s="6">
        <f>1/(1+EXP(-V850))</f>
        <v/>
      </c>
      <c r="X850" s="8">
        <f>-IF(C850=1,LN(W850),LN(1-W850))</f>
        <v/>
      </c>
      <c r="Y850" s="9">
        <f>IF(W850&gt;$AC$32,1,0)</f>
        <v/>
      </c>
      <c r="Z850">
        <f>IF(Y850=C850,1,0)</f>
        <v/>
      </c>
    </row>
    <row r="851">
      <c r="A851">
        <f>'3 escalar'!A854</f>
        <v/>
      </c>
      <c r="B851" s="5">
        <f>'3 escalar'!U854</f>
        <v/>
      </c>
      <c r="C851">
        <f>'3 escalar'!B854</f>
        <v/>
      </c>
      <c r="D851" s="7">
        <f>'3 escalar'!C854</f>
        <v/>
      </c>
      <c r="E851" s="7">
        <f>'3 escalar'!D854</f>
        <v/>
      </c>
      <c r="F851" s="7">
        <f>'3 escalar'!E854</f>
        <v/>
      </c>
      <c r="G851" s="7">
        <f>'3 escalar'!F854</f>
        <v/>
      </c>
      <c r="H851" s="7">
        <f>'3 escalar'!G854</f>
        <v/>
      </c>
      <c r="I851" s="7">
        <f>'3 escalar'!H854</f>
        <v/>
      </c>
      <c r="J851" s="7">
        <f>'3 escalar'!I854</f>
        <v/>
      </c>
      <c r="K851" s="7">
        <f>'3 escalar'!J854</f>
        <v/>
      </c>
      <c r="L851" s="7">
        <f>'3 escalar'!K854</f>
        <v/>
      </c>
      <c r="M851" s="7">
        <f>'3 escalar'!L854</f>
        <v/>
      </c>
      <c r="N851" s="7">
        <f>'3 escalar'!M854</f>
        <v/>
      </c>
      <c r="O851" s="7">
        <f>'3 escalar'!N854</f>
        <v/>
      </c>
      <c r="P851" s="7">
        <f>'3 escalar'!O854</f>
        <v/>
      </c>
      <c r="Q851" s="7">
        <f>'3 escalar'!P854</f>
        <v/>
      </c>
      <c r="R851" s="7">
        <f>'3 escalar'!Q854</f>
        <v/>
      </c>
      <c r="S851" s="7">
        <f>'3 escalar'!R854</f>
        <v/>
      </c>
      <c r="T851" s="7">
        <f>'3 escalar'!S854</f>
        <v/>
      </c>
      <c r="U851" s="7">
        <f>'3 escalar'!T854</f>
        <v/>
      </c>
      <c r="V851" s="6">
        <f>$AC$12+D851*$AC$13+E851*$AC$14+F851*$AC$15+G851*$AC$16+H851*$AC$17+I851*$AC$18+J851*$AC$19+K851*$AC$20+L851*$AC$21+M851*$AC$22+N851*$AC$23+O851*$AC$24+P851*$AC$25+Q851*$AC$26+R851*$AC$27+S851*$AC$28+T851*$AC$29+U851*$AC$30</f>
        <v/>
      </c>
      <c r="W851" s="6">
        <f>1/(1+EXP(-V851))</f>
        <v/>
      </c>
      <c r="X851" s="8">
        <f>-IF(C851=1,LN(W851),LN(1-W851))</f>
        <v/>
      </c>
      <c r="Y851" s="9">
        <f>IF(W851&gt;$AC$32,1,0)</f>
        <v/>
      </c>
      <c r="Z851">
        <f>IF(Y851=C851,1,0)</f>
        <v/>
      </c>
    </row>
    <row r="852">
      <c r="A852">
        <f>'3 escalar'!A855</f>
        <v/>
      </c>
      <c r="B852" s="5">
        <f>'3 escalar'!U855</f>
        <v/>
      </c>
      <c r="C852">
        <f>'3 escalar'!B855</f>
        <v/>
      </c>
      <c r="D852" s="7">
        <f>'3 escalar'!C855</f>
        <v/>
      </c>
      <c r="E852" s="7">
        <f>'3 escalar'!D855</f>
        <v/>
      </c>
      <c r="F852" s="7">
        <f>'3 escalar'!E855</f>
        <v/>
      </c>
      <c r="G852" s="7">
        <f>'3 escalar'!F855</f>
        <v/>
      </c>
      <c r="H852" s="7">
        <f>'3 escalar'!G855</f>
        <v/>
      </c>
      <c r="I852" s="7">
        <f>'3 escalar'!H855</f>
        <v/>
      </c>
      <c r="J852" s="7">
        <f>'3 escalar'!I855</f>
        <v/>
      </c>
      <c r="K852" s="7">
        <f>'3 escalar'!J855</f>
        <v/>
      </c>
      <c r="L852" s="7">
        <f>'3 escalar'!K855</f>
        <v/>
      </c>
      <c r="M852" s="7">
        <f>'3 escalar'!L855</f>
        <v/>
      </c>
      <c r="N852" s="7">
        <f>'3 escalar'!M855</f>
        <v/>
      </c>
      <c r="O852" s="7">
        <f>'3 escalar'!N855</f>
        <v/>
      </c>
      <c r="P852" s="7">
        <f>'3 escalar'!O855</f>
        <v/>
      </c>
      <c r="Q852" s="7">
        <f>'3 escalar'!P855</f>
        <v/>
      </c>
      <c r="R852" s="7">
        <f>'3 escalar'!Q855</f>
        <v/>
      </c>
      <c r="S852" s="7">
        <f>'3 escalar'!R855</f>
        <v/>
      </c>
      <c r="T852" s="7">
        <f>'3 escalar'!S855</f>
        <v/>
      </c>
      <c r="U852" s="7">
        <f>'3 escalar'!T855</f>
        <v/>
      </c>
      <c r="V852" s="6">
        <f>$AC$12+D852*$AC$13+E852*$AC$14+F852*$AC$15+G852*$AC$16+H852*$AC$17+I852*$AC$18+J852*$AC$19+K852*$AC$20+L852*$AC$21+M852*$AC$22+N852*$AC$23+O852*$AC$24+P852*$AC$25+Q852*$AC$26+R852*$AC$27+S852*$AC$28+T852*$AC$29+U852*$AC$30</f>
        <v/>
      </c>
      <c r="W852" s="6">
        <f>1/(1+EXP(-V852))</f>
        <v/>
      </c>
      <c r="X852" s="8">
        <f>-IF(C852=1,LN(W852),LN(1-W852))</f>
        <v/>
      </c>
      <c r="Y852" s="9">
        <f>IF(W852&gt;$AC$32,1,0)</f>
        <v/>
      </c>
      <c r="Z852">
        <f>IF(Y852=C852,1,0)</f>
        <v/>
      </c>
    </row>
    <row r="853">
      <c r="A853">
        <f>'3 escalar'!A856</f>
        <v/>
      </c>
      <c r="B853" s="5">
        <f>'3 escalar'!U856</f>
        <v/>
      </c>
      <c r="C853">
        <f>'3 escalar'!B856</f>
        <v/>
      </c>
      <c r="D853" s="7">
        <f>'3 escalar'!C856</f>
        <v/>
      </c>
      <c r="E853" s="7">
        <f>'3 escalar'!D856</f>
        <v/>
      </c>
      <c r="F853" s="7">
        <f>'3 escalar'!E856</f>
        <v/>
      </c>
      <c r="G853" s="7">
        <f>'3 escalar'!F856</f>
        <v/>
      </c>
      <c r="H853" s="7">
        <f>'3 escalar'!G856</f>
        <v/>
      </c>
      <c r="I853" s="7">
        <f>'3 escalar'!H856</f>
        <v/>
      </c>
      <c r="J853" s="7">
        <f>'3 escalar'!I856</f>
        <v/>
      </c>
      <c r="K853" s="7">
        <f>'3 escalar'!J856</f>
        <v/>
      </c>
      <c r="L853" s="7">
        <f>'3 escalar'!K856</f>
        <v/>
      </c>
      <c r="M853" s="7">
        <f>'3 escalar'!L856</f>
        <v/>
      </c>
      <c r="N853" s="7">
        <f>'3 escalar'!M856</f>
        <v/>
      </c>
      <c r="O853" s="7">
        <f>'3 escalar'!N856</f>
        <v/>
      </c>
      <c r="P853" s="7">
        <f>'3 escalar'!O856</f>
        <v/>
      </c>
      <c r="Q853" s="7">
        <f>'3 escalar'!P856</f>
        <v/>
      </c>
      <c r="R853" s="7">
        <f>'3 escalar'!Q856</f>
        <v/>
      </c>
      <c r="S853" s="7">
        <f>'3 escalar'!R856</f>
        <v/>
      </c>
      <c r="T853" s="7">
        <f>'3 escalar'!S856</f>
        <v/>
      </c>
      <c r="U853" s="7">
        <f>'3 escalar'!T856</f>
        <v/>
      </c>
      <c r="V853" s="6">
        <f>$AC$12+D853*$AC$13+E853*$AC$14+F853*$AC$15+G853*$AC$16+H853*$AC$17+I853*$AC$18+J853*$AC$19+K853*$AC$20+L853*$AC$21+M853*$AC$22+N853*$AC$23+O853*$AC$24+P853*$AC$25+Q853*$AC$26+R853*$AC$27+S853*$AC$28+T853*$AC$29+U853*$AC$30</f>
        <v/>
      </c>
      <c r="W853" s="6">
        <f>1/(1+EXP(-V853))</f>
        <v/>
      </c>
      <c r="X853" s="8">
        <f>-IF(C853=1,LN(W853),LN(1-W853))</f>
        <v/>
      </c>
      <c r="Y853" s="9">
        <f>IF(W853&gt;$AC$32,1,0)</f>
        <v/>
      </c>
      <c r="Z853">
        <f>IF(Y853=C853,1,0)</f>
        <v/>
      </c>
    </row>
    <row r="854">
      <c r="A854">
        <f>'3 escalar'!A857</f>
        <v/>
      </c>
      <c r="B854" s="5">
        <f>'3 escalar'!U857</f>
        <v/>
      </c>
      <c r="C854">
        <f>'3 escalar'!B857</f>
        <v/>
      </c>
      <c r="D854" s="7">
        <f>'3 escalar'!C857</f>
        <v/>
      </c>
      <c r="E854" s="7">
        <f>'3 escalar'!D857</f>
        <v/>
      </c>
      <c r="F854" s="7">
        <f>'3 escalar'!E857</f>
        <v/>
      </c>
      <c r="G854" s="7">
        <f>'3 escalar'!F857</f>
        <v/>
      </c>
      <c r="H854" s="7">
        <f>'3 escalar'!G857</f>
        <v/>
      </c>
      <c r="I854" s="7">
        <f>'3 escalar'!H857</f>
        <v/>
      </c>
      <c r="J854" s="7">
        <f>'3 escalar'!I857</f>
        <v/>
      </c>
      <c r="K854" s="7">
        <f>'3 escalar'!J857</f>
        <v/>
      </c>
      <c r="L854" s="7">
        <f>'3 escalar'!K857</f>
        <v/>
      </c>
      <c r="M854" s="7">
        <f>'3 escalar'!L857</f>
        <v/>
      </c>
      <c r="N854" s="7">
        <f>'3 escalar'!M857</f>
        <v/>
      </c>
      <c r="O854" s="7">
        <f>'3 escalar'!N857</f>
        <v/>
      </c>
      <c r="P854" s="7">
        <f>'3 escalar'!O857</f>
        <v/>
      </c>
      <c r="Q854" s="7">
        <f>'3 escalar'!P857</f>
        <v/>
      </c>
      <c r="R854" s="7">
        <f>'3 escalar'!Q857</f>
        <v/>
      </c>
      <c r="S854" s="7">
        <f>'3 escalar'!R857</f>
        <v/>
      </c>
      <c r="T854" s="7">
        <f>'3 escalar'!S857</f>
        <v/>
      </c>
      <c r="U854" s="7">
        <f>'3 escalar'!T857</f>
        <v/>
      </c>
      <c r="V854" s="6">
        <f>$AC$12+D854*$AC$13+E854*$AC$14+F854*$AC$15+G854*$AC$16+H854*$AC$17+I854*$AC$18+J854*$AC$19+K854*$AC$20+L854*$AC$21+M854*$AC$22+N854*$AC$23+O854*$AC$24+P854*$AC$25+Q854*$AC$26+R854*$AC$27+S854*$AC$28+T854*$AC$29+U854*$AC$30</f>
        <v/>
      </c>
      <c r="W854" s="6">
        <f>1/(1+EXP(-V854))</f>
        <v/>
      </c>
      <c r="X854" s="8">
        <f>-IF(C854=1,LN(W854),LN(1-W854))</f>
        <v/>
      </c>
      <c r="Y854" s="9">
        <f>IF(W854&gt;$AC$32,1,0)</f>
        <v/>
      </c>
      <c r="Z854">
        <f>IF(Y854=C854,1,0)</f>
        <v/>
      </c>
    </row>
    <row r="855">
      <c r="A855">
        <f>'3 escalar'!A858</f>
        <v/>
      </c>
      <c r="B855" s="5">
        <f>'3 escalar'!U858</f>
        <v/>
      </c>
      <c r="C855">
        <f>'3 escalar'!B858</f>
        <v/>
      </c>
      <c r="D855" s="7">
        <f>'3 escalar'!C858</f>
        <v/>
      </c>
      <c r="E855" s="7">
        <f>'3 escalar'!D858</f>
        <v/>
      </c>
      <c r="F855" s="7">
        <f>'3 escalar'!E858</f>
        <v/>
      </c>
      <c r="G855" s="7">
        <f>'3 escalar'!F858</f>
        <v/>
      </c>
      <c r="H855" s="7">
        <f>'3 escalar'!G858</f>
        <v/>
      </c>
      <c r="I855" s="7">
        <f>'3 escalar'!H858</f>
        <v/>
      </c>
      <c r="J855" s="7">
        <f>'3 escalar'!I858</f>
        <v/>
      </c>
      <c r="K855" s="7">
        <f>'3 escalar'!J858</f>
        <v/>
      </c>
      <c r="L855" s="7">
        <f>'3 escalar'!K858</f>
        <v/>
      </c>
      <c r="M855" s="7">
        <f>'3 escalar'!L858</f>
        <v/>
      </c>
      <c r="N855" s="7">
        <f>'3 escalar'!M858</f>
        <v/>
      </c>
      <c r="O855" s="7">
        <f>'3 escalar'!N858</f>
        <v/>
      </c>
      <c r="P855" s="7">
        <f>'3 escalar'!O858</f>
        <v/>
      </c>
      <c r="Q855" s="7">
        <f>'3 escalar'!P858</f>
        <v/>
      </c>
      <c r="R855" s="7">
        <f>'3 escalar'!Q858</f>
        <v/>
      </c>
      <c r="S855" s="7">
        <f>'3 escalar'!R858</f>
        <v/>
      </c>
      <c r="T855" s="7">
        <f>'3 escalar'!S858</f>
        <v/>
      </c>
      <c r="U855" s="7">
        <f>'3 escalar'!T858</f>
        <v/>
      </c>
      <c r="V855" s="6">
        <f>$AC$12+D855*$AC$13+E855*$AC$14+F855*$AC$15+G855*$AC$16+H855*$AC$17+I855*$AC$18+J855*$AC$19+K855*$AC$20+L855*$AC$21+M855*$AC$22+N855*$AC$23+O855*$AC$24+P855*$AC$25+Q855*$AC$26+R855*$AC$27+S855*$AC$28+T855*$AC$29+U855*$AC$30</f>
        <v/>
      </c>
      <c r="W855" s="6">
        <f>1/(1+EXP(-V855))</f>
        <v/>
      </c>
      <c r="X855" s="8">
        <f>-IF(C855=1,LN(W855),LN(1-W855))</f>
        <v/>
      </c>
      <c r="Y855" s="9">
        <f>IF(W855&gt;$AC$32,1,0)</f>
        <v/>
      </c>
      <c r="Z855">
        <f>IF(Y855=C855,1,0)</f>
        <v/>
      </c>
    </row>
    <row r="856">
      <c r="A856">
        <f>'3 escalar'!A859</f>
        <v/>
      </c>
      <c r="B856" s="5">
        <f>'3 escalar'!U859</f>
        <v/>
      </c>
      <c r="C856">
        <f>'3 escalar'!B859</f>
        <v/>
      </c>
      <c r="D856" s="7">
        <f>'3 escalar'!C859</f>
        <v/>
      </c>
      <c r="E856" s="7">
        <f>'3 escalar'!D859</f>
        <v/>
      </c>
      <c r="F856" s="7">
        <f>'3 escalar'!E859</f>
        <v/>
      </c>
      <c r="G856" s="7">
        <f>'3 escalar'!F859</f>
        <v/>
      </c>
      <c r="H856" s="7">
        <f>'3 escalar'!G859</f>
        <v/>
      </c>
      <c r="I856" s="7">
        <f>'3 escalar'!H859</f>
        <v/>
      </c>
      <c r="J856" s="7">
        <f>'3 escalar'!I859</f>
        <v/>
      </c>
      <c r="K856" s="7">
        <f>'3 escalar'!J859</f>
        <v/>
      </c>
      <c r="L856" s="7">
        <f>'3 escalar'!K859</f>
        <v/>
      </c>
      <c r="M856" s="7">
        <f>'3 escalar'!L859</f>
        <v/>
      </c>
      <c r="N856" s="7">
        <f>'3 escalar'!M859</f>
        <v/>
      </c>
      <c r="O856" s="7">
        <f>'3 escalar'!N859</f>
        <v/>
      </c>
      <c r="P856" s="7">
        <f>'3 escalar'!O859</f>
        <v/>
      </c>
      <c r="Q856" s="7">
        <f>'3 escalar'!P859</f>
        <v/>
      </c>
      <c r="R856" s="7">
        <f>'3 escalar'!Q859</f>
        <v/>
      </c>
      <c r="S856" s="7">
        <f>'3 escalar'!R859</f>
        <v/>
      </c>
      <c r="T856" s="7">
        <f>'3 escalar'!S859</f>
        <v/>
      </c>
      <c r="U856" s="7">
        <f>'3 escalar'!T859</f>
        <v/>
      </c>
      <c r="V856" s="6">
        <f>$AC$12+D856*$AC$13+E856*$AC$14+F856*$AC$15+G856*$AC$16+H856*$AC$17+I856*$AC$18+J856*$AC$19+K856*$AC$20+L856*$AC$21+M856*$AC$22+N856*$AC$23+O856*$AC$24+P856*$AC$25+Q856*$AC$26+R856*$AC$27+S856*$AC$28+T856*$AC$29+U856*$AC$30</f>
        <v/>
      </c>
      <c r="W856" s="6">
        <f>1/(1+EXP(-V856))</f>
        <v/>
      </c>
      <c r="X856" s="8">
        <f>-IF(C856=1,LN(W856),LN(1-W856))</f>
        <v/>
      </c>
      <c r="Y856" s="9">
        <f>IF(W856&gt;$AC$32,1,0)</f>
        <v/>
      </c>
      <c r="Z856">
        <f>IF(Y856=C856,1,0)</f>
        <v/>
      </c>
    </row>
    <row r="857">
      <c r="A857">
        <f>'3 escalar'!A860</f>
        <v/>
      </c>
      <c r="B857" s="5">
        <f>'3 escalar'!U860</f>
        <v/>
      </c>
      <c r="C857">
        <f>'3 escalar'!B860</f>
        <v/>
      </c>
      <c r="D857" s="7">
        <f>'3 escalar'!C860</f>
        <v/>
      </c>
      <c r="E857" s="7">
        <f>'3 escalar'!D860</f>
        <v/>
      </c>
      <c r="F857" s="7">
        <f>'3 escalar'!E860</f>
        <v/>
      </c>
      <c r="G857" s="7">
        <f>'3 escalar'!F860</f>
        <v/>
      </c>
      <c r="H857" s="7">
        <f>'3 escalar'!G860</f>
        <v/>
      </c>
      <c r="I857" s="7">
        <f>'3 escalar'!H860</f>
        <v/>
      </c>
      <c r="J857" s="7">
        <f>'3 escalar'!I860</f>
        <v/>
      </c>
      <c r="K857" s="7">
        <f>'3 escalar'!J860</f>
        <v/>
      </c>
      <c r="L857" s="7">
        <f>'3 escalar'!K860</f>
        <v/>
      </c>
      <c r="M857" s="7">
        <f>'3 escalar'!L860</f>
        <v/>
      </c>
      <c r="N857" s="7">
        <f>'3 escalar'!M860</f>
        <v/>
      </c>
      <c r="O857" s="7">
        <f>'3 escalar'!N860</f>
        <v/>
      </c>
      <c r="P857" s="7">
        <f>'3 escalar'!O860</f>
        <v/>
      </c>
      <c r="Q857" s="7">
        <f>'3 escalar'!P860</f>
        <v/>
      </c>
      <c r="R857" s="7">
        <f>'3 escalar'!Q860</f>
        <v/>
      </c>
      <c r="S857" s="7">
        <f>'3 escalar'!R860</f>
        <v/>
      </c>
      <c r="T857" s="7">
        <f>'3 escalar'!S860</f>
        <v/>
      </c>
      <c r="U857" s="7">
        <f>'3 escalar'!T860</f>
        <v/>
      </c>
      <c r="V857" s="6">
        <f>$AC$12+D857*$AC$13+E857*$AC$14+F857*$AC$15+G857*$AC$16+H857*$AC$17+I857*$AC$18+J857*$AC$19+K857*$AC$20+L857*$AC$21+M857*$AC$22+N857*$AC$23+O857*$AC$24+P857*$AC$25+Q857*$AC$26+R857*$AC$27+S857*$AC$28+T857*$AC$29+U857*$AC$30</f>
        <v/>
      </c>
      <c r="W857" s="6">
        <f>1/(1+EXP(-V857))</f>
        <v/>
      </c>
      <c r="X857" s="8">
        <f>-IF(C857=1,LN(W857),LN(1-W857))</f>
        <v/>
      </c>
      <c r="Y857" s="9">
        <f>IF(W857&gt;$AC$32,1,0)</f>
        <v/>
      </c>
      <c r="Z857">
        <f>IF(Y857=C857,1,0)</f>
        <v/>
      </c>
    </row>
    <row r="858">
      <c r="A858">
        <f>'3 escalar'!A861</f>
        <v/>
      </c>
      <c r="B858" s="5">
        <f>'3 escalar'!U861</f>
        <v/>
      </c>
      <c r="C858">
        <f>'3 escalar'!B861</f>
        <v/>
      </c>
      <c r="D858" s="7">
        <f>'3 escalar'!C861</f>
        <v/>
      </c>
      <c r="E858" s="7">
        <f>'3 escalar'!D861</f>
        <v/>
      </c>
      <c r="F858" s="7">
        <f>'3 escalar'!E861</f>
        <v/>
      </c>
      <c r="G858" s="7">
        <f>'3 escalar'!F861</f>
        <v/>
      </c>
      <c r="H858" s="7">
        <f>'3 escalar'!G861</f>
        <v/>
      </c>
      <c r="I858" s="7">
        <f>'3 escalar'!H861</f>
        <v/>
      </c>
      <c r="J858" s="7">
        <f>'3 escalar'!I861</f>
        <v/>
      </c>
      <c r="K858" s="7">
        <f>'3 escalar'!J861</f>
        <v/>
      </c>
      <c r="L858" s="7">
        <f>'3 escalar'!K861</f>
        <v/>
      </c>
      <c r="M858" s="7">
        <f>'3 escalar'!L861</f>
        <v/>
      </c>
      <c r="N858" s="7">
        <f>'3 escalar'!M861</f>
        <v/>
      </c>
      <c r="O858" s="7">
        <f>'3 escalar'!N861</f>
        <v/>
      </c>
      <c r="P858" s="7">
        <f>'3 escalar'!O861</f>
        <v/>
      </c>
      <c r="Q858" s="7">
        <f>'3 escalar'!P861</f>
        <v/>
      </c>
      <c r="R858" s="7">
        <f>'3 escalar'!Q861</f>
        <v/>
      </c>
      <c r="S858" s="7">
        <f>'3 escalar'!R861</f>
        <v/>
      </c>
      <c r="T858" s="7">
        <f>'3 escalar'!S861</f>
        <v/>
      </c>
      <c r="U858" s="7">
        <f>'3 escalar'!T861</f>
        <v/>
      </c>
      <c r="V858" s="6">
        <f>$AC$12+D858*$AC$13+E858*$AC$14+F858*$AC$15+G858*$AC$16+H858*$AC$17+I858*$AC$18+J858*$AC$19+K858*$AC$20+L858*$AC$21+M858*$AC$22+N858*$AC$23+O858*$AC$24+P858*$AC$25+Q858*$AC$26+R858*$AC$27+S858*$AC$28+T858*$AC$29+U858*$AC$30</f>
        <v/>
      </c>
      <c r="W858" s="6">
        <f>1/(1+EXP(-V858))</f>
        <v/>
      </c>
      <c r="X858" s="8">
        <f>-IF(C858=1,LN(W858),LN(1-W858))</f>
        <v/>
      </c>
      <c r="Y858" s="9">
        <f>IF(W858&gt;$AC$32,1,0)</f>
        <v/>
      </c>
      <c r="Z858">
        <f>IF(Y858=C858,1,0)</f>
        <v/>
      </c>
    </row>
    <row r="859">
      <c r="A859">
        <f>'3 escalar'!A862</f>
        <v/>
      </c>
      <c r="B859" s="5">
        <f>'3 escalar'!U862</f>
        <v/>
      </c>
      <c r="C859">
        <f>'3 escalar'!B862</f>
        <v/>
      </c>
      <c r="D859" s="7">
        <f>'3 escalar'!C862</f>
        <v/>
      </c>
      <c r="E859" s="7">
        <f>'3 escalar'!D862</f>
        <v/>
      </c>
      <c r="F859" s="7">
        <f>'3 escalar'!E862</f>
        <v/>
      </c>
      <c r="G859" s="7">
        <f>'3 escalar'!F862</f>
        <v/>
      </c>
      <c r="H859" s="7">
        <f>'3 escalar'!G862</f>
        <v/>
      </c>
      <c r="I859" s="7">
        <f>'3 escalar'!H862</f>
        <v/>
      </c>
      <c r="J859" s="7">
        <f>'3 escalar'!I862</f>
        <v/>
      </c>
      <c r="K859" s="7">
        <f>'3 escalar'!J862</f>
        <v/>
      </c>
      <c r="L859" s="7">
        <f>'3 escalar'!K862</f>
        <v/>
      </c>
      <c r="M859" s="7">
        <f>'3 escalar'!L862</f>
        <v/>
      </c>
      <c r="N859" s="7">
        <f>'3 escalar'!M862</f>
        <v/>
      </c>
      <c r="O859" s="7">
        <f>'3 escalar'!N862</f>
        <v/>
      </c>
      <c r="P859" s="7">
        <f>'3 escalar'!O862</f>
        <v/>
      </c>
      <c r="Q859" s="7">
        <f>'3 escalar'!P862</f>
        <v/>
      </c>
      <c r="R859" s="7">
        <f>'3 escalar'!Q862</f>
        <v/>
      </c>
      <c r="S859" s="7">
        <f>'3 escalar'!R862</f>
        <v/>
      </c>
      <c r="T859" s="7">
        <f>'3 escalar'!S862</f>
        <v/>
      </c>
      <c r="U859" s="7">
        <f>'3 escalar'!T862</f>
        <v/>
      </c>
      <c r="V859" s="6">
        <f>$AC$12+D859*$AC$13+E859*$AC$14+F859*$AC$15+G859*$AC$16+H859*$AC$17+I859*$AC$18+J859*$AC$19+K859*$AC$20+L859*$AC$21+M859*$AC$22+N859*$AC$23+O859*$AC$24+P859*$AC$25+Q859*$AC$26+R859*$AC$27+S859*$AC$28+T859*$AC$29+U859*$AC$30</f>
        <v/>
      </c>
      <c r="W859" s="6">
        <f>1/(1+EXP(-V859))</f>
        <v/>
      </c>
      <c r="X859" s="8">
        <f>-IF(C859=1,LN(W859),LN(1-W859))</f>
        <v/>
      </c>
      <c r="Y859" s="9">
        <f>IF(W859&gt;$AC$32,1,0)</f>
        <v/>
      </c>
      <c r="Z859">
        <f>IF(Y859=C859,1,0)</f>
        <v/>
      </c>
    </row>
    <row r="860">
      <c r="A860">
        <f>'3 escalar'!A863</f>
        <v/>
      </c>
      <c r="B860" s="5">
        <f>'3 escalar'!U863</f>
        <v/>
      </c>
      <c r="C860">
        <f>'3 escalar'!B863</f>
        <v/>
      </c>
      <c r="D860" s="7">
        <f>'3 escalar'!C863</f>
        <v/>
      </c>
      <c r="E860" s="7">
        <f>'3 escalar'!D863</f>
        <v/>
      </c>
      <c r="F860" s="7">
        <f>'3 escalar'!E863</f>
        <v/>
      </c>
      <c r="G860" s="7">
        <f>'3 escalar'!F863</f>
        <v/>
      </c>
      <c r="H860" s="7">
        <f>'3 escalar'!G863</f>
        <v/>
      </c>
      <c r="I860" s="7">
        <f>'3 escalar'!H863</f>
        <v/>
      </c>
      <c r="J860" s="7">
        <f>'3 escalar'!I863</f>
        <v/>
      </c>
      <c r="K860" s="7">
        <f>'3 escalar'!J863</f>
        <v/>
      </c>
      <c r="L860" s="7">
        <f>'3 escalar'!K863</f>
        <v/>
      </c>
      <c r="M860" s="7">
        <f>'3 escalar'!L863</f>
        <v/>
      </c>
      <c r="N860" s="7">
        <f>'3 escalar'!M863</f>
        <v/>
      </c>
      <c r="O860" s="7">
        <f>'3 escalar'!N863</f>
        <v/>
      </c>
      <c r="P860" s="7">
        <f>'3 escalar'!O863</f>
        <v/>
      </c>
      <c r="Q860" s="7">
        <f>'3 escalar'!P863</f>
        <v/>
      </c>
      <c r="R860" s="7">
        <f>'3 escalar'!Q863</f>
        <v/>
      </c>
      <c r="S860" s="7">
        <f>'3 escalar'!R863</f>
        <v/>
      </c>
      <c r="T860" s="7">
        <f>'3 escalar'!S863</f>
        <v/>
      </c>
      <c r="U860" s="7">
        <f>'3 escalar'!T863</f>
        <v/>
      </c>
      <c r="V860" s="6">
        <f>$AC$12+D860*$AC$13+E860*$AC$14+F860*$AC$15+G860*$AC$16+H860*$AC$17+I860*$AC$18+J860*$AC$19+K860*$AC$20+L860*$AC$21+M860*$AC$22+N860*$AC$23+O860*$AC$24+P860*$AC$25+Q860*$AC$26+R860*$AC$27+S860*$AC$28+T860*$AC$29+U860*$AC$30</f>
        <v/>
      </c>
      <c r="W860" s="6">
        <f>1/(1+EXP(-V860))</f>
        <v/>
      </c>
      <c r="X860" s="8">
        <f>-IF(C860=1,LN(W860),LN(1-W860))</f>
        <v/>
      </c>
      <c r="Y860" s="9">
        <f>IF(W860&gt;$AC$32,1,0)</f>
        <v/>
      </c>
      <c r="Z860">
        <f>IF(Y860=C860,1,0)</f>
        <v/>
      </c>
    </row>
    <row r="861">
      <c r="A861">
        <f>'3 escalar'!A864</f>
        <v/>
      </c>
      <c r="B861" s="5">
        <f>'3 escalar'!U864</f>
        <v/>
      </c>
      <c r="C861">
        <f>'3 escalar'!B864</f>
        <v/>
      </c>
      <c r="D861" s="7">
        <f>'3 escalar'!C864</f>
        <v/>
      </c>
      <c r="E861" s="7">
        <f>'3 escalar'!D864</f>
        <v/>
      </c>
      <c r="F861" s="7">
        <f>'3 escalar'!E864</f>
        <v/>
      </c>
      <c r="G861" s="7">
        <f>'3 escalar'!F864</f>
        <v/>
      </c>
      <c r="H861" s="7">
        <f>'3 escalar'!G864</f>
        <v/>
      </c>
      <c r="I861" s="7">
        <f>'3 escalar'!H864</f>
        <v/>
      </c>
      <c r="J861" s="7">
        <f>'3 escalar'!I864</f>
        <v/>
      </c>
      <c r="K861" s="7">
        <f>'3 escalar'!J864</f>
        <v/>
      </c>
      <c r="L861" s="7">
        <f>'3 escalar'!K864</f>
        <v/>
      </c>
      <c r="M861" s="7">
        <f>'3 escalar'!L864</f>
        <v/>
      </c>
      <c r="N861" s="7">
        <f>'3 escalar'!M864</f>
        <v/>
      </c>
      <c r="O861" s="7">
        <f>'3 escalar'!N864</f>
        <v/>
      </c>
      <c r="P861" s="7">
        <f>'3 escalar'!O864</f>
        <v/>
      </c>
      <c r="Q861" s="7">
        <f>'3 escalar'!P864</f>
        <v/>
      </c>
      <c r="R861" s="7">
        <f>'3 escalar'!Q864</f>
        <v/>
      </c>
      <c r="S861" s="7">
        <f>'3 escalar'!R864</f>
        <v/>
      </c>
      <c r="T861" s="7">
        <f>'3 escalar'!S864</f>
        <v/>
      </c>
      <c r="U861" s="7">
        <f>'3 escalar'!T864</f>
        <v/>
      </c>
      <c r="V861" s="6">
        <f>$AC$12+D861*$AC$13+E861*$AC$14+F861*$AC$15+G861*$AC$16+H861*$AC$17+I861*$AC$18+J861*$AC$19+K861*$AC$20+L861*$AC$21+M861*$AC$22+N861*$AC$23+O861*$AC$24+P861*$AC$25+Q861*$AC$26+R861*$AC$27+S861*$AC$28+T861*$AC$29+U861*$AC$30</f>
        <v/>
      </c>
      <c r="W861" s="6">
        <f>1/(1+EXP(-V861))</f>
        <v/>
      </c>
      <c r="X861" s="8">
        <f>-IF(C861=1,LN(W861),LN(1-W861))</f>
        <v/>
      </c>
      <c r="Y861" s="9">
        <f>IF(W861&gt;$AC$32,1,0)</f>
        <v/>
      </c>
      <c r="Z861">
        <f>IF(Y861=C861,1,0)</f>
        <v/>
      </c>
    </row>
    <row r="862">
      <c r="A862">
        <f>'3 escalar'!A865</f>
        <v/>
      </c>
      <c r="B862" s="5">
        <f>'3 escalar'!U865</f>
        <v/>
      </c>
      <c r="C862">
        <f>'3 escalar'!B865</f>
        <v/>
      </c>
      <c r="D862" s="7">
        <f>'3 escalar'!C865</f>
        <v/>
      </c>
      <c r="E862" s="7">
        <f>'3 escalar'!D865</f>
        <v/>
      </c>
      <c r="F862" s="7">
        <f>'3 escalar'!E865</f>
        <v/>
      </c>
      <c r="G862" s="7">
        <f>'3 escalar'!F865</f>
        <v/>
      </c>
      <c r="H862" s="7">
        <f>'3 escalar'!G865</f>
        <v/>
      </c>
      <c r="I862" s="7">
        <f>'3 escalar'!H865</f>
        <v/>
      </c>
      <c r="J862" s="7">
        <f>'3 escalar'!I865</f>
        <v/>
      </c>
      <c r="K862" s="7">
        <f>'3 escalar'!J865</f>
        <v/>
      </c>
      <c r="L862" s="7">
        <f>'3 escalar'!K865</f>
        <v/>
      </c>
      <c r="M862" s="7">
        <f>'3 escalar'!L865</f>
        <v/>
      </c>
      <c r="N862" s="7">
        <f>'3 escalar'!M865</f>
        <v/>
      </c>
      <c r="O862" s="7">
        <f>'3 escalar'!N865</f>
        <v/>
      </c>
      <c r="P862" s="7">
        <f>'3 escalar'!O865</f>
        <v/>
      </c>
      <c r="Q862" s="7">
        <f>'3 escalar'!P865</f>
        <v/>
      </c>
      <c r="R862" s="7">
        <f>'3 escalar'!Q865</f>
        <v/>
      </c>
      <c r="S862" s="7">
        <f>'3 escalar'!R865</f>
        <v/>
      </c>
      <c r="T862" s="7">
        <f>'3 escalar'!S865</f>
        <v/>
      </c>
      <c r="U862" s="7">
        <f>'3 escalar'!T865</f>
        <v/>
      </c>
      <c r="V862" s="6">
        <f>$AC$12+D862*$AC$13+E862*$AC$14+F862*$AC$15+G862*$AC$16+H862*$AC$17+I862*$AC$18+J862*$AC$19+K862*$AC$20+L862*$AC$21+M862*$AC$22+N862*$AC$23+O862*$AC$24+P862*$AC$25+Q862*$AC$26+R862*$AC$27+S862*$AC$28+T862*$AC$29+U862*$AC$30</f>
        <v/>
      </c>
      <c r="W862" s="6">
        <f>1/(1+EXP(-V862))</f>
        <v/>
      </c>
      <c r="X862" s="8">
        <f>-IF(C862=1,LN(W862),LN(1-W862))</f>
        <v/>
      </c>
      <c r="Y862" s="9">
        <f>IF(W862&gt;$AC$32,1,0)</f>
        <v/>
      </c>
      <c r="Z862">
        <f>IF(Y862=C862,1,0)</f>
        <v/>
      </c>
    </row>
    <row r="863">
      <c r="A863">
        <f>'3 escalar'!A866</f>
        <v/>
      </c>
      <c r="B863" s="5">
        <f>'3 escalar'!U866</f>
        <v/>
      </c>
      <c r="C863">
        <f>'3 escalar'!B866</f>
        <v/>
      </c>
      <c r="D863" s="7">
        <f>'3 escalar'!C866</f>
        <v/>
      </c>
      <c r="E863" s="7">
        <f>'3 escalar'!D866</f>
        <v/>
      </c>
      <c r="F863" s="7">
        <f>'3 escalar'!E866</f>
        <v/>
      </c>
      <c r="G863" s="7">
        <f>'3 escalar'!F866</f>
        <v/>
      </c>
      <c r="H863" s="7">
        <f>'3 escalar'!G866</f>
        <v/>
      </c>
      <c r="I863" s="7">
        <f>'3 escalar'!H866</f>
        <v/>
      </c>
      <c r="J863" s="7">
        <f>'3 escalar'!I866</f>
        <v/>
      </c>
      <c r="K863" s="7">
        <f>'3 escalar'!J866</f>
        <v/>
      </c>
      <c r="L863" s="7">
        <f>'3 escalar'!K866</f>
        <v/>
      </c>
      <c r="M863" s="7">
        <f>'3 escalar'!L866</f>
        <v/>
      </c>
      <c r="N863" s="7">
        <f>'3 escalar'!M866</f>
        <v/>
      </c>
      <c r="O863" s="7">
        <f>'3 escalar'!N866</f>
        <v/>
      </c>
      <c r="P863" s="7">
        <f>'3 escalar'!O866</f>
        <v/>
      </c>
      <c r="Q863" s="7">
        <f>'3 escalar'!P866</f>
        <v/>
      </c>
      <c r="R863" s="7">
        <f>'3 escalar'!Q866</f>
        <v/>
      </c>
      <c r="S863" s="7">
        <f>'3 escalar'!R866</f>
        <v/>
      </c>
      <c r="T863" s="7">
        <f>'3 escalar'!S866</f>
        <v/>
      </c>
      <c r="U863" s="7">
        <f>'3 escalar'!T866</f>
        <v/>
      </c>
      <c r="V863" s="6">
        <f>$AC$12+D863*$AC$13+E863*$AC$14+F863*$AC$15+G863*$AC$16+H863*$AC$17+I863*$AC$18+J863*$AC$19+K863*$AC$20+L863*$AC$21+M863*$AC$22+N863*$AC$23+O863*$AC$24+P863*$AC$25+Q863*$AC$26+R863*$AC$27+S863*$AC$28+T863*$AC$29+U863*$AC$30</f>
        <v/>
      </c>
      <c r="W863" s="6">
        <f>1/(1+EXP(-V863))</f>
        <v/>
      </c>
      <c r="X863" s="8">
        <f>-IF(C863=1,LN(W863),LN(1-W863))</f>
        <v/>
      </c>
      <c r="Y863" s="9">
        <f>IF(W863&gt;$AC$32,1,0)</f>
        <v/>
      </c>
      <c r="Z863">
        <f>IF(Y863=C863,1,0)</f>
        <v/>
      </c>
    </row>
    <row r="864">
      <c r="A864">
        <f>'3 escalar'!A867</f>
        <v/>
      </c>
      <c r="B864" s="5">
        <f>'3 escalar'!U867</f>
        <v/>
      </c>
      <c r="C864">
        <f>'3 escalar'!B867</f>
        <v/>
      </c>
      <c r="D864" s="7">
        <f>'3 escalar'!C867</f>
        <v/>
      </c>
      <c r="E864" s="7">
        <f>'3 escalar'!D867</f>
        <v/>
      </c>
      <c r="F864" s="7">
        <f>'3 escalar'!E867</f>
        <v/>
      </c>
      <c r="G864" s="7">
        <f>'3 escalar'!F867</f>
        <v/>
      </c>
      <c r="H864" s="7">
        <f>'3 escalar'!G867</f>
        <v/>
      </c>
      <c r="I864" s="7">
        <f>'3 escalar'!H867</f>
        <v/>
      </c>
      <c r="J864" s="7">
        <f>'3 escalar'!I867</f>
        <v/>
      </c>
      <c r="K864" s="7">
        <f>'3 escalar'!J867</f>
        <v/>
      </c>
      <c r="L864" s="7">
        <f>'3 escalar'!K867</f>
        <v/>
      </c>
      <c r="M864" s="7">
        <f>'3 escalar'!L867</f>
        <v/>
      </c>
      <c r="N864" s="7">
        <f>'3 escalar'!M867</f>
        <v/>
      </c>
      <c r="O864" s="7">
        <f>'3 escalar'!N867</f>
        <v/>
      </c>
      <c r="P864" s="7">
        <f>'3 escalar'!O867</f>
        <v/>
      </c>
      <c r="Q864" s="7">
        <f>'3 escalar'!P867</f>
        <v/>
      </c>
      <c r="R864" s="7">
        <f>'3 escalar'!Q867</f>
        <v/>
      </c>
      <c r="S864" s="7">
        <f>'3 escalar'!R867</f>
        <v/>
      </c>
      <c r="T864" s="7">
        <f>'3 escalar'!S867</f>
        <v/>
      </c>
      <c r="U864" s="7">
        <f>'3 escalar'!T867</f>
        <v/>
      </c>
      <c r="V864" s="6">
        <f>$AC$12+D864*$AC$13+E864*$AC$14+F864*$AC$15+G864*$AC$16+H864*$AC$17+I864*$AC$18+J864*$AC$19+K864*$AC$20+L864*$AC$21+M864*$AC$22+N864*$AC$23+O864*$AC$24+P864*$AC$25+Q864*$AC$26+R864*$AC$27+S864*$AC$28+T864*$AC$29+U864*$AC$30</f>
        <v/>
      </c>
      <c r="W864" s="6">
        <f>1/(1+EXP(-V864))</f>
        <v/>
      </c>
      <c r="X864" s="8">
        <f>-IF(C864=1,LN(W864),LN(1-W864))</f>
        <v/>
      </c>
      <c r="Y864" s="9">
        <f>IF(W864&gt;$AC$32,1,0)</f>
        <v/>
      </c>
      <c r="Z864">
        <f>IF(Y864=C864,1,0)</f>
        <v/>
      </c>
    </row>
    <row r="865">
      <c r="A865">
        <f>'3 escalar'!A868</f>
        <v/>
      </c>
      <c r="B865" s="5">
        <f>'3 escalar'!U868</f>
        <v/>
      </c>
      <c r="C865">
        <f>'3 escalar'!B868</f>
        <v/>
      </c>
      <c r="D865" s="7">
        <f>'3 escalar'!C868</f>
        <v/>
      </c>
      <c r="E865" s="7">
        <f>'3 escalar'!D868</f>
        <v/>
      </c>
      <c r="F865" s="7">
        <f>'3 escalar'!E868</f>
        <v/>
      </c>
      <c r="G865" s="7">
        <f>'3 escalar'!F868</f>
        <v/>
      </c>
      <c r="H865" s="7">
        <f>'3 escalar'!G868</f>
        <v/>
      </c>
      <c r="I865" s="7">
        <f>'3 escalar'!H868</f>
        <v/>
      </c>
      <c r="J865" s="7">
        <f>'3 escalar'!I868</f>
        <v/>
      </c>
      <c r="K865" s="7">
        <f>'3 escalar'!J868</f>
        <v/>
      </c>
      <c r="L865" s="7">
        <f>'3 escalar'!K868</f>
        <v/>
      </c>
      <c r="M865" s="7">
        <f>'3 escalar'!L868</f>
        <v/>
      </c>
      <c r="N865" s="7">
        <f>'3 escalar'!M868</f>
        <v/>
      </c>
      <c r="O865" s="7">
        <f>'3 escalar'!N868</f>
        <v/>
      </c>
      <c r="P865" s="7">
        <f>'3 escalar'!O868</f>
        <v/>
      </c>
      <c r="Q865" s="7">
        <f>'3 escalar'!P868</f>
        <v/>
      </c>
      <c r="R865" s="7">
        <f>'3 escalar'!Q868</f>
        <v/>
      </c>
      <c r="S865" s="7">
        <f>'3 escalar'!R868</f>
        <v/>
      </c>
      <c r="T865" s="7">
        <f>'3 escalar'!S868</f>
        <v/>
      </c>
      <c r="U865" s="7">
        <f>'3 escalar'!T868</f>
        <v/>
      </c>
      <c r="V865" s="6">
        <f>$AC$12+D865*$AC$13+E865*$AC$14+F865*$AC$15+G865*$AC$16+H865*$AC$17+I865*$AC$18+J865*$AC$19+K865*$AC$20+L865*$AC$21+M865*$AC$22+N865*$AC$23+O865*$AC$24+P865*$AC$25+Q865*$AC$26+R865*$AC$27+S865*$AC$28+T865*$AC$29+U865*$AC$30</f>
        <v/>
      </c>
      <c r="W865" s="6">
        <f>1/(1+EXP(-V865))</f>
        <v/>
      </c>
      <c r="X865" s="8">
        <f>-IF(C865=1,LN(W865),LN(1-W865))</f>
        <v/>
      </c>
      <c r="Y865" s="9">
        <f>IF(W865&gt;$AC$32,1,0)</f>
        <v/>
      </c>
      <c r="Z865">
        <f>IF(Y865=C865,1,0)</f>
        <v/>
      </c>
    </row>
    <row r="866">
      <c r="A866">
        <f>'3 escalar'!A869</f>
        <v/>
      </c>
      <c r="B866" s="5">
        <f>'3 escalar'!U869</f>
        <v/>
      </c>
      <c r="C866">
        <f>'3 escalar'!B869</f>
        <v/>
      </c>
      <c r="D866" s="7">
        <f>'3 escalar'!C869</f>
        <v/>
      </c>
      <c r="E866" s="7">
        <f>'3 escalar'!D869</f>
        <v/>
      </c>
      <c r="F866" s="7">
        <f>'3 escalar'!E869</f>
        <v/>
      </c>
      <c r="G866" s="7">
        <f>'3 escalar'!F869</f>
        <v/>
      </c>
      <c r="H866" s="7">
        <f>'3 escalar'!G869</f>
        <v/>
      </c>
      <c r="I866" s="7">
        <f>'3 escalar'!H869</f>
        <v/>
      </c>
      <c r="J866" s="7">
        <f>'3 escalar'!I869</f>
        <v/>
      </c>
      <c r="K866" s="7">
        <f>'3 escalar'!J869</f>
        <v/>
      </c>
      <c r="L866" s="7">
        <f>'3 escalar'!K869</f>
        <v/>
      </c>
      <c r="M866" s="7">
        <f>'3 escalar'!L869</f>
        <v/>
      </c>
      <c r="N866" s="7">
        <f>'3 escalar'!M869</f>
        <v/>
      </c>
      <c r="O866" s="7">
        <f>'3 escalar'!N869</f>
        <v/>
      </c>
      <c r="P866" s="7">
        <f>'3 escalar'!O869</f>
        <v/>
      </c>
      <c r="Q866" s="7">
        <f>'3 escalar'!P869</f>
        <v/>
      </c>
      <c r="R866" s="7">
        <f>'3 escalar'!Q869</f>
        <v/>
      </c>
      <c r="S866" s="7">
        <f>'3 escalar'!R869</f>
        <v/>
      </c>
      <c r="T866" s="7">
        <f>'3 escalar'!S869</f>
        <v/>
      </c>
      <c r="U866" s="7">
        <f>'3 escalar'!T869</f>
        <v/>
      </c>
      <c r="V866" s="6">
        <f>$AC$12+D866*$AC$13+E866*$AC$14+F866*$AC$15+G866*$AC$16+H866*$AC$17+I866*$AC$18+J866*$AC$19+K866*$AC$20+L866*$AC$21+M866*$AC$22+N866*$AC$23+O866*$AC$24+P866*$AC$25+Q866*$AC$26+R866*$AC$27+S866*$AC$28+T866*$AC$29+U866*$AC$30</f>
        <v/>
      </c>
      <c r="W866" s="6">
        <f>1/(1+EXP(-V866))</f>
        <v/>
      </c>
      <c r="X866" s="8">
        <f>-IF(C866=1,LN(W866),LN(1-W866))</f>
        <v/>
      </c>
      <c r="Y866" s="9">
        <f>IF(W866&gt;$AC$32,1,0)</f>
        <v/>
      </c>
      <c r="Z866">
        <f>IF(Y866=C866,1,0)</f>
        <v/>
      </c>
    </row>
    <row r="867">
      <c r="A867">
        <f>'3 escalar'!A870</f>
        <v/>
      </c>
      <c r="B867" s="5">
        <f>'3 escalar'!U870</f>
        <v/>
      </c>
      <c r="C867">
        <f>'3 escalar'!B870</f>
        <v/>
      </c>
      <c r="D867" s="7">
        <f>'3 escalar'!C870</f>
        <v/>
      </c>
      <c r="E867" s="7">
        <f>'3 escalar'!D870</f>
        <v/>
      </c>
      <c r="F867" s="7">
        <f>'3 escalar'!E870</f>
        <v/>
      </c>
      <c r="G867" s="7">
        <f>'3 escalar'!F870</f>
        <v/>
      </c>
      <c r="H867" s="7">
        <f>'3 escalar'!G870</f>
        <v/>
      </c>
      <c r="I867" s="7">
        <f>'3 escalar'!H870</f>
        <v/>
      </c>
      <c r="J867" s="7">
        <f>'3 escalar'!I870</f>
        <v/>
      </c>
      <c r="K867" s="7">
        <f>'3 escalar'!J870</f>
        <v/>
      </c>
      <c r="L867" s="7">
        <f>'3 escalar'!K870</f>
        <v/>
      </c>
      <c r="M867" s="7">
        <f>'3 escalar'!L870</f>
        <v/>
      </c>
      <c r="N867" s="7">
        <f>'3 escalar'!M870</f>
        <v/>
      </c>
      <c r="O867" s="7">
        <f>'3 escalar'!N870</f>
        <v/>
      </c>
      <c r="P867" s="7">
        <f>'3 escalar'!O870</f>
        <v/>
      </c>
      <c r="Q867" s="7">
        <f>'3 escalar'!P870</f>
        <v/>
      </c>
      <c r="R867" s="7">
        <f>'3 escalar'!Q870</f>
        <v/>
      </c>
      <c r="S867" s="7">
        <f>'3 escalar'!R870</f>
        <v/>
      </c>
      <c r="T867" s="7">
        <f>'3 escalar'!S870</f>
        <v/>
      </c>
      <c r="U867" s="7">
        <f>'3 escalar'!T870</f>
        <v/>
      </c>
      <c r="V867" s="6">
        <f>$AC$12+D867*$AC$13+E867*$AC$14+F867*$AC$15+G867*$AC$16+H867*$AC$17+I867*$AC$18+J867*$AC$19+K867*$AC$20+L867*$AC$21+M867*$AC$22+N867*$AC$23+O867*$AC$24+P867*$AC$25+Q867*$AC$26+R867*$AC$27+S867*$AC$28+T867*$AC$29+U867*$AC$30</f>
        <v/>
      </c>
      <c r="W867" s="6">
        <f>1/(1+EXP(-V867))</f>
        <v/>
      </c>
      <c r="X867" s="8">
        <f>-IF(C867=1,LN(W867),LN(1-W867))</f>
        <v/>
      </c>
      <c r="Y867" s="9">
        <f>IF(W867&gt;$AC$32,1,0)</f>
        <v/>
      </c>
      <c r="Z867">
        <f>IF(Y867=C867,1,0)</f>
        <v/>
      </c>
    </row>
    <row r="868">
      <c r="A868">
        <f>'3 escalar'!A871</f>
        <v/>
      </c>
      <c r="B868" s="5">
        <f>'3 escalar'!U871</f>
        <v/>
      </c>
      <c r="C868">
        <f>'3 escalar'!B871</f>
        <v/>
      </c>
      <c r="D868" s="7">
        <f>'3 escalar'!C871</f>
        <v/>
      </c>
      <c r="E868" s="7">
        <f>'3 escalar'!D871</f>
        <v/>
      </c>
      <c r="F868" s="7">
        <f>'3 escalar'!E871</f>
        <v/>
      </c>
      <c r="G868" s="7">
        <f>'3 escalar'!F871</f>
        <v/>
      </c>
      <c r="H868" s="7">
        <f>'3 escalar'!G871</f>
        <v/>
      </c>
      <c r="I868" s="7">
        <f>'3 escalar'!H871</f>
        <v/>
      </c>
      <c r="J868" s="7">
        <f>'3 escalar'!I871</f>
        <v/>
      </c>
      <c r="K868" s="7">
        <f>'3 escalar'!J871</f>
        <v/>
      </c>
      <c r="L868" s="7">
        <f>'3 escalar'!K871</f>
        <v/>
      </c>
      <c r="M868" s="7">
        <f>'3 escalar'!L871</f>
        <v/>
      </c>
      <c r="N868" s="7">
        <f>'3 escalar'!M871</f>
        <v/>
      </c>
      <c r="O868" s="7">
        <f>'3 escalar'!N871</f>
        <v/>
      </c>
      <c r="P868" s="7">
        <f>'3 escalar'!O871</f>
        <v/>
      </c>
      <c r="Q868" s="7">
        <f>'3 escalar'!P871</f>
        <v/>
      </c>
      <c r="R868" s="7">
        <f>'3 escalar'!Q871</f>
        <v/>
      </c>
      <c r="S868" s="7">
        <f>'3 escalar'!R871</f>
        <v/>
      </c>
      <c r="T868" s="7">
        <f>'3 escalar'!S871</f>
        <v/>
      </c>
      <c r="U868" s="7">
        <f>'3 escalar'!T871</f>
        <v/>
      </c>
      <c r="V868" s="6">
        <f>$AC$12+D868*$AC$13+E868*$AC$14+F868*$AC$15+G868*$AC$16+H868*$AC$17+I868*$AC$18+J868*$AC$19+K868*$AC$20+L868*$AC$21+M868*$AC$22+N868*$AC$23+O868*$AC$24+P868*$AC$25+Q868*$AC$26+R868*$AC$27+S868*$AC$28+T868*$AC$29+U868*$AC$30</f>
        <v/>
      </c>
      <c r="W868" s="6">
        <f>1/(1+EXP(-V868))</f>
        <v/>
      </c>
      <c r="X868" s="8">
        <f>-IF(C868=1,LN(W868),LN(1-W868))</f>
        <v/>
      </c>
      <c r="Y868" s="9">
        <f>IF(W868&gt;$AC$32,1,0)</f>
        <v/>
      </c>
      <c r="Z868">
        <f>IF(Y868=C868,1,0)</f>
        <v/>
      </c>
    </row>
    <row r="869">
      <c r="A869">
        <f>'3 escalar'!A872</f>
        <v/>
      </c>
      <c r="B869" s="5">
        <f>'3 escalar'!U872</f>
        <v/>
      </c>
      <c r="C869">
        <f>'3 escalar'!B872</f>
        <v/>
      </c>
      <c r="D869" s="7">
        <f>'3 escalar'!C872</f>
        <v/>
      </c>
      <c r="E869" s="7">
        <f>'3 escalar'!D872</f>
        <v/>
      </c>
      <c r="F869" s="7">
        <f>'3 escalar'!E872</f>
        <v/>
      </c>
      <c r="G869" s="7">
        <f>'3 escalar'!F872</f>
        <v/>
      </c>
      <c r="H869" s="7">
        <f>'3 escalar'!G872</f>
        <v/>
      </c>
      <c r="I869" s="7">
        <f>'3 escalar'!H872</f>
        <v/>
      </c>
      <c r="J869" s="7">
        <f>'3 escalar'!I872</f>
        <v/>
      </c>
      <c r="K869" s="7">
        <f>'3 escalar'!J872</f>
        <v/>
      </c>
      <c r="L869" s="7">
        <f>'3 escalar'!K872</f>
        <v/>
      </c>
      <c r="M869" s="7">
        <f>'3 escalar'!L872</f>
        <v/>
      </c>
      <c r="N869" s="7">
        <f>'3 escalar'!M872</f>
        <v/>
      </c>
      <c r="O869" s="7">
        <f>'3 escalar'!N872</f>
        <v/>
      </c>
      <c r="P869" s="7">
        <f>'3 escalar'!O872</f>
        <v/>
      </c>
      <c r="Q869" s="7">
        <f>'3 escalar'!P872</f>
        <v/>
      </c>
      <c r="R869" s="7">
        <f>'3 escalar'!Q872</f>
        <v/>
      </c>
      <c r="S869" s="7">
        <f>'3 escalar'!R872</f>
        <v/>
      </c>
      <c r="T869" s="7">
        <f>'3 escalar'!S872</f>
        <v/>
      </c>
      <c r="U869" s="7">
        <f>'3 escalar'!T872</f>
        <v/>
      </c>
      <c r="V869" s="6">
        <f>$AC$12+D869*$AC$13+E869*$AC$14+F869*$AC$15+G869*$AC$16+H869*$AC$17+I869*$AC$18+J869*$AC$19+K869*$AC$20+L869*$AC$21+M869*$AC$22+N869*$AC$23+O869*$AC$24+P869*$AC$25+Q869*$AC$26+R869*$AC$27+S869*$AC$28+T869*$AC$29+U869*$AC$30</f>
        <v/>
      </c>
      <c r="W869" s="6">
        <f>1/(1+EXP(-V869))</f>
        <v/>
      </c>
      <c r="X869" s="8">
        <f>-IF(C869=1,LN(W869),LN(1-W869))</f>
        <v/>
      </c>
      <c r="Y869" s="9">
        <f>IF(W869&gt;$AC$32,1,0)</f>
        <v/>
      </c>
      <c r="Z869">
        <f>IF(Y869=C869,1,0)</f>
        <v/>
      </c>
    </row>
    <row r="870">
      <c r="A870">
        <f>'3 escalar'!A873</f>
        <v/>
      </c>
      <c r="B870" s="5">
        <f>'3 escalar'!U873</f>
        <v/>
      </c>
      <c r="C870">
        <f>'3 escalar'!B873</f>
        <v/>
      </c>
      <c r="D870" s="7">
        <f>'3 escalar'!C873</f>
        <v/>
      </c>
      <c r="E870" s="7">
        <f>'3 escalar'!D873</f>
        <v/>
      </c>
      <c r="F870" s="7">
        <f>'3 escalar'!E873</f>
        <v/>
      </c>
      <c r="G870" s="7">
        <f>'3 escalar'!F873</f>
        <v/>
      </c>
      <c r="H870" s="7">
        <f>'3 escalar'!G873</f>
        <v/>
      </c>
      <c r="I870" s="7">
        <f>'3 escalar'!H873</f>
        <v/>
      </c>
      <c r="J870" s="7">
        <f>'3 escalar'!I873</f>
        <v/>
      </c>
      <c r="K870" s="7">
        <f>'3 escalar'!J873</f>
        <v/>
      </c>
      <c r="L870" s="7">
        <f>'3 escalar'!K873</f>
        <v/>
      </c>
      <c r="M870" s="7">
        <f>'3 escalar'!L873</f>
        <v/>
      </c>
      <c r="N870" s="7">
        <f>'3 escalar'!M873</f>
        <v/>
      </c>
      <c r="O870" s="7">
        <f>'3 escalar'!N873</f>
        <v/>
      </c>
      <c r="P870" s="7">
        <f>'3 escalar'!O873</f>
        <v/>
      </c>
      <c r="Q870" s="7">
        <f>'3 escalar'!P873</f>
        <v/>
      </c>
      <c r="R870" s="7">
        <f>'3 escalar'!Q873</f>
        <v/>
      </c>
      <c r="S870" s="7">
        <f>'3 escalar'!R873</f>
        <v/>
      </c>
      <c r="T870" s="7">
        <f>'3 escalar'!S873</f>
        <v/>
      </c>
      <c r="U870" s="7">
        <f>'3 escalar'!T873</f>
        <v/>
      </c>
      <c r="V870" s="6">
        <f>$AC$12+D870*$AC$13+E870*$AC$14+F870*$AC$15+G870*$AC$16+H870*$AC$17+I870*$AC$18+J870*$AC$19+K870*$AC$20+L870*$AC$21+M870*$AC$22+N870*$AC$23+O870*$AC$24+P870*$AC$25+Q870*$AC$26+R870*$AC$27+S870*$AC$28+T870*$AC$29+U870*$AC$30</f>
        <v/>
      </c>
      <c r="W870" s="6">
        <f>1/(1+EXP(-V870))</f>
        <v/>
      </c>
      <c r="X870" s="8">
        <f>-IF(C870=1,LN(W870),LN(1-W870))</f>
        <v/>
      </c>
      <c r="Y870" s="9">
        <f>IF(W870&gt;$AC$32,1,0)</f>
        <v/>
      </c>
      <c r="Z870">
        <f>IF(Y870=C870,1,0)</f>
        <v/>
      </c>
    </row>
    <row r="871">
      <c r="A871">
        <f>'3 escalar'!A874</f>
        <v/>
      </c>
      <c r="B871" s="5">
        <f>'3 escalar'!U874</f>
        <v/>
      </c>
      <c r="C871">
        <f>'3 escalar'!B874</f>
        <v/>
      </c>
      <c r="D871" s="7">
        <f>'3 escalar'!C874</f>
        <v/>
      </c>
      <c r="E871" s="7">
        <f>'3 escalar'!D874</f>
        <v/>
      </c>
      <c r="F871" s="7">
        <f>'3 escalar'!E874</f>
        <v/>
      </c>
      <c r="G871" s="7">
        <f>'3 escalar'!F874</f>
        <v/>
      </c>
      <c r="H871" s="7">
        <f>'3 escalar'!G874</f>
        <v/>
      </c>
      <c r="I871" s="7">
        <f>'3 escalar'!H874</f>
        <v/>
      </c>
      <c r="J871" s="7">
        <f>'3 escalar'!I874</f>
        <v/>
      </c>
      <c r="K871" s="7">
        <f>'3 escalar'!J874</f>
        <v/>
      </c>
      <c r="L871" s="7">
        <f>'3 escalar'!K874</f>
        <v/>
      </c>
      <c r="M871" s="7">
        <f>'3 escalar'!L874</f>
        <v/>
      </c>
      <c r="N871" s="7">
        <f>'3 escalar'!M874</f>
        <v/>
      </c>
      <c r="O871" s="7">
        <f>'3 escalar'!N874</f>
        <v/>
      </c>
      <c r="P871" s="7">
        <f>'3 escalar'!O874</f>
        <v/>
      </c>
      <c r="Q871" s="7">
        <f>'3 escalar'!P874</f>
        <v/>
      </c>
      <c r="R871" s="7">
        <f>'3 escalar'!Q874</f>
        <v/>
      </c>
      <c r="S871" s="7">
        <f>'3 escalar'!R874</f>
        <v/>
      </c>
      <c r="T871" s="7">
        <f>'3 escalar'!S874</f>
        <v/>
      </c>
      <c r="U871" s="7">
        <f>'3 escalar'!T874</f>
        <v/>
      </c>
      <c r="V871" s="6">
        <f>$AC$12+D871*$AC$13+E871*$AC$14+F871*$AC$15+G871*$AC$16+H871*$AC$17+I871*$AC$18+J871*$AC$19+K871*$AC$20+L871*$AC$21+M871*$AC$22+N871*$AC$23+O871*$AC$24+P871*$AC$25+Q871*$AC$26+R871*$AC$27+S871*$AC$28+T871*$AC$29+U871*$AC$30</f>
        <v/>
      </c>
      <c r="W871" s="6">
        <f>1/(1+EXP(-V871))</f>
        <v/>
      </c>
      <c r="X871" s="8">
        <f>-IF(C871=1,LN(W871),LN(1-W871))</f>
        <v/>
      </c>
      <c r="Y871" s="9">
        <f>IF(W871&gt;$AC$32,1,0)</f>
        <v/>
      </c>
      <c r="Z871">
        <f>IF(Y871=C871,1,0)</f>
        <v/>
      </c>
    </row>
    <row r="872">
      <c r="A872">
        <f>'3 escalar'!A875</f>
        <v/>
      </c>
      <c r="B872" s="5">
        <f>'3 escalar'!U875</f>
        <v/>
      </c>
      <c r="C872">
        <f>'3 escalar'!B875</f>
        <v/>
      </c>
      <c r="D872" s="7">
        <f>'3 escalar'!C875</f>
        <v/>
      </c>
      <c r="E872" s="7">
        <f>'3 escalar'!D875</f>
        <v/>
      </c>
      <c r="F872" s="7">
        <f>'3 escalar'!E875</f>
        <v/>
      </c>
      <c r="G872" s="7">
        <f>'3 escalar'!F875</f>
        <v/>
      </c>
      <c r="H872" s="7">
        <f>'3 escalar'!G875</f>
        <v/>
      </c>
      <c r="I872" s="7">
        <f>'3 escalar'!H875</f>
        <v/>
      </c>
      <c r="J872" s="7">
        <f>'3 escalar'!I875</f>
        <v/>
      </c>
      <c r="K872" s="7">
        <f>'3 escalar'!J875</f>
        <v/>
      </c>
      <c r="L872" s="7">
        <f>'3 escalar'!K875</f>
        <v/>
      </c>
      <c r="M872" s="7">
        <f>'3 escalar'!L875</f>
        <v/>
      </c>
      <c r="N872" s="7">
        <f>'3 escalar'!M875</f>
        <v/>
      </c>
      <c r="O872" s="7">
        <f>'3 escalar'!N875</f>
        <v/>
      </c>
      <c r="P872" s="7">
        <f>'3 escalar'!O875</f>
        <v/>
      </c>
      <c r="Q872" s="7">
        <f>'3 escalar'!P875</f>
        <v/>
      </c>
      <c r="R872" s="7">
        <f>'3 escalar'!Q875</f>
        <v/>
      </c>
      <c r="S872" s="7">
        <f>'3 escalar'!R875</f>
        <v/>
      </c>
      <c r="T872" s="7">
        <f>'3 escalar'!S875</f>
        <v/>
      </c>
      <c r="U872" s="7">
        <f>'3 escalar'!T875</f>
        <v/>
      </c>
      <c r="V872" s="6">
        <f>$AC$12+D872*$AC$13+E872*$AC$14+F872*$AC$15+G872*$AC$16+H872*$AC$17+I872*$AC$18+J872*$AC$19+K872*$AC$20+L872*$AC$21+M872*$AC$22+N872*$AC$23+O872*$AC$24+P872*$AC$25+Q872*$AC$26+R872*$AC$27+S872*$AC$28+T872*$AC$29+U872*$AC$30</f>
        <v/>
      </c>
      <c r="W872" s="6">
        <f>1/(1+EXP(-V872))</f>
        <v/>
      </c>
      <c r="X872" s="8">
        <f>-IF(C872=1,LN(W872),LN(1-W872))</f>
        <v/>
      </c>
      <c r="Y872" s="9">
        <f>IF(W872&gt;$AC$32,1,0)</f>
        <v/>
      </c>
      <c r="Z872">
        <f>IF(Y872=C872,1,0)</f>
        <v/>
      </c>
    </row>
    <row r="873">
      <c r="A873">
        <f>'3 escalar'!A876</f>
        <v/>
      </c>
      <c r="B873" s="5">
        <f>'3 escalar'!U876</f>
        <v/>
      </c>
      <c r="C873">
        <f>'3 escalar'!B876</f>
        <v/>
      </c>
      <c r="D873" s="7">
        <f>'3 escalar'!C876</f>
        <v/>
      </c>
      <c r="E873" s="7">
        <f>'3 escalar'!D876</f>
        <v/>
      </c>
      <c r="F873" s="7">
        <f>'3 escalar'!E876</f>
        <v/>
      </c>
      <c r="G873" s="7">
        <f>'3 escalar'!F876</f>
        <v/>
      </c>
      <c r="H873" s="7">
        <f>'3 escalar'!G876</f>
        <v/>
      </c>
      <c r="I873" s="7">
        <f>'3 escalar'!H876</f>
        <v/>
      </c>
      <c r="J873" s="7">
        <f>'3 escalar'!I876</f>
        <v/>
      </c>
      <c r="K873" s="7">
        <f>'3 escalar'!J876</f>
        <v/>
      </c>
      <c r="L873" s="7">
        <f>'3 escalar'!K876</f>
        <v/>
      </c>
      <c r="M873" s="7">
        <f>'3 escalar'!L876</f>
        <v/>
      </c>
      <c r="N873" s="7">
        <f>'3 escalar'!M876</f>
        <v/>
      </c>
      <c r="O873" s="7">
        <f>'3 escalar'!N876</f>
        <v/>
      </c>
      <c r="P873" s="7">
        <f>'3 escalar'!O876</f>
        <v/>
      </c>
      <c r="Q873" s="7">
        <f>'3 escalar'!P876</f>
        <v/>
      </c>
      <c r="R873" s="7">
        <f>'3 escalar'!Q876</f>
        <v/>
      </c>
      <c r="S873" s="7">
        <f>'3 escalar'!R876</f>
        <v/>
      </c>
      <c r="T873" s="7">
        <f>'3 escalar'!S876</f>
        <v/>
      </c>
      <c r="U873" s="7">
        <f>'3 escalar'!T876</f>
        <v/>
      </c>
      <c r="V873" s="6">
        <f>$AC$12+D873*$AC$13+E873*$AC$14+F873*$AC$15+G873*$AC$16+H873*$AC$17+I873*$AC$18+J873*$AC$19+K873*$AC$20+L873*$AC$21+M873*$AC$22+N873*$AC$23+O873*$AC$24+P873*$AC$25+Q873*$AC$26+R873*$AC$27+S873*$AC$28+T873*$AC$29+U873*$AC$30</f>
        <v/>
      </c>
      <c r="W873" s="6">
        <f>1/(1+EXP(-V873))</f>
        <v/>
      </c>
      <c r="X873" s="8">
        <f>-IF(C873=1,LN(W873),LN(1-W873))</f>
        <v/>
      </c>
      <c r="Y873" s="9">
        <f>IF(W873&gt;$AC$32,1,0)</f>
        <v/>
      </c>
      <c r="Z873">
        <f>IF(Y873=C873,1,0)</f>
        <v/>
      </c>
    </row>
    <row r="874">
      <c r="A874">
        <f>'3 escalar'!A877</f>
        <v/>
      </c>
      <c r="B874" s="5">
        <f>'3 escalar'!U877</f>
        <v/>
      </c>
      <c r="C874">
        <f>'3 escalar'!B877</f>
        <v/>
      </c>
      <c r="D874" s="7">
        <f>'3 escalar'!C877</f>
        <v/>
      </c>
      <c r="E874" s="7">
        <f>'3 escalar'!D877</f>
        <v/>
      </c>
      <c r="F874" s="7">
        <f>'3 escalar'!E877</f>
        <v/>
      </c>
      <c r="G874" s="7">
        <f>'3 escalar'!F877</f>
        <v/>
      </c>
      <c r="H874" s="7">
        <f>'3 escalar'!G877</f>
        <v/>
      </c>
      <c r="I874" s="7">
        <f>'3 escalar'!H877</f>
        <v/>
      </c>
      <c r="J874" s="7">
        <f>'3 escalar'!I877</f>
        <v/>
      </c>
      <c r="K874" s="7">
        <f>'3 escalar'!J877</f>
        <v/>
      </c>
      <c r="L874" s="7">
        <f>'3 escalar'!K877</f>
        <v/>
      </c>
      <c r="M874" s="7">
        <f>'3 escalar'!L877</f>
        <v/>
      </c>
      <c r="N874" s="7">
        <f>'3 escalar'!M877</f>
        <v/>
      </c>
      <c r="O874" s="7">
        <f>'3 escalar'!N877</f>
        <v/>
      </c>
      <c r="P874" s="7">
        <f>'3 escalar'!O877</f>
        <v/>
      </c>
      <c r="Q874" s="7">
        <f>'3 escalar'!P877</f>
        <v/>
      </c>
      <c r="R874" s="7">
        <f>'3 escalar'!Q877</f>
        <v/>
      </c>
      <c r="S874" s="7">
        <f>'3 escalar'!R877</f>
        <v/>
      </c>
      <c r="T874" s="7">
        <f>'3 escalar'!S877</f>
        <v/>
      </c>
      <c r="U874" s="7">
        <f>'3 escalar'!T877</f>
        <v/>
      </c>
      <c r="V874" s="6">
        <f>$AC$12+D874*$AC$13+E874*$AC$14+F874*$AC$15+G874*$AC$16+H874*$AC$17+I874*$AC$18+J874*$AC$19+K874*$AC$20+L874*$AC$21+M874*$AC$22+N874*$AC$23+O874*$AC$24+P874*$AC$25+Q874*$AC$26+R874*$AC$27+S874*$AC$28+T874*$AC$29+U874*$AC$30</f>
        <v/>
      </c>
      <c r="W874" s="6">
        <f>1/(1+EXP(-V874))</f>
        <v/>
      </c>
      <c r="X874" s="8">
        <f>-IF(C874=1,LN(W874),LN(1-W874))</f>
        <v/>
      </c>
      <c r="Y874" s="9">
        <f>IF(W874&gt;$AC$32,1,0)</f>
        <v/>
      </c>
      <c r="Z874">
        <f>IF(Y874=C874,1,0)</f>
        <v/>
      </c>
    </row>
    <row r="875">
      <c r="A875">
        <f>'3 escalar'!A878</f>
        <v/>
      </c>
      <c r="B875" s="5">
        <f>'3 escalar'!U878</f>
        <v/>
      </c>
      <c r="C875">
        <f>'3 escalar'!B878</f>
        <v/>
      </c>
      <c r="D875" s="7">
        <f>'3 escalar'!C878</f>
        <v/>
      </c>
      <c r="E875" s="7">
        <f>'3 escalar'!D878</f>
        <v/>
      </c>
      <c r="F875" s="7">
        <f>'3 escalar'!E878</f>
        <v/>
      </c>
      <c r="G875" s="7">
        <f>'3 escalar'!F878</f>
        <v/>
      </c>
      <c r="H875" s="7">
        <f>'3 escalar'!G878</f>
        <v/>
      </c>
      <c r="I875" s="7">
        <f>'3 escalar'!H878</f>
        <v/>
      </c>
      <c r="J875" s="7">
        <f>'3 escalar'!I878</f>
        <v/>
      </c>
      <c r="K875" s="7">
        <f>'3 escalar'!J878</f>
        <v/>
      </c>
      <c r="L875" s="7">
        <f>'3 escalar'!K878</f>
        <v/>
      </c>
      <c r="M875" s="7">
        <f>'3 escalar'!L878</f>
        <v/>
      </c>
      <c r="N875" s="7">
        <f>'3 escalar'!M878</f>
        <v/>
      </c>
      <c r="O875" s="7">
        <f>'3 escalar'!N878</f>
        <v/>
      </c>
      <c r="P875" s="7">
        <f>'3 escalar'!O878</f>
        <v/>
      </c>
      <c r="Q875" s="7">
        <f>'3 escalar'!P878</f>
        <v/>
      </c>
      <c r="R875" s="7">
        <f>'3 escalar'!Q878</f>
        <v/>
      </c>
      <c r="S875" s="7">
        <f>'3 escalar'!R878</f>
        <v/>
      </c>
      <c r="T875" s="7">
        <f>'3 escalar'!S878</f>
        <v/>
      </c>
      <c r="U875" s="7">
        <f>'3 escalar'!T878</f>
        <v/>
      </c>
      <c r="V875" s="6">
        <f>$AC$12+D875*$AC$13+E875*$AC$14+F875*$AC$15+G875*$AC$16+H875*$AC$17+I875*$AC$18+J875*$AC$19+K875*$AC$20+L875*$AC$21+M875*$AC$22+N875*$AC$23+O875*$AC$24+P875*$AC$25+Q875*$AC$26+R875*$AC$27+S875*$AC$28+T875*$AC$29+U875*$AC$30</f>
        <v/>
      </c>
      <c r="W875" s="6">
        <f>1/(1+EXP(-V875))</f>
        <v/>
      </c>
      <c r="X875" s="8">
        <f>-IF(C875=1,LN(W875),LN(1-W875))</f>
        <v/>
      </c>
      <c r="Y875" s="9">
        <f>IF(W875&gt;$AC$32,1,0)</f>
        <v/>
      </c>
      <c r="Z875">
        <f>IF(Y875=C875,1,0)</f>
        <v/>
      </c>
    </row>
    <row r="876">
      <c r="A876">
        <f>'3 escalar'!A879</f>
        <v/>
      </c>
      <c r="B876" s="5">
        <f>'3 escalar'!U879</f>
        <v/>
      </c>
      <c r="C876">
        <f>'3 escalar'!B879</f>
        <v/>
      </c>
      <c r="D876" s="7">
        <f>'3 escalar'!C879</f>
        <v/>
      </c>
      <c r="E876" s="7">
        <f>'3 escalar'!D879</f>
        <v/>
      </c>
      <c r="F876" s="7">
        <f>'3 escalar'!E879</f>
        <v/>
      </c>
      <c r="G876" s="7">
        <f>'3 escalar'!F879</f>
        <v/>
      </c>
      <c r="H876" s="7">
        <f>'3 escalar'!G879</f>
        <v/>
      </c>
      <c r="I876" s="7">
        <f>'3 escalar'!H879</f>
        <v/>
      </c>
      <c r="J876" s="7">
        <f>'3 escalar'!I879</f>
        <v/>
      </c>
      <c r="K876" s="7">
        <f>'3 escalar'!J879</f>
        <v/>
      </c>
      <c r="L876" s="7">
        <f>'3 escalar'!K879</f>
        <v/>
      </c>
      <c r="M876" s="7">
        <f>'3 escalar'!L879</f>
        <v/>
      </c>
      <c r="N876" s="7">
        <f>'3 escalar'!M879</f>
        <v/>
      </c>
      <c r="O876" s="7">
        <f>'3 escalar'!N879</f>
        <v/>
      </c>
      <c r="P876" s="7">
        <f>'3 escalar'!O879</f>
        <v/>
      </c>
      <c r="Q876" s="7">
        <f>'3 escalar'!P879</f>
        <v/>
      </c>
      <c r="R876" s="7">
        <f>'3 escalar'!Q879</f>
        <v/>
      </c>
      <c r="S876" s="7">
        <f>'3 escalar'!R879</f>
        <v/>
      </c>
      <c r="T876" s="7">
        <f>'3 escalar'!S879</f>
        <v/>
      </c>
      <c r="U876" s="7">
        <f>'3 escalar'!T879</f>
        <v/>
      </c>
      <c r="V876" s="6">
        <f>$AC$12+D876*$AC$13+E876*$AC$14+F876*$AC$15+G876*$AC$16+H876*$AC$17+I876*$AC$18+J876*$AC$19+K876*$AC$20+L876*$AC$21+M876*$AC$22+N876*$AC$23+O876*$AC$24+P876*$AC$25+Q876*$AC$26+R876*$AC$27+S876*$AC$28+T876*$AC$29+U876*$AC$30</f>
        <v/>
      </c>
      <c r="W876" s="6">
        <f>1/(1+EXP(-V876))</f>
        <v/>
      </c>
      <c r="X876" s="8">
        <f>-IF(C876=1,LN(W876),LN(1-W876))</f>
        <v/>
      </c>
      <c r="Y876" s="9">
        <f>IF(W876&gt;$AC$32,1,0)</f>
        <v/>
      </c>
      <c r="Z876">
        <f>IF(Y876=C876,1,0)</f>
        <v/>
      </c>
    </row>
    <row r="877">
      <c r="A877">
        <f>'3 escalar'!A880</f>
        <v/>
      </c>
      <c r="B877" s="5">
        <f>'3 escalar'!U880</f>
        <v/>
      </c>
      <c r="C877">
        <f>'3 escalar'!B880</f>
        <v/>
      </c>
      <c r="D877" s="7">
        <f>'3 escalar'!C880</f>
        <v/>
      </c>
      <c r="E877" s="7">
        <f>'3 escalar'!D880</f>
        <v/>
      </c>
      <c r="F877" s="7">
        <f>'3 escalar'!E880</f>
        <v/>
      </c>
      <c r="G877" s="7">
        <f>'3 escalar'!F880</f>
        <v/>
      </c>
      <c r="H877" s="7">
        <f>'3 escalar'!G880</f>
        <v/>
      </c>
      <c r="I877" s="7">
        <f>'3 escalar'!H880</f>
        <v/>
      </c>
      <c r="J877" s="7">
        <f>'3 escalar'!I880</f>
        <v/>
      </c>
      <c r="K877" s="7">
        <f>'3 escalar'!J880</f>
        <v/>
      </c>
      <c r="L877" s="7">
        <f>'3 escalar'!K880</f>
        <v/>
      </c>
      <c r="M877" s="7">
        <f>'3 escalar'!L880</f>
        <v/>
      </c>
      <c r="N877" s="7">
        <f>'3 escalar'!M880</f>
        <v/>
      </c>
      <c r="O877" s="7">
        <f>'3 escalar'!N880</f>
        <v/>
      </c>
      <c r="P877" s="7">
        <f>'3 escalar'!O880</f>
        <v/>
      </c>
      <c r="Q877" s="7">
        <f>'3 escalar'!P880</f>
        <v/>
      </c>
      <c r="R877" s="7">
        <f>'3 escalar'!Q880</f>
        <v/>
      </c>
      <c r="S877" s="7">
        <f>'3 escalar'!R880</f>
        <v/>
      </c>
      <c r="T877" s="7">
        <f>'3 escalar'!S880</f>
        <v/>
      </c>
      <c r="U877" s="7">
        <f>'3 escalar'!T880</f>
        <v/>
      </c>
      <c r="V877" s="6">
        <f>$AC$12+D877*$AC$13+E877*$AC$14+F877*$AC$15+G877*$AC$16+H877*$AC$17+I877*$AC$18+J877*$AC$19+K877*$AC$20+L877*$AC$21+M877*$AC$22+N877*$AC$23+O877*$AC$24+P877*$AC$25+Q877*$AC$26+R877*$AC$27+S877*$AC$28+T877*$AC$29+U877*$AC$30</f>
        <v/>
      </c>
      <c r="W877" s="6">
        <f>1/(1+EXP(-V877))</f>
        <v/>
      </c>
      <c r="X877" s="8">
        <f>-IF(C877=1,LN(W877),LN(1-W877))</f>
        <v/>
      </c>
      <c r="Y877" s="9">
        <f>IF(W877&gt;$AC$32,1,0)</f>
        <v/>
      </c>
      <c r="Z877">
        <f>IF(Y877=C877,1,0)</f>
        <v/>
      </c>
    </row>
    <row r="878">
      <c r="A878">
        <f>'3 escalar'!A881</f>
        <v/>
      </c>
      <c r="B878" s="5">
        <f>'3 escalar'!U881</f>
        <v/>
      </c>
      <c r="C878">
        <f>'3 escalar'!B881</f>
        <v/>
      </c>
      <c r="D878" s="7">
        <f>'3 escalar'!C881</f>
        <v/>
      </c>
      <c r="E878" s="7">
        <f>'3 escalar'!D881</f>
        <v/>
      </c>
      <c r="F878" s="7">
        <f>'3 escalar'!E881</f>
        <v/>
      </c>
      <c r="G878" s="7">
        <f>'3 escalar'!F881</f>
        <v/>
      </c>
      <c r="H878" s="7">
        <f>'3 escalar'!G881</f>
        <v/>
      </c>
      <c r="I878" s="7">
        <f>'3 escalar'!H881</f>
        <v/>
      </c>
      <c r="J878" s="7">
        <f>'3 escalar'!I881</f>
        <v/>
      </c>
      <c r="K878" s="7">
        <f>'3 escalar'!J881</f>
        <v/>
      </c>
      <c r="L878" s="7">
        <f>'3 escalar'!K881</f>
        <v/>
      </c>
      <c r="M878" s="7">
        <f>'3 escalar'!L881</f>
        <v/>
      </c>
      <c r="N878" s="7">
        <f>'3 escalar'!M881</f>
        <v/>
      </c>
      <c r="O878" s="7">
        <f>'3 escalar'!N881</f>
        <v/>
      </c>
      <c r="P878" s="7">
        <f>'3 escalar'!O881</f>
        <v/>
      </c>
      <c r="Q878" s="7">
        <f>'3 escalar'!P881</f>
        <v/>
      </c>
      <c r="R878" s="7">
        <f>'3 escalar'!Q881</f>
        <v/>
      </c>
      <c r="S878" s="7">
        <f>'3 escalar'!R881</f>
        <v/>
      </c>
      <c r="T878" s="7">
        <f>'3 escalar'!S881</f>
        <v/>
      </c>
      <c r="U878" s="7">
        <f>'3 escalar'!T881</f>
        <v/>
      </c>
      <c r="V878" s="6">
        <f>$AC$12+D878*$AC$13+E878*$AC$14+F878*$AC$15+G878*$AC$16+H878*$AC$17+I878*$AC$18+J878*$AC$19+K878*$AC$20+L878*$AC$21+M878*$AC$22+N878*$AC$23+O878*$AC$24+P878*$AC$25+Q878*$AC$26+R878*$AC$27+S878*$AC$28+T878*$AC$29+U878*$AC$30</f>
        <v/>
      </c>
      <c r="W878" s="6">
        <f>1/(1+EXP(-V878))</f>
        <v/>
      </c>
      <c r="X878" s="8">
        <f>-IF(C878=1,LN(W878),LN(1-W878))</f>
        <v/>
      </c>
      <c r="Y878" s="9">
        <f>IF(W878&gt;$AC$32,1,0)</f>
        <v/>
      </c>
      <c r="Z878">
        <f>IF(Y878=C878,1,0)</f>
        <v/>
      </c>
    </row>
    <row r="879">
      <c r="A879">
        <f>'3 escalar'!A882</f>
        <v/>
      </c>
      <c r="B879" s="5">
        <f>'3 escalar'!U882</f>
        <v/>
      </c>
      <c r="C879">
        <f>'3 escalar'!B882</f>
        <v/>
      </c>
      <c r="D879" s="7">
        <f>'3 escalar'!C882</f>
        <v/>
      </c>
      <c r="E879" s="7">
        <f>'3 escalar'!D882</f>
        <v/>
      </c>
      <c r="F879" s="7">
        <f>'3 escalar'!E882</f>
        <v/>
      </c>
      <c r="G879" s="7">
        <f>'3 escalar'!F882</f>
        <v/>
      </c>
      <c r="H879" s="7">
        <f>'3 escalar'!G882</f>
        <v/>
      </c>
      <c r="I879" s="7">
        <f>'3 escalar'!H882</f>
        <v/>
      </c>
      <c r="J879" s="7">
        <f>'3 escalar'!I882</f>
        <v/>
      </c>
      <c r="K879" s="7">
        <f>'3 escalar'!J882</f>
        <v/>
      </c>
      <c r="L879" s="7">
        <f>'3 escalar'!K882</f>
        <v/>
      </c>
      <c r="M879" s="7">
        <f>'3 escalar'!L882</f>
        <v/>
      </c>
      <c r="N879" s="7">
        <f>'3 escalar'!M882</f>
        <v/>
      </c>
      <c r="O879" s="7">
        <f>'3 escalar'!N882</f>
        <v/>
      </c>
      <c r="P879" s="7">
        <f>'3 escalar'!O882</f>
        <v/>
      </c>
      <c r="Q879" s="7">
        <f>'3 escalar'!P882</f>
        <v/>
      </c>
      <c r="R879" s="7">
        <f>'3 escalar'!Q882</f>
        <v/>
      </c>
      <c r="S879" s="7">
        <f>'3 escalar'!R882</f>
        <v/>
      </c>
      <c r="T879" s="7">
        <f>'3 escalar'!S882</f>
        <v/>
      </c>
      <c r="U879" s="7">
        <f>'3 escalar'!T882</f>
        <v/>
      </c>
      <c r="V879" s="6">
        <f>$AC$12+D879*$AC$13+E879*$AC$14+F879*$AC$15+G879*$AC$16+H879*$AC$17+I879*$AC$18+J879*$AC$19+K879*$AC$20+L879*$AC$21+M879*$AC$22+N879*$AC$23+O879*$AC$24+P879*$AC$25+Q879*$AC$26+R879*$AC$27+S879*$AC$28+T879*$AC$29+U879*$AC$30</f>
        <v/>
      </c>
      <c r="W879" s="6">
        <f>1/(1+EXP(-V879))</f>
        <v/>
      </c>
      <c r="X879" s="8">
        <f>-IF(C879=1,LN(W879),LN(1-W879))</f>
        <v/>
      </c>
      <c r="Y879" s="9">
        <f>IF(W879&gt;$AC$32,1,0)</f>
        <v/>
      </c>
      <c r="Z879">
        <f>IF(Y879=C879,1,0)</f>
        <v/>
      </c>
    </row>
    <row r="880">
      <c r="A880">
        <f>'3 escalar'!A883</f>
        <v/>
      </c>
      <c r="B880" s="5">
        <f>'3 escalar'!U883</f>
        <v/>
      </c>
      <c r="C880">
        <f>'3 escalar'!B883</f>
        <v/>
      </c>
      <c r="D880" s="7">
        <f>'3 escalar'!C883</f>
        <v/>
      </c>
      <c r="E880" s="7">
        <f>'3 escalar'!D883</f>
        <v/>
      </c>
      <c r="F880" s="7">
        <f>'3 escalar'!E883</f>
        <v/>
      </c>
      <c r="G880" s="7">
        <f>'3 escalar'!F883</f>
        <v/>
      </c>
      <c r="H880" s="7">
        <f>'3 escalar'!G883</f>
        <v/>
      </c>
      <c r="I880" s="7">
        <f>'3 escalar'!H883</f>
        <v/>
      </c>
      <c r="J880" s="7">
        <f>'3 escalar'!I883</f>
        <v/>
      </c>
      <c r="K880" s="7">
        <f>'3 escalar'!J883</f>
        <v/>
      </c>
      <c r="L880" s="7">
        <f>'3 escalar'!K883</f>
        <v/>
      </c>
      <c r="M880" s="7">
        <f>'3 escalar'!L883</f>
        <v/>
      </c>
      <c r="N880" s="7">
        <f>'3 escalar'!M883</f>
        <v/>
      </c>
      <c r="O880" s="7">
        <f>'3 escalar'!N883</f>
        <v/>
      </c>
      <c r="P880" s="7">
        <f>'3 escalar'!O883</f>
        <v/>
      </c>
      <c r="Q880" s="7">
        <f>'3 escalar'!P883</f>
        <v/>
      </c>
      <c r="R880" s="7">
        <f>'3 escalar'!Q883</f>
        <v/>
      </c>
      <c r="S880" s="7">
        <f>'3 escalar'!R883</f>
        <v/>
      </c>
      <c r="T880" s="7">
        <f>'3 escalar'!S883</f>
        <v/>
      </c>
      <c r="U880" s="7">
        <f>'3 escalar'!T883</f>
        <v/>
      </c>
      <c r="V880" s="6">
        <f>$AC$12+D880*$AC$13+E880*$AC$14+F880*$AC$15+G880*$AC$16+H880*$AC$17+I880*$AC$18+J880*$AC$19+K880*$AC$20+L880*$AC$21+M880*$AC$22+N880*$AC$23+O880*$AC$24+P880*$AC$25+Q880*$AC$26+R880*$AC$27+S880*$AC$28+T880*$AC$29+U880*$AC$30</f>
        <v/>
      </c>
      <c r="W880" s="6">
        <f>1/(1+EXP(-V880))</f>
        <v/>
      </c>
      <c r="X880" s="8">
        <f>-IF(C880=1,LN(W880),LN(1-W880))</f>
        <v/>
      </c>
      <c r="Y880" s="9">
        <f>IF(W880&gt;$AC$32,1,0)</f>
        <v/>
      </c>
      <c r="Z880">
        <f>IF(Y880=C880,1,0)</f>
        <v/>
      </c>
    </row>
    <row r="881">
      <c r="A881">
        <f>'3 escalar'!A884</f>
        <v/>
      </c>
      <c r="B881" s="5">
        <f>'3 escalar'!U884</f>
        <v/>
      </c>
      <c r="C881">
        <f>'3 escalar'!B884</f>
        <v/>
      </c>
      <c r="D881" s="7">
        <f>'3 escalar'!C884</f>
        <v/>
      </c>
      <c r="E881" s="7">
        <f>'3 escalar'!D884</f>
        <v/>
      </c>
      <c r="F881" s="7">
        <f>'3 escalar'!E884</f>
        <v/>
      </c>
      <c r="G881" s="7">
        <f>'3 escalar'!F884</f>
        <v/>
      </c>
      <c r="H881" s="7">
        <f>'3 escalar'!G884</f>
        <v/>
      </c>
      <c r="I881" s="7">
        <f>'3 escalar'!H884</f>
        <v/>
      </c>
      <c r="J881" s="7">
        <f>'3 escalar'!I884</f>
        <v/>
      </c>
      <c r="K881" s="7">
        <f>'3 escalar'!J884</f>
        <v/>
      </c>
      <c r="L881" s="7">
        <f>'3 escalar'!K884</f>
        <v/>
      </c>
      <c r="M881" s="7">
        <f>'3 escalar'!L884</f>
        <v/>
      </c>
      <c r="N881" s="7">
        <f>'3 escalar'!M884</f>
        <v/>
      </c>
      <c r="O881" s="7">
        <f>'3 escalar'!N884</f>
        <v/>
      </c>
      <c r="P881" s="7">
        <f>'3 escalar'!O884</f>
        <v/>
      </c>
      <c r="Q881" s="7">
        <f>'3 escalar'!P884</f>
        <v/>
      </c>
      <c r="R881" s="7">
        <f>'3 escalar'!Q884</f>
        <v/>
      </c>
      <c r="S881" s="7">
        <f>'3 escalar'!R884</f>
        <v/>
      </c>
      <c r="T881" s="7">
        <f>'3 escalar'!S884</f>
        <v/>
      </c>
      <c r="U881" s="7">
        <f>'3 escalar'!T884</f>
        <v/>
      </c>
      <c r="V881" s="6">
        <f>$AC$12+D881*$AC$13+E881*$AC$14+F881*$AC$15+G881*$AC$16+H881*$AC$17+I881*$AC$18+J881*$AC$19+K881*$AC$20+L881*$AC$21+M881*$AC$22+N881*$AC$23+O881*$AC$24+P881*$AC$25+Q881*$AC$26+R881*$AC$27+S881*$AC$28+T881*$AC$29+U881*$AC$30</f>
        <v/>
      </c>
      <c r="W881" s="6">
        <f>1/(1+EXP(-V881))</f>
        <v/>
      </c>
      <c r="X881" s="8">
        <f>-IF(C881=1,LN(W881),LN(1-W881))</f>
        <v/>
      </c>
      <c r="Y881" s="9">
        <f>IF(W881&gt;$AC$32,1,0)</f>
        <v/>
      </c>
      <c r="Z881">
        <f>IF(Y881=C881,1,0)</f>
        <v/>
      </c>
    </row>
    <row r="882">
      <c r="A882">
        <f>'3 escalar'!A885</f>
        <v/>
      </c>
      <c r="B882" s="5">
        <f>'3 escalar'!U885</f>
        <v/>
      </c>
      <c r="C882">
        <f>'3 escalar'!B885</f>
        <v/>
      </c>
      <c r="D882" s="7">
        <f>'3 escalar'!C885</f>
        <v/>
      </c>
      <c r="E882" s="7">
        <f>'3 escalar'!D885</f>
        <v/>
      </c>
      <c r="F882" s="7">
        <f>'3 escalar'!E885</f>
        <v/>
      </c>
      <c r="G882" s="7">
        <f>'3 escalar'!F885</f>
        <v/>
      </c>
      <c r="H882" s="7">
        <f>'3 escalar'!G885</f>
        <v/>
      </c>
      <c r="I882" s="7">
        <f>'3 escalar'!H885</f>
        <v/>
      </c>
      <c r="J882" s="7">
        <f>'3 escalar'!I885</f>
        <v/>
      </c>
      <c r="K882" s="7">
        <f>'3 escalar'!J885</f>
        <v/>
      </c>
      <c r="L882" s="7">
        <f>'3 escalar'!K885</f>
        <v/>
      </c>
      <c r="M882" s="7">
        <f>'3 escalar'!L885</f>
        <v/>
      </c>
      <c r="N882" s="7">
        <f>'3 escalar'!M885</f>
        <v/>
      </c>
      <c r="O882" s="7">
        <f>'3 escalar'!N885</f>
        <v/>
      </c>
      <c r="P882" s="7">
        <f>'3 escalar'!O885</f>
        <v/>
      </c>
      <c r="Q882" s="7">
        <f>'3 escalar'!P885</f>
        <v/>
      </c>
      <c r="R882" s="7">
        <f>'3 escalar'!Q885</f>
        <v/>
      </c>
      <c r="S882" s="7">
        <f>'3 escalar'!R885</f>
        <v/>
      </c>
      <c r="T882" s="7">
        <f>'3 escalar'!S885</f>
        <v/>
      </c>
      <c r="U882" s="7">
        <f>'3 escalar'!T885</f>
        <v/>
      </c>
      <c r="V882" s="6">
        <f>$AC$12+D882*$AC$13+E882*$AC$14+F882*$AC$15+G882*$AC$16+H882*$AC$17+I882*$AC$18+J882*$AC$19+K882*$AC$20+L882*$AC$21+M882*$AC$22+N882*$AC$23+O882*$AC$24+P882*$AC$25+Q882*$AC$26+R882*$AC$27+S882*$AC$28+T882*$AC$29+U882*$AC$30</f>
        <v/>
      </c>
      <c r="W882" s="6">
        <f>1/(1+EXP(-V882))</f>
        <v/>
      </c>
      <c r="X882" s="8">
        <f>-IF(C882=1,LN(W882),LN(1-W882))</f>
        <v/>
      </c>
      <c r="Y882" s="9">
        <f>IF(W882&gt;$AC$32,1,0)</f>
        <v/>
      </c>
      <c r="Z882">
        <f>IF(Y882=C882,1,0)</f>
        <v/>
      </c>
    </row>
    <row r="883">
      <c r="A883">
        <f>'3 escalar'!A886</f>
        <v/>
      </c>
      <c r="B883" s="5">
        <f>'3 escalar'!U886</f>
        <v/>
      </c>
      <c r="C883">
        <f>'3 escalar'!B886</f>
        <v/>
      </c>
      <c r="D883" s="7">
        <f>'3 escalar'!C886</f>
        <v/>
      </c>
      <c r="E883" s="7">
        <f>'3 escalar'!D886</f>
        <v/>
      </c>
      <c r="F883" s="7">
        <f>'3 escalar'!E886</f>
        <v/>
      </c>
      <c r="G883" s="7">
        <f>'3 escalar'!F886</f>
        <v/>
      </c>
      <c r="H883" s="7">
        <f>'3 escalar'!G886</f>
        <v/>
      </c>
      <c r="I883" s="7">
        <f>'3 escalar'!H886</f>
        <v/>
      </c>
      <c r="J883" s="7">
        <f>'3 escalar'!I886</f>
        <v/>
      </c>
      <c r="K883" s="7">
        <f>'3 escalar'!J886</f>
        <v/>
      </c>
      <c r="L883" s="7">
        <f>'3 escalar'!K886</f>
        <v/>
      </c>
      <c r="M883" s="7">
        <f>'3 escalar'!L886</f>
        <v/>
      </c>
      <c r="N883" s="7">
        <f>'3 escalar'!M886</f>
        <v/>
      </c>
      <c r="O883" s="7">
        <f>'3 escalar'!N886</f>
        <v/>
      </c>
      <c r="P883" s="7">
        <f>'3 escalar'!O886</f>
        <v/>
      </c>
      <c r="Q883" s="7">
        <f>'3 escalar'!P886</f>
        <v/>
      </c>
      <c r="R883" s="7">
        <f>'3 escalar'!Q886</f>
        <v/>
      </c>
      <c r="S883" s="7">
        <f>'3 escalar'!R886</f>
        <v/>
      </c>
      <c r="T883" s="7">
        <f>'3 escalar'!S886</f>
        <v/>
      </c>
      <c r="U883" s="7">
        <f>'3 escalar'!T886</f>
        <v/>
      </c>
      <c r="V883" s="6">
        <f>$AC$12+D883*$AC$13+E883*$AC$14+F883*$AC$15+G883*$AC$16+H883*$AC$17+I883*$AC$18+J883*$AC$19+K883*$AC$20+L883*$AC$21+M883*$AC$22+N883*$AC$23+O883*$AC$24+P883*$AC$25+Q883*$AC$26+R883*$AC$27+S883*$AC$28+T883*$AC$29+U883*$AC$30</f>
        <v/>
      </c>
      <c r="W883" s="6">
        <f>1/(1+EXP(-V883))</f>
        <v/>
      </c>
      <c r="X883" s="8">
        <f>-IF(C883=1,LN(W883),LN(1-W883))</f>
        <v/>
      </c>
      <c r="Y883" s="9">
        <f>IF(W883&gt;$AC$32,1,0)</f>
        <v/>
      </c>
      <c r="Z883">
        <f>IF(Y883=C883,1,0)</f>
        <v/>
      </c>
    </row>
    <row r="884">
      <c r="A884">
        <f>'3 escalar'!A887</f>
        <v/>
      </c>
      <c r="B884" s="5">
        <f>'3 escalar'!U887</f>
        <v/>
      </c>
      <c r="C884">
        <f>'3 escalar'!B887</f>
        <v/>
      </c>
      <c r="D884" s="7">
        <f>'3 escalar'!C887</f>
        <v/>
      </c>
      <c r="E884" s="7">
        <f>'3 escalar'!D887</f>
        <v/>
      </c>
      <c r="F884" s="7">
        <f>'3 escalar'!E887</f>
        <v/>
      </c>
      <c r="G884" s="7">
        <f>'3 escalar'!F887</f>
        <v/>
      </c>
      <c r="H884" s="7">
        <f>'3 escalar'!G887</f>
        <v/>
      </c>
      <c r="I884" s="7">
        <f>'3 escalar'!H887</f>
        <v/>
      </c>
      <c r="J884" s="7">
        <f>'3 escalar'!I887</f>
        <v/>
      </c>
      <c r="K884" s="7">
        <f>'3 escalar'!J887</f>
        <v/>
      </c>
      <c r="L884" s="7">
        <f>'3 escalar'!K887</f>
        <v/>
      </c>
      <c r="M884" s="7">
        <f>'3 escalar'!L887</f>
        <v/>
      </c>
      <c r="N884" s="7">
        <f>'3 escalar'!M887</f>
        <v/>
      </c>
      <c r="O884" s="7">
        <f>'3 escalar'!N887</f>
        <v/>
      </c>
      <c r="P884" s="7">
        <f>'3 escalar'!O887</f>
        <v/>
      </c>
      <c r="Q884" s="7">
        <f>'3 escalar'!P887</f>
        <v/>
      </c>
      <c r="R884" s="7">
        <f>'3 escalar'!Q887</f>
        <v/>
      </c>
      <c r="S884" s="7">
        <f>'3 escalar'!R887</f>
        <v/>
      </c>
      <c r="T884" s="7">
        <f>'3 escalar'!S887</f>
        <v/>
      </c>
      <c r="U884" s="7">
        <f>'3 escalar'!T887</f>
        <v/>
      </c>
      <c r="V884" s="6">
        <f>$AC$12+D884*$AC$13+E884*$AC$14+F884*$AC$15+G884*$AC$16+H884*$AC$17+I884*$AC$18+J884*$AC$19+K884*$AC$20+L884*$AC$21+M884*$AC$22+N884*$AC$23+O884*$AC$24+P884*$AC$25+Q884*$AC$26+R884*$AC$27+S884*$AC$28+T884*$AC$29+U884*$AC$30</f>
        <v/>
      </c>
      <c r="W884" s="6">
        <f>1/(1+EXP(-V884))</f>
        <v/>
      </c>
      <c r="X884" s="8">
        <f>-IF(C884=1,LN(W884),LN(1-W884))</f>
        <v/>
      </c>
      <c r="Y884" s="9">
        <f>IF(W884&gt;$AC$32,1,0)</f>
        <v/>
      </c>
      <c r="Z884">
        <f>IF(Y884=C884,1,0)</f>
        <v/>
      </c>
    </row>
    <row r="885">
      <c r="A885">
        <f>'3 escalar'!A888</f>
        <v/>
      </c>
      <c r="B885" s="5">
        <f>'3 escalar'!U888</f>
        <v/>
      </c>
      <c r="C885">
        <f>'3 escalar'!B888</f>
        <v/>
      </c>
      <c r="D885" s="7">
        <f>'3 escalar'!C888</f>
        <v/>
      </c>
      <c r="E885" s="7">
        <f>'3 escalar'!D888</f>
        <v/>
      </c>
      <c r="F885" s="7">
        <f>'3 escalar'!E888</f>
        <v/>
      </c>
      <c r="G885" s="7">
        <f>'3 escalar'!F888</f>
        <v/>
      </c>
      <c r="H885" s="7">
        <f>'3 escalar'!G888</f>
        <v/>
      </c>
      <c r="I885" s="7">
        <f>'3 escalar'!H888</f>
        <v/>
      </c>
      <c r="J885" s="7">
        <f>'3 escalar'!I888</f>
        <v/>
      </c>
      <c r="K885" s="7">
        <f>'3 escalar'!J888</f>
        <v/>
      </c>
      <c r="L885" s="7">
        <f>'3 escalar'!K888</f>
        <v/>
      </c>
      <c r="M885" s="7">
        <f>'3 escalar'!L888</f>
        <v/>
      </c>
      <c r="N885" s="7">
        <f>'3 escalar'!M888</f>
        <v/>
      </c>
      <c r="O885" s="7">
        <f>'3 escalar'!N888</f>
        <v/>
      </c>
      <c r="P885" s="7">
        <f>'3 escalar'!O888</f>
        <v/>
      </c>
      <c r="Q885" s="7">
        <f>'3 escalar'!P888</f>
        <v/>
      </c>
      <c r="R885" s="7">
        <f>'3 escalar'!Q888</f>
        <v/>
      </c>
      <c r="S885" s="7">
        <f>'3 escalar'!R888</f>
        <v/>
      </c>
      <c r="T885" s="7">
        <f>'3 escalar'!S888</f>
        <v/>
      </c>
      <c r="U885" s="7">
        <f>'3 escalar'!T888</f>
        <v/>
      </c>
      <c r="V885" s="6">
        <f>$AC$12+D885*$AC$13+E885*$AC$14+F885*$AC$15+G885*$AC$16+H885*$AC$17+I885*$AC$18+J885*$AC$19+K885*$AC$20+L885*$AC$21+M885*$AC$22+N885*$AC$23+O885*$AC$24+P885*$AC$25+Q885*$AC$26+R885*$AC$27+S885*$AC$28+T885*$AC$29+U885*$AC$30</f>
        <v/>
      </c>
      <c r="W885" s="6">
        <f>1/(1+EXP(-V885))</f>
        <v/>
      </c>
      <c r="X885" s="8">
        <f>-IF(C885=1,LN(W885),LN(1-W885))</f>
        <v/>
      </c>
      <c r="Y885" s="9">
        <f>IF(W885&gt;$AC$32,1,0)</f>
        <v/>
      </c>
      <c r="Z885">
        <f>IF(Y885=C885,1,0)</f>
        <v/>
      </c>
    </row>
    <row r="886">
      <c r="A886">
        <f>'3 escalar'!A889</f>
        <v/>
      </c>
      <c r="B886" s="5">
        <f>'3 escalar'!U889</f>
        <v/>
      </c>
      <c r="C886">
        <f>'3 escalar'!B889</f>
        <v/>
      </c>
      <c r="D886" s="7">
        <f>'3 escalar'!C889</f>
        <v/>
      </c>
      <c r="E886" s="7">
        <f>'3 escalar'!D889</f>
        <v/>
      </c>
      <c r="F886" s="7">
        <f>'3 escalar'!E889</f>
        <v/>
      </c>
      <c r="G886" s="7">
        <f>'3 escalar'!F889</f>
        <v/>
      </c>
      <c r="H886" s="7">
        <f>'3 escalar'!G889</f>
        <v/>
      </c>
      <c r="I886" s="7">
        <f>'3 escalar'!H889</f>
        <v/>
      </c>
      <c r="J886" s="7">
        <f>'3 escalar'!I889</f>
        <v/>
      </c>
      <c r="K886" s="7">
        <f>'3 escalar'!J889</f>
        <v/>
      </c>
      <c r="L886" s="7">
        <f>'3 escalar'!K889</f>
        <v/>
      </c>
      <c r="M886" s="7">
        <f>'3 escalar'!L889</f>
        <v/>
      </c>
      <c r="N886" s="7">
        <f>'3 escalar'!M889</f>
        <v/>
      </c>
      <c r="O886" s="7">
        <f>'3 escalar'!N889</f>
        <v/>
      </c>
      <c r="P886" s="7">
        <f>'3 escalar'!O889</f>
        <v/>
      </c>
      <c r="Q886" s="7">
        <f>'3 escalar'!P889</f>
        <v/>
      </c>
      <c r="R886" s="7">
        <f>'3 escalar'!Q889</f>
        <v/>
      </c>
      <c r="S886" s="7">
        <f>'3 escalar'!R889</f>
        <v/>
      </c>
      <c r="T886" s="7">
        <f>'3 escalar'!S889</f>
        <v/>
      </c>
      <c r="U886" s="7">
        <f>'3 escalar'!T889</f>
        <v/>
      </c>
      <c r="V886" s="6">
        <f>$AC$12+D886*$AC$13+E886*$AC$14+F886*$AC$15+G886*$AC$16+H886*$AC$17+I886*$AC$18+J886*$AC$19+K886*$AC$20+L886*$AC$21+M886*$AC$22+N886*$AC$23+O886*$AC$24+P886*$AC$25+Q886*$AC$26+R886*$AC$27+S886*$AC$28+T886*$AC$29+U886*$AC$30</f>
        <v/>
      </c>
      <c r="W886" s="6">
        <f>1/(1+EXP(-V886))</f>
        <v/>
      </c>
      <c r="X886" s="8">
        <f>-IF(C886=1,LN(W886),LN(1-W886))</f>
        <v/>
      </c>
      <c r="Y886" s="9">
        <f>IF(W886&gt;$AC$32,1,0)</f>
        <v/>
      </c>
      <c r="Z886">
        <f>IF(Y886=C886,1,0)</f>
        <v/>
      </c>
    </row>
    <row r="887">
      <c r="A887">
        <f>'3 escalar'!A890</f>
        <v/>
      </c>
      <c r="B887" s="5">
        <f>'3 escalar'!U890</f>
        <v/>
      </c>
      <c r="C887">
        <f>'3 escalar'!B890</f>
        <v/>
      </c>
      <c r="D887" s="7">
        <f>'3 escalar'!C890</f>
        <v/>
      </c>
      <c r="E887" s="7">
        <f>'3 escalar'!D890</f>
        <v/>
      </c>
      <c r="F887" s="7">
        <f>'3 escalar'!E890</f>
        <v/>
      </c>
      <c r="G887" s="7">
        <f>'3 escalar'!F890</f>
        <v/>
      </c>
      <c r="H887" s="7">
        <f>'3 escalar'!G890</f>
        <v/>
      </c>
      <c r="I887" s="7">
        <f>'3 escalar'!H890</f>
        <v/>
      </c>
      <c r="J887" s="7">
        <f>'3 escalar'!I890</f>
        <v/>
      </c>
      <c r="K887" s="7">
        <f>'3 escalar'!J890</f>
        <v/>
      </c>
      <c r="L887" s="7">
        <f>'3 escalar'!K890</f>
        <v/>
      </c>
      <c r="M887" s="7">
        <f>'3 escalar'!L890</f>
        <v/>
      </c>
      <c r="N887" s="7">
        <f>'3 escalar'!M890</f>
        <v/>
      </c>
      <c r="O887" s="7">
        <f>'3 escalar'!N890</f>
        <v/>
      </c>
      <c r="P887" s="7">
        <f>'3 escalar'!O890</f>
        <v/>
      </c>
      <c r="Q887" s="7">
        <f>'3 escalar'!P890</f>
        <v/>
      </c>
      <c r="R887" s="7">
        <f>'3 escalar'!Q890</f>
        <v/>
      </c>
      <c r="S887" s="7">
        <f>'3 escalar'!R890</f>
        <v/>
      </c>
      <c r="T887" s="7">
        <f>'3 escalar'!S890</f>
        <v/>
      </c>
      <c r="U887" s="7">
        <f>'3 escalar'!T890</f>
        <v/>
      </c>
      <c r="V887" s="6">
        <f>$AC$12+D887*$AC$13+E887*$AC$14+F887*$AC$15+G887*$AC$16+H887*$AC$17+I887*$AC$18+J887*$AC$19+K887*$AC$20+L887*$AC$21+M887*$AC$22+N887*$AC$23+O887*$AC$24+P887*$AC$25+Q887*$AC$26+R887*$AC$27+S887*$AC$28+T887*$AC$29+U887*$AC$30</f>
        <v/>
      </c>
      <c r="W887" s="6">
        <f>1/(1+EXP(-V887))</f>
        <v/>
      </c>
      <c r="X887" s="8">
        <f>-IF(C887=1,LN(W887),LN(1-W887))</f>
        <v/>
      </c>
      <c r="Y887" s="9">
        <f>IF(W887&gt;$AC$32,1,0)</f>
        <v/>
      </c>
      <c r="Z887">
        <f>IF(Y887=C887,1,0)</f>
        <v/>
      </c>
    </row>
    <row r="888">
      <c r="A888">
        <f>'3 escalar'!A891</f>
        <v/>
      </c>
      <c r="B888" s="5">
        <f>'3 escalar'!U891</f>
        <v/>
      </c>
      <c r="C888">
        <f>'3 escalar'!B891</f>
        <v/>
      </c>
      <c r="D888" s="7">
        <f>'3 escalar'!C891</f>
        <v/>
      </c>
      <c r="E888" s="7">
        <f>'3 escalar'!D891</f>
        <v/>
      </c>
      <c r="F888" s="7">
        <f>'3 escalar'!E891</f>
        <v/>
      </c>
      <c r="G888" s="7">
        <f>'3 escalar'!F891</f>
        <v/>
      </c>
      <c r="H888" s="7">
        <f>'3 escalar'!G891</f>
        <v/>
      </c>
      <c r="I888" s="7">
        <f>'3 escalar'!H891</f>
        <v/>
      </c>
      <c r="J888" s="7">
        <f>'3 escalar'!I891</f>
        <v/>
      </c>
      <c r="K888" s="7">
        <f>'3 escalar'!J891</f>
        <v/>
      </c>
      <c r="L888" s="7">
        <f>'3 escalar'!K891</f>
        <v/>
      </c>
      <c r="M888" s="7">
        <f>'3 escalar'!L891</f>
        <v/>
      </c>
      <c r="N888" s="7">
        <f>'3 escalar'!M891</f>
        <v/>
      </c>
      <c r="O888" s="7">
        <f>'3 escalar'!N891</f>
        <v/>
      </c>
      <c r="P888" s="7">
        <f>'3 escalar'!O891</f>
        <v/>
      </c>
      <c r="Q888" s="7">
        <f>'3 escalar'!P891</f>
        <v/>
      </c>
      <c r="R888" s="7">
        <f>'3 escalar'!Q891</f>
        <v/>
      </c>
      <c r="S888" s="7">
        <f>'3 escalar'!R891</f>
        <v/>
      </c>
      <c r="T888" s="7">
        <f>'3 escalar'!S891</f>
        <v/>
      </c>
      <c r="U888" s="7">
        <f>'3 escalar'!T891</f>
        <v/>
      </c>
      <c r="V888" s="6">
        <f>$AC$12+D888*$AC$13+E888*$AC$14+F888*$AC$15+G888*$AC$16+H888*$AC$17+I888*$AC$18+J888*$AC$19+K888*$AC$20+L888*$AC$21+M888*$AC$22+N888*$AC$23+O888*$AC$24+P888*$AC$25+Q888*$AC$26+R888*$AC$27+S888*$AC$28+T888*$AC$29+U888*$AC$30</f>
        <v/>
      </c>
      <c r="W888" s="6">
        <f>1/(1+EXP(-V888))</f>
        <v/>
      </c>
      <c r="X888" s="8">
        <f>-IF(C888=1,LN(W888),LN(1-W888))</f>
        <v/>
      </c>
      <c r="Y888" s="9">
        <f>IF(W888&gt;$AC$32,1,0)</f>
        <v/>
      </c>
      <c r="Z888">
        <f>IF(Y888=C888,1,0)</f>
        <v/>
      </c>
    </row>
    <row r="889">
      <c r="A889">
        <f>'3 escalar'!A892</f>
        <v/>
      </c>
      <c r="B889" s="5">
        <f>'3 escalar'!U892</f>
        <v/>
      </c>
      <c r="C889">
        <f>'3 escalar'!B892</f>
        <v/>
      </c>
      <c r="D889" s="7">
        <f>'3 escalar'!C892</f>
        <v/>
      </c>
      <c r="E889" s="7">
        <f>'3 escalar'!D892</f>
        <v/>
      </c>
      <c r="F889" s="7">
        <f>'3 escalar'!E892</f>
        <v/>
      </c>
      <c r="G889" s="7">
        <f>'3 escalar'!F892</f>
        <v/>
      </c>
      <c r="H889" s="7">
        <f>'3 escalar'!G892</f>
        <v/>
      </c>
      <c r="I889" s="7">
        <f>'3 escalar'!H892</f>
        <v/>
      </c>
      <c r="J889" s="7">
        <f>'3 escalar'!I892</f>
        <v/>
      </c>
      <c r="K889" s="7">
        <f>'3 escalar'!J892</f>
        <v/>
      </c>
      <c r="L889" s="7">
        <f>'3 escalar'!K892</f>
        <v/>
      </c>
      <c r="M889" s="7">
        <f>'3 escalar'!L892</f>
        <v/>
      </c>
      <c r="N889" s="7">
        <f>'3 escalar'!M892</f>
        <v/>
      </c>
      <c r="O889" s="7">
        <f>'3 escalar'!N892</f>
        <v/>
      </c>
      <c r="P889" s="7">
        <f>'3 escalar'!O892</f>
        <v/>
      </c>
      <c r="Q889" s="7">
        <f>'3 escalar'!P892</f>
        <v/>
      </c>
      <c r="R889" s="7">
        <f>'3 escalar'!Q892</f>
        <v/>
      </c>
      <c r="S889" s="7">
        <f>'3 escalar'!R892</f>
        <v/>
      </c>
      <c r="T889" s="7">
        <f>'3 escalar'!S892</f>
        <v/>
      </c>
      <c r="U889" s="7">
        <f>'3 escalar'!T892</f>
        <v/>
      </c>
      <c r="V889" s="6">
        <f>$AC$12+D889*$AC$13+E889*$AC$14+F889*$AC$15+G889*$AC$16+H889*$AC$17+I889*$AC$18+J889*$AC$19+K889*$AC$20+L889*$AC$21+M889*$AC$22+N889*$AC$23+O889*$AC$24+P889*$AC$25+Q889*$AC$26+R889*$AC$27+S889*$AC$28+T889*$AC$29+U889*$AC$30</f>
        <v/>
      </c>
      <c r="W889" s="6">
        <f>1/(1+EXP(-V889))</f>
        <v/>
      </c>
      <c r="X889" s="8">
        <f>-IF(C889=1,LN(W889),LN(1-W889))</f>
        <v/>
      </c>
      <c r="Y889" s="9">
        <f>IF(W889&gt;$AC$32,1,0)</f>
        <v/>
      </c>
      <c r="Z889">
        <f>IF(Y889=C889,1,0)</f>
        <v/>
      </c>
    </row>
    <row r="890">
      <c r="A890">
        <f>'3 escalar'!A893</f>
        <v/>
      </c>
      <c r="B890" s="5">
        <f>'3 escalar'!U893</f>
        <v/>
      </c>
      <c r="C890">
        <f>'3 escalar'!B893</f>
        <v/>
      </c>
      <c r="D890" s="7">
        <f>'3 escalar'!C893</f>
        <v/>
      </c>
      <c r="E890" s="7">
        <f>'3 escalar'!D893</f>
        <v/>
      </c>
      <c r="F890" s="7">
        <f>'3 escalar'!E893</f>
        <v/>
      </c>
      <c r="G890" s="7">
        <f>'3 escalar'!F893</f>
        <v/>
      </c>
      <c r="H890" s="7">
        <f>'3 escalar'!G893</f>
        <v/>
      </c>
      <c r="I890" s="7">
        <f>'3 escalar'!H893</f>
        <v/>
      </c>
      <c r="J890" s="7">
        <f>'3 escalar'!I893</f>
        <v/>
      </c>
      <c r="K890" s="7">
        <f>'3 escalar'!J893</f>
        <v/>
      </c>
      <c r="L890" s="7">
        <f>'3 escalar'!K893</f>
        <v/>
      </c>
      <c r="M890" s="7">
        <f>'3 escalar'!L893</f>
        <v/>
      </c>
      <c r="N890" s="7">
        <f>'3 escalar'!M893</f>
        <v/>
      </c>
      <c r="O890" s="7">
        <f>'3 escalar'!N893</f>
        <v/>
      </c>
      <c r="P890" s="7">
        <f>'3 escalar'!O893</f>
        <v/>
      </c>
      <c r="Q890" s="7">
        <f>'3 escalar'!P893</f>
        <v/>
      </c>
      <c r="R890" s="7">
        <f>'3 escalar'!Q893</f>
        <v/>
      </c>
      <c r="S890" s="7">
        <f>'3 escalar'!R893</f>
        <v/>
      </c>
      <c r="T890" s="7">
        <f>'3 escalar'!S893</f>
        <v/>
      </c>
      <c r="U890" s="7">
        <f>'3 escalar'!T893</f>
        <v/>
      </c>
      <c r="V890" s="6">
        <f>$AC$12+D890*$AC$13+E890*$AC$14+F890*$AC$15+G890*$AC$16+H890*$AC$17+I890*$AC$18+J890*$AC$19+K890*$AC$20+L890*$AC$21+M890*$AC$22+N890*$AC$23+O890*$AC$24+P890*$AC$25+Q890*$AC$26+R890*$AC$27+S890*$AC$28+T890*$AC$29+U890*$AC$30</f>
        <v/>
      </c>
      <c r="W890" s="6">
        <f>1/(1+EXP(-V890))</f>
        <v/>
      </c>
      <c r="X890" s="8">
        <f>-IF(C890=1,LN(W890),LN(1-W890))</f>
        <v/>
      </c>
      <c r="Y890" s="9">
        <f>IF(W890&gt;$AC$32,1,0)</f>
        <v/>
      </c>
      <c r="Z890">
        <f>IF(Y890=C890,1,0)</f>
        <v/>
      </c>
    </row>
    <row r="891">
      <c r="A891">
        <f>'3 escalar'!A894</f>
        <v/>
      </c>
      <c r="B891" s="5">
        <f>'3 escalar'!U894</f>
        <v/>
      </c>
      <c r="C891">
        <f>'3 escalar'!B894</f>
        <v/>
      </c>
      <c r="D891" s="7">
        <f>'3 escalar'!C894</f>
        <v/>
      </c>
      <c r="E891" s="7">
        <f>'3 escalar'!D894</f>
        <v/>
      </c>
      <c r="F891" s="7">
        <f>'3 escalar'!E894</f>
        <v/>
      </c>
      <c r="G891" s="7">
        <f>'3 escalar'!F894</f>
        <v/>
      </c>
      <c r="H891" s="7">
        <f>'3 escalar'!G894</f>
        <v/>
      </c>
      <c r="I891" s="7">
        <f>'3 escalar'!H894</f>
        <v/>
      </c>
      <c r="J891" s="7">
        <f>'3 escalar'!I894</f>
        <v/>
      </c>
      <c r="K891" s="7">
        <f>'3 escalar'!J894</f>
        <v/>
      </c>
      <c r="L891" s="7">
        <f>'3 escalar'!K894</f>
        <v/>
      </c>
      <c r="M891" s="7">
        <f>'3 escalar'!L894</f>
        <v/>
      </c>
      <c r="N891" s="7">
        <f>'3 escalar'!M894</f>
        <v/>
      </c>
      <c r="O891" s="7">
        <f>'3 escalar'!N894</f>
        <v/>
      </c>
      <c r="P891" s="7">
        <f>'3 escalar'!O894</f>
        <v/>
      </c>
      <c r="Q891" s="7">
        <f>'3 escalar'!P894</f>
        <v/>
      </c>
      <c r="R891" s="7">
        <f>'3 escalar'!Q894</f>
        <v/>
      </c>
      <c r="S891" s="7">
        <f>'3 escalar'!R894</f>
        <v/>
      </c>
      <c r="T891" s="7">
        <f>'3 escalar'!S894</f>
        <v/>
      </c>
      <c r="U891" s="7">
        <f>'3 escalar'!T894</f>
        <v/>
      </c>
      <c r="V891" s="6">
        <f>$AC$12+D891*$AC$13+E891*$AC$14+F891*$AC$15+G891*$AC$16+H891*$AC$17+I891*$AC$18+J891*$AC$19+K891*$AC$20+L891*$AC$21+M891*$AC$22+N891*$AC$23+O891*$AC$24+P891*$AC$25+Q891*$AC$26+R891*$AC$27+S891*$AC$28+T891*$AC$29+U891*$AC$30</f>
        <v/>
      </c>
      <c r="W891" s="6">
        <f>1/(1+EXP(-V891))</f>
        <v/>
      </c>
      <c r="X891" s="8">
        <f>-IF(C891=1,LN(W891),LN(1-W891))</f>
        <v/>
      </c>
      <c r="Y891" s="9">
        <f>IF(W891&gt;$AC$32,1,0)</f>
        <v/>
      </c>
      <c r="Z891">
        <f>IF(Y891=C891,1,0)</f>
        <v/>
      </c>
    </row>
    <row r="892">
      <c r="A892">
        <f>'3 escalar'!A895</f>
        <v/>
      </c>
      <c r="B892" s="5">
        <f>'3 escalar'!U895</f>
        <v/>
      </c>
      <c r="C892">
        <f>'3 escalar'!B895</f>
        <v/>
      </c>
      <c r="D892" s="7">
        <f>'3 escalar'!C895</f>
        <v/>
      </c>
      <c r="E892" s="7">
        <f>'3 escalar'!D895</f>
        <v/>
      </c>
      <c r="F892" s="7">
        <f>'3 escalar'!E895</f>
        <v/>
      </c>
      <c r="G892" s="7">
        <f>'3 escalar'!F895</f>
        <v/>
      </c>
      <c r="H892" s="7">
        <f>'3 escalar'!G895</f>
        <v/>
      </c>
      <c r="I892" s="7">
        <f>'3 escalar'!H895</f>
        <v/>
      </c>
      <c r="J892" s="7">
        <f>'3 escalar'!I895</f>
        <v/>
      </c>
      <c r="K892" s="7">
        <f>'3 escalar'!J895</f>
        <v/>
      </c>
      <c r="L892" s="7">
        <f>'3 escalar'!K895</f>
        <v/>
      </c>
      <c r="M892" s="7">
        <f>'3 escalar'!L895</f>
        <v/>
      </c>
      <c r="N892" s="7">
        <f>'3 escalar'!M895</f>
        <v/>
      </c>
      <c r="O892" s="7">
        <f>'3 escalar'!N895</f>
        <v/>
      </c>
      <c r="P892" s="7">
        <f>'3 escalar'!O895</f>
        <v/>
      </c>
      <c r="Q892" s="7">
        <f>'3 escalar'!P895</f>
        <v/>
      </c>
      <c r="R892" s="7">
        <f>'3 escalar'!Q895</f>
        <v/>
      </c>
      <c r="S892" s="7">
        <f>'3 escalar'!R895</f>
        <v/>
      </c>
      <c r="T892" s="7">
        <f>'3 escalar'!S895</f>
        <v/>
      </c>
      <c r="U892" s="7">
        <f>'3 escalar'!T895</f>
        <v/>
      </c>
      <c r="V892" s="6">
        <f>$AC$12+D892*$AC$13+E892*$AC$14+F892*$AC$15+G892*$AC$16+H892*$AC$17+I892*$AC$18+J892*$AC$19+K892*$AC$20+L892*$AC$21+M892*$AC$22+N892*$AC$23+O892*$AC$24+P892*$AC$25+Q892*$AC$26+R892*$AC$27+S892*$AC$28+T892*$AC$29+U892*$AC$30</f>
        <v/>
      </c>
      <c r="W892" s="6">
        <f>1/(1+EXP(-V892))</f>
        <v/>
      </c>
      <c r="X892" s="8">
        <f>-IF(C892=1,LN(W892),LN(1-W892))</f>
        <v/>
      </c>
      <c r="Y892" s="9">
        <f>IF(W892&gt;$AC$32,1,0)</f>
        <v/>
      </c>
      <c r="Z892">
        <f>IF(Y892=C892,1,0)</f>
        <v/>
      </c>
    </row>
    <row r="893">
      <c r="A893">
        <f>'3 escalar'!A896</f>
        <v/>
      </c>
      <c r="B893" s="5">
        <f>'3 escalar'!U896</f>
        <v/>
      </c>
      <c r="C893">
        <f>'3 escalar'!B896</f>
        <v/>
      </c>
      <c r="D893" s="7">
        <f>'3 escalar'!C896</f>
        <v/>
      </c>
      <c r="E893" s="7">
        <f>'3 escalar'!D896</f>
        <v/>
      </c>
      <c r="F893" s="7">
        <f>'3 escalar'!E896</f>
        <v/>
      </c>
      <c r="G893" s="7">
        <f>'3 escalar'!F896</f>
        <v/>
      </c>
      <c r="H893" s="7">
        <f>'3 escalar'!G896</f>
        <v/>
      </c>
      <c r="I893" s="7">
        <f>'3 escalar'!H896</f>
        <v/>
      </c>
      <c r="J893" s="7">
        <f>'3 escalar'!I896</f>
        <v/>
      </c>
      <c r="K893" s="7">
        <f>'3 escalar'!J896</f>
        <v/>
      </c>
      <c r="L893" s="7">
        <f>'3 escalar'!K896</f>
        <v/>
      </c>
      <c r="M893" s="7">
        <f>'3 escalar'!L896</f>
        <v/>
      </c>
      <c r="N893" s="7">
        <f>'3 escalar'!M896</f>
        <v/>
      </c>
      <c r="O893" s="7">
        <f>'3 escalar'!N896</f>
        <v/>
      </c>
      <c r="P893" s="7">
        <f>'3 escalar'!O896</f>
        <v/>
      </c>
      <c r="Q893" s="7">
        <f>'3 escalar'!P896</f>
        <v/>
      </c>
      <c r="R893" s="7">
        <f>'3 escalar'!Q896</f>
        <v/>
      </c>
      <c r="S893" s="7">
        <f>'3 escalar'!R896</f>
        <v/>
      </c>
      <c r="T893" s="7">
        <f>'3 escalar'!S896</f>
        <v/>
      </c>
      <c r="U893" s="7">
        <f>'3 escalar'!T896</f>
        <v/>
      </c>
      <c r="V893" s="6">
        <f>$AC$12+D893*$AC$13+E893*$AC$14+F893*$AC$15+G893*$AC$16+H893*$AC$17+I893*$AC$18+J893*$AC$19+K893*$AC$20+L893*$AC$21+M893*$AC$22+N893*$AC$23+O893*$AC$24+P893*$AC$25+Q893*$AC$26+R893*$AC$27+S893*$AC$28+T893*$AC$29+U893*$AC$30</f>
        <v/>
      </c>
      <c r="W893" s="6">
        <f>1/(1+EXP(-V893))</f>
        <v/>
      </c>
      <c r="X893" s="8">
        <f>-IF(C893=1,LN(W893),LN(1-W893))</f>
        <v/>
      </c>
      <c r="Y893" s="9">
        <f>IF(W893&gt;$AC$32,1,0)</f>
        <v/>
      </c>
      <c r="Z893">
        <f>IF(Y893=C893,1,0)</f>
        <v/>
      </c>
    </row>
    <row r="894">
      <c r="A894">
        <f>'3 escalar'!A897</f>
        <v/>
      </c>
      <c r="B894" s="5">
        <f>'3 escalar'!U897</f>
        <v/>
      </c>
      <c r="C894">
        <f>'3 escalar'!B897</f>
        <v/>
      </c>
      <c r="D894" s="7">
        <f>'3 escalar'!C897</f>
        <v/>
      </c>
      <c r="E894" s="7">
        <f>'3 escalar'!D897</f>
        <v/>
      </c>
      <c r="F894" s="7">
        <f>'3 escalar'!E897</f>
        <v/>
      </c>
      <c r="G894" s="7">
        <f>'3 escalar'!F897</f>
        <v/>
      </c>
      <c r="H894" s="7">
        <f>'3 escalar'!G897</f>
        <v/>
      </c>
      <c r="I894" s="7">
        <f>'3 escalar'!H897</f>
        <v/>
      </c>
      <c r="J894" s="7">
        <f>'3 escalar'!I897</f>
        <v/>
      </c>
      <c r="K894" s="7">
        <f>'3 escalar'!J897</f>
        <v/>
      </c>
      <c r="L894" s="7">
        <f>'3 escalar'!K897</f>
        <v/>
      </c>
      <c r="M894" s="7">
        <f>'3 escalar'!L897</f>
        <v/>
      </c>
      <c r="N894" s="7">
        <f>'3 escalar'!M897</f>
        <v/>
      </c>
      <c r="O894" s="7">
        <f>'3 escalar'!N897</f>
        <v/>
      </c>
      <c r="P894" s="7">
        <f>'3 escalar'!O897</f>
        <v/>
      </c>
      <c r="Q894" s="7">
        <f>'3 escalar'!P897</f>
        <v/>
      </c>
      <c r="R894" s="7">
        <f>'3 escalar'!Q897</f>
        <v/>
      </c>
      <c r="S894" s="7">
        <f>'3 escalar'!R897</f>
        <v/>
      </c>
      <c r="T894" s="7">
        <f>'3 escalar'!S897</f>
        <v/>
      </c>
      <c r="U894" s="7">
        <f>'3 escalar'!T897</f>
        <v/>
      </c>
      <c r="V894" s="6">
        <f>$AC$12+D894*$AC$13+E894*$AC$14+F894*$AC$15+G894*$AC$16+H894*$AC$17+I894*$AC$18+J894*$AC$19+K894*$AC$20+L894*$AC$21+M894*$AC$22+N894*$AC$23+O894*$AC$24+P894*$AC$25+Q894*$AC$26+R894*$AC$27+S894*$AC$28+T894*$AC$29+U894*$AC$30</f>
        <v/>
      </c>
      <c r="W894" s="6">
        <f>1/(1+EXP(-V894))</f>
        <v/>
      </c>
      <c r="X894" s="8">
        <f>-IF(C894=1,LN(W894),LN(1-W894))</f>
        <v/>
      </c>
      <c r="Y894" s="9">
        <f>IF(W894&gt;$AC$32,1,0)</f>
        <v/>
      </c>
      <c r="Z894">
        <f>IF(Y894=C894,1,0)</f>
        <v/>
      </c>
    </row>
    <row r="895">
      <c r="A895">
        <f>'3 escalar'!A898</f>
        <v/>
      </c>
      <c r="B895" s="5">
        <f>'3 escalar'!U898</f>
        <v/>
      </c>
      <c r="C895">
        <f>'3 escalar'!B898</f>
        <v/>
      </c>
      <c r="D895" s="7">
        <f>'3 escalar'!C898</f>
        <v/>
      </c>
      <c r="E895" s="7">
        <f>'3 escalar'!D898</f>
        <v/>
      </c>
      <c r="F895" s="7">
        <f>'3 escalar'!E898</f>
        <v/>
      </c>
      <c r="G895" s="7">
        <f>'3 escalar'!F898</f>
        <v/>
      </c>
      <c r="H895" s="7">
        <f>'3 escalar'!G898</f>
        <v/>
      </c>
      <c r="I895" s="7">
        <f>'3 escalar'!H898</f>
        <v/>
      </c>
      <c r="J895" s="7">
        <f>'3 escalar'!I898</f>
        <v/>
      </c>
      <c r="K895" s="7">
        <f>'3 escalar'!J898</f>
        <v/>
      </c>
      <c r="L895" s="7">
        <f>'3 escalar'!K898</f>
        <v/>
      </c>
      <c r="M895" s="7">
        <f>'3 escalar'!L898</f>
        <v/>
      </c>
      <c r="N895" s="7">
        <f>'3 escalar'!M898</f>
        <v/>
      </c>
      <c r="O895" s="7">
        <f>'3 escalar'!N898</f>
        <v/>
      </c>
      <c r="P895" s="7">
        <f>'3 escalar'!O898</f>
        <v/>
      </c>
      <c r="Q895" s="7">
        <f>'3 escalar'!P898</f>
        <v/>
      </c>
      <c r="R895" s="7">
        <f>'3 escalar'!Q898</f>
        <v/>
      </c>
      <c r="S895" s="7">
        <f>'3 escalar'!R898</f>
        <v/>
      </c>
      <c r="T895" s="7">
        <f>'3 escalar'!S898</f>
        <v/>
      </c>
      <c r="U895" s="7">
        <f>'3 escalar'!T898</f>
        <v/>
      </c>
      <c r="V895" s="6">
        <f>$AC$12+D895*$AC$13+E895*$AC$14+F895*$AC$15+G895*$AC$16+H895*$AC$17+I895*$AC$18+J895*$AC$19+K895*$AC$20+L895*$AC$21+M895*$AC$22+N895*$AC$23+O895*$AC$24+P895*$AC$25+Q895*$AC$26+R895*$AC$27+S895*$AC$28+T895*$AC$29+U895*$AC$30</f>
        <v/>
      </c>
      <c r="W895" s="6">
        <f>1/(1+EXP(-V895))</f>
        <v/>
      </c>
      <c r="X895" s="8">
        <f>-IF(C895=1,LN(W895),LN(1-W895))</f>
        <v/>
      </c>
      <c r="Y895" s="9">
        <f>IF(W895&gt;$AC$32,1,0)</f>
        <v/>
      </c>
      <c r="Z895">
        <f>IF(Y895=C895,1,0)</f>
        <v/>
      </c>
    </row>
    <row r="896">
      <c r="A896">
        <f>'3 escalar'!A899</f>
        <v/>
      </c>
      <c r="B896" s="5">
        <f>'3 escalar'!U899</f>
        <v/>
      </c>
      <c r="C896">
        <f>'3 escalar'!B899</f>
        <v/>
      </c>
      <c r="D896" s="7">
        <f>'3 escalar'!C899</f>
        <v/>
      </c>
      <c r="E896" s="7">
        <f>'3 escalar'!D899</f>
        <v/>
      </c>
      <c r="F896" s="7">
        <f>'3 escalar'!E899</f>
        <v/>
      </c>
      <c r="G896" s="7">
        <f>'3 escalar'!F899</f>
        <v/>
      </c>
      <c r="H896" s="7">
        <f>'3 escalar'!G899</f>
        <v/>
      </c>
      <c r="I896" s="7">
        <f>'3 escalar'!H899</f>
        <v/>
      </c>
      <c r="J896" s="7">
        <f>'3 escalar'!I899</f>
        <v/>
      </c>
      <c r="K896" s="7">
        <f>'3 escalar'!J899</f>
        <v/>
      </c>
      <c r="L896" s="7">
        <f>'3 escalar'!K899</f>
        <v/>
      </c>
      <c r="M896" s="7">
        <f>'3 escalar'!L899</f>
        <v/>
      </c>
      <c r="N896" s="7">
        <f>'3 escalar'!M899</f>
        <v/>
      </c>
      <c r="O896" s="7">
        <f>'3 escalar'!N899</f>
        <v/>
      </c>
      <c r="P896" s="7">
        <f>'3 escalar'!O899</f>
        <v/>
      </c>
      <c r="Q896" s="7">
        <f>'3 escalar'!P899</f>
        <v/>
      </c>
      <c r="R896" s="7">
        <f>'3 escalar'!Q899</f>
        <v/>
      </c>
      <c r="S896" s="7">
        <f>'3 escalar'!R899</f>
        <v/>
      </c>
      <c r="T896" s="7">
        <f>'3 escalar'!S899</f>
        <v/>
      </c>
      <c r="U896" s="7">
        <f>'3 escalar'!T899</f>
        <v/>
      </c>
      <c r="V896" s="6">
        <f>$AC$12+D896*$AC$13+E896*$AC$14+F896*$AC$15+G896*$AC$16+H896*$AC$17+I896*$AC$18+J896*$AC$19+K896*$AC$20+L896*$AC$21+M896*$AC$22+N896*$AC$23+O896*$AC$24+P896*$AC$25+Q896*$AC$26+R896*$AC$27+S896*$AC$28+T896*$AC$29+U896*$AC$30</f>
        <v/>
      </c>
      <c r="W896" s="6">
        <f>1/(1+EXP(-V896))</f>
        <v/>
      </c>
      <c r="X896" s="8">
        <f>-IF(C896=1,LN(W896),LN(1-W896))</f>
        <v/>
      </c>
      <c r="Y896" s="9">
        <f>IF(W896&gt;$AC$32,1,0)</f>
        <v/>
      </c>
      <c r="Z896">
        <f>IF(Y896=C896,1,0)</f>
        <v/>
      </c>
    </row>
    <row r="897">
      <c r="A897">
        <f>'3 escalar'!A900</f>
        <v/>
      </c>
      <c r="B897" s="5">
        <f>'3 escalar'!U900</f>
        <v/>
      </c>
      <c r="C897">
        <f>'3 escalar'!B900</f>
        <v/>
      </c>
      <c r="D897" s="7">
        <f>'3 escalar'!C900</f>
        <v/>
      </c>
      <c r="E897" s="7">
        <f>'3 escalar'!D900</f>
        <v/>
      </c>
      <c r="F897" s="7">
        <f>'3 escalar'!E900</f>
        <v/>
      </c>
      <c r="G897" s="7">
        <f>'3 escalar'!F900</f>
        <v/>
      </c>
      <c r="H897" s="7">
        <f>'3 escalar'!G900</f>
        <v/>
      </c>
      <c r="I897" s="7">
        <f>'3 escalar'!H900</f>
        <v/>
      </c>
      <c r="J897" s="7">
        <f>'3 escalar'!I900</f>
        <v/>
      </c>
      <c r="K897" s="7">
        <f>'3 escalar'!J900</f>
        <v/>
      </c>
      <c r="L897" s="7">
        <f>'3 escalar'!K900</f>
        <v/>
      </c>
      <c r="M897" s="7">
        <f>'3 escalar'!L900</f>
        <v/>
      </c>
      <c r="N897" s="7">
        <f>'3 escalar'!M900</f>
        <v/>
      </c>
      <c r="O897" s="7">
        <f>'3 escalar'!N900</f>
        <v/>
      </c>
      <c r="P897" s="7">
        <f>'3 escalar'!O900</f>
        <v/>
      </c>
      <c r="Q897" s="7">
        <f>'3 escalar'!P900</f>
        <v/>
      </c>
      <c r="R897" s="7">
        <f>'3 escalar'!Q900</f>
        <v/>
      </c>
      <c r="S897" s="7">
        <f>'3 escalar'!R900</f>
        <v/>
      </c>
      <c r="T897" s="7">
        <f>'3 escalar'!S900</f>
        <v/>
      </c>
      <c r="U897" s="7">
        <f>'3 escalar'!T900</f>
        <v/>
      </c>
      <c r="V897" s="6">
        <f>$AC$12+D897*$AC$13+E897*$AC$14+F897*$AC$15+G897*$AC$16+H897*$AC$17+I897*$AC$18+J897*$AC$19+K897*$AC$20+L897*$AC$21+M897*$AC$22+N897*$AC$23+O897*$AC$24+P897*$AC$25+Q897*$AC$26+R897*$AC$27+S897*$AC$28+T897*$AC$29+U897*$AC$30</f>
        <v/>
      </c>
      <c r="W897" s="6">
        <f>1/(1+EXP(-V897))</f>
        <v/>
      </c>
      <c r="X897" s="8">
        <f>-IF(C897=1,LN(W897),LN(1-W897))</f>
        <v/>
      </c>
      <c r="Y897" s="9">
        <f>IF(W897&gt;$AC$32,1,0)</f>
        <v/>
      </c>
      <c r="Z897">
        <f>IF(Y897=C897,1,0)</f>
        <v/>
      </c>
    </row>
    <row r="898">
      <c r="A898">
        <f>'3 escalar'!A901</f>
        <v/>
      </c>
      <c r="B898" s="5">
        <f>'3 escalar'!U901</f>
        <v/>
      </c>
      <c r="C898">
        <f>'3 escalar'!B901</f>
        <v/>
      </c>
      <c r="D898" s="7">
        <f>'3 escalar'!C901</f>
        <v/>
      </c>
      <c r="E898" s="7">
        <f>'3 escalar'!D901</f>
        <v/>
      </c>
      <c r="F898" s="7">
        <f>'3 escalar'!E901</f>
        <v/>
      </c>
      <c r="G898" s="7">
        <f>'3 escalar'!F901</f>
        <v/>
      </c>
      <c r="H898" s="7">
        <f>'3 escalar'!G901</f>
        <v/>
      </c>
      <c r="I898" s="7">
        <f>'3 escalar'!H901</f>
        <v/>
      </c>
      <c r="J898" s="7">
        <f>'3 escalar'!I901</f>
        <v/>
      </c>
      <c r="K898" s="7">
        <f>'3 escalar'!J901</f>
        <v/>
      </c>
      <c r="L898" s="7">
        <f>'3 escalar'!K901</f>
        <v/>
      </c>
      <c r="M898" s="7">
        <f>'3 escalar'!L901</f>
        <v/>
      </c>
      <c r="N898" s="7">
        <f>'3 escalar'!M901</f>
        <v/>
      </c>
      <c r="O898" s="7">
        <f>'3 escalar'!N901</f>
        <v/>
      </c>
      <c r="P898" s="7">
        <f>'3 escalar'!O901</f>
        <v/>
      </c>
      <c r="Q898" s="7">
        <f>'3 escalar'!P901</f>
        <v/>
      </c>
      <c r="R898" s="7">
        <f>'3 escalar'!Q901</f>
        <v/>
      </c>
      <c r="S898" s="7">
        <f>'3 escalar'!R901</f>
        <v/>
      </c>
      <c r="T898" s="7">
        <f>'3 escalar'!S901</f>
        <v/>
      </c>
      <c r="U898" s="7">
        <f>'3 escalar'!T901</f>
        <v/>
      </c>
      <c r="V898" s="6">
        <f>$AC$12+D898*$AC$13+E898*$AC$14+F898*$AC$15+G898*$AC$16+H898*$AC$17+I898*$AC$18+J898*$AC$19+K898*$AC$20+L898*$AC$21+M898*$AC$22+N898*$AC$23+O898*$AC$24+P898*$AC$25+Q898*$AC$26+R898*$AC$27+S898*$AC$28+T898*$AC$29+U898*$AC$30</f>
        <v/>
      </c>
      <c r="W898" s="6">
        <f>1/(1+EXP(-V898))</f>
        <v/>
      </c>
      <c r="X898" s="8">
        <f>-IF(C898=1,LN(W898),LN(1-W898))</f>
        <v/>
      </c>
      <c r="Y898" s="9">
        <f>IF(W898&gt;$AC$32,1,0)</f>
        <v/>
      </c>
      <c r="Z898">
        <f>IF(Y898=C898,1,0)</f>
        <v/>
      </c>
    </row>
    <row r="899">
      <c r="A899">
        <f>'3 escalar'!A902</f>
        <v/>
      </c>
      <c r="B899" s="5">
        <f>'3 escalar'!U902</f>
        <v/>
      </c>
      <c r="C899">
        <f>'3 escalar'!B902</f>
        <v/>
      </c>
      <c r="D899" s="7">
        <f>'3 escalar'!C902</f>
        <v/>
      </c>
      <c r="E899" s="7">
        <f>'3 escalar'!D902</f>
        <v/>
      </c>
      <c r="F899" s="7">
        <f>'3 escalar'!E902</f>
        <v/>
      </c>
      <c r="G899" s="7">
        <f>'3 escalar'!F902</f>
        <v/>
      </c>
      <c r="H899" s="7">
        <f>'3 escalar'!G902</f>
        <v/>
      </c>
      <c r="I899" s="7">
        <f>'3 escalar'!H902</f>
        <v/>
      </c>
      <c r="J899" s="7">
        <f>'3 escalar'!I902</f>
        <v/>
      </c>
      <c r="K899" s="7">
        <f>'3 escalar'!J902</f>
        <v/>
      </c>
      <c r="L899" s="7">
        <f>'3 escalar'!K902</f>
        <v/>
      </c>
      <c r="M899" s="7">
        <f>'3 escalar'!L902</f>
        <v/>
      </c>
      <c r="N899" s="7">
        <f>'3 escalar'!M902</f>
        <v/>
      </c>
      <c r="O899" s="7">
        <f>'3 escalar'!N902</f>
        <v/>
      </c>
      <c r="P899" s="7">
        <f>'3 escalar'!O902</f>
        <v/>
      </c>
      <c r="Q899" s="7">
        <f>'3 escalar'!P902</f>
        <v/>
      </c>
      <c r="R899" s="7">
        <f>'3 escalar'!Q902</f>
        <v/>
      </c>
      <c r="S899" s="7">
        <f>'3 escalar'!R902</f>
        <v/>
      </c>
      <c r="T899" s="7">
        <f>'3 escalar'!S902</f>
        <v/>
      </c>
      <c r="U899" s="7">
        <f>'3 escalar'!T902</f>
        <v/>
      </c>
      <c r="V899" s="6">
        <f>$AC$12+D899*$AC$13+E899*$AC$14+F899*$AC$15+G899*$AC$16+H899*$AC$17+I899*$AC$18+J899*$AC$19+K899*$AC$20+L899*$AC$21+M899*$AC$22+N899*$AC$23+O899*$AC$24+P899*$AC$25+Q899*$AC$26+R899*$AC$27+S899*$AC$28+T899*$AC$29+U899*$AC$30</f>
        <v/>
      </c>
      <c r="W899" s="6">
        <f>1/(1+EXP(-V899))</f>
        <v/>
      </c>
      <c r="X899" s="8">
        <f>-IF(C899=1,LN(W899),LN(1-W899))</f>
        <v/>
      </c>
      <c r="Y899" s="9">
        <f>IF(W899&gt;$AC$32,1,0)</f>
        <v/>
      </c>
      <c r="Z899">
        <f>IF(Y899=C899,1,0)</f>
        <v/>
      </c>
    </row>
    <row r="900">
      <c r="A900">
        <f>'3 escalar'!A903</f>
        <v/>
      </c>
      <c r="B900" s="5">
        <f>'3 escalar'!U903</f>
        <v/>
      </c>
      <c r="C900">
        <f>'3 escalar'!B903</f>
        <v/>
      </c>
      <c r="D900" s="7">
        <f>'3 escalar'!C903</f>
        <v/>
      </c>
      <c r="E900" s="7">
        <f>'3 escalar'!D903</f>
        <v/>
      </c>
      <c r="F900" s="7">
        <f>'3 escalar'!E903</f>
        <v/>
      </c>
      <c r="G900" s="7">
        <f>'3 escalar'!F903</f>
        <v/>
      </c>
      <c r="H900" s="7">
        <f>'3 escalar'!G903</f>
        <v/>
      </c>
      <c r="I900" s="7">
        <f>'3 escalar'!H903</f>
        <v/>
      </c>
      <c r="J900" s="7">
        <f>'3 escalar'!I903</f>
        <v/>
      </c>
      <c r="K900" s="7">
        <f>'3 escalar'!J903</f>
        <v/>
      </c>
      <c r="L900" s="7">
        <f>'3 escalar'!K903</f>
        <v/>
      </c>
      <c r="M900" s="7">
        <f>'3 escalar'!L903</f>
        <v/>
      </c>
      <c r="N900" s="7">
        <f>'3 escalar'!M903</f>
        <v/>
      </c>
      <c r="O900" s="7">
        <f>'3 escalar'!N903</f>
        <v/>
      </c>
      <c r="P900" s="7">
        <f>'3 escalar'!O903</f>
        <v/>
      </c>
      <c r="Q900" s="7">
        <f>'3 escalar'!P903</f>
        <v/>
      </c>
      <c r="R900" s="7">
        <f>'3 escalar'!Q903</f>
        <v/>
      </c>
      <c r="S900" s="7">
        <f>'3 escalar'!R903</f>
        <v/>
      </c>
      <c r="T900" s="7">
        <f>'3 escalar'!S903</f>
        <v/>
      </c>
      <c r="U900" s="7">
        <f>'3 escalar'!T903</f>
        <v/>
      </c>
      <c r="V900" s="6">
        <f>$AC$12+D900*$AC$13+E900*$AC$14+F900*$AC$15+G900*$AC$16+H900*$AC$17+I900*$AC$18+J900*$AC$19+K900*$AC$20+L900*$AC$21+M900*$AC$22+N900*$AC$23+O900*$AC$24+P900*$AC$25+Q900*$AC$26+R900*$AC$27+S900*$AC$28+T900*$AC$29+U900*$AC$30</f>
        <v/>
      </c>
      <c r="W900" s="6">
        <f>1/(1+EXP(-V900))</f>
        <v/>
      </c>
      <c r="X900" s="8">
        <f>-IF(C900=1,LN(W900),LN(1-W900))</f>
        <v/>
      </c>
      <c r="Y900" s="9">
        <f>IF(W900&gt;$AC$32,1,0)</f>
        <v/>
      </c>
      <c r="Z900">
        <f>IF(Y900=C900,1,0)</f>
        <v/>
      </c>
    </row>
    <row r="901">
      <c r="A901">
        <f>'3 escalar'!A904</f>
        <v/>
      </c>
      <c r="B901" s="5">
        <f>'3 escalar'!U904</f>
        <v/>
      </c>
      <c r="C901">
        <f>'3 escalar'!B904</f>
        <v/>
      </c>
      <c r="D901" s="7">
        <f>'3 escalar'!C904</f>
        <v/>
      </c>
      <c r="E901" s="7">
        <f>'3 escalar'!D904</f>
        <v/>
      </c>
      <c r="F901" s="7">
        <f>'3 escalar'!E904</f>
        <v/>
      </c>
      <c r="G901" s="7">
        <f>'3 escalar'!F904</f>
        <v/>
      </c>
      <c r="H901" s="7">
        <f>'3 escalar'!G904</f>
        <v/>
      </c>
      <c r="I901" s="7">
        <f>'3 escalar'!H904</f>
        <v/>
      </c>
      <c r="J901" s="7">
        <f>'3 escalar'!I904</f>
        <v/>
      </c>
      <c r="K901" s="7">
        <f>'3 escalar'!J904</f>
        <v/>
      </c>
      <c r="L901" s="7">
        <f>'3 escalar'!K904</f>
        <v/>
      </c>
      <c r="M901" s="7">
        <f>'3 escalar'!L904</f>
        <v/>
      </c>
      <c r="N901" s="7">
        <f>'3 escalar'!M904</f>
        <v/>
      </c>
      <c r="O901" s="7">
        <f>'3 escalar'!N904</f>
        <v/>
      </c>
      <c r="P901" s="7">
        <f>'3 escalar'!O904</f>
        <v/>
      </c>
      <c r="Q901" s="7">
        <f>'3 escalar'!P904</f>
        <v/>
      </c>
      <c r="R901" s="7">
        <f>'3 escalar'!Q904</f>
        <v/>
      </c>
      <c r="S901" s="7">
        <f>'3 escalar'!R904</f>
        <v/>
      </c>
      <c r="T901" s="7">
        <f>'3 escalar'!S904</f>
        <v/>
      </c>
      <c r="U901" s="7">
        <f>'3 escalar'!T904</f>
        <v/>
      </c>
      <c r="V901" s="6">
        <f>$AC$12+D901*$AC$13+E901*$AC$14+F901*$AC$15+G901*$AC$16+H901*$AC$17+I901*$AC$18+J901*$AC$19+K901*$AC$20+L901*$AC$21+M901*$AC$22+N901*$AC$23+O901*$AC$24+P901*$AC$25+Q901*$AC$26+R901*$AC$27+S901*$AC$28+T901*$AC$29+U901*$AC$30</f>
        <v/>
      </c>
      <c r="W901" s="6">
        <f>1/(1+EXP(-V901))</f>
        <v/>
      </c>
      <c r="X901" s="8">
        <f>-IF(C901=1,LN(W901),LN(1-W901))</f>
        <v/>
      </c>
      <c r="Y901" s="9">
        <f>IF(W901&gt;$AC$32,1,0)</f>
        <v/>
      </c>
      <c r="Z901">
        <f>IF(Y901=C901,1,0)</f>
        <v/>
      </c>
    </row>
    <row r="902">
      <c r="A902">
        <f>'3 escalar'!A905</f>
        <v/>
      </c>
      <c r="B902" s="5">
        <f>'3 escalar'!U905</f>
        <v/>
      </c>
      <c r="C902">
        <f>'3 escalar'!B905</f>
        <v/>
      </c>
      <c r="D902" s="7">
        <f>'3 escalar'!C905</f>
        <v/>
      </c>
      <c r="E902" s="7">
        <f>'3 escalar'!D905</f>
        <v/>
      </c>
      <c r="F902" s="7">
        <f>'3 escalar'!E905</f>
        <v/>
      </c>
      <c r="G902" s="7">
        <f>'3 escalar'!F905</f>
        <v/>
      </c>
      <c r="H902" s="7">
        <f>'3 escalar'!G905</f>
        <v/>
      </c>
      <c r="I902" s="7">
        <f>'3 escalar'!H905</f>
        <v/>
      </c>
      <c r="J902" s="7">
        <f>'3 escalar'!I905</f>
        <v/>
      </c>
      <c r="K902" s="7">
        <f>'3 escalar'!J905</f>
        <v/>
      </c>
      <c r="L902" s="7">
        <f>'3 escalar'!K905</f>
        <v/>
      </c>
      <c r="M902" s="7">
        <f>'3 escalar'!L905</f>
        <v/>
      </c>
      <c r="N902" s="7">
        <f>'3 escalar'!M905</f>
        <v/>
      </c>
      <c r="O902" s="7">
        <f>'3 escalar'!N905</f>
        <v/>
      </c>
      <c r="P902" s="7">
        <f>'3 escalar'!O905</f>
        <v/>
      </c>
      <c r="Q902" s="7">
        <f>'3 escalar'!P905</f>
        <v/>
      </c>
      <c r="R902" s="7">
        <f>'3 escalar'!Q905</f>
        <v/>
      </c>
      <c r="S902" s="7">
        <f>'3 escalar'!R905</f>
        <v/>
      </c>
      <c r="T902" s="7">
        <f>'3 escalar'!S905</f>
        <v/>
      </c>
      <c r="U902" s="7">
        <f>'3 escalar'!T905</f>
        <v/>
      </c>
      <c r="V902" s="6">
        <f>$AC$12+D902*$AC$13+E902*$AC$14+F902*$AC$15+G902*$AC$16+H902*$AC$17+I902*$AC$18+J902*$AC$19+K902*$AC$20+L902*$AC$21+M902*$AC$22+N902*$AC$23+O902*$AC$24+P902*$AC$25+Q902*$AC$26+R902*$AC$27+S902*$AC$28+T902*$AC$29+U902*$AC$30</f>
        <v/>
      </c>
      <c r="W902" s="6">
        <f>1/(1+EXP(-V902))</f>
        <v/>
      </c>
      <c r="X902" s="8">
        <f>-IF(C902=1,LN(W902),LN(1-W902))</f>
        <v/>
      </c>
      <c r="Y902" s="9">
        <f>IF(W902&gt;$AC$32,1,0)</f>
        <v/>
      </c>
      <c r="Z902">
        <f>IF(Y902=C902,1,0)</f>
        <v/>
      </c>
    </row>
    <row r="903">
      <c r="A903">
        <f>'3 escalar'!A906</f>
        <v/>
      </c>
      <c r="B903" s="5">
        <f>'3 escalar'!U906</f>
        <v/>
      </c>
      <c r="C903">
        <f>'3 escalar'!B906</f>
        <v/>
      </c>
      <c r="D903" s="7">
        <f>'3 escalar'!C906</f>
        <v/>
      </c>
      <c r="E903" s="7">
        <f>'3 escalar'!D906</f>
        <v/>
      </c>
      <c r="F903" s="7">
        <f>'3 escalar'!E906</f>
        <v/>
      </c>
      <c r="G903" s="7">
        <f>'3 escalar'!F906</f>
        <v/>
      </c>
      <c r="H903" s="7">
        <f>'3 escalar'!G906</f>
        <v/>
      </c>
      <c r="I903" s="7">
        <f>'3 escalar'!H906</f>
        <v/>
      </c>
      <c r="J903" s="7">
        <f>'3 escalar'!I906</f>
        <v/>
      </c>
      <c r="K903" s="7">
        <f>'3 escalar'!J906</f>
        <v/>
      </c>
      <c r="L903" s="7">
        <f>'3 escalar'!K906</f>
        <v/>
      </c>
      <c r="M903" s="7">
        <f>'3 escalar'!L906</f>
        <v/>
      </c>
      <c r="N903" s="7">
        <f>'3 escalar'!M906</f>
        <v/>
      </c>
      <c r="O903" s="7">
        <f>'3 escalar'!N906</f>
        <v/>
      </c>
      <c r="P903" s="7">
        <f>'3 escalar'!O906</f>
        <v/>
      </c>
      <c r="Q903" s="7">
        <f>'3 escalar'!P906</f>
        <v/>
      </c>
      <c r="R903" s="7">
        <f>'3 escalar'!Q906</f>
        <v/>
      </c>
      <c r="S903" s="7">
        <f>'3 escalar'!R906</f>
        <v/>
      </c>
      <c r="T903" s="7">
        <f>'3 escalar'!S906</f>
        <v/>
      </c>
      <c r="U903" s="7">
        <f>'3 escalar'!T906</f>
        <v/>
      </c>
      <c r="V903" s="6">
        <f>$AC$12+D903*$AC$13+E903*$AC$14+F903*$AC$15+G903*$AC$16+H903*$AC$17+I903*$AC$18+J903*$AC$19+K903*$AC$20+L903*$AC$21+M903*$AC$22+N903*$AC$23+O903*$AC$24+P903*$AC$25+Q903*$AC$26+R903*$AC$27+S903*$AC$28+T903*$AC$29+U903*$AC$30</f>
        <v/>
      </c>
      <c r="W903" s="6">
        <f>1/(1+EXP(-V903))</f>
        <v/>
      </c>
      <c r="X903" s="8">
        <f>-IF(C903=1,LN(W903),LN(1-W903))</f>
        <v/>
      </c>
      <c r="Y903" s="9">
        <f>IF(W903&gt;$AC$32,1,0)</f>
        <v/>
      </c>
      <c r="Z903">
        <f>IF(Y903=C903,1,0)</f>
        <v/>
      </c>
    </row>
    <row r="904">
      <c r="A904">
        <f>'3 escalar'!A907</f>
        <v/>
      </c>
      <c r="B904" s="5">
        <f>'3 escalar'!U907</f>
        <v/>
      </c>
      <c r="C904">
        <f>'3 escalar'!B907</f>
        <v/>
      </c>
      <c r="D904" s="7">
        <f>'3 escalar'!C907</f>
        <v/>
      </c>
      <c r="E904" s="7">
        <f>'3 escalar'!D907</f>
        <v/>
      </c>
      <c r="F904" s="7">
        <f>'3 escalar'!E907</f>
        <v/>
      </c>
      <c r="G904" s="7">
        <f>'3 escalar'!F907</f>
        <v/>
      </c>
      <c r="H904" s="7">
        <f>'3 escalar'!G907</f>
        <v/>
      </c>
      <c r="I904" s="7">
        <f>'3 escalar'!H907</f>
        <v/>
      </c>
      <c r="J904" s="7">
        <f>'3 escalar'!I907</f>
        <v/>
      </c>
      <c r="K904" s="7">
        <f>'3 escalar'!J907</f>
        <v/>
      </c>
      <c r="L904" s="7">
        <f>'3 escalar'!K907</f>
        <v/>
      </c>
      <c r="M904" s="7">
        <f>'3 escalar'!L907</f>
        <v/>
      </c>
      <c r="N904" s="7">
        <f>'3 escalar'!M907</f>
        <v/>
      </c>
      <c r="O904" s="7">
        <f>'3 escalar'!N907</f>
        <v/>
      </c>
      <c r="P904" s="7">
        <f>'3 escalar'!O907</f>
        <v/>
      </c>
      <c r="Q904" s="7">
        <f>'3 escalar'!P907</f>
        <v/>
      </c>
      <c r="R904" s="7">
        <f>'3 escalar'!Q907</f>
        <v/>
      </c>
      <c r="S904" s="7">
        <f>'3 escalar'!R907</f>
        <v/>
      </c>
      <c r="T904" s="7">
        <f>'3 escalar'!S907</f>
        <v/>
      </c>
      <c r="U904" s="7">
        <f>'3 escalar'!T907</f>
        <v/>
      </c>
      <c r="V904" s="6">
        <f>$AC$12+D904*$AC$13+E904*$AC$14+F904*$AC$15+G904*$AC$16+H904*$AC$17+I904*$AC$18+J904*$AC$19+K904*$AC$20+L904*$AC$21+M904*$AC$22+N904*$AC$23+O904*$AC$24+P904*$AC$25+Q904*$AC$26+R904*$AC$27+S904*$AC$28+T904*$AC$29+U904*$AC$30</f>
        <v/>
      </c>
      <c r="W904" s="6">
        <f>1/(1+EXP(-V904))</f>
        <v/>
      </c>
      <c r="X904" s="8">
        <f>-IF(C904=1,LN(W904),LN(1-W904))</f>
        <v/>
      </c>
      <c r="Y904" s="9">
        <f>IF(W904&gt;$AC$32,1,0)</f>
        <v/>
      </c>
      <c r="Z904">
        <f>IF(Y904=C904,1,0)</f>
        <v/>
      </c>
    </row>
    <row r="905">
      <c r="A905">
        <f>'3 escalar'!A908</f>
        <v/>
      </c>
      <c r="B905" s="5">
        <f>'3 escalar'!U908</f>
        <v/>
      </c>
      <c r="C905">
        <f>'3 escalar'!B908</f>
        <v/>
      </c>
      <c r="D905" s="7">
        <f>'3 escalar'!C908</f>
        <v/>
      </c>
      <c r="E905" s="7">
        <f>'3 escalar'!D908</f>
        <v/>
      </c>
      <c r="F905" s="7">
        <f>'3 escalar'!E908</f>
        <v/>
      </c>
      <c r="G905" s="7">
        <f>'3 escalar'!F908</f>
        <v/>
      </c>
      <c r="H905" s="7">
        <f>'3 escalar'!G908</f>
        <v/>
      </c>
      <c r="I905" s="7">
        <f>'3 escalar'!H908</f>
        <v/>
      </c>
      <c r="J905" s="7">
        <f>'3 escalar'!I908</f>
        <v/>
      </c>
      <c r="K905" s="7">
        <f>'3 escalar'!J908</f>
        <v/>
      </c>
      <c r="L905" s="7">
        <f>'3 escalar'!K908</f>
        <v/>
      </c>
      <c r="M905" s="7">
        <f>'3 escalar'!L908</f>
        <v/>
      </c>
      <c r="N905" s="7">
        <f>'3 escalar'!M908</f>
        <v/>
      </c>
      <c r="O905" s="7">
        <f>'3 escalar'!N908</f>
        <v/>
      </c>
      <c r="P905" s="7">
        <f>'3 escalar'!O908</f>
        <v/>
      </c>
      <c r="Q905" s="7">
        <f>'3 escalar'!P908</f>
        <v/>
      </c>
      <c r="R905" s="7">
        <f>'3 escalar'!Q908</f>
        <v/>
      </c>
      <c r="S905" s="7">
        <f>'3 escalar'!R908</f>
        <v/>
      </c>
      <c r="T905" s="7">
        <f>'3 escalar'!S908</f>
        <v/>
      </c>
      <c r="U905" s="7">
        <f>'3 escalar'!T908</f>
        <v/>
      </c>
      <c r="V905" s="6">
        <f>$AC$12+D905*$AC$13+E905*$AC$14+F905*$AC$15+G905*$AC$16+H905*$AC$17+I905*$AC$18+J905*$AC$19+K905*$AC$20+L905*$AC$21+M905*$AC$22+N905*$AC$23+O905*$AC$24+P905*$AC$25+Q905*$AC$26+R905*$AC$27+S905*$AC$28+T905*$AC$29+U905*$AC$30</f>
        <v/>
      </c>
      <c r="W905" s="6">
        <f>1/(1+EXP(-V905))</f>
        <v/>
      </c>
      <c r="X905" s="8">
        <f>-IF(C905=1,LN(W905),LN(1-W905))</f>
        <v/>
      </c>
      <c r="Y905" s="9">
        <f>IF(W905&gt;$AC$32,1,0)</f>
        <v/>
      </c>
      <c r="Z905">
        <f>IF(Y905=C905,1,0)</f>
        <v/>
      </c>
    </row>
    <row r="906">
      <c r="A906">
        <f>'3 escalar'!A909</f>
        <v/>
      </c>
      <c r="B906" s="5">
        <f>'3 escalar'!U909</f>
        <v/>
      </c>
      <c r="C906">
        <f>'3 escalar'!B909</f>
        <v/>
      </c>
      <c r="D906" s="7">
        <f>'3 escalar'!C909</f>
        <v/>
      </c>
      <c r="E906" s="7">
        <f>'3 escalar'!D909</f>
        <v/>
      </c>
      <c r="F906" s="7">
        <f>'3 escalar'!E909</f>
        <v/>
      </c>
      <c r="G906" s="7">
        <f>'3 escalar'!F909</f>
        <v/>
      </c>
      <c r="H906" s="7">
        <f>'3 escalar'!G909</f>
        <v/>
      </c>
      <c r="I906" s="7">
        <f>'3 escalar'!H909</f>
        <v/>
      </c>
      <c r="J906" s="7">
        <f>'3 escalar'!I909</f>
        <v/>
      </c>
      <c r="K906" s="7">
        <f>'3 escalar'!J909</f>
        <v/>
      </c>
      <c r="L906" s="7">
        <f>'3 escalar'!K909</f>
        <v/>
      </c>
      <c r="M906" s="7">
        <f>'3 escalar'!L909</f>
        <v/>
      </c>
      <c r="N906" s="7">
        <f>'3 escalar'!M909</f>
        <v/>
      </c>
      <c r="O906" s="7">
        <f>'3 escalar'!N909</f>
        <v/>
      </c>
      <c r="P906" s="7">
        <f>'3 escalar'!O909</f>
        <v/>
      </c>
      <c r="Q906" s="7">
        <f>'3 escalar'!P909</f>
        <v/>
      </c>
      <c r="R906" s="7">
        <f>'3 escalar'!Q909</f>
        <v/>
      </c>
      <c r="S906" s="7">
        <f>'3 escalar'!R909</f>
        <v/>
      </c>
      <c r="T906" s="7">
        <f>'3 escalar'!S909</f>
        <v/>
      </c>
      <c r="U906" s="7">
        <f>'3 escalar'!T909</f>
        <v/>
      </c>
      <c r="V906" s="6">
        <f>$AC$12+D906*$AC$13+E906*$AC$14+F906*$AC$15+G906*$AC$16+H906*$AC$17+I906*$AC$18+J906*$AC$19+K906*$AC$20+L906*$AC$21+M906*$AC$22+N906*$AC$23+O906*$AC$24+P906*$AC$25+Q906*$AC$26+R906*$AC$27+S906*$AC$28+T906*$AC$29+U906*$AC$30</f>
        <v/>
      </c>
      <c r="W906" s="6">
        <f>1/(1+EXP(-V906))</f>
        <v/>
      </c>
      <c r="X906" s="8">
        <f>-IF(C906=1,LN(W906),LN(1-W906))</f>
        <v/>
      </c>
      <c r="Y906" s="9">
        <f>IF(W906&gt;$AC$32,1,0)</f>
        <v/>
      </c>
      <c r="Z906">
        <f>IF(Y906=C906,1,0)</f>
        <v/>
      </c>
    </row>
    <row r="907">
      <c r="A907">
        <f>'3 escalar'!A910</f>
        <v/>
      </c>
      <c r="B907" s="5">
        <f>'3 escalar'!U910</f>
        <v/>
      </c>
      <c r="C907">
        <f>'3 escalar'!B910</f>
        <v/>
      </c>
      <c r="D907" s="7">
        <f>'3 escalar'!C910</f>
        <v/>
      </c>
      <c r="E907" s="7">
        <f>'3 escalar'!D910</f>
        <v/>
      </c>
      <c r="F907" s="7">
        <f>'3 escalar'!E910</f>
        <v/>
      </c>
      <c r="G907" s="7">
        <f>'3 escalar'!F910</f>
        <v/>
      </c>
      <c r="H907" s="7">
        <f>'3 escalar'!G910</f>
        <v/>
      </c>
      <c r="I907" s="7">
        <f>'3 escalar'!H910</f>
        <v/>
      </c>
      <c r="J907" s="7">
        <f>'3 escalar'!I910</f>
        <v/>
      </c>
      <c r="K907" s="7">
        <f>'3 escalar'!J910</f>
        <v/>
      </c>
      <c r="L907" s="7">
        <f>'3 escalar'!K910</f>
        <v/>
      </c>
      <c r="M907" s="7">
        <f>'3 escalar'!L910</f>
        <v/>
      </c>
      <c r="N907" s="7">
        <f>'3 escalar'!M910</f>
        <v/>
      </c>
      <c r="O907" s="7">
        <f>'3 escalar'!N910</f>
        <v/>
      </c>
      <c r="P907" s="7">
        <f>'3 escalar'!O910</f>
        <v/>
      </c>
      <c r="Q907" s="7">
        <f>'3 escalar'!P910</f>
        <v/>
      </c>
      <c r="R907" s="7">
        <f>'3 escalar'!Q910</f>
        <v/>
      </c>
      <c r="S907" s="7">
        <f>'3 escalar'!R910</f>
        <v/>
      </c>
      <c r="T907" s="7">
        <f>'3 escalar'!S910</f>
        <v/>
      </c>
      <c r="U907" s="7">
        <f>'3 escalar'!T910</f>
        <v/>
      </c>
      <c r="V907" s="6">
        <f>$AC$12+D907*$AC$13+E907*$AC$14+F907*$AC$15+G907*$AC$16+H907*$AC$17+I907*$AC$18+J907*$AC$19+K907*$AC$20+L907*$AC$21+M907*$AC$22+N907*$AC$23+O907*$AC$24+P907*$AC$25+Q907*$AC$26+R907*$AC$27+S907*$AC$28+T907*$AC$29+U907*$AC$30</f>
        <v/>
      </c>
      <c r="W907" s="6">
        <f>1/(1+EXP(-V907))</f>
        <v/>
      </c>
      <c r="X907" s="8">
        <f>-IF(C907=1,LN(W907),LN(1-W907))</f>
        <v/>
      </c>
      <c r="Y907" s="9">
        <f>IF(W907&gt;$AC$32,1,0)</f>
        <v/>
      </c>
      <c r="Z907">
        <f>IF(Y907=C907,1,0)</f>
        <v/>
      </c>
    </row>
    <row r="908">
      <c r="A908">
        <f>'3 escalar'!A911</f>
        <v/>
      </c>
      <c r="B908" s="5">
        <f>'3 escalar'!U911</f>
        <v/>
      </c>
      <c r="C908">
        <f>'3 escalar'!B911</f>
        <v/>
      </c>
      <c r="D908" s="7">
        <f>'3 escalar'!C911</f>
        <v/>
      </c>
      <c r="E908" s="7">
        <f>'3 escalar'!D911</f>
        <v/>
      </c>
      <c r="F908" s="7">
        <f>'3 escalar'!E911</f>
        <v/>
      </c>
      <c r="G908" s="7">
        <f>'3 escalar'!F911</f>
        <v/>
      </c>
      <c r="H908" s="7">
        <f>'3 escalar'!G911</f>
        <v/>
      </c>
      <c r="I908" s="7">
        <f>'3 escalar'!H911</f>
        <v/>
      </c>
      <c r="J908" s="7">
        <f>'3 escalar'!I911</f>
        <v/>
      </c>
      <c r="K908" s="7">
        <f>'3 escalar'!J911</f>
        <v/>
      </c>
      <c r="L908" s="7">
        <f>'3 escalar'!K911</f>
        <v/>
      </c>
      <c r="M908" s="7">
        <f>'3 escalar'!L911</f>
        <v/>
      </c>
      <c r="N908" s="7">
        <f>'3 escalar'!M911</f>
        <v/>
      </c>
      <c r="O908" s="7">
        <f>'3 escalar'!N911</f>
        <v/>
      </c>
      <c r="P908" s="7">
        <f>'3 escalar'!O911</f>
        <v/>
      </c>
      <c r="Q908" s="7">
        <f>'3 escalar'!P911</f>
        <v/>
      </c>
      <c r="R908" s="7">
        <f>'3 escalar'!Q911</f>
        <v/>
      </c>
      <c r="S908" s="7">
        <f>'3 escalar'!R911</f>
        <v/>
      </c>
      <c r="T908" s="7">
        <f>'3 escalar'!S911</f>
        <v/>
      </c>
      <c r="U908" s="7">
        <f>'3 escalar'!T911</f>
        <v/>
      </c>
      <c r="V908" s="6">
        <f>$AC$12+D908*$AC$13+E908*$AC$14+F908*$AC$15+G908*$AC$16+H908*$AC$17+I908*$AC$18+J908*$AC$19+K908*$AC$20+L908*$AC$21+M908*$AC$22+N908*$AC$23+O908*$AC$24+P908*$AC$25+Q908*$AC$26+R908*$AC$27+S908*$AC$28+T908*$AC$29+U908*$AC$30</f>
        <v/>
      </c>
      <c r="W908" s="6">
        <f>1/(1+EXP(-V908))</f>
        <v/>
      </c>
      <c r="X908" s="8">
        <f>-IF(C908=1,LN(W908),LN(1-W908))</f>
        <v/>
      </c>
      <c r="Y908" s="9">
        <f>IF(W908&gt;$AC$32,1,0)</f>
        <v/>
      </c>
      <c r="Z908">
        <f>IF(Y908=C908,1,0)</f>
        <v/>
      </c>
    </row>
    <row r="909">
      <c r="A909">
        <f>'3 escalar'!A912</f>
        <v/>
      </c>
      <c r="B909" s="5">
        <f>'3 escalar'!U912</f>
        <v/>
      </c>
      <c r="C909">
        <f>'3 escalar'!B912</f>
        <v/>
      </c>
      <c r="D909" s="7">
        <f>'3 escalar'!C912</f>
        <v/>
      </c>
      <c r="E909" s="7">
        <f>'3 escalar'!D912</f>
        <v/>
      </c>
      <c r="F909" s="7">
        <f>'3 escalar'!E912</f>
        <v/>
      </c>
      <c r="G909" s="7">
        <f>'3 escalar'!F912</f>
        <v/>
      </c>
      <c r="H909" s="7">
        <f>'3 escalar'!G912</f>
        <v/>
      </c>
      <c r="I909" s="7">
        <f>'3 escalar'!H912</f>
        <v/>
      </c>
      <c r="J909" s="7">
        <f>'3 escalar'!I912</f>
        <v/>
      </c>
      <c r="K909" s="7">
        <f>'3 escalar'!J912</f>
        <v/>
      </c>
      <c r="L909" s="7">
        <f>'3 escalar'!K912</f>
        <v/>
      </c>
      <c r="M909" s="7">
        <f>'3 escalar'!L912</f>
        <v/>
      </c>
      <c r="N909" s="7">
        <f>'3 escalar'!M912</f>
        <v/>
      </c>
      <c r="O909" s="7">
        <f>'3 escalar'!N912</f>
        <v/>
      </c>
      <c r="P909" s="7">
        <f>'3 escalar'!O912</f>
        <v/>
      </c>
      <c r="Q909" s="7">
        <f>'3 escalar'!P912</f>
        <v/>
      </c>
      <c r="R909" s="7">
        <f>'3 escalar'!Q912</f>
        <v/>
      </c>
      <c r="S909" s="7">
        <f>'3 escalar'!R912</f>
        <v/>
      </c>
      <c r="T909" s="7">
        <f>'3 escalar'!S912</f>
        <v/>
      </c>
      <c r="U909" s="7">
        <f>'3 escalar'!T912</f>
        <v/>
      </c>
      <c r="V909" s="6">
        <f>$AC$12+D909*$AC$13+E909*$AC$14+F909*$AC$15+G909*$AC$16+H909*$AC$17+I909*$AC$18+J909*$AC$19+K909*$AC$20+L909*$AC$21+M909*$AC$22+N909*$AC$23+O909*$AC$24+P909*$AC$25+Q909*$AC$26+R909*$AC$27+S909*$AC$28+T909*$AC$29+U909*$AC$30</f>
        <v/>
      </c>
      <c r="W909" s="6">
        <f>1/(1+EXP(-V909))</f>
        <v/>
      </c>
      <c r="X909" s="8">
        <f>-IF(C909=1,LN(W909),LN(1-W909))</f>
        <v/>
      </c>
      <c r="Y909" s="9">
        <f>IF(W909&gt;$AC$32,1,0)</f>
        <v/>
      </c>
      <c r="Z909">
        <f>IF(Y909=C909,1,0)</f>
        <v/>
      </c>
    </row>
    <row r="910">
      <c r="A910">
        <f>'3 escalar'!A913</f>
        <v/>
      </c>
      <c r="B910" s="5">
        <f>'3 escalar'!U913</f>
        <v/>
      </c>
      <c r="C910">
        <f>'3 escalar'!B913</f>
        <v/>
      </c>
      <c r="D910" s="7">
        <f>'3 escalar'!C913</f>
        <v/>
      </c>
      <c r="E910" s="7">
        <f>'3 escalar'!D913</f>
        <v/>
      </c>
      <c r="F910" s="7">
        <f>'3 escalar'!E913</f>
        <v/>
      </c>
      <c r="G910" s="7">
        <f>'3 escalar'!F913</f>
        <v/>
      </c>
      <c r="H910" s="7">
        <f>'3 escalar'!G913</f>
        <v/>
      </c>
      <c r="I910" s="7">
        <f>'3 escalar'!H913</f>
        <v/>
      </c>
      <c r="J910" s="7">
        <f>'3 escalar'!I913</f>
        <v/>
      </c>
      <c r="K910" s="7">
        <f>'3 escalar'!J913</f>
        <v/>
      </c>
      <c r="L910" s="7">
        <f>'3 escalar'!K913</f>
        <v/>
      </c>
      <c r="M910" s="7">
        <f>'3 escalar'!L913</f>
        <v/>
      </c>
      <c r="N910" s="7">
        <f>'3 escalar'!M913</f>
        <v/>
      </c>
      <c r="O910" s="7">
        <f>'3 escalar'!N913</f>
        <v/>
      </c>
      <c r="P910" s="7">
        <f>'3 escalar'!O913</f>
        <v/>
      </c>
      <c r="Q910" s="7">
        <f>'3 escalar'!P913</f>
        <v/>
      </c>
      <c r="R910" s="7">
        <f>'3 escalar'!Q913</f>
        <v/>
      </c>
      <c r="S910" s="7">
        <f>'3 escalar'!R913</f>
        <v/>
      </c>
      <c r="T910" s="7">
        <f>'3 escalar'!S913</f>
        <v/>
      </c>
      <c r="U910" s="7">
        <f>'3 escalar'!T913</f>
        <v/>
      </c>
      <c r="V910" s="6">
        <f>$AC$12+D910*$AC$13+E910*$AC$14+F910*$AC$15+G910*$AC$16+H910*$AC$17+I910*$AC$18+J910*$AC$19+K910*$AC$20+L910*$AC$21+M910*$AC$22+N910*$AC$23+O910*$AC$24+P910*$AC$25+Q910*$AC$26+R910*$AC$27+S910*$AC$28+T910*$AC$29+U910*$AC$30</f>
        <v/>
      </c>
      <c r="W910" s="6">
        <f>1/(1+EXP(-V910))</f>
        <v/>
      </c>
      <c r="X910" s="8">
        <f>-IF(C910=1,LN(W910),LN(1-W910))</f>
        <v/>
      </c>
      <c r="Y910" s="9">
        <f>IF(W910&gt;$AC$32,1,0)</f>
        <v/>
      </c>
      <c r="Z910">
        <f>IF(Y910=C910,1,0)</f>
        <v/>
      </c>
    </row>
    <row r="911">
      <c r="A911">
        <f>'3 escalar'!A914</f>
        <v/>
      </c>
      <c r="B911" s="5">
        <f>'3 escalar'!U914</f>
        <v/>
      </c>
      <c r="C911">
        <f>'3 escalar'!B914</f>
        <v/>
      </c>
      <c r="D911" s="7">
        <f>'3 escalar'!C914</f>
        <v/>
      </c>
      <c r="E911" s="7">
        <f>'3 escalar'!D914</f>
        <v/>
      </c>
      <c r="F911" s="7">
        <f>'3 escalar'!E914</f>
        <v/>
      </c>
      <c r="G911" s="7">
        <f>'3 escalar'!F914</f>
        <v/>
      </c>
      <c r="H911" s="7">
        <f>'3 escalar'!G914</f>
        <v/>
      </c>
      <c r="I911" s="7">
        <f>'3 escalar'!H914</f>
        <v/>
      </c>
      <c r="J911" s="7">
        <f>'3 escalar'!I914</f>
        <v/>
      </c>
      <c r="K911" s="7">
        <f>'3 escalar'!J914</f>
        <v/>
      </c>
      <c r="L911" s="7">
        <f>'3 escalar'!K914</f>
        <v/>
      </c>
      <c r="M911" s="7">
        <f>'3 escalar'!L914</f>
        <v/>
      </c>
      <c r="N911" s="7">
        <f>'3 escalar'!M914</f>
        <v/>
      </c>
      <c r="O911" s="7">
        <f>'3 escalar'!N914</f>
        <v/>
      </c>
      <c r="P911" s="7">
        <f>'3 escalar'!O914</f>
        <v/>
      </c>
      <c r="Q911" s="7">
        <f>'3 escalar'!P914</f>
        <v/>
      </c>
      <c r="R911" s="7">
        <f>'3 escalar'!Q914</f>
        <v/>
      </c>
      <c r="S911" s="7">
        <f>'3 escalar'!R914</f>
        <v/>
      </c>
      <c r="T911" s="7">
        <f>'3 escalar'!S914</f>
        <v/>
      </c>
      <c r="U911" s="7">
        <f>'3 escalar'!T914</f>
        <v/>
      </c>
      <c r="V911" s="6">
        <f>$AC$12+D911*$AC$13+E911*$AC$14+F911*$AC$15+G911*$AC$16+H911*$AC$17+I911*$AC$18+J911*$AC$19+K911*$AC$20+L911*$AC$21+M911*$AC$22+N911*$AC$23+O911*$AC$24+P911*$AC$25+Q911*$AC$26+R911*$AC$27+S911*$AC$28+T911*$AC$29+U911*$AC$30</f>
        <v/>
      </c>
      <c r="W911" s="6">
        <f>1/(1+EXP(-V911))</f>
        <v/>
      </c>
      <c r="X911" s="8">
        <f>-IF(C911=1,LN(W911),LN(1-W911))</f>
        <v/>
      </c>
      <c r="Y911" s="9">
        <f>IF(W911&gt;$AC$32,1,0)</f>
        <v/>
      </c>
      <c r="Z911">
        <f>IF(Y911=C911,1,0)</f>
        <v/>
      </c>
    </row>
    <row r="912">
      <c r="A912">
        <f>'3 escalar'!A915</f>
        <v/>
      </c>
      <c r="B912" s="5">
        <f>'3 escalar'!U915</f>
        <v/>
      </c>
      <c r="C912">
        <f>'3 escalar'!B915</f>
        <v/>
      </c>
      <c r="D912" s="7">
        <f>'3 escalar'!C915</f>
        <v/>
      </c>
      <c r="E912" s="7">
        <f>'3 escalar'!D915</f>
        <v/>
      </c>
      <c r="F912" s="7">
        <f>'3 escalar'!E915</f>
        <v/>
      </c>
      <c r="G912" s="7">
        <f>'3 escalar'!F915</f>
        <v/>
      </c>
      <c r="H912" s="7">
        <f>'3 escalar'!G915</f>
        <v/>
      </c>
      <c r="I912" s="7">
        <f>'3 escalar'!H915</f>
        <v/>
      </c>
      <c r="J912" s="7">
        <f>'3 escalar'!I915</f>
        <v/>
      </c>
      <c r="K912" s="7">
        <f>'3 escalar'!J915</f>
        <v/>
      </c>
      <c r="L912" s="7">
        <f>'3 escalar'!K915</f>
        <v/>
      </c>
      <c r="M912" s="7">
        <f>'3 escalar'!L915</f>
        <v/>
      </c>
      <c r="N912" s="7">
        <f>'3 escalar'!M915</f>
        <v/>
      </c>
      <c r="O912" s="7">
        <f>'3 escalar'!N915</f>
        <v/>
      </c>
      <c r="P912" s="7">
        <f>'3 escalar'!O915</f>
        <v/>
      </c>
      <c r="Q912" s="7">
        <f>'3 escalar'!P915</f>
        <v/>
      </c>
      <c r="R912" s="7">
        <f>'3 escalar'!Q915</f>
        <v/>
      </c>
      <c r="S912" s="7">
        <f>'3 escalar'!R915</f>
        <v/>
      </c>
      <c r="T912" s="7">
        <f>'3 escalar'!S915</f>
        <v/>
      </c>
      <c r="U912" s="7">
        <f>'3 escalar'!T915</f>
        <v/>
      </c>
      <c r="V912" s="6">
        <f>$AC$12+D912*$AC$13+E912*$AC$14+F912*$AC$15+G912*$AC$16+H912*$AC$17+I912*$AC$18+J912*$AC$19+K912*$AC$20+L912*$AC$21+M912*$AC$22+N912*$AC$23+O912*$AC$24+P912*$AC$25+Q912*$AC$26+R912*$AC$27+S912*$AC$28+T912*$AC$29+U912*$AC$30</f>
        <v/>
      </c>
      <c r="W912" s="6">
        <f>1/(1+EXP(-V912))</f>
        <v/>
      </c>
      <c r="X912" s="8">
        <f>-IF(C912=1,LN(W912),LN(1-W912))</f>
        <v/>
      </c>
      <c r="Y912" s="9">
        <f>IF(W912&gt;$AC$32,1,0)</f>
        <v/>
      </c>
      <c r="Z912">
        <f>IF(Y912=C912,1,0)</f>
        <v/>
      </c>
    </row>
    <row r="913">
      <c r="A913">
        <f>'3 escalar'!A916</f>
        <v/>
      </c>
      <c r="B913" s="5">
        <f>'3 escalar'!U916</f>
        <v/>
      </c>
      <c r="C913">
        <f>'3 escalar'!B916</f>
        <v/>
      </c>
      <c r="D913" s="7">
        <f>'3 escalar'!C916</f>
        <v/>
      </c>
      <c r="E913" s="7">
        <f>'3 escalar'!D916</f>
        <v/>
      </c>
      <c r="F913" s="7">
        <f>'3 escalar'!E916</f>
        <v/>
      </c>
      <c r="G913" s="7">
        <f>'3 escalar'!F916</f>
        <v/>
      </c>
      <c r="H913" s="7">
        <f>'3 escalar'!G916</f>
        <v/>
      </c>
      <c r="I913" s="7">
        <f>'3 escalar'!H916</f>
        <v/>
      </c>
      <c r="J913" s="7">
        <f>'3 escalar'!I916</f>
        <v/>
      </c>
      <c r="K913" s="7">
        <f>'3 escalar'!J916</f>
        <v/>
      </c>
      <c r="L913" s="7">
        <f>'3 escalar'!K916</f>
        <v/>
      </c>
      <c r="M913" s="7">
        <f>'3 escalar'!L916</f>
        <v/>
      </c>
      <c r="N913" s="7">
        <f>'3 escalar'!M916</f>
        <v/>
      </c>
      <c r="O913" s="7">
        <f>'3 escalar'!N916</f>
        <v/>
      </c>
      <c r="P913" s="7">
        <f>'3 escalar'!O916</f>
        <v/>
      </c>
      <c r="Q913" s="7">
        <f>'3 escalar'!P916</f>
        <v/>
      </c>
      <c r="R913" s="7">
        <f>'3 escalar'!Q916</f>
        <v/>
      </c>
      <c r="S913" s="7">
        <f>'3 escalar'!R916</f>
        <v/>
      </c>
      <c r="T913" s="7">
        <f>'3 escalar'!S916</f>
        <v/>
      </c>
      <c r="U913" s="7">
        <f>'3 escalar'!T916</f>
        <v/>
      </c>
      <c r="V913" s="6">
        <f>$AC$12+D913*$AC$13+E913*$AC$14+F913*$AC$15+G913*$AC$16+H913*$AC$17+I913*$AC$18+J913*$AC$19+K913*$AC$20+L913*$AC$21+M913*$AC$22+N913*$AC$23+O913*$AC$24+P913*$AC$25+Q913*$AC$26+R913*$AC$27+S913*$AC$28+T913*$AC$29+U913*$AC$30</f>
        <v/>
      </c>
      <c r="W913" s="6">
        <f>1/(1+EXP(-V913))</f>
        <v/>
      </c>
      <c r="X913" s="8">
        <f>-IF(C913=1,LN(W913),LN(1-W913))</f>
        <v/>
      </c>
      <c r="Y913" s="9">
        <f>IF(W913&gt;$AC$32,1,0)</f>
        <v/>
      </c>
      <c r="Z913">
        <f>IF(Y913=C913,1,0)</f>
        <v/>
      </c>
    </row>
    <row r="914">
      <c r="A914">
        <f>'3 escalar'!A917</f>
        <v/>
      </c>
      <c r="B914" s="5">
        <f>'3 escalar'!U917</f>
        <v/>
      </c>
      <c r="C914">
        <f>'3 escalar'!B917</f>
        <v/>
      </c>
      <c r="D914" s="7">
        <f>'3 escalar'!C917</f>
        <v/>
      </c>
      <c r="E914" s="7">
        <f>'3 escalar'!D917</f>
        <v/>
      </c>
      <c r="F914" s="7">
        <f>'3 escalar'!E917</f>
        <v/>
      </c>
      <c r="G914" s="7">
        <f>'3 escalar'!F917</f>
        <v/>
      </c>
      <c r="H914" s="7">
        <f>'3 escalar'!G917</f>
        <v/>
      </c>
      <c r="I914" s="7">
        <f>'3 escalar'!H917</f>
        <v/>
      </c>
      <c r="J914" s="7">
        <f>'3 escalar'!I917</f>
        <v/>
      </c>
      <c r="K914" s="7">
        <f>'3 escalar'!J917</f>
        <v/>
      </c>
      <c r="L914" s="7">
        <f>'3 escalar'!K917</f>
        <v/>
      </c>
      <c r="M914" s="7">
        <f>'3 escalar'!L917</f>
        <v/>
      </c>
      <c r="N914" s="7">
        <f>'3 escalar'!M917</f>
        <v/>
      </c>
      <c r="O914" s="7">
        <f>'3 escalar'!N917</f>
        <v/>
      </c>
      <c r="P914" s="7">
        <f>'3 escalar'!O917</f>
        <v/>
      </c>
      <c r="Q914" s="7">
        <f>'3 escalar'!P917</f>
        <v/>
      </c>
      <c r="R914" s="7">
        <f>'3 escalar'!Q917</f>
        <v/>
      </c>
      <c r="S914" s="7">
        <f>'3 escalar'!R917</f>
        <v/>
      </c>
      <c r="T914" s="7">
        <f>'3 escalar'!S917</f>
        <v/>
      </c>
      <c r="U914" s="7">
        <f>'3 escalar'!T917</f>
        <v/>
      </c>
      <c r="V914" s="6">
        <f>$AC$12+D914*$AC$13+E914*$AC$14+F914*$AC$15+G914*$AC$16+H914*$AC$17+I914*$AC$18+J914*$AC$19+K914*$AC$20+L914*$AC$21+M914*$AC$22+N914*$AC$23+O914*$AC$24+P914*$AC$25+Q914*$AC$26+R914*$AC$27+S914*$AC$28+T914*$AC$29+U914*$AC$30</f>
        <v/>
      </c>
      <c r="W914" s="6">
        <f>1/(1+EXP(-V914))</f>
        <v/>
      </c>
      <c r="X914" s="8">
        <f>-IF(C914=1,LN(W914),LN(1-W914))</f>
        <v/>
      </c>
      <c r="Y914" s="9">
        <f>IF(W914&gt;$AC$32,1,0)</f>
        <v/>
      </c>
      <c r="Z914">
        <f>IF(Y914=C914,1,0)</f>
        <v/>
      </c>
    </row>
    <row r="915">
      <c r="A915">
        <f>'3 escalar'!A918</f>
        <v/>
      </c>
      <c r="B915" s="5">
        <f>'3 escalar'!U918</f>
        <v/>
      </c>
      <c r="C915">
        <f>'3 escalar'!B918</f>
        <v/>
      </c>
      <c r="D915" s="7">
        <f>'3 escalar'!C918</f>
        <v/>
      </c>
      <c r="E915" s="7">
        <f>'3 escalar'!D918</f>
        <v/>
      </c>
      <c r="F915" s="7">
        <f>'3 escalar'!E918</f>
        <v/>
      </c>
      <c r="G915" s="7">
        <f>'3 escalar'!F918</f>
        <v/>
      </c>
      <c r="H915" s="7">
        <f>'3 escalar'!G918</f>
        <v/>
      </c>
      <c r="I915" s="7">
        <f>'3 escalar'!H918</f>
        <v/>
      </c>
      <c r="J915" s="7">
        <f>'3 escalar'!I918</f>
        <v/>
      </c>
      <c r="K915" s="7">
        <f>'3 escalar'!J918</f>
        <v/>
      </c>
      <c r="L915" s="7">
        <f>'3 escalar'!K918</f>
        <v/>
      </c>
      <c r="M915" s="7">
        <f>'3 escalar'!L918</f>
        <v/>
      </c>
      <c r="N915" s="7">
        <f>'3 escalar'!M918</f>
        <v/>
      </c>
      <c r="O915" s="7">
        <f>'3 escalar'!N918</f>
        <v/>
      </c>
      <c r="P915" s="7">
        <f>'3 escalar'!O918</f>
        <v/>
      </c>
      <c r="Q915" s="7">
        <f>'3 escalar'!P918</f>
        <v/>
      </c>
      <c r="R915" s="7">
        <f>'3 escalar'!Q918</f>
        <v/>
      </c>
      <c r="S915" s="7">
        <f>'3 escalar'!R918</f>
        <v/>
      </c>
      <c r="T915" s="7">
        <f>'3 escalar'!S918</f>
        <v/>
      </c>
      <c r="U915" s="7">
        <f>'3 escalar'!T918</f>
        <v/>
      </c>
      <c r="V915" s="6">
        <f>$AC$12+D915*$AC$13+E915*$AC$14+F915*$AC$15+G915*$AC$16+H915*$AC$17+I915*$AC$18+J915*$AC$19+K915*$AC$20+L915*$AC$21+M915*$AC$22+N915*$AC$23+O915*$AC$24+P915*$AC$25+Q915*$AC$26+R915*$AC$27+S915*$AC$28+T915*$AC$29+U915*$AC$30</f>
        <v/>
      </c>
      <c r="W915" s="6">
        <f>1/(1+EXP(-V915))</f>
        <v/>
      </c>
      <c r="X915" s="8">
        <f>-IF(C915=1,LN(W915),LN(1-W915))</f>
        <v/>
      </c>
      <c r="Y915" s="9">
        <f>IF(W915&gt;$AC$32,1,0)</f>
        <v/>
      </c>
      <c r="Z915">
        <f>IF(Y915=C915,1,0)</f>
        <v/>
      </c>
    </row>
    <row r="916">
      <c r="A916">
        <f>'3 escalar'!A919</f>
        <v/>
      </c>
      <c r="B916" s="5">
        <f>'3 escalar'!U919</f>
        <v/>
      </c>
      <c r="C916">
        <f>'3 escalar'!B919</f>
        <v/>
      </c>
      <c r="D916" s="7">
        <f>'3 escalar'!C919</f>
        <v/>
      </c>
      <c r="E916" s="7">
        <f>'3 escalar'!D919</f>
        <v/>
      </c>
      <c r="F916" s="7">
        <f>'3 escalar'!E919</f>
        <v/>
      </c>
      <c r="G916" s="7">
        <f>'3 escalar'!F919</f>
        <v/>
      </c>
      <c r="H916" s="7">
        <f>'3 escalar'!G919</f>
        <v/>
      </c>
      <c r="I916" s="7">
        <f>'3 escalar'!H919</f>
        <v/>
      </c>
      <c r="J916" s="7">
        <f>'3 escalar'!I919</f>
        <v/>
      </c>
      <c r="K916" s="7">
        <f>'3 escalar'!J919</f>
        <v/>
      </c>
      <c r="L916" s="7">
        <f>'3 escalar'!K919</f>
        <v/>
      </c>
      <c r="M916" s="7">
        <f>'3 escalar'!L919</f>
        <v/>
      </c>
      <c r="N916" s="7">
        <f>'3 escalar'!M919</f>
        <v/>
      </c>
      <c r="O916" s="7">
        <f>'3 escalar'!N919</f>
        <v/>
      </c>
      <c r="P916" s="7">
        <f>'3 escalar'!O919</f>
        <v/>
      </c>
      <c r="Q916" s="7">
        <f>'3 escalar'!P919</f>
        <v/>
      </c>
      <c r="R916" s="7">
        <f>'3 escalar'!Q919</f>
        <v/>
      </c>
      <c r="S916" s="7">
        <f>'3 escalar'!R919</f>
        <v/>
      </c>
      <c r="T916" s="7">
        <f>'3 escalar'!S919</f>
        <v/>
      </c>
      <c r="U916" s="7">
        <f>'3 escalar'!T919</f>
        <v/>
      </c>
      <c r="V916" s="6">
        <f>$AC$12+D916*$AC$13+E916*$AC$14+F916*$AC$15+G916*$AC$16+H916*$AC$17+I916*$AC$18+J916*$AC$19+K916*$AC$20+L916*$AC$21+M916*$AC$22+N916*$AC$23+O916*$AC$24+P916*$AC$25+Q916*$AC$26+R916*$AC$27+S916*$AC$28+T916*$AC$29+U916*$AC$30</f>
        <v/>
      </c>
      <c r="W916" s="6">
        <f>1/(1+EXP(-V916))</f>
        <v/>
      </c>
      <c r="X916" s="8">
        <f>-IF(C916=1,LN(W916),LN(1-W916))</f>
        <v/>
      </c>
      <c r="Y916" s="9">
        <f>IF(W916&gt;$AC$32,1,0)</f>
        <v/>
      </c>
      <c r="Z916">
        <f>IF(Y916=C916,1,0)</f>
        <v/>
      </c>
    </row>
    <row r="917">
      <c r="A917">
        <f>'3 escalar'!A920</f>
        <v/>
      </c>
      <c r="B917" s="5">
        <f>'3 escalar'!U920</f>
        <v/>
      </c>
      <c r="C917">
        <f>'3 escalar'!B920</f>
        <v/>
      </c>
      <c r="D917" s="7">
        <f>'3 escalar'!C920</f>
        <v/>
      </c>
      <c r="E917" s="7">
        <f>'3 escalar'!D920</f>
        <v/>
      </c>
      <c r="F917" s="7">
        <f>'3 escalar'!E920</f>
        <v/>
      </c>
      <c r="G917" s="7">
        <f>'3 escalar'!F920</f>
        <v/>
      </c>
      <c r="H917" s="7">
        <f>'3 escalar'!G920</f>
        <v/>
      </c>
      <c r="I917" s="7">
        <f>'3 escalar'!H920</f>
        <v/>
      </c>
      <c r="J917" s="7">
        <f>'3 escalar'!I920</f>
        <v/>
      </c>
      <c r="K917" s="7">
        <f>'3 escalar'!J920</f>
        <v/>
      </c>
      <c r="L917" s="7">
        <f>'3 escalar'!K920</f>
        <v/>
      </c>
      <c r="M917" s="7">
        <f>'3 escalar'!L920</f>
        <v/>
      </c>
      <c r="N917" s="7">
        <f>'3 escalar'!M920</f>
        <v/>
      </c>
      <c r="O917" s="7">
        <f>'3 escalar'!N920</f>
        <v/>
      </c>
      <c r="P917" s="7">
        <f>'3 escalar'!O920</f>
        <v/>
      </c>
      <c r="Q917" s="7">
        <f>'3 escalar'!P920</f>
        <v/>
      </c>
      <c r="R917" s="7">
        <f>'3 escalar'!Q920</f>
        <v/>
      </c>
      <c r="S917" s="7">
        <f>'3 escalar'!R920</f>
        <v/>
      </c>
      <c r="T917" s="7">
        <f>'3 escalar'!S920</f>
        <v/>
      </c>
      <c r="U917" s="7">
        <f>'3 escalar'!T920</f>
        <v/>
      </c>
      <c r="V917" s="6">
        <f>$AC$12+D917*$AC$13+E917*$AC$14+F917*$AC$15+G917*$AC$16+H917*$AC$17+I917*$AC$18+J917*$AC$19+K917*$AC$20+L917*$AC$21+M917*$AC$22+N917*$AC$23+O917*$AC$24+P917*$AC$25+Q917*$AC$26+R917*$AC$27+S917*$AC$28+T917*$AC$29+U917*$AC$30</f>
        <v/>
      </c>
      <c r="W917" s="6">
        <f>1/(1+EXP(-V917))</f>
        <v/>
      </c>
      <c r="X917" s="8">
        <f>-IF(C917=1,LN(W917),LN(1-W917))</f>
        <v/>
      </c>
      <c r="Y917" s="9">
        <f>IF(W917&gt;$AC$32,1,0)</f>
        <v/>
      </c>
      <c r="Z917">
        <f>IF(Y917=C917,1,0)</f>
        <v/>
      </c>
    </row>
    <row r="918">
      <c r="A918">
        <f>'3 escalar'!A921</f>
        <v/>
      </c>
      <c r="B918" s="5">
        <f>'3 escalar'!U921</f>
        <v/>
      </c>
      <c r="C918">
        <f>'3 escalar'!B921</f>
        <v/>
      </c>
      <c r="D918" s="7">
        <f>'3 escalar'!C921</f>
        <v/>
      </c>
      <c r="E918" s="7">
        <f>'3 escalar'!D921</f>
        <v/>
      </c>
      <c r="F918" s="7">
        <f>'3 escalar'!E921</f>
        <v/>
      </c>
      <c r="G918" s="7">
        <f>'3 escalar'!F921</f>
        <v/>
      </c>
      <c r="H918" s="7">
        <f>'3 escalar'!G921</f>
        <v/>
      </c>
      <c r="I918" s="7">
        <f>'3 escalar'!H921</f>
        <v/>
      </c>
      <c r="J918" s="7">
        <f>'3 escalar'!I921</f>
        <v/>
      </c>
      <c r="K918" s="7">
        <f>'3 escalar'!J921</f>
        <v/>
      </c>
      <c r="L918" s="7">
        <f>'3 escalar'!K921</f>
        <v/>
      </c>
      <c r="M918" s="7">
        <f>'3 escalar'!L921</f>
        <v/>
      </c>
      <c r="N918" s="7">
        <f>'3 escalar'!M921</f>
        <v/>
      </c>
      <c r="O918" s="7">
        <f>'3 escalar'!N921</f>
        <v/>
      </c>
      <c r="P918" s="7">
        <f>'3 escalar'!O921</f>
        <v/>
      </c>
      <c r="Q918" s="7">
        <f>'3 escalar'!P921</f>
        <v/>
      </c>
      <c r="R918" s="7">
        <f>'3 escalar'!Q921</f>
        <v/>
      </c>
      <c r="S918" s="7">
        <f>'3 escalar'!R921</f>
        <v/>
      </c>
      <c r="T918" s="7">
        <f>'3 escalar'!S921</f>
        <v/>
      </c>
      <c r="U918" s="7">
        <f>'3 escalar'!T921</f>
        <v/>
      </c>
      <c r="V918" s="6">
        <f>$AC$12+D918*$AC$13+E918*$AC$14+F918*$AC$15+G918*$AC$16+H918*$AC$17+I918*$AC$18+J918*$AC$19+K918*$AC$20+L918*$AC$21+M918*$AC$22+N918*$AC$23+O918*$AC$24+P918*$AC$25+Q918*$AC$26+R918*$AC$27+S918*$AC$28+T918*$AC$29+U918*$AC$30</f>
        <v/>
      </c>
      <c r="W918" s="6">
        <f>1/(1+EXP(-V918))</f>
        <v/>
      </c>
      <c r="X918" s="8">
        <f>-IF(C918=1,LN(W918),LN(1-W918))</f>
        <v/>
      </c>
      <c r="Y918" s="9">
        <f>IF(W918&gt;$AC$32,1,0)</f>
        <v/>
      </c>
      <c r="Z918">
        <f>IF(Y918=C918,1,0)</f>
        <v/>
      </c>
    </row>
    <row r="919">
      <c r="A919">
        <f>'3 escalar'!A922</f>
        <v/>
      </c>
      <c r="B919" s="5">
        <f>'3 escalar'!U922</f>
        <v/>
      </c>
      <c r="C919">
        <f>'3 escalar'!B922</f>
        <v/>
      </c>
      <c r="D919" s="7">
        <f>'3 escalar'!C922</f>
        <v/>
      </c>
      <c r="E919" s="7">
        <f>'3 escalar'!D922</f>
        <v/>
      </c>
      <c r="F919" s="7">
        <f>'3 escalar'!E922</f>
        <v/>
      </c>
      <c r="G919" s="7">
        <f>'3 escalar'!F922</f>
        <v/>
      </c>
      <c r="H919" s="7">
        <f>'3 escalar'!G922</f>
        <v/>
      </c>
      <c r="I919" s="7">
        <f>'3 escalar'!H922</f>
        <v/>
      </c>
      <c r="J919" s="7">
        <f>'3 escalar'!I922</f>
        <v/>
      </c>
      <c r="K919" s="7">
        <f>'3 escalar'!J922</f>
        <v/>
      </c>
      <c r="L919" s="7">
        <f>'3 escalar'!K922</f>
        <v/>
      </c>
      <c r="M919" s="7">
        <f>'3 escalar'!L922</f>
        <v/>
      </c>
      <c r="N919" s="7">
        <f>'3 escalar'!M922</f>
        <v/>
      </c>
      <c r="O919" s="7">
        <f>'3 escalar'!N922</f>
        <v/>
      </c>
      <c r="P919" s="7">
        <f>'3 escalar'!O922</f>
        <v/>
      </c>
      <c r="Q919" s="7">
        <f>'3 escalar'!P922</f>
        <v/>
      </c>
      <c r="R919" s="7">
        <f>'3 escalar'!Q922</f>
        <v/>
      </c>
      <c r="S919" s="7">
        <f>'3 escalar'!R922</f>
        <v/>
      </c>
      <c r="T919" s="7">
        <f>'3 escalar'!S922</f>
        <v/>
      </c>
      <c r="U919" s="7">
        <f>'3 escalar'!T922</f>
        <v/>
      </c>
      <c r="V919" s="6">
        <f>$AC$12+D919*$AC$13+E919*$AC$14+F919*$AC$15+G919*$AC$16+H919*$AC$17+I919*$AC$18+J919*$AC$19+K919*$AC$20+L919*$AC$21+M919*$AC$22+N919*$AC$23+O919*$AC$24+P919*$AC$25+Q919*$AC$26+R919*$AC$27+S919*$AC$28+T919*$AC$29+U919*$AC$30</f>
        <v/>
      </c>
      <c r="W919" s="6">
        <f>1/(1+EXP(-V919))</f>
        <v/>
      </c>
      <c r="X919" s="8">
        <f>-IF(C919=1,LN(W919),LN(1-W919))</f>
        <v/>
      </c>
      <c r="Y919" s="9">
        <f>IF(W919&gt;$AC$32,1,0)</f>
        <v/>
      </c>
      <c r="Z919">
        <f>IF(Y919=C919,1,0)</f>
        <v/>
      </c>
    </row>
    <row r="920">
      <c r="A920">
        <f>'3 escalar'!A923</f>
        <v/>
      </c>
      <c r="B920" s="5">
        <f>'3 escalar'!U923</f>
        <v/>
      </c>
      <c r="C920">
        <f>'3 escalar'!B923</f>
        <v/>
      </c>
      <c r="D920" s="7">
        <f>'3 escalar'!C923</f>
        <v/>
      </c>
      <c r="E920" s="7">
        <f>'3 escalar'!D923</f>
        <v/>
      </c>
      <c r="F920" s="7">
        <f>'3 escalar'!E923</f>
        <v/>
      </c>
      <c r="G920" s="7">
        <f>'3 escalar'!F923</f>
        <v/>
      </c>
      <c r="H920" s="7">
        <f>'3 escalar'!G923</f>
        <v/>
      </c>
      <c r="I920" s="7">
        <f>'3 escalar'!H923</f>
        <v/>
      </c>
      <c r="J920" s="7">
        <f>'3 escalar'!I923</f>
        <v/>
      </c>
      <c r="K920" s="7">
        <f>'3 escalar'!J923</f>
        <v/>
      </c>
      <c r="L920" s="7">
        <f>'3 escalar'!K923</f>
        <v/>
      </c>
      <c r="M920" s="7">
        <f>'3 escalar'!L923</f>
        <v/>
      </c>
      <c r="N920" s="7">
        <f>'3 escalar'!M923</f>
        <v/>
      </c>
      <c r="O920" s="7">
        <f>'3 escalar'!N923</f>
        <v/>
      </c>
      <c r="P920" s="7">
        <f>'3 escalar'!O923</f>
        <v/>
      </c>
      <c r="Q920" s="7">
        <f>'3 escalar'!P923</f>
        <v/>
      </c>
      <c r="R920" s="7">
        <f>'3 escalar'!Q923</f>
        <v/>
      </c>
      <c r="S920" s="7">
        <f>'3 escalar'!R923</f>
        <v/>
      </c>
      <c r="T920" s="7">
        <f>'3 escalar'!S923</f>
        <v/>
      </c>
      <c r="U920" s="7">
        <f>'3 escalar'!T923</f>
        <v/>
      </c>
      <c r="V920" s="6">
        <f>$AC$12+D920*$AC$13+E920*$AC$14+F920*$AC$15+G920*$AC$16+H920*$AC$17+I920*$AC$18+J920*$AC$19+K920*$AC$20+L920*$AC$21+M920*$AC$22+N920*$AC$23+O920*$AC$24+P920*$AC$25+Q920*$AC$26+R920*$AC$27+S920*$AC$28+T920*$AC$29+U920*$AC$30</f>
        <v/>
      </c>
      <c r="W920" s="6">
        <f>1/(1+EXP(-V920))</f>
        <v/>
      </c>
      <c r="X920" s="8">
        <f>-IF(C920=1,LN(W920),LN(1-W920))</f>
        <v/>
      </c>
      <c r="Y920" s="9">
        <f>IF(W920&gt;$AC$32,1,0)</f>
        <v/>
      </c>
      <c r="Z920">
        <f>IF(Y920=C920,1,0)</f>
        <v/>
      </c>
    </row>
    <row r="921">
      <c r="A921">
        <f>'3 escalar'!A924</f>
        <v/>
      </c>
      <c r="B921" s="5">
        <f>'3 escalar'!U924</f>
        <v/>
      </c>
      <c r="C921">
        <f>'3 escalar'!B924</f>
        <v/>
      </c>
      <c r="D921" s="7">
        <f>'3 escalar'!C924</f>
        <v/>
      </c>
      <c r="E921" s="7">
        <f>'3 escalar'!D924</f>
        <v/>
      </c>
      <c r="F921" s="7">
        <f>'3 escalar'!E924</f>
        <v/>
      </c>
      <c r="G921" s="7">
        <f>'3 escalar'!F924</f>
        <v/>
      </c>
      <c r="H921" s="7">
        <f>'3 escalar'!G924</f>
        <v/>
      </c>
      <c r="I921" s="7">
        <f>'3 escalar'!H924</f>
        <v/>
      </c>
      <c r="J921" s="7">
        <f>'3 escalar'!I924</f>
        <v/>
      </c>
      <c r="K921" s="7">
        <f>'3 escalar'!J924</f>
        <v/>
      </c>
      <c r="L921" s="7">
        <f>'3 escalar'!K924</f>
        <v/>
      </c>
      <c r="M921" s="7">
        <f>'3 escalar'!L924</f>
        <v/>
      </c>
      <c r="N921" s="7">
        <f>'3 escalar'!M924</f>
        <v/>
      </c>
      <c r="O921" s="7">
        <f>'3 escalar'!N924</f>
        <v/>
      </c>
      <c r="P921" s="7">
        <f>'3 escalar'!O924</f>
        <v/>
      </c>
      <c r="Q921" s="7">
        <f>'3 escalar'!P924</f>
        <v/>
      </c>
      <c r="R921" s="7">
        <f>'3 escalar'!Q924</f>
        <v/>
      </c>
      <c r="S921" s="7">
        <f>'3 escalar'!R924</f>
        <v/>
      </c>
      <c r="T921" s="7">
        <f>'3 escalar'!S924</f>
        <v/>
      </c>
      <c r="U921" s="7">
        <f>'3 escalar'!T924</f>
        <v/>
      </c>
      <c r="V921" s="6">
        <f>$AC$12+D921*$AC$13+E921*$AC$14+F921*$AC$15+G921*$AC$16+H921*$AC$17+I921*$AC$18+J921*$AC$19+K921*$AC$20+L921*$AC$21+M921*$AC$22+N921*$AC$23+O921*$AC$24+P921*$AC$25+Q921*$AC$26+R921*$AC$27+S921*$AC$28+T921*$AC$29+U921*$AC$30</f>
        <v/>
      </c>
      <c r="W921" s="6">
        <f>1/(1+EXP(-V921))</f>
        <v/>
      </c>
      <c r="X921" s="8">
        <f>-IF(C921=1,LN(W921),LN(1-W921))</f>
        <v/>
      </c>
      <c r="Y921" s="9">
        <f>IF(W921&gt;$AC$32,1,0)</f>
        <v/>
      </c>
      <c r="Z921">
        <f>IF(Y921=C921,1,0)</f>
        <v/>
      </c>
    </row>
    <row r="922">
      <c r="A922">
        <f>'3 escalar'!A925</f>
        <v/>
      </c>
      <c r="B922" s="5">
        <f>'3 escalar'!U925</f>
        <v/>
      </c>
      <c r="C922">
        <f>'3 escalar'!B925</f>
        <v/>
      </c>
      <c r="D922" s="7">
        <f>'3 escalar'!C925</f>
        <v/>
      </c>
      <c r="E922" s="7">
        <f>'3 escalar'!D925</f>
        <v/>
      </c>
      <c r="F922" s="7">
        <f>'3 escalar'!E925</f>
        <v/>
      </c>
      <c r="G922" s="7">
        <f>'3 escalar'!F925</f>
        <v/>
      </c>
      <c r="H922" s="7">
        <f>'3 escalar'!G925</f>
        <v/>
      </c>
      <c r="I922" s="7">
        <f>'3 escalar'!H925</f>
        <v/>
      </c>
      <c r="J922" s="7">
        <f>'3 escalar'!I925</f>
        <v/>
      </c>
      <c r="K922" s="7">
        <f>'3 escalar'!J925</f>
        <v/>
      </c>
      <c r="L922" s="7">
        <f>'3 escalar'!K925</f>
        <v/>
      </c>
      <c r="M922" s="7">
        <f>'3 escalar'!L925</f>
        <v/>
      </c>
      <c r="N922" s="7">
        <f>'3 escalar'!M925</f>
        <v/>
      </c>
      <c r="O922" s="7">
        <f>'3 escalar'!N925</f>
        <v/>
      </c>
      <c r="P922" s="7">
        <f>'3 escalar'!O925</f>
        <v/>
      </c>
      <c r="Q922" s="7">
        <f>'3 escalar'!P925</f>
        <v/>
      </c>
      <c r="R922" s="7">
        <f>'3 escalar'!Q925</f>
        <v/>
      </c>
      <c r="S922" s="7">
        <f>'3 escalar'!R925</f>
        <v/>
      </c>
      <c r="T922" s="7">
        <f>'3 escalar'!S925</f>
        <v/>
      </c>
      <c r="U922" s="7">
        <f>'3 escalar'!T925</f>
        <v/>
      </c>
      <c r="V922" s="6">
        <f>$AC$12+D922*$AC$13+E922*$AC$14+F922*$AC$15+G922*$AC$16+H922*$AC$17+I922*$AC$18+J922*$AC$19+K922*$AC$20+L922*$AC$21+M922*$AC$22+N922*$AC$23+O922*$AC$24+P922*$AC$25+Q922*$AC$26+R922*$AC$27+S922*$AC$28+T922*$AC$29+U922*$AC$30</f>
        <v/>
      </c>
      <c r="W922" s="6">
        <f>1/(1+EXP(-V922))</f>
        <v/>
      </c>
      <c r="X922" s="8">
        <f>-IF(C922=1,LN(W922),LN(1-W922))</f>
        <v/>
      </c>
      <c r="Y922" s="9">
        <f>IF(W922&gt;$AC$32,1,0)</f>
        <v/>
      </c>
      <c r="Z922">
        <f>IF(Y922=C922,1,0)</f>
        <v/>
      </c>
    </row>
    <row r="923">
      <c r="A923">
        <f>'3 escalar'!A926</f>
        <v/>
      </c>
      <c r="B923" s="5">
        <f>'3 escalar'!U926</f>
        <v/>
      </c>
      <c r="C923">
        <f>'3 escalar'!B926</f>
        <v/>
      </c>
      <c r="D923" s="7">
        <f>'3 escalar'!C926</f>
        <v/>
      </c>
      <c r="E923" s="7">
        <f>'3 escalar'!D926</f>
        <v/>
      </c>
      <c r="F923" s="7">
        <f>'3 escalar'!E926</f>
        <v/>
      </c>
      <c r="G923" s="7">
        <f>'3 escalar'!F926</f>
        <v/>
      </c>
      <c r="H923" s="7">
        <f>'3 escalar'!G926</f>
        <v/>
      </c>
      <c r="I923" s="7">
        <f>'3 escalar'!H926</f>
        <v/>
      </c>
      <c r="J923" s="7">
        <f>'3 escalar'!I926</f>
        <v/>
      </c>
      <c r="K923" s="7">
        <f>'3 escalar'!J926</f>
        <v/>
      </c>
      <c r="L923" s="7">
        <f>'3 escalar'!K926</f>
        <v/>
      </c>
      <c r="M923" s="7">
        <f>'3 escalar'!L926</f>
        <v/>
      </c>
      <c r="N923" s="7">
        <f>'3 escalar'!M926</f>
        <v/>
      </c>
      <c r="O923" s="7">
        <f>'3 escalar'!N926</f>
        <v/>
      </c>
      <c r="P923" s="7">
        <f>'3 escalar'!O926</f>
        <v/>
      </c>
      <c r="Q923" s="7">
        <f>'3 escalar'!P926</f>
        <v/>
      </c>
      <c r="R923" s="7">
        <f>'3 escalar'!Q926</f>
        <v/>
      </c>
      <c r="S923" s="7">
        <f>'3 escalar'!R926</f>
        <v/>
      </c>
      <c r="T923" s="7">
        <f>'3 escalar'!S926</f>
        <v/>
      </c>
      <c r="U923" s="7">
        <f>'3 escalar'!T926</f>
        <v/>
      </c>
      <c r="V923" s="6">
        <f>$AC$12+D923*$AC$13+E923*$AC$14+F923*$AC$15+G923*$AC$16+H923*$AC$17+I923*$AC$18+J923*$AC$19+K923*$AC$20+L923*$AC$21+M923*$AC$22+N923*$AC$23+O923*$AC$24+P923*$AC$25+Q923*$AC$26+R923*$AC$27+S923*$AC$28+T923*$AC$29+U923*$AC$30</f>
        <v/>
      </c>
      <c r="W923" s="6">
        <f>1/(1+EXP(-V923))</f>
        <v/>
      </c>
      <c r="X923" s="8">
        <f>-IF(C923=1,LN(W923),LN(1-W923))</f>
        <v/>
      </c>
      <c r="Y923" s="9">
        <f>IF(W923&gt;$AC$32,1,0)</f>
        <v/>
      </c>
      <c r="Z923">
        <f>IF(Y923=C923,1,0)</f>
        <v/>
      </c>
    </row>
    <row r="924">
      <c r="A924">
        <f>'3 escalar'!A927</f>
        <v/>
      </c>
      <c r="B924" s="5">
        <f>'3 escalar'!U927</f>
        <v/>
      </c>
      <c r="C924">
        <f>'3 escalar'!B927</f>
        <v/>
      </c>
      <c r="D924" s="7">
        <f>'3 escalar'!C927</f>
        <v/>
      </c>
      <c r="E924" s="7">
        <f>'3 escalar'!D927</f>
        <v/>
      </c>
      <c r="F924" s="7">
        <f>'3 escalar'!E927</f>
        <v/>
      </c>
      <c r="G924" s="7">
        <f>'3 escalar'!F927</f>
        <v/>
      </c>
      <c r="H924" s="7">
        <f>'3 escalar'!G927</f>
        <v/>
      </c>
      <c r="I924" s="7">
        <f>'3 escalar'!H927</f>
        <v/>
      </c>
      <c r="J924" s="7">
        <f>'3 escalar'!I927</f>
        <v/>
      </c>
      <c r="K924" s="7">
        <f>'3 escalar'!J927</f>
        <v/>
      </c>
      <c r="L924" s="7">
        <f>'3 escalar'!K927</f>
        <v/>
      </c>
      <c r="M924" s="7">
        <f>'3 escalar'!L927</f>
        <v/>
      </c>
      <c r="N924" s="7">
        <f>'3 escalar'!M927</f>
        <v/>
      </c>
      <c r="O924" s="7">
        <f>'3 escalar'!N927</f>
        <v/>
      </c>
      <c r="P924" s="7">
        <f>'3 escalar'!O927</f>
        <v/>
      </c>
      <c r="Q924" s="7">
        <f>'3 escalar'!P927</f>
        <v/>
      </c>
      <c r="R924" s="7">
        <f>'3 escalar'!Q927</f>
        <v/>
      </c>
      <c r="S924" s="7">
        <f>'3 escalar'!R927</f>
        <v/>
      </c>
      <c r="T924" s="7">
        <f>'3 escalar'!S927</f>
        <v/>
      </c>
      <c r="U924" s="7">
        <f>'3 escalar'!T927</f>
        <v/>
      </c>
      <c r="V924" s="6">
        <f>$AC$12+D924*$AC$13+E924*$AC$14+F924*$AC$15+G924*$AC$16+H924*$AC$17+I924*$AC$18+J924*$AC$19+K924*$AC$20+L924*$AC$21+M924*$AC$22+N924*$AC$23+O924*$AC$24+P924*$AC$25+Q924*$AC$26+R924*$AC$27+S924*$AC$28+T924*$AC$29+U924*$AC$30</f>
        <v/>
      </c>
      <c r="W924" s="6">
        <f>1/(1+EXP(-V924))</f>
        <v/>
      </c>
      <c r="X924" s="8">
        <f>-IF(C924=1,LN(W924),LN(1-W924))</f>
        <v/>
      </c>
      <c r="Y924" s="9">
        <f>IF(W924&gt;$AC$32,1,0)</f>
        <v/>
      </c>
      <c r="Z924">
        <f>IF(Y924=C924,1,0)</f>
        <v/>
      </c>
    </row>
    <row r="925">
      <c r="A925">
        <f>'3 escalar'!A928</f>
        <v/>
      </c>
      <c r="B925" s="5">
        <f>'3 escalar'!U928</f>
        <v/>
      </c>
      <c r="C925">
        <f>'3 escalar'!B928</f>
        <v/>
      </c>
      <c r="D925" s="7">
        <f>'3 escalar'!C928</f>
        <v/>
      </c>
      <c r="E925" s="7">
        <f>'3 escalar'!D928</f>
        <v/>
      </c>
      <c r="F925" s="7">
        <f>'3 escalar'!E928</f>
        <v/>
      </c>
      <c r="G925" s="7">
        <f>'3 escalar'!F928</f>
        <v/>
      </c>
      <c r="H925" s="7">
        <f>'3 escalar'!G928</f>
        <v/>
      </c>
      <c r="I925" s="7">
        <f>'3 escalar'!H928</f>
        <v/>
      </c>
      <c r="J925" s="7">
        <f>'3 escalar'!I928</f>
        <v/>
      </c>
      <c r="K925" s="7">
        <f>'3 escalar'!J928</f>
        <v/>
      </c>
      <c r="L925" s="7">
        <f>'3 escalar'!K928</f>
        <v/>
      </c>
      <c r="M925" s="7">
        <f>'3 escalar'!L928</f>
        <v/>
      </c>
      <c r="N925" s="7">
        <f>'3 escalar'!M928</f>
        <v/>
      </c>
      <c r="O925" s="7">
        <f>'3 escalar'!N928</f>
        <v/>
      </c>
      <c r="P925" s="7">
        <f>'3 escalar'!O928</f>
        <v/>
      </c>
      <c r="Q925" s="7">
        <f>'3 escalar'!P928</f>
        <v/>
      </c>
      <c r="R925" s="7">
        <f>'3 escalar'!Q928</f>
        <v/>
      </c>
      <c r="S925" s="7">
        <f>'3 escalar'!R928</f>
        <v/>
      </c>
      <c r="T925" s="7">
        <f>'3 escalar'!S928</f>
        <v/>
      </c>
      <c r="U925" s="7">
        <f>'3 escalar'!T928</f>
        <v/>
      </c>
      <c r="V925" s="6">
        <f>$AC$12+D925*$AC$13+E925*$AC$14+F925*$AC$15+G925*$AC$16+H925*$AC$17+I925*$AC$18+J925*$AC$19+K925*$AC$20+L925*$AC$21+M925*$AC$22+N925*$AC$23+O925*$AC$24+P925*$AC$25+Q925*$AC$26+R925*$AC$27+S925*$AC$28+T925*$AC$29+U925*$AC$30</f>
        <v/>
      </c>
      <c r="W925" s="6">
        <f>1/(1+EXP(-V925))</f>
        <v/>
      </c>
      <c r="X925" s="8">
        <f>-IF(C925=1,LN(W925),LN(1-W925))</f>
        <v/>
      </c>
      <c r="Y925" s="9">
        <f>IF(W925&gt;$AC$32,1,0)</f>
        <v/>
      </c>
      <c r="Z925">
        <f>IF(Y925=C925,1,0)</f>
        <v/>
      </c>
    </row>
    <row r="926">
      <c r="A926">
        <f>'3 escalar'!A929</f>
        <v/>
      </c>
      <c r="B926" s="5">
        <f>'3 escalar'!U929</f>
        <v/>
      </c>
      <c r="C926">
        <f>'3 escalar'!B929</f>
        <v/>
      </c>
      <c r="D926" s="7">
        <f>'3 escalar'!C929</f>
        <v/>
      </c>
      <c r="E926" s="7">
        <f>'3 escalar'!D929</f>
        <v/>
      </c>
      <c r="F926" s="7">
        <f>'3 escalar'!E929</f>
        <v/>
      </c>
      <c r="G926" s="7">
        <f>'3 escalar'!F929</f>
        <v/>
      </c>
      <c r="H926" s="7">
        <f>'3 escalar'!G929</f>
        <v/>
      </c>
      <c r="I926" s="7">
        <f>'3 escalar'!H929</f>
        <v/>
      </c>
      <c r="J926" s="7">
        <f>'3 escalar'!I929</f>
        <v/>
      </c>
      <c r="K926" s="7">
        <f>'3 escalar'!J929</f>
        <v/>
      </c>
      <c r="L926" s="7">
        <f>'3 escalar'!K929</f>
        <v/>
      </c>
      <c r="M926" s="7">
        <f>'3 escalar'!L929</f>
        <v/>
      </c>
      <c r="N926" s="7">
        <f>'3 escalar'!M929</f>
        <v/>
      </c>
      <c r="O926" s="7">
        <f>'3 escalar'!N929</f>
        <v/>
      </c>
      <c r="P926" s="7">
        <f>'3 escalar'!O929</f>
        <v/>
      </c>
      <c r="Q926" s="7">
        <f>'3 escalar'!P929</f>
        <v/>
      </c>
      <c r="R926" s="7">
        <f>'3 escalar'!Q929</f>
        <v/>
      </c>
      <c r="S926" s="7">
        <f>'3 escalar'!R929</f>
        <v/>
      </c>
      <c r="T926" s="7">
        <f>'3 escalar'!S929</f>
        <v/>
      </c>
      <c r="U926" s="7">
        <f>'3 escalar'!T929</f>
        <v/>
      </c>
      <c r="V926" s="6">
        <f>$AC$12+D926*$AC$13+E926*$AC$14+F926*$AC$15+G926*$AC$16+H926*$AC$17+I926*$AC$18+J926*$AC$19+K926*$AC$20+L926*$AC$21+M926*$AC$22+N926*$AC$23+O926*$AC$24+P926*$AC$25+Q926*$AC$26+R926*$AC$27+S926*$AC$28+T926*$AC$29+U926*$AC$30</f>
        <v/>
      </c>
      <c r="W926" s="6">
        <f>1/(1+EXP(-V926))</f>
        <v/>
      </c>
      <c r="X926" s="8">
        <f>-IF(C926=1,LN(W926),LN(1-W926))</f>
        <v/>
      </c>
      <c r="Y926" s="9">
        <f>IF(W926&gt;$AC$32,1,0)</f>
        <v/>
      </c>
      <c r="Z926">
        <f>IF(Y926=C926,1,0)</f>
        <v/>
      </c>
    </row>
    <row r="927">
      <c r="A927">
        <f>'3 escalar'!A930</f>
        <v/>
      </c>
      <c r="B927" s="5">
        <f>'3 escalar'!U930</f>
        <v/>
      </c>
      <c r="C927">
        <f>'3 escalar'!B930</f>
        <v/>
      </c>
      <c r="D927" s="7">
        <f>'3 escalar'!C930</f>
        <v/>
      </c>
      <c r="E927" s="7">
        <f>'3 escalar'!D930</f>
        <v/>
      </c>
      <c r="F927" s="7">
        <f>'3 escalar'!E930</f>
        <v/>
      </c>
      <c r="G927" s="7">
        <f>'3 escalar'!F930</f>
        <v/>
      </c>
      <c r="H927" s="7">
        <f>'3 escalar'!G930</f>
        <v/>
      </c>
      <c r="I927" s="7">
        <f>'3 escalar'!H930</f>
        <v/>
      </c>
      <c r="J927" s="7">
        <f>'3 escalar'!I930</f>
        <v/>
      </c>
      <c r="K927" s="7">
        <f>'3 escalar'!J930</f>
        <v/>
      </c>
      <c r="L927" s="7">
        <f>'3 escalar'!K930</f>
        <v/>
      </c>
      <c r="M927" s="7">
        <f>'3 escalar'!L930</f>
        <v/>
      </c>
      <c r="N927" s="7">
        <f>'3 escalar'!M930</f>
        <v/>
      </c>
      <c r="O927" s="7">
        <f>'3 escalar'!N930</f>
        <v/>
      </c>
      <c r="P927" s="7">
        <f>'3 escalar'!O930</f>
        <v/>
      </c>
      <c r="Q927" s="7">
        <f>'3 escalar'!P930</f>
        <v/>
      </c>
      <c r="R927" s="7">
        <f>'3 escalar'!Q930</f>
        <v/>
      </c>
      <c r="S927" s="7">
        <f>'3 escalar'!R930</f>
        <v/>
      </c>
      <c r="T927" s="7">
        <f>'3 escalar'!S930</f>
        <v/>
      </c>
      <c r="U927" s="7">
        <f>'3 escalar'!T930</f>
        <v/>
      </c>
      <c r="V927" s="6">
        <f>$AC$12+D927*$AC$13+E927*$AC$14+F927*$AC$15+G927*$AC$16+H927*$AC$17+I927*$AC$18+J927*$AC$19+K927*$AC$20+L927*$AC$21+M927*$AC$22+N927*$AC$23+O927*$AC$24+P927*$AC$25+Q927*$AC$26+R927*$AC$27+S927*$AC$28+T927*$AC$29+U927*$AC$30</f>
        <v/>
      </c>
      <c r="W927" s="6">
        <f>1/(1+EXP(-V927))</f>
        <v/>
      </c>
      <c r="X927" s="8">
        <f>-IF(C927=1,LN(W927),LN(1-W927))</f>
        <v/>
      </c>
      <c r="Y927" s="9">
        <f>IF(W927&gt;$AC$32,1,0)</f>
        <v/>
      </c>
      <c r="Z927">
        <f>IF(Y927=C927,1,0)</f>
        <v/>
      </c>
    </row>
    <row r="928">
      <c r="A928">
        <f>'3 escalar'!A931</f>
        <v/>
      </c>
      <c r="B928" s="5">
        <f>'3 escalar'!U931</f>
        <v/>
      </c>
      <c r="C928">
        <f>'3 escalar'!B931</f>
        <v/>
      </c>
      <c r="D928" s="7">
        <f>'3 escalar'!C931</f>
        <v/>
      </c>
      <c r="E928" s="7">
        <f>'3 escalar'!D931</f>
        <v/>
      </c>
      <c r="F928" s="7">
        <f>'3 escalar'!E931</f>
        <v/>
      </c>
      <c r="G928" s="7">
        <f>'3 escalar'!F931</f>
        <v/>
      </c>
      <c r="H928" s="7">
        <f>'3 escalar'!G931</f>
        <v/>
      </c>
      <c r="I928" s="7">
        <f>'3 escalar'!H931</f>
        <v/>
      </c>
      <c r="J928" s="7">
        <f>'3 escalar'!I931</f>
        <v/>
      </c>
      <c r="K928" s="7">
        <f>'3 escalar'!J931</f>
        <v/>
      </c>
      <c r="L928" s="7">
        <f>'3 escalar'!K931</f>
        <v/>
      </c>
      <c r="M928" s="7">
        <f>'3 escalar'!L931</f>
        <v/>
      </c>
      <c r="N928" s="7">
        <f>'3 escalar'!M931</f>
        <v/>
      </c>
      <c r="O928" s="7">
        <f>'3 escalar'!N931</f>
        <v/>
      </c>
      <c r="P928" s="7">
        <f>'3 escalar'!O931</f>
        <v/>
      </c>
      <c r="Q928" s="7">
        <f>'3 escalar'!P931</f>
        <v/>
      </c>
      <c r="R928" s="7">
        <f>'3 escalar'!Q931</f>
        <v/>
      </c>
      <c r="S928" s="7">
        <f>'3 escalar'!R931</f>
        <v/>
      </c>
      <c r="T928" s="7">
        <f>'3 escalar'!S931</f>
        <v/>
      </c>
      <c r="U928" s="7">
        <f>'3 escalar'!T931</f>
        <v/>
      </c>
      <c r="V928" s="6">
        <f>$AC$12+D928*$AC$13+E928*$AC$14+F928*$AC$15+G928*$AC$16+H928*$AC$17+I928*$AC$18+J928*$AC$19+K928*$AC$20+L928*$AC$21+M928*$AC$22+N928*$AC$23+O928*$AC$24+P928*$AC$25+Q928*$AC$26+R928*$AC$27+S928*$AC$28+T928*$AC$29+U928*$AC$30</f>
        <v/>
      </c>
      <c r="W928" s="6">
        <f>1/(1+EXP(-V928))</f>
        <v/>
      </c>
      <c r="X928" s="8">
        <f>-IF(C928=1,LN(W928),LN(1-W928))</f>
        <v/>
      </c>
      <c r="Y928" s="9">
        <f>IF(W928&gt;$AC$32,1,0)</f>
        <v/>
      </c>
      <c r="Z928">
        <f>IF(Y928=C928,1,0)</f>
        <v/>
      </c>
    </row>
    <row r="929">
      <c r="A929">
        <f>'3 escalar'!A932</f>
        <v/>
      </c>
      <c r="B929" s="5">
        <f>'3 escalar'!U932</f>
        <v/>
      </c>
      <c r="C929">
        <f>'3 escalar'!B932</f>
        <v/>
      </c>
      <c r="D929" s="7">
        <f>'3 escalar'!C932</f>
        <v/>
      </c>
      <c r="E929" s="7">
        <f>'3 escalar'!D932</f>
        <v/>
      </c>
      <c r="F929" s="7">
        <f>'3 escalar'!E932</f>
        <v/>
      </c>
      <c r="G929" s="7">
        <f>'3 escalar'!F932</f>
        <v/>
      </c>
      <c r="H929" s="7">
        <f>'3 escalar'!G932</f>
        <v/>
      </c>
      <c r="I929" s="7">
        <f>'3 escalar'!H932</f>
        <v/>
      </c>
      <c r="J929" s="7">
        <f>'3 escalar'!I932</f>
        <v/>
      </c>
      <c r="K929" s="7">
        <f>'3 escalar'!J932</f>
        <v/>
      </c>
      <c r="L929" s="7">
        <f>'3 escalar'!K932</f>
        <v/>
      </c>
      <c r="M929" s="7">
        <f>'3 escalar'!L932</f>
        <v/>
      </c>
      <c r="N929" s="7">
        <f>'3 escalar'!M932</f>
        <v/>
      </c>
      <c r="O929" s="7">
        <f>'3 escalar'!N932</f>
        <v/>
      </c>
      <c r="P929" s="7">
        <f>'3 escalar'!O932</f>
        <v/>
      </c>
      <c r="Q929" s="7">
        <f>'3 escalar'!P932</f>
        <v/>
      </c>
      <c r="R929" s="7">
        <f>'3 escalar'!Q932</f>
        <v/>
      </c>
      <c r="S929" s="7">
        <f>'3 escalar'!R932</f>
        <v/>
      </c>
      <c r="T929" s="7">
        <f>'3 escalar'!S932</f>
        <v/>
      </c>
      <c r="U929" s="7">
        <f>'3 escalar'!T932</f>
        <v/>
      </c>
      <c r="V929" s="6">
        <f>$AC$12+D929*$AC$13+E929*$AC$14+F929*$AC$15+G929*$AC$16+H929*$AC$17+I929*$AC$18+J929*$AC$19+K929*$AC$20+L929*$AC$21+M929*$AC$22+N929*$AC$23+O929*$AC$24+P929*$AC$25+Q929*$AC$26+R929*$AC$27+S929*$AC$28+T929*$AC$29+U929*$AC$30</f>
        <v/>
      </c>
      <c r="W929" s="6">
        <f>1/(1+EXP(-V929))</f>
        <v/>
      </c>
      <c r="X929" s="8">
        <f>-IF(C929=1,LN(W929),LN(1-W929))</f>
        <v/>
      </c>
      <c r="Y929" s="9">
        <f>IF(W929&gt;$AC$32,1,0)</f>
        <v/>
      </c>
      <c r="Z929">
        <f>IF(Y929=C929,1,0)</f>
        <v/>
      </c>
    </row>
    <row r="930">
      <c r="A930">
        <f>'3 escalar'!A933</f>
        <v/>
      </c>
      <c r="B930" s="5">
        <f>'3 escalar'!U933</f>
        <v/>
      </c>
      <c r="C930">
        <f>'3 escalar'!B933</f>
        <v/>
      </c>
      <c r="D930" s="7">
        <f>'3 escalar'!C933</f>
        <v/>
      </c>
      <c r="E930" s="7">
        <f>'3 escalar'!D933</f>
        <v/>
      </c>
      <c r="F930" s="7">
        <f>'3 escalar'!E933</f>
        <v/>
      </c>
      <c r="G930" s="7">
        <f>'3 escalar'!F933</f>
        <v/>
      </c>
      <c r="H930" s="7">
        <f>'3 escalar'!G933</f>
        <v/>
      </c>
      <c r="I930" s="7">
        <f>'3 escalar'!H933</f>
        <v/>
      </c>
      <c r="J930" s="7">
        <f>'3 escalar'!I933</f>
        <v/>
      </c>
      <c r="K930" s="7">
        <f>'3 escalar'!J933</f>
        <v/>
      </c>
      <c r="L930" s="7">
        <f>'3 escalar'!K933</f>
        <v/>
      </c>
      <c r="M930" s="7">
        <f>'3 escalar'!L933</f>
        <v/>
      </c>
      <c r="N930" s="7">
        <f>'3 escalar'!M933</f>
        <v/>
      </c>
      <c r="O930" s="7">
        <f>'3 escalar'!N933</f>
        <v/>
      </c>
      <c r="P930" s="7">
        <f>'3 escalar'!O933</f>
        <v/>
      </c>
      <c r="Q930" s="7">
        <f>'3 escalar'!P933</f>
        <v/>
      </c>
      <c r="R930" s="7">
        <f>'3 escalar'!Q933</f>
        <v/>
      </c>
      <c r="S930" s="7">
        <f>'3 escalar'!R933</f>
        <v/>
      </c>
      <c r="T930" s="7">
        <f>'3 escalar'!S933</f>
        <v/>
      </c>
      <c r="U930" s="7">
        <f>'3 escalar'!T933</f>
        <v/>
      </c>
      <c r="V930" s="6">
        <f>$AC$12+D930*$AC$13+E930*$AC$14+F930*$AC$15+G930*$AC$16+H930*$AC$17+I930*$AC$18+J930*$AC$19+K930*$AC$20+L930*$AC$21+M930*$AC$22+N930*$AC$23+O930*$AC$24+P930*$AC$25+Q930*$AC$26+R930*$AC$27+S930*$AC$28+T930*$AC$29+U930*$AC$30</f>
        <v/>
      </c>
      <c r="W930" s="6">
        <f>1/(1+EXP(-V930))</f>
        <v/>
      </c>
      <c r="X930" s="8">
        <f>-IF(C930=1,LN(W930),LN(1-W930))</f>
        <v/>
      </c>
      <c r="Y930" s="9">
        <f>IF(W930&gt;$AC$32,1,0)</f>
        <v/>
      </c>
      <c r="Z930">
        <f>IF(Y930=C930,1,0)</f>
        <v/>
      </c>
    </row>
    <row r="931">
      <c r="A931">
        <f>'3 escalar'!A934</f>
        <v/>
      </c>
      <c r="B931" s="5">
        <f>'3 escalar'!U934</f>
        <v/>
      </c>
      <c r="C931">
        <f>'3 escalar'!B934</f>
        <v/>
      </c>
      <c r="D931" s="7">
        <f>'3 escalar'!C934</f>
        <v/>
      </c>
      <c r="E931" s="7">
        <f>'3 escalar'!D934</f>
        <v/>
      </c>
      <c r="F931" s="7">
        <f>'3 escalar'!E934</f>
        <v/>
      </c>
      <c r="G931" s="7">
        <f>'3 escalar'!F934</f>
        <v/>
      </c>
      <c r="H931" s="7">
        <f>'3 escalar'!G934</f>
        <v/>
      </c>
      <c r="I931" s="7">
        <f>'3 escalar'!H934</f>
        <v/>
      </c>
      <c r="J931" s="7">
        <f>'3 escalar'!I934</f>
        <v/>
      </c>
      <c r="K931" s="7">
        <f>'3 escalar'!J934</f>
        <v/>
      </c>
      <c r="L931" s="7">
        <f>'3 escalar'!K934</f>
        <v/>
      </c>
      <c r="M931" s="7">
        <f>'3 escalar'!L934</f>
        <v/>
      </c>
      <c r="N931" s="7">
        <f>'3 escalar'!M934</f>
        <v/>
      </c>
      <c r="O931" s="7">
        <f>'3 escalar'!N934</f>
        <v/>
      </c>
      <c r="P931" s="7">
        <f>'3 escalar'!O934</f>
        <v/>
      </c>
      <c r="Q931" s="7">
        <f>'3 escalar'!P934</f>
        <v/>
      </c>
      <c r="R931" s="7">
        <f>'3 escalar'!Q934</f>
        <v/>
      </c>
      <c r="S931" s="7">
        <f>'3 escalar'!R934</f>
        <v/>
      </c>
      <c r="T931" s="7">
        <f>'3 escalar'!S934</f>
        <v/>
      </c>
      <c r="U931" s="7">
        <f>'3 escalar'!T934</f>
        <v/>
      </c>
      <c r="V931" s="6">
        <f>$AC$12+D931*$AC$13+E931*$AC$14+F931*$AC$15+G931*$AC$16+H931*$AC$17+I931*$AC$18+J931*$AC$19+K931*$AC$20+L931*$AC$21+M931*$AC$22+N931*$AC$23+O931*$AC$24+P931*$AC$25+Q931*$AC$26+R931*$AC$27+S931*$AC$28+T931*$AC$29+U931*$AC$30</f>
        <v/>
      </c>
      <c r="W931" s="6">
        <f>1/(1+EXP(-V931))</f>
        <v/>
      </c>
      <c r="X931" s="8">
        <f>-IF(C931=1,LN(W931),LN(1-W931))</f>
        <v/>
      </c>
      <c r="Y931" s="9">
        <f>IF(W931&gt;$AC$32,1,0)</f>
        <v/>
      </c>
      <c r="Z931">
        <f>IF(Y931=C931,1,0)</f>
        <v/>
      </c>
    </row>
    <row r="932">
      <c r="A932">
        <f>'3 escalar'!A935</f>
        <v/>
      </c>
      <c r="B932" s="5">
        <f>'3 escalar'!U935</f>
        <v/>
      </c>
      <c r="C932">
        <f>'3 escalar'!B935</f>
        <v/>
      </c>
      <c r="D932" s="7">
        <f>'3 escalar'!C935</f>
        <v/>
      </c>
      <c r="E932" s="7">
        <f>'3 escalar'!D935</f>
        <v/>
      </c>
      <c r="F932" s="7">
        <f>'3 escalar'!E935</f>
        <v/>
      </c>
      <c r="G932" s="7">
        <f>'3 escalar'!F935</f>
        <v/>
      </c>
      <c r="H932" s="7">
        <f>'3 escalar'!G935</f>
        <v/>
      </c>
      <c r="I932" s="7">
        <f>'3 escalar'!H935</f>
        <v/>
      </c>
      <c r="J932" s="7">
        <f>'3 escalar'!I935</f>
        <v/>
      </c>
      <c r="K932" s="7">
        <f>'3 escalar'!J935</f>
        <v/>
      </c>
      <c r="L932" s="7">
        <f>'3 escalar'!K935</f>
        <v/>
      </c>
      <c r="M932" s="7">
        <f>'3 escalar'!L935</f>
        <v/>
      </c>
      <c r="N932" s="7">
        <f>'3 escalar'!M935</f>
        <v/>
      </c>
      <c r="O932" s="7">
        <f>'3 escalar'!N935</f>
        <v/>
      </c>
      <c r="P932" s="7">
        <f>'3 escalar'!O935</f>
        <v/>
      </c>
      <c r="Q932" s="7">
        <f>'3 escalar'!P935</f>
        <v/>
      </c>
      <c r="R932" s="7">
        <f>'3 escalar'!Q935</f>
        <v/>
      </c>
      <c r="S932" s="7">
        <f>'3 escalar'!R935</f>
        <v/>
      </c>
      <c r="T932" s="7">
        <f>'3 escalar'!S935</f>
        <v/>
      </c>
      <c r="U932" s="7">
        <f>'3 escalar'!T935</f>
        <v/>
      </c>
      <c r="V932" s="6">
        <f>$AC$12+D932*$AC$13+E932*$AC$14+F932*$AC$15+G932*$AC$16+H932*$AC$17+I932*$AC$18+J932*$AC$19+K932*$AC$20+L932*$AC$21+M932*$AC$22+N932*$AC$23+O932*$AC$24+P932*$AC$25+Q932*$AC$26+R932*$AC$27+S932*$AC$28+T932*$AC$29+U932*$AC$30</f>
        <v/>
      </c>
      <c r="W932" s="6">
        <f>1/(1+EXP(-V932))</f>
        <v/>
      </c>
      <c r="X932" s="8">
        <f>-IF(C932=1,LN(W932),LN(1-W932))</f>
        <v/>
      </c>
      <c r="Y932" s="9">
        <f>IF(W932&gt;$AC$32,1,0)</f>
        <v/>
      </c>
      <c r="Z932">
        <f>IF(Y932=C932,1,0)</f>
        <v/>
      </c>
    </row>
    <row r="933">
      <c r="A933">
        <f>'3 escalar'!A936</f>
        <v/>
      </c>
      <c r="B933" s="5">
        <f>'3 escalar'!U936</f>
        <v/>
      </c>
      <c r="C933">
        <f>'3 escalar'!B936</f>
        <v/>
      </c>
      <c r="D933" s="7">
        <f>'3 escalar'!C936</f>
        <v/>
      </c>
      <c r="E933" s="7">
        <f>'3 escalar'!D936</f>
        <v/>
      </c>
      <c r="F933" s="7">
        <f>'3 escalar'!E936</f>
        <v/>
      </c>
      <c r="G933" s="7">
        <f>'3 escalar'!F936</f>
        <v/>
      </c>
      <c r="H933" s="7">
        <f>'3 escalar'!G936</f>
        <v/>
      </c>
      <c r="I933" s="7">
        <f>'3 escalar'!H936</f>
        <v/>
      </c>
      <c r="J933" s="7">
        <f>'3 escalar'!I936</f>
        <v/>
      </c>
      <c r="K933" s="7">
        <f>'3 escalar'!J936</f>
        <v/>
      </c>
      <c r="L933" s="7">
        <f>'3 escalar'!K936</f>
        <v/>
      </c>
      <c r="M933" s="7">
        <f>'3 escalar'!L936</f>
        <v/>
      </c>
      <c r="N933" s="7">
        <f>'3 escalar'!M936</f>
        <v/>
      </c>
      <c r="O933" s="7">
        <f>'3 escalar'!N936</f>
        <v/>
      </c>
      <c r="P933" s="7">
        <f>'3 escalar'!O936</f>
        <v/>
      </c>
      <c r="Q933" s="7">
        <f>'3 escalar'!P936</f>
        <v/>
      </c>
      <c r="R933" s="7">
        <f>'3 escalar'!Q936</f>
        <v/>
      </c>
      <c r="S933" s="7">
        <f>'3 escalar'!R936</f>
        <v/>
      </c>
      <c r="T933" s="7">
        <f>'3 escalar'!S936</f>
        <v/>
      </c>
      <c r="U933" s="7">
        <f>'3 escalar'!T936</f>
        <v/>
      </c>
      <c r="V933" s="6">
        <f>$AC$12+D933*$AC$13+E933*$AC$14+F933*$AC$15+G933*$AC$16+H933*$AC$17+I933*$AC$18+J933*$AC$19+K933*$AC$20+L933*$AC$21+M933*$AC$22+N933*$AC$23+O933*$AC$24+P933*$AC$25+Q933*$AC$26+R933*$AC$27+S933*$AC$28+T933*$AC$29+U933*$AC$30</f>
        <v/>
      </c>
      <c r="W933" s="6">
        <f>1/(1+EXP(-V933))</f>
        <v/>
      </c>
      <c r="X933" s="8">
        <f>-IF(C933=1,LN(W933),LN(1-W933))</f>
        <v/>
      </c>
      <c r="Y933" s="9">
        <f>IF(W933&gt;$AC$32,1,0)</f>
        <v/>
      </c>
      <c r="Z933">
        <f>IF(Y933=C933,1,0)</f>
        <v/>
      </c>
    </row>
    <row r="934">
      <c r="A934">
        <f>'3 escalar'!A937</f>
        <v/>
      </c>
      <c r="B934" s="5">
        <f>'3 escalar'!U937</f>
        <v/>
      </c>
      <c r="C934">
        <f>'3 escalar'!B937</f>
        <v/>
      </c>
      <c r="D934" s="7">
        <f>'3 escalar'!C937</f>
        <v/>
      </c>
      <c r="E934" s="7">
        <f>'3 escalar'!D937</f>
        <v/>
      </c>
      <c r="F934" s="7">
        <f>'3 escalar'!E937</f>
        <v/>
      </c>
      <c r="G934" s="7">
        <f>'3 escalar'!F937</f>
        <v/>
      </c>
      <c r="H934" s="7">
        <f>'3 escalar'!G937</f>
        <v/>
      </c>
      <c r="I934" s="7">
        <f>'3 escalar'!H937</f>
        <v/>
      </c>
      <c r="J934" s="7">
        <f>'3 escalar'!I937</f>
        <v/>
      </c>
      <c r="K934" s="7">
        <f>'3 escalar'!J937</f>
        <v/>
      </c>
      <c r="L934" s="7">
        <f>'3 escalar'!K937</f>
        <v/>
      </c>
      <c r="M934" s="7">
        <f>'3 escalar'!L937</f>
        <v/>
      </c>
      <c r="N934" s="7">
        <f>'3 escalar'!M937</f>
        <v/>
      </c>
      <c r="O934" s="7">
        <f>'3 escalar'!N937</f>
        <v/>
      </c>
      <c r="P934" s="7">
        <f>'3 escalar'!O937</f>
        <v/>
      </c>
      <c r="Q934" s="7">
        <f>'3 escalar'!P937</f>
        <v/>
      </c>
      <c r="R934" s="7">
        <f>'3 escalar'!Q937</f>
        <v/>
      </c>
      <c r="S934" s="7">
        <f>'3 escalar'!R937</f>
        <v/>
      </c>
      <c r="T934" s="7">
        <f>'3 escalar'!S937</f>
        <v/>
      </c>
      <c r="U934" s="7">
        <f>'3 escalar'!T937</f>
        <v/>
      </c>
      <c r="V934" s="6">
        <f>$AC$12+D934*$AC$13+E934*$AC$14+F934*$AC$15+G934*$AC$16+H934*$AC$17+I934*$AC$18+J934*$AC$19+K934*$AC$20+L934*$AC$21+M934*$AC$22+N934*$AC$23+O934*$AC$24+P934*$AC$25+Q934*$AC$26+R934*$AC$27+S934*$AC$28+T934*$AC$29+U934*$AC$30</f>
        <v/>
      </c>
      <c r="W934" s="6">
        <f>1/(1+EXP(-V934))</f>
        <v/>
      </c>
      <c r="X934" s="8">
        <f>-IF(C934=1,LN(W934),LN(1-W934))</f>
        <v/>
      </c>
      <c r="Y934" s="9">
        <f>IF(W934&gt;$AC$32,1,0)</f>
        <v/>
      </c>
      <c r="Z934">
        <f>IF(Y934=C934,1,0)</f>
        <v/>
      </c>
    </row>
    <row r="935">
      <c r="A935">
        <f>'3 escalar'!A938</f>
        <v/>
      </c>
      <c r="B935" s="5">
        <f>'3 escalar'!U938</f>
        <v/>
      </c>
      <c r="C935">
        <f>'3 escalar'!B938</f>
        <v/>
      </c>
      <c r="D935" s="7">
        <f>'3 escalar'!C938</f>
        <v/>
      </c>
      <c r="E935" s="7">
        <f>'3 escalar'!D938</f>
        <v/>
      </c>
      <c r="F935" s="7">
        <f>'3 escalar'!E938</f>
        <v/>
      </c>
      <c r="G935" s="7">
        <f>'3 escalar'!F938</f>
        <v/>
      </c>
      <c r="H935" s="7">
        <f>'3 escalar'!G938</f>
        <v/>
      </c>
      <c r="I935" s="7">
        <f>'3 escalar'!H938</f>
        <v/>
      </c>
      <c r="J935" s="7">
        <f>'3 escalar'!I938</f>
        <v/>
      </c>
      <c r="K935" s="7">
        <f>'3 escalar'!J938</f>
        <v/>
      </c>
      <c r="L935" s="7">
        <f>'3 escalar'!K938</f>
        <v/>
      </c>
      <c r="M935" s="7">
        <f>'3 escalar'!L938</f>
        <v/>
      </c>
      <c r="N935" s="7">
        <f>'3 escalar'!M938</f>
        <v/>
      </c>
      <c r="O935" s="7">
        <f>'3 escalar'!N938</f>
        <v/>
      </c>
      <c r="P935" s="7">
        <f>'3 escalar'!O938</f>
        <v/>
      </c>
      <c r="Q935" s="7">
        <f>'3 escalar'!P938</f>
        <v/>
      </c>
      <c r="R935" s="7">
        <f>'3 escalar'!Q938</f>
        <v/>
      </c>
      <c r="S935" s="7">
        <f>'3 escalar'!R938</f>
        <v/>
      </c>
      <c r="T935" s="7">
        <f>'3 escalar'!S938</f>
        <v/>
      </c>
      <c r="U935" s="7">
        <f>'3 escalar'!T938</f>
        <v/>
      </c>
      <c r="V935" s="6">
        <f>$AC$12+D935*$AC$13+E935*$AC$14+F935*$AC$15+G935*$AC$16+H935*$AC$17+I935*$AC$18+J935*$AC$19+K935*$AC$20+L935*$AC$21+M935*$AC$22+N935*$AC$23+O935*$AC$24+P935*$AC$25+Q935*$AC$26+R935*$AC$27+S935*$AC$28+T935*$AC$29+U935*$AC$30</f>
        <v/>
      </c>
      <c r="W935" s="6">
        <f>1/(1+EXP(-V935))</f>
        <v/>
      </c>
      <c r="X935" s="8">
        <f>-IF(C935=1,LN(W935),LN(1-W935))</f>
        <v/>
      </c>
      <c r="Y935" s="9">
        <f>IF(W935&gt;$AC$32,1,0)</f>
        <v/>
      </c>
      <c r="Z935">
        <f>IF(Y935=C935,1,0)</f>
        <v/>
      </c>
    </row>
    <row r="936">
      <c r="A936">
        <f>'3 escalar'!A939</f>
        <v/>
      </c>
      <c r="B936" s="5">
        <f>'3 escalar'!U939</f>
        <v/>
      </c>
      <c r="C936">
        <f>'3 escalar'!B939</f>
        <v/>
      </c>
      <c r="D936" s="7">
        <f>'3 escalar'!C939</f>
        <v/>
      </c>
      <c r="E936" s="7">
        <f>'3 escalar'!D939</f>
        <v/>
      </c>
      <c r="F936" s="7">
        <f>'3 escalar'!E939</f>
        <v/>
      </c>
      <c r="G936" s="7">
        <f>'3 escalar'!F939</f>
        <v/>
      </c>
      <c r="H936" s="7">
        <f>'3 escalar'!G939</f>
        <v/>
      </c>
      <c r="I936" s="7">
        <f>'3 escalar'!H939</f>
        <v/>
      </c>
      <c r="J936" s="7">
        <f>'3 escalar'!I939</f>
        <v/>
      </c>
      <c r="K936" s="7">
        <f>'3 escalar'!J939</f>
        <v/>
      </c>
      <c r="L936" s="7">
        <f>'3 escalar'!K939</f>
        <v/>
      </c>
      <c r="M936" s="7">
        <f>'3 escalar'!L939</f>
        <v/>
      </c>
      <c r="N936" s="7">
        <f>'3 escalar'!M939</f>
        <v/>
      </c>
      <c r="O936" s="7">
        <f>'3 escalar'!N939</f>
        <v/>
      </c>
      <c r="P936" s="7">
        <f>'3 escalar'!O939</f>
        <v/>
      </c>
      <c r="Q936" s="7">
        <f>'3 escalar'!P939</f>
        <v/>
      </c>
      <c r="R936" s="7">
        <f>'3 escalar'!Q939</f>
        <v/>
      </c>
      <c r="S936" s="7">
        <f>'3 escalar'!R939</f>
        <v/>
      </c>
      <c r="T936" s="7">
        <f>'3 escalar'!S939</f>
        <v/>
      </c>
      <c r="U936" s="7">
        <f>'3 escalar'!T939</f>
        <v/>
      </c>
      <c r="V936" s="6">
        <f>$AC$12+D936*$AC$13+E936*$AC$14+F936*$AC$15+G936*$AC$16+H936*$AC$17+I936*$AC$18+J936*$AC$19+K936*$AC$20+L936*$AC$21+M936*$AC$22+N936*$AC$23+O936*$AC$24+P936*$AC$25+Q936*$AC$26+R936*$AC$27+S936*$AC$28+T936*$AC$29+U936*$AC$30</f>
        <v/>
      </c>
      <c r="W936" s="6">
        <f>1/(1+EXP(-V936))</f>
        <v/>
      </c>
      <c r="X936" s="8">
        <f>-IF(C936=1,LN(W936),LN(1-W936))</f>
        <v/>
      </c>
      <c r="Y936" s="9">
        <f>IF(W936&gt;$AC$32,1,0)</f>
        <v/>
      </c>
      <c r="Z936">
        <f>IF(Y936=C936,1,0)</f>
        <v/>
      </c>
    </row>
    <row r="937">
      <c r="A937">
        <f>'3 escalar'!A940</f>
        <v/>
      </c>
      <c r="B937" s="5">
        <f>'3 escalar'!U940</f>
        <v/>
      </c>
      <c r="C937">
        <f>'3 escalar'!B940</f>
        <v/>
      </c>
      <c r="D937" s="7">
        <f>'3 escalar'!C940</f>
        <v/>
      </c>
      <c r="E937" s="7">
        <f>'3 escalar'!D940</f>
        <v/>
      </c>
      <c r="F937" s="7">
        <f>'3 escalar'!E940</f>
        <v/>
      </c>
      <c r="G937" s="7">
        <f>'3 escalar'!F940</f>
        <v/>
      </c>
      <c r="H937" s="7">
        <f>'3 escalar'!G940</f>
        <v/>
      </c>
      <c r="I937" s="7">
        <f>'3 escalar'!H940</f>
        <v/>
      </c>
      <c r="J937" s="7">
        <f>'3 escalar'!I940</f>
        <v/>
      </c>
      <c r="K937" s="7">
        <f>'3 escalar'!J940</f>
        <v/>
      </c>
      <c r="L937" s="7">
        <f>'3 escalar'!K940</f>
        <v/>
      </c>
      <c r="M937" s="7">
        <f>'3 escalar'!L940</f>
        <v/>
      </c>
      <c r="N937" s="7">
        <f>'3 escalar'!M940</f>
        <v/>
      </c>
      <c r="O937" s="7">
        <f>'3 escalar'!N940</f>
        <v/>
      </c>
      <c r="P937" s="7">
        <f>'3 escalar'!O940</f>
        <v/>
      </c>
      <c r="Q937" s="7">
        <f>'3 escalar'!P940</f>
        <v/>
      </c>
      <c r="R937" s="7">
        <f>'3 escalar'!Q940</f>
        <v/>
      </c>
      <c r="S937" s="7">
        <f>'3 escalar'!R940</f>
        <v/>
      </c>
      <c r="T937" s="7">
        <f>'3 escalar'!S940</f>
        <v/>
      </c>
      <c r="U937" s="7">
        <f>'3 escalar'!T940</f>
        <v/>
      </c>
      <c r="V937" s="6">
        <f>$AC$12+D937*$AC$13+E937*$AC$14+F937*$AC$15+G937*$AC$16+H937*$AC$17+I937*$AC$18+J937*$AC$19+K937*$AC$20+L937*$AC$21+M937*$AC$22+N937*$AC$23+O937*$AC$24+P937*$AC$25+Q937*$AC$26+R937*$AC$27+S937*$AC$28+T937*$AC$29+U937*$AC$30</f>
        <v/>
      </c>
      <c r="W937" s="6">
        <f>1/(1+EXP(-V937))</f>
        <v/>
      </c>
      <c r="X937" s="8">
        <f>-IF(C937=1,LN(W937),LN(1-W937))</f>
        <v/>
      </c>
      <c r="Y937" s="9">
        <f>IF(W937&gt;$AC$32,1,0)</f>
        <v/>
      </c>
      <c r="Z937">
        <f>IF(Y937=C937,1,0)</f>
        <v/>
      </c>
    </row>
    <row r="938">
      <c r="A938">
        <f>'3 escalar'!A941</f>
        <v/>
      </c>
      <c r="B938" s="5">
        <f>'3 escalar'!U941</f>
        <v/>
      </c>
      <c r="C938">
        <f>'3 escalar'!B941</f>
        <v/>
      </c>
      <c r="D938" s="7">
        <f>'3 escalar'!C941</f>
        <v/>
      </c>
      <c r="E938" s="7">
        <f>'3 escalar'!D941</f>
        <v/>
      </c>
      <c r="F938" s="7">
        <f>'3 escalar'!E941</f>
        <v/>
      </c>
      <c r="G938" s="7">
        <f>'3 escalar'!F941</f>
        <v/>
      </c>
      <c r="H938" s="7">
        <f>'3 escalar'!G941</f>
        <v/>
      </c>
      <c r="I938" s="7">
        <f>'3 escalar'!H941</f>
        <v/>
      </c>
      <c r="J938" s="7">
        <f>'3 escalar'!I941</f>
        <v/>
      </c>
      <c r="K938" s="7">
        <f>'3 escalar'!J941</f>
        <v/>
      </c>
      <c r="L938" s="7">
        <f>'3 escalar'!K941</f>
        <v/>
      </c>
      <c r="M938" s="7">
        <f>'3 escalar'!L941</f>
        <v/>
      </c>
      <c r="N938" s="7">
        <f>'3 escalar'!M941</f>
        <v/>
      </c>
      <c r="O938" s="7">
        <f>'3 escalar'!N941</f>
        <v/>
      </c>
      <c r="P938" s="7">
        <f>'3 escalar'!O941</f>
        <v/>
      </c>
      <c r="Q938" s="7">
        <f>'3 escalar'!P941</f>
        <v/>
      </c>
      <c r="R938" s="7">
        <f>'3 escalar'!Q941</f>
        <v/>
      </c>
      <c r="S938" s="7">
        <f>'3 escalar'!R941</f>
        <v/>
      </c>
      <c r="T938" s="7">
        <f>'3 escalar'!S941</f>
        <v/>
      </c>
      <c r="U938" s="7">
        <f>'3 escalar'!T941</f>
        <v/>
      </c>
      <c r="V938" s="6">
        <f>$AC$12+D938*$AC$13+E938*$AC$14+F938*$AC$15+G938*$AC$16+H938*$AC$17+I938*$AC$18+J938*$AC$19+K938*$AC$20+L938*$AC$21+M938*$AC$22+N938*$AC$23+O938*$AC$24+P938*$AC$25+Q938*$AC$26+R938*$AC$27+S938*$AC$28+T938*$AC$29+U938*$AC$30</f>
        <v/>
      </c>
      <c r="W938" s="6">
        <f>1/(1+EXP(-V938))</f>
        <v/>
      </c>
      <c r="X938" s="8">
        <f>-IF(C938=1,LN(W938),LN(1-W938))</f>
        <v/>
      </c>
      <c r="Y938" s="9">
        <f>IF(W938&gt;$AC$32,1,0)</f>
        <v/>
      </c>
      <c r="Z938">
        <f>IF(Y938=C938,1,0)</f>
        <v/>
      </c>
    </row>
    <row r="939">
      <c r="A939">
        <f>'3 escalar'!A942</f>
        <v/>
      </c>
      <c r="B939" s="5">
        <f>'3 escalar'!U942</f>
        <v/>
      </c>
      <c r="C939">
        <f>'3 escalar'!B942</f>
        <v/>
      </c>
      <c r="D939" s="7">
        <f>'3 escalar'!C942</f>
        <v/>
      </c>
      <c r="E939" s="7">
        <f>'3 escalar'!D942</f>
        <v/>
      </c>
      <c r="F939" s="7">
        <f>'3 escalar'!E942</f>
        <v/>
      </c>
      <c r="G939" s="7">
        <f>'3 escalar'!F942</f>
        <v/>
      </c>
      <c r="H939" s="7">
        <f>'3 escalar'!G942</f>
        <v/>
      </c>
      <c r="I939" s="7">
        <f>'3 escalar'!H942</f>
        <v/>
      </c>
      <c r="J939" s="7">
        <f>'3 escalar'!I942</f>
        <v/>
      </c>
      <c r="K939" s="7">
        <f>'3 escalar'!J942</f>
        <v/>
      </c>
      <c r="L939" s="7">
        <f>'3 escalar'!K942</f>
        <v/>
      </c>
      <c r="M939" s="7">
        <f>'3 escalar'!L942</f>
        <v/>
      </c>
      <c r="N939" s="7">
        <f>'3 escalar'!M942</f>
        <v/>
      </c>
      <c r="O939" s="7">
        <f>'3 escalar'!N942</f>
        <v/>
      </c>
      <c r="P939" s="7">
        <f>'3 escalar'!O942</f>
        <v/>
      </c>
      <c r="Q939" s="7">
        <f>'3 escalar'!P942</f>
        <v/>
      </c>
      <c r="R939" s="7">
        <f>'3 escalar'!Q942</f>
        <v/>
      </c>
      <c r="S939" s="7">
        <f>'3 escalar'!R942</f>
        <v/>
      </c>
      <c r="T939" s="7">
        <f>'3 escalar'!S942</f>
        <v/>
      </c>
      <c r="U939" s="7">
        <f>'3 escalar'!T942</f>
        <v/>
      </c>
      <c r="V939" s="6">
        <f>$AC$12+D939*$AC$13+E939*$AC$14+F939*$AC$15+G939*$AC$16+H939*$AC$17+I939*$AC$18+J939*$AC$19+K939*$AC$20+L939*$AC$21+M939*$AC$22+N939*$AC$23+O939*$AC$24+P939*$AC$25+Q939*$AC$26+R939*$AC$27+S939*$AC$28+T939*$AC$29+U939*$AC$30</f>
        <v/>
      </c>
      <c r="W939" s="6">
        <f>1/(1+EXP(-V939))</f>
        <v/>
      </c>
      <c r="X939" s="8">
        <f>-IF(C939=1,LN(W939),LN(1-W939))</f>
        <v/>
      </c>
      <c r="Y939" s="9">
        <f>IF(W939&gt;$AC$32,1,0)</f>
        <v/>
      </c>
      <c r="Z939">
        <f>IF(Y939=C939,1,0)</f>
        <v/>
      </c>
    </row>
    <row r="940">
      <c r="A940">
        <f>'3 escalar'!A943</f>
        <v/>
      </c>
      <c r="B940" s="5">
        <f>'3 escalar'!U943</f>
        <v/>
      </c>
      <c r="C940">
        <f>'3 escalar'!B943</f>
        <v/>
      </c>
      <c r="D940" s="7">
        <f>'3 escalar'!C943</f>
        <v/>
      </c>
      <c r="E940" s="7">
        <f>'3 escalar'!D943</f>
        <v/>
      </c>
      <c r="F940" s="7">
        <f>'3 escalar'!E943</f>
        <v/>
      </c>
      <c r="G940" s="7">
        <f>'3 escalar'!F943</f>
        <v/>
      </c>
      <c r="H940" s="7">
        <f>'3 escalar'!G943</f>
        <v/>
      </c>
      <c r="I940" s="7">
        <f>'3 escalar'!H943</f>
        <v/>
      </c>
      <c r="J940" s="7">
        <f>'3 escalar'!I943</f>
        <v/>
      </c>
      <c r="K940" s="7">
        <f>'3 escalar'!J943</f>
        <v/>
      </c>
      <c r="L940" s="7">
        <f>'3 escalar'!K943</f>
        <v/>
      </c>
      <c r="M940" s="7">
        <f>'3 escalar'!L943</f>
        <v/>
      </c>
      <c r="N940" s="7">
        <f>'3 escalar'!M943</f>
        <v/>
      </c>
      <c r="O940" s="7">
        <f>'3 escalar'!N943</f>
        <v/>
      </c>
      <c r="P940" s="7">
        <f>'3 escalar'!O943</f>
        <v/>
      </c>
      <c r="Q940" s="7">
        <f>'3 escalar'!P943</f>
        <v/>
      </c>
      <c r="R940" s="7">
        <f>'3 escalar'!Q943</f>
        <v/>
      </c>
      <c r="S940" s="7">
        <f>'3 escalar'!R943</f>
        <v/>
      </c>
      <c r="T940" s="7">
        <f>'3 escalar'!S943</f>
        <v/>
      </c>
      <c r="U940" s="7">
        <f>'3 escalar'!T943</f>
        <v/>
      </c>
      <c r="V940" s="6">
        <f>$AC$12+D940*$AC$13+E940*$AC$14+F940*$AC$15+G940*$AC$16+H940*$AC$17+I940*$AC$18+J940*$AC$19+K940*$AC$20+L940*$AC$21+M940*$AC$22+N940*$AC$23+O940*$AC$24+P940*$AC$25+Q940*$AC$26+R940*$AC$27+S940*$AC$28+T940*$AC$29+U940*$AC$30</f>
        <v/>
      </c>
      <c r="W940" s="6">
        <f>1/(1+EXP(-V940))</f>
        <v/>
      </c>
      <c r="X940" s="8">
        <f>-IF(C940=1,LN(W940),LN(1-W940))</f>
        <v/>
      </c>
      <c r="Y940" s="9">
        <f>IF(W940&gt;$AC$32,1,0)</f>
        <v/>
      </c>
      <c r="Z940">
        <f>IF(Y940=C940,1,0)</f>
        <v/>
      </c>
    </row>
    <row r="941">
      <c r="A941">
        <f>'3 escalar'!A944</f>
        <v/>
      </c>
      <c r="B941" s="5">
        <f>'3 escalar'!U944</f>
        <v/>
      </c>
      <c r="C941">
        <f>'3 escalar'!B944</f>
        <v/>
      </c>
      <c r="D941" s="7">
        <f>'3 escalar'!C944</f>
        <v/>
      </c>
      <c r="E941" s="7">
        <f>'3 escalar'!D944</f>
        <v/>
      </c>
      <c r="F941" s="7">
        <f>'3 escalar'!E944</f>
        <v/>
      </c>
      <c r="G941" s="7">
        <f>'3 escalar'!F944</f>
        <v/>
      </c>
      <c r="H941" s="7">
        <f>'3 escalar'!G944</f>
        <v/>
      </c>
      <c r="I941" s="7">
        <f>'3 escalar'!H944</f>
        <v/>
      </c>
      <c r="J941" s="7">
        <f>'3 escalar'!I944</f>
        <v/>
      </c>
      <c r="K941" s="7">
        <f>'3 escalar'!J944</f>
        <v/>
      </c>
      <c r="L941" s="7">
        <f>'3 escalar'!K944</f>
        <v/>
      </c>
      <c r="M941" s="7">
        <f>'3 escalar'!L944</f>
        <v/>
      </c>
      <c r="N941" s="7">
        <f>'3 escalar'!M944</f>
        <v/>
      </c>
      <c r="O941" s="7">
        <f>'3 escalar'!N944</f>
        <v/>
      </c>
      <c r="P941" s="7">
        <f>'3 escalar'!O944</f>
        <v/>
      </c>
      <c r="Q941" s="7">
        <f>'3 escalar'!P944</f>
        <v/>
      </c>
      <c r="R941" s="7">
        <f>'3 escalar'!Q944</f>
        <v/>
      </c>
      <c r="S941" s="7">
        <f>'3 escalar'!R944</f>
        <v/>
      </c>
      <c r="T941" s="7">
        <f>'3 escalar'!S944</f>
        <v/>
      </c>
      <c r="U941" s="7">
        <f>'3 escalar'!T944</f>
        <v/>
      </c>
      <c r="V941" s="6">
        <f>$AC$12+D941*$AC$13+E941*$AC$14+F941*$AC$15+G941*$AC$16+H941*$AC$17+I941*$AC$18+J941*$AC$19+K941*$AC$20+L941*$AC$21+M941*$AC$22+N941*$AC$23+O941*$AC$24+P941*$AC$25+Q941*$AC$26+R941*$AC$27+S941*$AC$28+T941*$AC$29+U941*$AC$30</f>
        <v/>
      </c>
      <c r="W941" s="6">
        <f>1/(1+EXP(-V941))</f>
        <v/>
      </c>
      <c r="X941" s="8">
        <f>-IF(C941=1,LN(W941),LN(1-W941))</f>
        <v/>
      </c>
      <c r="Y941" s="9">
        <f>IF(W941&gt;$AC$32,1,0)</f>
        <v/>
      </c>
      <c r="Z941">
        <f>IF(Y941=C941,1,0)</f>
        <v/>
      </c>
    </row>
    <row r="942">
      <c r="A942">
        <f>'3 escalar'!A945</f>
        <v/>
      </c>
      <c r="B942" s="5">
        <f>'3 escalar'!U945</f>
        <v/>
      </c>
      <c r="C942">
        <f>'3 escalar'!B945</f>
        <v/>
      </c>
      <c r="D942" s="7">
        <f>'3 escalar'!C945</f>
        <v/>
      </c>
      <c r="E942" s="7">
        <f>'3 escalar'!D945</f>
        <v/>
      </c>
      <c r="F942" s="7">
        <f>'3 escalar'!E945</f>
        <v/>
      </c>
      <c r="G942" s="7">
        <f>'3 escalar'!F945</f>
        <v/>
      </c>
      <c r="H942" s="7">
        <f>'3 escalar'!G945</f>
        <v/>
      </c>
      <c r="I942" s="7">
        <f>'3 escalar'!H945</f>
        <v/>
      </c>
      <c r="J942" s="7">
        <f>'3 escalar'!I945</f>
        <v/>
      </c>
      <c r="K942" s="7">
        <f>'3 escalar'!J945</f>
        <v/>
      </c>
      <c r="L942" s="7">
        <f>'3 escalar'!K945</f>
        <v/>
      </c>
      <c r="M942" s="7">
        <f>'3 escalar'!L945</f>
        <v/>
      </c>
      <c r="N942" s="7">
        <f>'3 escalar'!M945</f>
        <v/>
      </c>
      <c r="O942" s="7">
        <f>'3 escalar'!N945</f>
        <v/>
      </c>
      <c r="P942" s="7">
        <f>'3 escalar'!O945</f>
        <v/>
      </c>
      <c r="Q942" s="7">
        <f>'3 escalar'!P945</f>
        <v/>
      </c>
      <c r="R942" s="7">
        <f>'3 escalar'!Q945</f>
        <v/>
      </c>
      <c r="S942" s="7">
        <f>'3 escalar'!R945</f>
        <v/>
      </c>
      <c r="T942" s="7">
        <f>'3 escalar'!S945</f>
        <v/>
      </c>
      <c r="U942" s="7">
        <f>'3 escalar'!T945</f>
        <v/>
      </c>
      <c r="V942" s="6">
        <f>$AC$12+D942*$AC$13+E942*$AC$14+F942*$AC$15+G942*$AC$16+H942*$AC$17+I942*$AC$18+J942*$AC$19+K942*$AC$20+L942*$AC$21+M942*$AC$22+N942*$AC$23+O942*$AC$24+P942*$AC$25+Q942*$AC$26+R942*$AC$27+S942*$AC$28+T942*$AC$29+U942*$AC$30</f>
        <v/>
      </c>
      <c r="W942" s="6">
        <f>1/(1+EXP(-V942))</f>
        <v/>
      </c>
      <c r="X942" s="8">
        <f>-IF(C942=1,LN(W942),LN(1-W942))</f>
        <v/>
      </c>
      <c r="Y942" s="9">
        <f>IF(W942&gt;$AC$32,1,0)</f>
        <v/>
      </c>
      <c r="Z942">
        <f>IF(Y942=C942,1,0)</f>
        <v/>
      </c>
    </row>
    <row r="943">
      <c r="A943">
        <f>'3 escalar'!A946</f>
        <v/>
      </c>
      <c r="B943" s="5">
        <f>'3 escalar'!U946</f>
        <v/>
      </c>
      <c r="C943">
        <f>'3 escalar'!B946</f>
        <v/>
      </c>
      <c r="D943" s="7">
        <f>'3 escalar'!C946</f>
        <v/>
      </c>
      <c r="E943" s="7">
        <f>'3 escalar'!D946</f>
        <v/>
      </c>
      <c r="F943" s="7">
        <f>'3 escalar'!E946</f>
        <v/>
      </c>
      <c r="G943" s="7">
        <f>'3 escalar'!F946</f>
        <v/>
      </c>
      <c r="H943" s="7">
        <f>'3 escalar'!G946</f>
        <v/>
      </c>
      <c r="I943" s="7">
        <f>'3 escalar'!H946</f>
        <v/>
      </c>
      <c r="J943" s="7">
        <f>'3 escalar'!I946</f>
        <v/>
      </c>
      <c r="K943" s="7">
        <f>'3 escalar'!J946</f>
        <v/>
      </c>
      <c r="L943" s="7">
        <f>'3 escalar'!K946</f>
        <v/>
      </c>
      <c r="M943" s="7">
        <f>'3 escalar'!L946</f>
        <v/>
      </c>
      <c r="N943" s="7">
        <f>'3 escalar'!M946</f>
        <v/>
      </c>
      <c r="O943" s="7">
        <f>'3 escalar'!N946</f>
        <v/>
      </c>
      <c r="P943" s="7">
        <f>'3 escalar'!O946</f>
        <v/>
      </c>
      <c r="Q943" s="7">
        <f>'3 escalar'!P946</f>
        <v/>
      </c>
      <c r="R943" s="7">
        <f>'3 escalar'!Q946</f>
        <v/>
      </c>
      <c r="S943" s="7">
        <f>'3 escalar'!R946</f>
        <v/>
      </c>
      <c r="T943" s="7">
        <f>'3 escalar'!S946</f>
        <v/>
      </c>
      <c r="U943" s="7">
        <f>'3 escalar'!T946</f>
        <v/>
      </c>
      <c r="V943" s="6">
        <f>$AC$12+D943*$AC$13+E943*$AC$14+F943*$AC$15+G943*$AC$16+H943*$AC$17+I943*$AC$18+J943*$AC$19+K943*$AC$20+L943*$AC$21+M943*$AC$22+N943*$AC$23+O943*$AC$24+P943*$AC$25+Q943*$AC$26+R943*$AC$27+S943*$AC$28+T943*$AC$29+U943*$AC$30</f>
        <v/>
      </c>
      <c r="W943" s="6">
        <f>1/(1+EXP(-V943))</f>
        <v/>
      </c>
      <c r="X943" s="8">
        <f>-IF(C943=1,LN(W943),LN(1-W943))</f>
        <v/>
      </c>
      <c r="Y943" s="9">
        <f>IF(W943&gt;$AC$32,1,0)</f>
        <v/>
      </c>
      <c r="Z943">
        <f>IF(Y943=C943,1,0)</f>
        <v/>
      </c>
    </row>
    <row r="944">
      <c r="A944">
        <f>'3 escalar'!A947</f>
        <v/>
      </c>
      <c r="B944" s="5">
        <f>'3 escalar'!U947</f>
        <v/>
      </c>
      <c r="C944">
        <f>'3 escalar'!B947</f>
        <v/>
      </c>
      <c r="D944" s="7">
        <f>'3 escalar'!C947</f>
        <v/>
      </c>
      <c r="E944" s="7">
        <f>'3 escalar'!D947</f>
        <v/>
      </c>
      <c r="F944" s="7">
        <f>'3 escalar'!E947</f>
        <v/>
      </c>
      <c r="G944" s="7">
        <f>'3 escalar'!F947</f>
        <v/>
      </c>
      <c r="H944" s="7">
        <f>'3 escalar'!G947</f>
        <v/>
      </c>
      <c r="I944" s="7">
        <f>'3 escalar'!H947</f>
        <v/>
      </c>
      <c r="J944" s="7">
        <f>'3 escalar'!I947</f>
        <v/>
      </c>
      <c r="K944" s="7">
        <f>'3 escalar'!J947</f>
        <v/>
      </c>
      <c r="L944" s="7">
        <f>'3 escalar'!K947</f>
        <v/>
      </c>
      <c r="M944" s="7">
        <f>'3 escalar'!L947</f>
        <v/>
      </c>
      <c r="N944" s="7">
        <f>'3 escalar'!M947</f>
        <v/>
      </c>
      <c r="O944" s="7">
        <f>'3 escalar'!N947</f>
        <v/>
      </c>
      <c r="P944" s="7">
        <f>'3 escalar'!O947</f>
        <v/>
      </c>
      <c r="Q944" s="7">
        <f>'3 escalar'!P947</f>
        <v/>
      </c>
      <c r="R944" s="7">
        <f>'3 escalar'!Q947</f>
        <v/>
      </c>
      <c r="S944" s="7">
        <f>'3 escalar'!R947</f>
        <v/>
      </c>
      <c r="T944" s="7">
        <f>'3 escalar'!S947</f>
        <v/>
      </c>
      <c r="U944" s="7">
        <f>'3 escalar'!T947</f>
        <v/>
      </c>
      <c r="V944" s="6">
        <f>$AC$12+D944*$AC$13+E944*$AC$14+F944*$AC$15+G944*$AC$16+H944*$AC$17+I944*$AC$18+J944*$AC$19+K944*$AC$20+L944*$AC$21+M944*$AC$22+N944*$AC$23+O944*$AC$24+P944*$AC$25+Q944*$AC$26+R944*$AC$27+S944*$AC$28+T944*$AC$29+U944*$AC$30</f>
        <v/>
      </c>
      <c r="W944" s="6">
        <f>1/(1+EXP(-V944))</f>
        <v/>
      </c>
      <c r="X944" s="8">
        <f>-IF(C944=1,LN(W944),LN(1-W944))</f>
        <v/>
      </c>
      <c r="Y944" s="9">
        <f>IF(W944&gt;$AC$32,1,0)</f>
        <v/>
      </c>
      <c r="Z944">
        <f>IF(Y944=C944,1,0)</f>
        <v/>
      </c>
    </row>
    <row r="945">
      <c r="A945">
        <f>'3 escalar'!A948</f>
        <v/>
      </c>
      <c r="B945" s="5">
        <f>'3 escalar'!U948</f>
        <v/>
      </c>
      <c r="C945">
        <f>'3 escalar'!B948</f>
        <v/>
      </c>
      <c r="D945" s="7">
        <f>'3 escalar'!C948</f>
        <v/>
      </c>
      <c r="E945" s="7">
        <f>'3 escalar'!D948</f>
        <v/>
      </c>
      <c r="F945" s="7">
        <f>'3 escalar'!E948</f>
        <v/>
      </c>
      <c r="G945" s="7">
        <f>'3 escalar'!F948</f>
        <v/>
      </c>
      <c r="H945" s="7">
        <f>'3 escalar'!G948</f>
        <v/>
      </c>
      <c r="I945" s="7">
        <f>'3 escalar'!H948</f>
        <v/>
      </c>
      <c r="J945" s="7">
        <f>'3 escalar'!I948</f>
        <v/>
      </c>
      <c r="K945" s="7">
        <f>'3 escalar'!J948</f>
        <v/>
      </c>
      <c r="L945" s="7">
        <f>'3 escalar'!K948</f>
        <v/>
      </c>
      <c r="M945" s="7">
        <f>'3 escalar'!L948</f>
        <v/>
      </c>
      <c r="N945" s="7">
        <f>'3 escalar'!M948</f>
        <v/>
      </c>
      <c r="O945" s="7">
        <f>'3 escalar'!N948</f>
        <v/>
      </c>
      <c r="P945" s="7">
        <f>'3 escalar'!O948</f>
        <v/>
      </c>
      <c r="Q945" s="7">
        <f>'3 escalar'!P948</f>
        <v/>
      </c>
      <c r="R945" s="7">
        <f>'3 escalar'!Q948</f>
        <v/>
      </c>
      <c r="S945" s="7">
        <f>'3 escalar'!R948</f>
        <v/>
      </c>
      <c r="T945" s="7">
        <f>'3 escalar'!S948</f>
        <v/>
      </c>
      <c r="U945" s="7">
        <f>'3 escalar'!T948</f>
        <v/>
      </c>
      <c r="V945" s="6">
        <f>$AC$12+D945*$AC$13+E945*$AC$14+F945*$AC$15+G945*$AC$16+H945*$AC$17+I945*$AC$18+J945*$AC$19+K945*$AC$20+L945*$AC$21+M945*$AC$22+N945*$AC$23+O945*$AC$24+P945*$AC$25+Q945*$AC$26+R945*$AC$27+S945*$AC$28+T945*$AC$29+U945*$AC$30</f>
        <v/>
      </c>
      <c r="W945" s="6">
        <f>1/(1+EXP(-V945))</f>
        <v/>
      </c>
      <c r="X945" s="8">
        <f>-IF(C945=1,LN(W945),LN(1-W945))</f>
        <v/>
      </c>
      <c r="Y945" s="9">
        <f>IF(W945&gt;$AC$32,1,0)</f>
        <v/>
      </c>
      <c r="Z945">
        <f>IF(Y945=C945,1,0)</f>
        <v/>
      </c>
    </row>
    <row r="946">
      <c r="A946">
        <f>'3 escalar'!A949</f>
        <v/>
      </c>
      <c r="B946" s="5">
        <f>'3 escalar'!U949</f>
        <v/>
      </c>
      <c r="C946">
        <f>'3 escalar'!B949</f>
        <v/>
      </c>
      <c r="D946" s="7">
        <f>'3 escalar'!C949</f>
        <v/>
      </c>
      <c r="E946" s="7">
        <f>'3 escalar'!D949</f>
        <v/>
      </c>
      <c r="F946" s="7">
        <f>'3 escalar'!E949</f>
        <v/>
      </c>
      <c r="G946" s="7">
        <f>'3 escalar'!F949</f>
        <v/>
      </c>
      <c r="H946" s="7">
        <f>'3 escalar'!G949</f>
        <v/>
      </c>
      <c r="I946" s="7">
        <f>'3 escalar'!H949</f>
        <v/>
      </c>
      <c r="J946" s="7">
        <f>'3 escalar'!I949</f>
        <v/>
      </c>
      <c r="K946" s="7">
        <f>'3 escalar'!J949</f>
        <v/>
      </c>
      <c r="L946" s="7">
        <f>'3 escalar'!K949</f>
        <v/>
      </c>
      <c r="M946" s="7">
        <f>'3 escalar'!L949</f>
        <v/>
      </c>
      <c r="N946" s="7">
        <f>'3 escalar'!M949</f>
        <v/>
      </c>
      <c r="O946" s="7">
        <f>'3 escalar'!N949</f>
        <v/>
      </c>
      <c r="P946" s="7">
        <f>'3 escalar'!O949</f>
        <v/>
      </c>
      <c r="Q946" s="7">
        <f>'3 escalar'!P949</f>
        <v/>
      </c>
      <c r="R946" s="7">
        <f>'3 escalar'!Q949</f>
        <v/>
      </c>
      <c r="S946" s="7">
        <f>'3 escalar'!R949</f>
        <v/>
      </c>
      <c r="T946" s="7">
        <f>'3 escalar'!S949</f>
        <v/>
      </c>
      <c r="U946" s="7">
        <f>'3 escalar'!T949</f>
        <v/>
      </c>
      <c r="V946" s="6">
        <f>$AC$12+D946*$AC$13+E946*$AC$14+F946*$AC$15+G946*$AC$16+H946*$AC$17+I946*$AC$18+J946*$AC$19+K946*$AC$20+L946*$AC$21+M946*$AC$22+N946*$AC$23+O946*$AC$24+P946*$AC$25+Q946*$AC$26+R946*$AC$27+S946*$AC$28+T946*$AC$29+U946*$AC$30</f>
        <v/>
      </c>
      <c r="W946" s="6">
        <f>1/(1+EXP(-V946))</f>
        <v/>
      </c>
      <c r="X946" s="8">
        <f>-IF(C946=1,LN(W946),LN(1-W946))</f>
        <v/>
      </c>
      <c r="Y946" s="9">
        <f>IF(W946&gt;$AC$32,1,0)</f>
        <v/>
      </c>
      <c r="Z946">
        <f>IF(Y946=C946,1,0)</f>
        <v/>
      </c>
    </row>
    <row r="947">
      <c r="A947">
        <f>'3 escalar'!A950</f>
        <v/>
      </c>
      <c r="B947" s="5">
        <f>'3 escalar'!U950</f>
        <v/>
      </c>
      <c r="C947">
        <f>'3 escalar'!B950</f>
        <v/>
      </c>
      <c r="D947" s="7">
        <f>'3 escalar'!C950</f>
        <v/>
      </c>
      <c r="E947" s="7">
        <f>'3 escalar'!D950</f>
        <v/>
      </c>
      <c r="F947" s="7">
        <f>'3 escalar'!E950</f>
        <v/>
      </c>
      <c r="G947" s="7">
        <f>'3 escalar'!F950</f>
        <v/>
      </c>
      <c r="H947" s="7">
        <f>'3 escalar'!G950</f>
        <v/>
      </c>
      <c r="I947" s="7">
        <f>'3 escalar'!H950</f>
        <v/>
      </c>
      <c r="J947" s="7">
        <f>'3 escalar'!I950</f>
        <v/>
      </c>
      <c r="K947" s="7">
        <f>'3 escalar'!J950</f>
        <v/>
      </c>
      <c r="L947" s="7">
        <f>'3 escalar'!K950</f>
        <v/>
      </c>
      <c r="M947" s="7">
        <f>'3 escalar'!L950</f>
        <v/>
      </c>
      <c r="N947" s="7">
        <f>'3 escalar'!M950</f>
        <v/>
      </c>
      <c r="O947" s="7">
        <f>'3 escalar'!N950</f>
        <v/>
      </c>
      <c r="P947" s="7">
        <f>'3 escalar'!O950</f>
        <v/>
      </c>
      <c r="Q947" s="7">
        <f>'3 escalar'!P950</f>
        <v/>
      </c>
      <c r="R947" s="7">
        <f>'3 escalar'!Q950</f>
        <v/>
      </c>
      <c r="S947" s="7">
        <f>'3 escalar'!R950</f>
        <v/>
      </c>
      <c r="T947" s="7">
        <f>'3 escalar'!S950</f>
        <v/>
      </c>
      <c r="U947" s="7">
        <f>'3 escalar'!T950</f>
        <v/>
      </c>
      <c r="V947" s="6">
        <f>$AC$12+D947*$AC$13+E947*$AC$14+F947*$AC$15+G947*$AC$16+H947*$AC$17+I947*$AC$18+J947*$AC$19+K947*$AC$20+L947*$AC$21+M947*$AC$22+N947*$AC$23+O947*$AC$24+P947*$AC$25+Q947*$AC$26+R947*$AC$27+S947*$AC$28+T947*$AC$29+U947*$AC$30</f>
        <v/>
      </c>
      <c r="W947" s="6">
        <f>1/(1+EXP(-V947))</f>
        <v/>
      </c>
      <c r="X947" s="8">
        <f>-IF(C947=1,LN(W947),LN(1-W947))</f>
        <v/>
      </c>
      <c r="Y947" s="9">
        <f>IF(W947&gt;$AC$32,1,0)</f>
        <v/>
      </c>
      <c r="Z947">
        <f>IF(Y947=C947,1,0)</f>
        <v/>
      </c>
    </row>
    <row r="948">
      <c r="A948">
        <f>'3 escalar'!A951</f>
        <v/>
      </c>
      <c r="B948" s="5">
        <f>'3 escalar'!U951</f>
        <v/>
      </c>
      <c r="C948">
        <f>'3 escalar'!B951</f>
        <v/>
      </c>
      <c r="D948" s="7">
        <f>'3 escalar'!C951</f>
        <v/>
      </c>
      <c r="E948" s="7">
        <f>'3 escalar'!D951</f>
        <v/>
      </c>
      <c r="F948" s="7">
        <f>'3 escalar'!E951</f>
        <v/>
      </c>
      <c r="G948" s="7">
        <f>'3 escalar'!F951</f>
        <v/>
      </c>
      <c r="H948" s="7">
        <f>'3 escalar'!G951</f>
        <v/>
      </c>
      <c r="I948" s="7">
        <f>'3 escalar'!H951</f>
        <v/>
      </c>
      <c r="J948" s="7">
        <f>'3 escalar'!I951</f>
        <v/>
      </c>
      <c r="K948" s="7">
        <f>'3 escalar'!J951</f>
        <v/>
      </c>
      <c r="L948" s="7">
        <f>'3 escalar'!K951</f>
        <v/>
      </c>
      <c r="M948" s="7">
        <f>'3 escalar'!L951</f>
        <v/>
      </c>
      <c r="N948" s="7">
        <f>'3 escalar'!M951</f>
        <v/>
      </c>
      <c r="O948" s="7">
        <f>'3 escalar'!N951</f>
        <v/>
      </c>
      <c r="P948" s="7">
        <f>'3 escalar'!O951</f>
        <v/>
      </c>
      <c r="Q948" s="7">
        <f>'3 escalar'!P951</f>
        <v/>
      </c>
      <c r="R948" s="7">
        <f>'3 escalar'!Q951</f>
        <v/>
      </c>
      <c r="S948" s="7">
        <f>'3 escalar'!R951</f>
        <v/>
      </c>
      <c r="T948" s="7">
        <f>'3 escalar'!S951</f>
        <v/>
      </c>
      <c r="U948" s="7">
        <f>'3 escalar'!T951</f>
        <v/>
      </c>
      <c r="V948" s="6">
        <f>$AC$12+D948*$AC$13+E948*$AC$14+F948*$AC$15+G948*$AC$16+H948*$AC$17+I948*$AC$18+J948*$AC$19+K948*$AC$20+L948*$AC$21+M948*$AC$22+N948*$AC$23+O948*$AC$24+P948*$AC$25+Q948*$AC$26+R948*$AC$27+S948*$AC$28+T948*$AC$29+U948*$AC$30</f>
        <v/>
      </c>
      <c r="W948" s="6">
        <f>1/(1+EXP(-V948))</f>
        <v/>
      </c>
      <c r="X948" s="8">
        <f>-IF(C948=1,LN(W948),LN(1-W948))</f>
        <v/>
      </c>
      <c r="Y948" s="9">
        <f>IF(W948&gt;$AC$32,1,0)</f>
        <v/>
      </c>
      <c r="Z948">
        <f>IF(Y948=C948,1,0)</f>
        <v/>
      </c>
    </row>
    <row r="949">
      <c r="A949">
        <f>'3 escalar'!A952</f>
        <v/>
      </c>
      <c r="B949" s="5">
        <f>'3 escalar'!U952</f>
        <v/>
      </c>
      <c r="C949">
        <f>'3 escalar'!B952</f>
        <v/>
      </c>
      <c r="D949" s="7">
        <f>'3 escalar'!C952</f>
        <v/>
      </c>
      <c r="E949" s="7">
        <f>'3 escalar'!D952</f>
        <v/>
      </c>
      <c r="F949" s="7">
        <f>'3 escalar'!E952</f>
        <v/>
      </c>
      <c r="G949" s="7">
        <f>'3 escalar'!F952</f>
        <v/>
      </c>
      <c r="H949" s="7">
        <f>'3 escalar'!G952</f>
        <v/>
      </c>
      <c r="I949" s="7">
        <f>'3 escalar'!H952</f>
        <v/>
      </c>
      <c r="J949" s="7">
        <f>'3 escalar'!I952</f>
        <v/>
      </c>
      <c r="K949" s="7">
        <f>'3 escalar'!J952</f>
        <v/>
      </c>
      <c r="L949" s="7">
        <f>'3 escalar'!K952</f>
        <v/>
      </c>
      <c r="M949" s="7">
        <f>'3 escalar'!L952</f>
        <v/>
      </c>
      <c r="N949" s="7">
        <f>'3 escalar'!M952</f>
        <v/>
      </c>
      <c r="O949" s="7">
        <f>'3 escalar'!N952</f>
        <v/>
      </c>
      <c r="P949" s="7">
        <f>'3 escalar'!O952</f>
        <v/>
      </c>
      <c r="Q949" s="7">
        <f>'3 escalar'!P952</f>
        <v/>
      </c>
      <c r="R949" s="7">
        <f>'3 escalar'!Q952</f>
        <v/>
      </c>
      <c r="S949" s="7">
        <f>'3 escalar'!R952</f>
        <v/>
      </c>
      <c r="T949" s="7">
        <f>'3 escalar'!S952</f>
        <v/>
      </c>
      <c r="U949" s="7">
        <f>'3 escalar'!T952</f>
        <v/>
      </c>
      <c r="V949" s="6">
        <f>$AC$12+D949*$AC$13+E949*$AC$14+F949*$AC$15+G949*$AC$16+H949*$AC$17+I949*$AC$18+J949*$AC$19+K949*$AC$20+L949*$AC$21+M949*$AC$22+N949*$AC$23+O949*$AC$24+P949*$AC$25+Q949*$AC$26+R949*$AC$27+S949*$AC$28+T949*$AC$29+U949*$AC$30</f>
        <v/>
      </c>
      <c r="W949" s="6">
        <f>1/(1+EXP(-V949))</f>
        <v/>
      </c>
      <c r="X949" s="8">
        <f>-IF(C949=1,LN(W949),LN(1-W949))</f>
        <v/>
      </c>
      <c r="Y949" s="9">
        <f>IF(W949&gt;$AC$32,1,0)</f>
        <v/>
      </c>
      <c r="Z949">
        <f>IF(Y949=C949,1,0)</f>
        <v/>
      </c>
    </row>
    <row r="950">
      <c r="A950">
        <f>'3 escalar'!A953</f>
        <v/>
      </c>
      <c r="B950" s="5">
        <f>'3 escalar'!U953</f>
        <v/>
      </c>
      <c r="C950">
        <f>'3 escalar'!B953</f>
        <v/>
      </c>
      <c r="D950" s="7">
        <f>'3 escalar'!C953</f>
        <v/>
      </c>
      <c r="E950" s="7">
        <f>'3 escalar'!D953</f>
        <v/>
      </c>
      <c r="F950" s="7">
        <f>'3 escalar'!E953</f>
        <v/>
      </c>
      <c r="G950" s="7">
        <f>'3 escalar'!F953</f>
        <v/>
      </c>
      <c r="H950" s="7">
        <f>'3 escalar'!G953</f>
        <v/>
      </c>
      <c r="I950" s="7">
        <f>'3 escalar'!H953</f>
        <v/>
      </c>
      <c r="J950" s="7">
        <f>'3 escalar'!I953</f>
        <v/>
      </c>
      <c r="K950" s="7">
        <f>'3 escalar'!J953</f>
        <v/>
      </c>
      <c r="L950" s="7">
        <f>'3 escalar'!K953</f>
        <v/>
      </c>
      <c r="M950" s="7">
        <f>'3 escalar'!L953</f>
        <v/>
      </c>
      <c r="N950" s="7">
        <f>'3 escalar'!M953</f>
        <v/>
      </c>
      <c r="O950" s="7">
        <f>'3 escalar'!N953</f>
        <v/>
      </c>
      <c r="P950" s="7">
        <f>'3 escalar'!O953</f>
        <v/>
      </c>
      <c r="Q950" s="7">
        <f>'3 escalar'!P953</f>
        <v/>
      </c>
      <c r="R950" s="7">
        <f>'3 escalar'!Q953</f>
        <v/>
      </c>
      <c r="S950" s="7">
        <f>'3 escalar'!R953</f>
        <v/>
      </c>
      <c r="T950" s="7">
        <f>'3 escalar'!S953</f>
        <v/>
      </c>
      <c r="U950" s="7">
        <f>'3 escalar'!T953</f>
        <v/>
      </c>
      <c r="V950" s="6">
        <f>$AC$12+D950*$AC$13+E950*$AC$14+F950*$AC$15+G950*$AC$16+H950*$AC$17+I950*$AC$18+J950*$AC$19+K950*$AC$20+L950*$AC$21+M950*$AC$22+N950*$AC$23+O950*$AC$24+P950*$AC$25+Q950*$AC$26+R950*$AC$27+S950*$AC$28+T950*$AC$29+U950*$AC$30</f>
        <v/>
      </c>
      <c r="W950" s="6">
        <f>1/(1+EXP(-V950))</f>
        <v/>
      </c>
      <c r="X950" s="8">
        <f>-IF(C950=1,LN(W950),LN(1-W950))</f>
        <v/>
      </c>
      <c r="Y950" s="9">
        <f>IF(W950&gt;$AC$32,1,0)</f>
        <v/>
      </c>
      <c r="Z950">
        <f>IF(Y950=C950,1,0)</f>
        <v/>
      </c>
    </row>
    <row r="951">
      <c r="A951">
        <f>'3 escalar'!A954</f>
        <v/>
      </c>
      <c r="B951" s="5">
        <f>'3 escalar'!U954</f>
        <v/>
      </c>
      <c r="C951">
        <f>'3 escalar'!B954</f>
        <v/>
      </c>
      <c r="D951" s="7">
        <f>'3 escalar'!C954</f>
        <v/>
      </c>
      <c r="E951" s="7">
        <f>'3 escalar'!D954</f>
        <v/>
      </c>
      <c r="F951" s="7">
        <f>'3 escalar'!E954</f>
        <v/>
      </c>
      <c r="G951" s="7">
        <f>'3 escalar'!F954</f>
        <v/>
      </c>
      <c r="H951" s="7">
        <f>'3 escalar'!G954</f>
        <v/>
      </c>
      <c r="I951" s="7">
        <f>'3 escalar'!H954</f>
        <v/>
      </c>
      <c r="J951" s="7">
        <f>'3 escalar'!I954</f>
        <v/>
      </c>
      <c r="K951" s="7">
        <f>'3 escalar'!J954</f>
        <v/>
      </c>
      <c r="L951" s="7">
        <f>'3 escalar'!K954</f>
        <v/>
      </c>
      <c r="M951" s="7">
        <f>'3 escalar'!L954</f>
        <v/>
      </c>
      <c r="N951" s="7">
        <f>'3 escalar'!M954</f>
        <v/>
      </c>
      <c r="O951" s="7">
        <f>'3 escalar'!N954</f>
        <v/>
      </c>
      <c r="P951" s="7">
        <f>'3 escalar'!O954</f>
        <v/>
      </c>
      <c r="Q951" s="7">
        <f>'3 escalar'!P954</f>
        <v/>
      </c>
      <c r="R951" s="7">
        <f>'3 escalar'!Q954</f>
        <v/>
      </c>
      <c r="S951" s="7">
        <f>'3 escalar'!R954</f>
        <v/>
      </c>
      <c r="T951" s="7">
        <f>'3 escalar'!S954</f>
        <v/>
      </c>
      <c r="U951" s="7">
        <f>'3 escalar'!T954</f>
        <v/>
      </c>
      <c r="V951" s="6">
        <f>$AC$12+D951*$AC$13+E951*$AC$14+F951*$AC$15+G951*$AC$16+H951*$AC$17+I951*$AC$18+J951*$AC$19+K951*$AC$20+L951*$AC$21+M951*$AC$22+N951*$AC$23+O951*$AC$24+P951*$AC$25+Q951*$AC$26+R951*$AC$27+S951*$AC$28+T951*$AC$29+U951*$AC$30</f>
        <v/>
      </c>
      <c r="W951" s="6">
        <f>1/(1+EXP(-V951))</f>
        <v/>
      </c>
      <c r="X951" s="8">
        <f>-IF(C951=1,LN(W951),LN(1-W951))</f>
        <v/>
      </c>
      <c r="Y951" s="9">
        <f>IF(W951&gt;$AC$32,1,0)</f>
        <v/>
      </c>
      <c r="Z951">
        <f>IF(Y951=C951,1,0)</f>
        <v/>
      </c>
    </row>
    <row r="952">
      <c r="A952">
        <f>'3 escalar'!A955</f>
        <v/>
      </c>
      <c r="B952" s="5">
        <f>'3 escalar'!U955</f>
        <v/>
      </c>
      <c r="C952">
        <f>'3 escalar'!B955</f>
        <v/>
      </c>
      <c r="D952" s="7">
        <f>'3 escalar'!C955</f>
        <v/>
      </c>
      <c r="E952" s="7">
        <f>'3 escalar'!D955</f>
        <v/>
      </c>
      <c r="F952" s="7">
        <f>'3 escalar'!E955</f>
        <v/>
      </c>
      <c r="G952" s="7">
        <f>'3 escalar'!F955</f>
        <v/>
      </c>
      <c r="H952" s="7">
        <f>'3 escalar'!G955</f>
        <v/>
      </c>
      <c r="I952" s="7">
        <f>'3 escalar'!H955</f>
        <v/>
      </c>
      <c r="J952" s="7">
        <f>'3 escalar'!I955</f>
        <v/>
      </c>
      <c r="K952" s="7">
        <f>'3 escalar'!J955</f>
        <v/>
      </c>
      <c r="L952" s="7">
        <f>'3 escalar'!K955</f>
        <v/>
      </c>
      <c r="M952" s="7">
        <f>'3 escalar'!L955</f>
        <v/>
      </c>
      <c r="N952" s="7">
        <f>'3 escalar'!M955</f>
        <v/>
      </c>
      <c r="O952" s="7">
        <f>'3 escalar'!N955</f>
        <v/>
      </c>
      <c r="P952" s="7">
        <f>'3 escalar'!O955</f>
        <v/>
      </c>
      <c r="Q952" s="7">
        <f>'3 escalar'!P955</f>
        <v/>
      </c>
      <c r="R952" s="7">
        <f>'3 escalar'!Q955</f>
        <v/>
      </c>
      <c r="S952" s="7">
        <f>'3 escalar'!R955</f>
        <v/>
      </c>
      <c r="T952" s="7">
        <f>'3 escalar'!S955</f>
        <v/>
      </c>
      <c r="U952" s="7">
        <f>'3 escalar'!T955</f>
        <v/>
      </c>
      <c r="V952" s="6">
        <f>$AC$12+D952*$AC$13+E952*$AC$14+F952*$AC$15+G952*$AC$16+H952*$AC$17+I952*$AC$18+J952*$AC$19+K952*$AC$20+L952*$AC$21+M952*$AC$22+N952*$AC$23+O952*$AC$24+P952*$AC$25+Q952*$AC$26+R952*$AC$27+S952*$AC$28+T952*$AC$29+U952*$AC$30</f>
        <v/>
      </c>
      <c r="W952" s="6">
        <f>1/(1+EXP(-V952))</f>
        <v/>
      </c>
      <c r="X952" s="8">
        <f>-IF(C952=1,LN(W952),LN(1-W952))</f>
        <v/>
      </c>
      <c r="Y952" s="9">
        <f>IF(W952&gt;$AC$32,1,0)</f>
        <v/>
      </c>
      <c r="Z952">
        <f>IF(Y952=C952,1,0)</f>
        <v/>
      </c>
    </row>
    <row r="953">
      <c r="A953">
        <f>'3 escalar'!A956</f>
        <v/>
      </c>
      <c r="B953" s="5">
        <f>'3 escalar'!U956</f>
        <v/>
      </c>
      <c r="C953">
        <f>'3 escalar'!B956</f>
        <v/>
      </c>
      <c r="D953" s="7">
        <f>'3 escalar'!C956</f>
        <v/>
      </c>
      <c r="E953" s="7">
        <f>'3 escalar'!D956</f>
        <v/>
      </c>
      <c r="F953" s="7">
        <f>'3 escalar'!E956</f>
        <v/>
      </c>
      <c r="G953" s="7">
        <f>'3 escalar'!F956</f>
        <v/>
      </c>
      <c r="H953" s="7">
        <f>'3 escalar'!G956</f>
        <v/>
      </c>
      <c r="I953" s="7">
        <f>'3 escalar'!H956</f>
        <v/>
      </c>
      <c r="J953" s="7">
        <f>'3 escalar'!I956</f>
        <v/>
      </c>
      <c r="K953" s="7">
        <f>'3 escalar'!J956</f>
        <v/>
      </c>
      <c r="L953" s="7">
        <f>'3 escalar'!K956</f>
        <v/>
      </c>
      <c r="M953" s="7">
        <f>'3 escalar'!L956</f>
        <v/>
      </c>
      <c r="N953" s="7">
        <f>'3 escalar'!M956</f>
        <v/>
      </c>
      <c r="O953" s="7">
        <f>'3 escalar'!N956</f>
        <v/>
      </c>
      <c r="P953" s="7">
        <f>'3 escalar'!O956</f>
        <v/>
      </c>
      <c r="Q953" s="7">
        <f>'3 escalar'!P956</f>
        <v/>
      </c>
      <c r="R953" s="7">
        <f>'3 escalar'!Q956</f>
        <v/>
      </c>
      <c r="S953" s="7">
        <f>'3 escalar'!R956</f>
        <v/>
      </c>
      <c r="T953" s="7">
        <f>'3 escalar'!S956</f>
        <v/>
      </c>
      <c r="U953" s="7">
        <f>'3 escalar'!T956</f>
        <v/>
      </c>
      <c r="V953" s="6">
        <f>$AC$12+D953*$AC$13+E953*$AC$14+F953*$AC$15+G953*$AC$16+H953*$AC$17+I953*$AC$18+J953*$AC$19+K953*$AC$20+L953*$AC$21+M953*$AC$22+N953*$AC$23+O953*$AC$24+P953*$AC$25+Q953*$AC$26+R953*$AC$27+S953*$AC$28+T953*$AC$29+U953*$AC$30</f>
        <v/>
      </c>
      <c r="W953" s="6">
        <f>1/(1+EXP(-V953))</f>
        <v/>
      </c>
      <c r="X953" s="8">
        <f>-IF(C953=1,LN(W953),LN(1-W953))</f>
        <v/>
      </c>
      <c r="Y953" s="9">
        <f>IF(W953&gt;$AC$32,1,0)</f>
        <v/>
      </c>
      <c r="Z953">
        <f>IF(Y953=C953,1,0)</f>
        <v/>
      </c>
    </row>
    <row r="954">
      <c r="A954">
        <f>'3 escalar'!A957</f>
        <v/>
      </c>
      <c r="B954" s="5">
        <f>'3 escalar'!U957</f>
        <v/>
      </c>
      <c r="C954">
        <f>'3 escalar'!B957</f>
        <v/>
      </c>
      <c r="D954" s="7">
        <f>'3 escalar'!C957</f>
        <v/>
      </c>
      <c r="E954" s="7">
        <f>'3 escalar'!D957</f>
        <v/>
      </c>
      <c r="F954" s="7">
        <f>'3 escalar'!E957</f>
        <v/>
      </c>
      <c r="G954" s="7">
        <f>'3 escalar'!F957</f>
        <v/>
      </c>
      <c r="H954" s="7">
        <f>'3 escalar'!G957</f>
        <v/>
      </c>
      <c r="I954" s="7">
        <f>'3 escalar'!H957</f>
        <v/>
      </c>
      <c r="J954" s="7">
        <f>'3 escalar'!I957</f>
        <v/>
      </c>
      <c r="K954" s="7">
        <f>'3 escalar'!J957</f>
        <v/>
      </c>
      <c r="L954" s="7">
        <f>'3 escalar'!K957</f>
        <v/>
      </c>
      <c r="M954" s="7">
        <f>'3 escalar'!L957</f>
        <v/>
      </c>
      <c r="N954" s="7">
        <f>'3 escalar'!M957</f>
        <v/>
      </c>
      <c r="O954" s="7">
        <f>'3 escalar'!N957</f>
        <v/>
      </c>
      <c r="P954" s="7">
        <f>'3 escalar'!O957</f>
        <v/>
      </c>
      <c r="Q954" s="7">
        <f>'3 escalar'!P957</f>
        <v/>
      </c>
      <c r="R954" s="7">
        <f>'3 escalar'!Q957</f>
        <v/>
      </c>
      <c r="S954" s="7">
        <f>'3 escalar'!R957</f>
        <v/>
      </c>
      <c r="T954" s="7">
        <f>'3 escalar'!S957</f>
        <v/>
      </c>
      <c r="U954" s="7">
        <f>'3 escalar'!T957</f>
        <v/>
      </c>
      <c r="V954" s="6">
        <f>$AC$12+D954*$AC$13+E954*$AC$14+F954*$AC$15+G954*$AC$16+H954*$AC$17+I954*$AC$18+J954*$AC$19+K954*$AC$20+L954*$AC$21+M954*$AC$22+N954*$AC$23+O954*$AC$24+P954*$AC$25+Q954*$AC$26+R954*$AC$27+S954*$AC$28+T954*$AC$29+U954*$AC$30</f>
        <v/>
      </c>
      <c r="W954" s="6">
        <f>1/(1+EXP(-V954))</f>
        <v/>
      </c>
      <c r="X954" s="8">
        <f>-IF(C954=1,LN(W954),LN(1-W954))</f>
        <v/>
      </c>
      <c r="Y954" s="9">
        <f>IF(W954&gt;$AC$32,1,0)</f>
        <v/>
      </c>
      <c r="Z954">
        <f>IF(Y954=C954,1,0)</f>
        <v/>
      </c>
    </row>
    <row r="955">
      <c r="A955">
        <f>'3 escalar'!A958</f>
        <v/>
      </c>
      <c r="B955" s="5">
        <f>'3 escalar'!U958</f>
        <v/>
      </c>
      <c r="C955">
        <f>'3 escalar'!B958</f>
        <v/>
      </c>
      <c r="D955" s="7">
        <f>'3 escalar'!C958</f>
        <v/>
      </c>
      <c r="E955" s="7">
        <f>'3 escalar'!D958</f>
        <v/>
      </c>
      <c r="F955" s="7">
        <f>'3 escalar'!E958</f>
        <v/>
      </c>
      <c r="G955" s="7">
        <f>'3 escalar'!F958</f>
        <v/>
      </c>
      <c r="H955" s="7">
        <f>'3 escalar'!G958</f>
        <v/>
      </c>
      <c r="I955" s="7">
        <f>'3 escalar'!H958</f>
        <v/>
      </c>
      <c r="J955" s="7">
        <f>'3 escalar'!I958</f>
        <v/>
      </c>
      <c r="K955" s="7">
        <f>'3 escalar'!J958</f>
        <v/>
      </c>
      <c r="L955" s="7">
        <f>'3 escalar'!K958</f>
        <v/>
      </c>
      <c r="M955" s="7">
        <f>'3 escalar'!L958</f>
        <v/>
      </c>
      <c r="N955" s="7">
        <f>'3 escalar'!M958</f>
        <v/>
      </c>
      <c r="O955" s="7">
        <f>'3 escalar'!N958</f>
        <v/>
      </c>
      <c r="P955" s="7">
        <f>'3 escalar'!O958</f>
        <v/>
      </c>
      <c r="Q955" s="7">
        <f>'3 escalar'!P958</f>
        <v/>
      </c>
      <c r="R955" s="7">
        <f>'3 escalar'!Q958</f>
        <v/>
      </c>
      <c r="S955" s="7">
        <f>'3 escalar'!R958</f>
        <v/>
      </c>
      <c r="T955" s="7">
        <f>'3 escalar'!S958</f>
        <v/>
      </c>
      <c r="U955" s="7">
        <f>'3 escalar'!T958</f>
        <v/>
      </c>
      <c r="V955" s="6">
        <f>$AC$12+D955*$AC$13+E955*$AC$14+F955*$AC$15+G955*$AC$16+H955*$AC$17+I955*$AC$18+J955*$AC$19+K955*$AC$20+L955*$AC$21+M955*$AC$22+N955*$AC$23+O955*$AC$24+P955*$AC$25+Q955*$AC$26+R955*$AC$27+S955*$AC$28+T955*$AC$29+U955*$AC$30</f>
        <v/>
      </c>
      <c r="W955" s="6">
        <f>1/(1+EXP(-V955))</f>
        <v/>
      </c>
      <c r="X955" s="8">
        <f>-IF(C955=1,LN(W955),LN(1-W955))</f>
        <v/>
      </c>
      <c r="Y955" s="9">
        <f>IF(W955&gt;$AC$32,1,0)</f>
        <v/>
      </c>
      <c r="Z955">
        <f>IF(Y955=C955,1,0)</f>
        <v/>
      </c>
    </row>
    <row r="956">
      <c r="A956">
        <f>'3 escalar'!A959</f>
        <v/>
      </c>
      <c r="B956" s="5">
        <f>'3 escalar'!U959</f>
        <v/>
      </c>
      <c r="C956">
        <f>'3 escalar'!B959</f>
        <v/>
      </c>
      <c r="D956" s="7">
        <f>'3 escalar'!C959</f>
        <v/>
      </c>
      <c r="E956" s="7">
        <f>'3 escalar'!D959</f>
        <v/>
      </c>
      <c r="F956" s="7">
        <f>'3 escalar'!E959</f>
        <v/>
      </c>
      <c r="G956" s="7">
        <f>'3 escalar'!F959</f>
        <v/>
      </c>
      <c r="H956" s="7">
        <f>'3 escalar'!G959</f>
        <v/>
      </c>
      <c r="I956" s="7">
        <f>'3 escalar'!H959</f>
        <v/>
      </c>
      <c r="J956" s="7">
        <f>'3 escalar'!I959</f>
        <v/>
      </c>
      <c r="K956" s="7">
        <f>'3 escalar'!J959</f>
        <v/>
      </c>
      <c r="L956" s="7">
        <f>'3 escalar'!K959</f>
        <v/>
      </c>
      <c r="M956" s="7">
        <f>'3 escalar'!L959</f>
        <v/>
      </c>
      <c r="N956" s="7">
        <f>'3 escalar'!M959</f>
        <v/>
      </c>
      <c r="O956" s="7">
        <f>'3 escalar'!N959</f>
        <v/>
      </c>
      <c r="P956" s="7">
        <f>'3 escalar'!O959</f>
        <v/>
      </c>
      <c r="Q956" s="7">
        <f>'3 escalar'!P959</f>
        <v/>
      </c>
      <c r="R956" s="7">
        <f>'3 escalar'!Q959</f>
        <v/>
      </c>
      <c r="S956" s="7">
        <f>'3 escalar'!R959</f>
        <v/>
      </c>
      <c r="T956" s="7">
        <f>'3 escalar'!S959</f>
        <v/>
      </c>
      <c r="U956" s="7">
        <f>'3 escalar'!T959</f>
        <v/>
      </c>
      <c r="V956" s="6">
        <f>$AC$12+D956*$AC$13+E956*$AC$14+F956*$AC$15+G956*$AC$16+H956*$AC$17+I956*$AC$18+J956*$AC$19+K956*$AC$20+L956*$AC$21+M956*$AC$22+N956*$AC$23+O956*$AC$24+P956*$AC$25+Q956*$AC$26+R956*$AC$27+S956*$AC$28+T956*$AC$29+U956*$AC$30</f>
        <v/>
      </c>
      <c r="W956" s="6">
        <f>1/(1+EXP(-V956))</f>
        <v/>
      </c>
      <c r="X956" s="8">
        <f>-IF(C956=1,LN(W956),LN(1-W956))</f>
        <v/>
      </c>
      <c r="Y956" s="9">
        <f>IF(W956&gt;$AC$32,1,0)</f>
        <v/>
      </c>
      <c r="Z956">
        <f>IF(Y956=C956,1,0)</f>
        <v/>
      </c>
    </row>
    <row r="957">
      <c r="A957">
        <f>'3 escalar'!A960</f>
        <v/>
      </c>
      <c r="B957" s="5">
        <f>'3 escalar'!U960</f>
        <v/>
      </c>
      <c r="C957">
        <f>'3 escalar'!B960</f>
        <v/>
      </c>
      <c r="D957" s="7">
        <f>'3 escalar'!C960</f>
        <v/>
      </c>
      <c r="E957" s="7">
        <f>'3 escalar'!D960</f>
        <v/>
      </c>
      <c r="F957" s="7">
        <f>'3 escalar'!E960</f>
        <v/>
      </c>
      <c r="G957" s="7">
        <f>'3 escalar'!F960</f>
        <v/>
      </c>
      <c r="H957" s="7">
        <f>'3 escalar'!G960</f>
        <v/>
      </c>
      <c r="I957" s="7">
        <f>'3 escalar'!H960</f>
        <v/>
      </c>
      <c r="J957" s="7">
        <f>'3 escalar'!I960</f>
        <v/>
      </c>
      <c r="K957" s="7">
        <f>'3 escalar'!J960</f>
        <v/>
      </c>
      <c r="L957" s="7">
        <f>'3 escalar'!K960</f>
        <v/>
      </c>
      <c r="M957" s="7">
        <f>'3 escalar'!L960</f>
        <v/>
      </c>
      <c r="N957" s="7">
        <f>'3 escalar'!M960</f>
        <v/>
      </c>
      <c r="O957" s="7">
        <f>'3 escalar'!N960</f>
        <v/>
      </c>
      <c r="P957" s="7">
        <f>'3 escalar'!O960</f>
        <v/>
      </c>
      <c r="Q957" s="7">
        <f>'3 escalar'!P960</f>
        <v/>
      </c>
      <c r="R957" s="7">
        <f>'3 escalar'!Q960</f>
        <v/>
      </c>
      <c r="S957" s="7">
        <f>'3 escalar'!R960</f>
        <v/>
      </c>
      <c r="T957" s="7">
        <f>'3 escalar'!S960</f>
        <v/>
      </c>
      <c r="U957" s="7">
        <f>'3 escalar'!T960</f>
        <v/>
      </c>
      <c r="V957" s="6">
        <f>$AC$12+D957*$AC$13+E957*$AC$14+F957*$AC$15+G957*$AC$16+H957*$AC$17+I957*$AC$18+J957*$AC$19+K957*$AC$20+L957*$AC$21+M957*$AC$22+N957*$AC$23+O957*$AC$24+P957*$AC$25+Q957*$AC$26+R957*$AC$27+S957*$AC$28+T957*$AC$29+U957*$AC$30</f>
        <v/>
      </c>
      <c r="W957" s="6">
        <f>1/(1+EXP(-V957))</f>
        <v/>
      </c>
      <c r="X957" s="8">
        <f>-IF(C957=1,LN(W957),LN(1-W957))</f>
        <v/>
      </c>
      <c r="Y957" s="9">
        <f>IF(W957&gt;$AC$32,1,0)</f>
        <v/>
      </c>
      <c r="Z957">
        <f>IF(Y957=C957,1,0)</f>
        <v/>
      </c>
    </row>
    <row r="958">
      <c r="A958">
        <f>'3 escalar'!A961</f>
        <v/>
      </c>
      <c r="B958" s="5">
        <f>'3 escalar'!U961</f>
        <v/>
      </c>
      <c r="C958">
        <f>'3 escalar'!B961</f>
        <v/>
      </c>
      <c r="D958" s="7">
        <f>'3 escalar'!C961</f>
        <v/>
      </c>
      <c r="E958" s="7">
        <f>'3 escalar'!D961</f>
        <v/>
      </c>
      <c r="F958" s="7">
        <f>'3 escalar'!E961</f>
        <v/>
      </c>
      <c r="G958" s="7">
        <f>'3 escalar'!F961</f>
        <v/>
      </c>
      <c r="H958" s="7">
        <f>'3 escalar'!G961</f>
        <v/>
      </c>
      <c r="I958" s="7">
        <f>'3 escalar'!H961</f>
        <v/>
      </c>
      <c r="J958" s="7">
        <f>'3 escalar'!I961</f>
        <v/>
      </c>
      <c r="K958" s="7">
        <f>'3 escalar'!J961</f>
        <v/>
      </c>
      <c r="L958" s="7">
        <f>'3 escalar'!K961</f>
        <v/>
      </c>
      <c r="M958" s="7">
        <f>'3 escalar'!L961</f>
        <v/>
      </c>
      <c r="N958" s="7">
        <f>'3 escalar'!M961</f>
        <v/>
      </c>
      <c r="O958" s="7">
        <f>'3 escalar'!N961</f>
        <v/>
      </c>
      <c r="P958" s="7">
        <f>'3 escalar'!O961</f>
        <v/>
      </c>
      <c r="Q958" s="7">
        <f>'3 escalar'!P961</f>
        <v/>
      </c>
      <c r="R958" s="7">
        <f>'3 escalar'!Q961</f>
        <v/>
      </c>
      <c r="S958" s="7">
        <f>'3 escalar'!R961</f>
        <v/>
      </c>
      <c r="T958" s="7">
        <f>'3 escalar'!S961</f>
        <v/>
      </c>
      <c r="U958" s="7">
        <f>'3 escalar'!T961</f>
        <v/>
      </c>
      <c r="V958" s="6">
        <f>$AC$12+D958*$AC$13+E958*$AC$14+F958*$AC$15+G958*$AC$16+H958*$AC$17+I958*$AC$18+J958*$AC$19+K958*$AC$20+L958*$AC$21+M958*$AC$22+N958*$AC$23+O958*$AC$24+P958*$AC$25+Q958*$AC$26+R958*$AC$27+S958*$AC$28+T958*$AC$29+U958*$AC$30</f>
        <v/>
      </c>
      <c r="W958" s="6">
        <f>1/(1+EXP(-V958))</f>
        <v/>
      </c>
      <c r="X958" s="8">
        <f>-IF(C958=1,LN(W958),LN(1-W958))</f>
        <v/>
      </c>
      <c r="Y958" s="9">
        <f>IF(W958&gt;$AC$32,1,0)</f>
        <v/>
      </c>
      <c r="Z958">
        <f>IF(Y958=C958,1,0)</f>
        <v/>
      </c>
    </row>
    <row r="959">
      <c r="A959">
        <f>'3 escalar'!A962</f>
        <v/>
      </c>
      <c r="B959" s="5">
        <f>'3 escalar'!U962</f>
        <v/>
      </c>
      <c r="C959">
        <f>'3 escalar'!B962</f>
        <v/>
      </c>
      <c r="D959" s="7">
        <f>'3 escalar'!C962</f>
        <v/>
      </c>
      <c r="E959" s="7">
        <f>'3 escalar'!D962</f>
        <v/>
      </c>
      <c r="F959" s="7">
        <f>'3 escalar'!E962</f>
        <v/>
      </c>
      <c r="G959" s="7">
        <f>'3 escalar'!F962</f>
        <v/>
      </c>
      <c r="H959" s="7">
        <f>'3 escalar'!G962</f>
        <v/>
      </c>
      <c r="I959" s="7">
        <f>'3 escalar'!H962</f>
        <v/>
      </c>
      <c r="J959" s="7">
        <f>'3 escalar'!I962</f>
        <v/>
      </c>
      <c r="K959" s="7">
        <f>'3 escalar'!J962</f>
        <v/>
      </c>
      <c r="L959" s="7">
        <f>'3 escalar'!K962</f>
        <v/>
      </c>
      <c r="M959" s="7">
        <f>'3 escalar'!L962</f>
        <v/>
      </c>
      <c r="N959" s="7">
        <f>'3 escalar'!M962</f>
        <v/>
      </c>
      <c r="O959" s="7">
        <f>'3 escalar'!N962</f>
        <v/>
      </c>
      <c r="P959" s="7">
        <f>'3 escalar'!O962</f>
        <v/>
      </c>
      <c r="Q959" s="7">
        <f>'3 escalar'!P962</f>
        <v/>
      </c>
      <c r="R959" s="7">
        <f>'3 escalar'!Q962</f>
        <v/>
      </c>
      <c r="S959" s="7">
        <f>'3 escalar'!R962</f>
        <v/>
      </c>
      <c r="T959" s="7">
        <f>'3 escalar'!S962</f>
        <v/>
      </c>
      <c r="U959" s="7">
        <f>'3 escalar'!T962</f>
        <v/>
      </c>
      <c r="V959" s="6">
        <f>$AC$12+D959*$AC$13+E959*$AC$14+F959*$AC$15+G959*$AC$16+H959*$AC$17+I959*$AC$18+J959*$AC$19+K959*$AC$20+L959*$AC$21+M959*$AC$22+N959*$AC$23+O959*$AC$24+P959*$AC$25+Q959*$AC$26+R959*$AC$27+S959*$AC$28+T959*$AC$29+U959*$AC$30</f>
        <v/>
      </c>
      <c r="W959" s="6">
        <f>1/(1+EXP(-V959))</f>
        <v/>
      </c>
      <c r="X959" s="8">
        <f>-IF(C959=1,LN(W959),LN(1-W959))</f>
        <v/>
      </c>
      <c r="Y959" s="9">
        <f>IF(W959&gt;$AC$32,1,0)</f>
        <v/>
      </c>
      <c r="Z959">
        <f>IF(Y959=C959,1,0)</f>
        <v/>
      </c>
    </row>
    <row r="960">
      <c r="A960">
        <f>'3 escalar'!A963</f>
        <v/>
      </c>
      <c r="B960" s="5">
        <f>'3 escalar'!U963</f>
        <v/>
      </c>
      <c r="C960">
        <f>'3 escalar'!B963</f>
        <v/>
      </c>
      <c r="D960" s="7">
        <f>'3 escalar'!C963</f>
        <v/>
      </c>
      <c r="E960" s="7">
        <f>'3 escalar'!D963</f>
        <v/>
      </c>
      <c r="F960" s="7">
        <f>'3 escalar'!E963</f>
        <v/>
      </c>
      <c r="G960" s="7">
        <f>'3 escalar'!F963</f>
        <v/>
      </c>
      <c r="H960" s="7">
        <f>'3 escalar'!G963</f>
        <v/>
      </c>
      <c r="I960" s="7">
        <f>'3 escalar'!H963</f>
        <v/>
      </c>
      <c r="J960" s="7">
        <f>'3 escalar'!I963</f>
        <v/>
      </c>
      <c r="K960" s="7">
        <f>'3 escalar'!J963</f>
        <v/>
      </c>
      <c r="L960" s="7">
        <f>'3 escalar'!K963</f>
        <v/>
      </c>
      <c r="M960" s="7">
        <f>'3 escalar'!L963</f>
        <v/>
      </c>
      <c r="N960" s="7">
        <f>'3 escalar'!M963</f>
        <v/>
      </c>
      <c r="O960" s="7">
        <f>'3 escalar'!N963</f>
        <v/>
      </c>
      <c r="P960" s="7">
        <f>'3 escalar'!O963</f>
        <v/>
      </c>
      <c r="Q960" s="7">
        <f>'3 escalar'!P963</f>
        <v/>
      </c>
      <c r="R960" s="7">
        <f>'3 escalar'!Q963</f>
        <v/>
      </c>
      <c r="S960" s="7">
        <f>'3 escalar'!R963</f>
        <v/>
      </c>
      <c r="T960" s="7">
        <f>'3 escalar'!S963</f>
        <v/>
      </c>
      <c r="U960" s="7">
        <f>'3 escalar'!T963</f>
        <v/>
      </c>
      <c r="V960" s="6">
        <f>$AC$12+D960*$AC$13+E960*$AC$14+F960*$AC$15+G960*$AC$16+H960*$AC$17+I960*$AC$18+J960*$AC$19+K960*$AC$20+L960*$AC$21+M960*$AC$22+N960*$AC$23+O960*$AC$24+P960*$AC$25+Q960*$AC$26+R960*$AC$27+S960*$AC$28+T960*$AC$29+U960*$AC$30</f>
        <v/>
      </c>
      <c r="W960" s="6">
        <f>1/(1+EXP(-V960))</f>
        <v/>
      </c>
      <c r="X960" s="8">
        <f>-IF(C960=1,LN(W960),LN(1-W960))</f>
        <v/>
      </c>
      <c r="Y960" s="9">
        <f>IF(W960&gt;$AC$32,1,0)</f>
        <v/>
      </c>
      <c r="Z960">
        <f>IF(Y960=C960,1,0)</f>
        <v/>
      </c>
    </row>
    <row r="961">
      <c r="A961">
        <f>'3 escalar'!A964</f>
        <v/>
      </c>
      <c r="B961" s="5">
        <f>'3 escalar'!U964</f>
        <v/>
      </c>
      <c r="C961">
        <f>'3 escalar'!B964</f>
        <v/>
      </c>
      <c r="D961" s="7">
        <f>'3 escalar'!C964</f>
        <v/>
      </c>
      <c r="E961" s="7">
        <f>'3 escalar'!D964</f>
        <v/>
      </c>
      <c r="F961" s="7">
        <f>'3 escalar'!E964</f>
        <v/>
      </c>
      <c r="G961" s="7">
        <f>'3 escalar'!F964</f>
        <v/>
      </c>
      <c r="H961" s="7">
        <f>'3 escalar'!G964</f>
        <v/>
      </c>
      <c r="I961" s="7">
        <f>'3 escalar'!H964</f>
        <v/>
      </c>
      <c r="J961" s="7">
        <f>'3 escalar'!I964</f>
        <v/>
      </c>
      <c r="K961" s="7">
        <f>'3 escalar'!J964</f>
        <v/>
      </c>
      <c r="L961" s="7">
        <f>'3 escalar'!K964</f>
        <v/>
      </c>
      <c r="M961" s="7">
        <f>'3 escalar'!L964</f>
        <v/>
      </c>
      <c r="N961" s="7">
        <f>'3 escalar'!M964</f>
        <v/>
      </c>
      <c r="O961" s="7">
        <f>'3 escalar'!N964</f>
        <v/>
      </c>
      <c r="P961" s="7">
        <f>'3 escalar'!O964</f>
        <v/>
      </c>
      <c r="Q961" s="7">
        <f>'3 escalar'!P964</f>
        <v/>
      </c>
      <c r="R961" s="7">
        <f>'3 escalar'!Q964</f>
        <v/>
      </c>
      <c r="S961" s="7">
        <f>'3 escalar'!R964</f>
        <v/>
      </c>
      <c r="T961" s="7">
        <f>'3 escalar'!S964</f>
        <v/>
      </c>
      <c r="U961" s="7">
        <f>'3 escalar'!T964</f>
        <v/>
      </c>
      <c r="V961" s="6">
        <f>$AC$12+D961*$AC$13+E961*$AC$14+F961*$AC$15+G961*$AC$16+H961*$AC$17+I961*$AC$18+J961*$AC$19+K961*$AC$20+L961*$AC$21+M961*$AC$22+N961*$AC$23+O961*$AC$24+P961*$AC$25+Q961*$AC$26+R961*$AC$27+S961*$AC$28+T961*$AC$29+U961*$AC$30</f>
        <v/>
      </c>
      <c r="W961" s="6">
        <f>1/(1+EXP(-V961))</f>
        <v/>
      </c>
      <c r="X961" s="8">
        <f>-IF(C961=1,LN(W961),LN(1-W961))</f>
        <v/>
      </c>
      <c r="Y961" s="9">
        <f>IF(W961&gt;$AC$32,1,0)</f>
        <v/>
      </c>
      <c r="Z961">
        <f>IF(Y961=C961,1,0)</f>
        <v/>
      </c>
    </row>
    <row r="962">
      <c r="A962">
        <f>'3 escalar'!A965</f>
        <v/>
      </c>
      <c r="B962" s="5">
        <f>'3 escalar'!U965</f>
        <v/>
      </c>
      <c r="C962">
        <f>'3 escalar'!B965</f>
        <v/>
      </c>
      <c r="D962" s="7">
        <f>'3 escalar'!C965</f>
        <v/>
      </c>
      <c r="E962" s="7">
        <f>'3 escalar'!D965</f>
        <v/>
      </c>
      <c r="F962" s="7">
        <f>'3 escalar'!E965</f>
        <v/>
      </c>
      <c r="G962" s="7">
        <f>'3 escalar'!F965</f>
        <v/>
      </c>
      <c r="H962" s="7">
        <f>'3 escalar'!G965</f>
        <v/>
      </c>
      <c r="I962" s="7">
        <f>'3 escalar'!H965</f>
        <v/>
      </c>
      <c r="J962" s="7">
        <f>'3 escalar'!I965</f>
        <v/>
      </c>
      <c r="K962" s="7">
        <f>'3 escalar'!J965</f>
        <v/>
      </c>
      <c r="L962" s="7">
        <f>'3 escalar'!K965</f>
        <v/>
      </c>
      <c r="M962" s="7">
        <f>'3 escalar'!L965</f>
        <v/>
      </c>
      <c r="N962" s="7">
        <f>'3 escalar'!M965</f>
        <v/>
      </c>
      <c r="O962" s="7">
        <f>'3 escalar'!N965</f>
        <v/>
      </c>
      <c r="P962" s="7">
        <f>'3 escalar'!O965</f>
        <v/>
      </c>
      <c r="Q962" s="7">
        <f>'3 escalar'!P965</f>
        <v/>
      </c>
      <c r="R962" s="7">
        <f>'3 escalar'!Q965</f>
        <v/>
      </c>
      <c r="S962" s="7">
        <f>'3 escalar'!R965</f>
        <v/>
      </c>
      <c r="T962" s="7">
        <f>'3 escalar'!S965</f>
        <v/>
      </c>
      <c r="U962" s="7">
        <f>'3 escalar'!T965</f>
        <v/>
      </c>
      <c r="V962" s="6">
        <f>$AC$12+D962*$AC$13+E962*$AC$14+F962*$AC$15+G962*$AC$16+H962*$AC$17+I962*$AC$18+J962*$AC$19+K962*$AC$20+L962*$AC$21+M962*$AC$22+N962*$AC$23+O962*$AC$24+P962*$AC$25+Q962*$AC$26+R962*$AC$27+S962*$AC$28+T962*$AC$29+U962*$AC$30</f>
        <v/>
      </c>
      <c r="W962" s="6">
        <f>1/(1+EXP(-V962))</f>
        <v/>
      </c>
      <c r="X962" s="8">
        <f>-IF(C962=1,LN(W962),LN(1-W962))</f>
        <v/>
      </c>
      <c r="Y962" s="9">
        <f>IF(W962&gt;$AC$32,1,0)</f>
        <v/>
      </c>
      <c r="Z962">
        <f>IF(Y962=C962,1,0)</f>
        <v/>
      </c>
    </row>
    <row r="963">
      <c r="A963">
        <f>'3 escalar'!A966</f>
        <v/>
      </c>
      <c r="B963" s="5">
        <f>'3 escalar'!U966</f>
        <v/>
      </c>
      <c r="C963">
        <f>'3 escalar'!B966</f>
        <v/>
      </c>
      <c r="D963" s="7">
        <f>'3 escalar'!C966</f>
        <v/>
      </c>
      <c r="E963" s="7">
        <f>'3 escalar'!D966</f>
        <v/>
      </c>
      <c r="F963" s="7">
        <f>'3 escalar'!E966</f>
        <v/>
      </c>
      <c r="G963" s="7">
        <f>'3 escalar'!F966</f>
        <v/>
      </c>
      <c r="H963" s="7">
        <f>'3 escalar'!G966</f>
        <v/>
      </c>
      <c r="I963" s="7">
        <f>'3 escalar'!H966</f>
        <v/>
      </c>
      <c r="J963" s="7">
        <f>'3 escalar'!I966</f>
        <v/>
      </c>
      <c r="K963" s="7">
        <f>'3 escalar'!J966</f>
        <v/>
      </c>
      <c r="L963" s="7">
        <f>'3 escalar'!K966</f>
        <v/>
      </c>
      <c r="M963" s="7">
        <f>'3 escalar'!L966</f>
        <v/>
      </c>
      <c r="N963" s="7">
        <f>'3 escalar'!M966</f>
        <v/>
      </c>
      <c r="O963" s="7">
        <f>'3 escalar'!N966</f>
        <v/>
      </c>
      <c r="P963" s="7">
        <f>'3 escalar'!O966</f>
        <v/>
      </c>
      <c r="Q963" s="7">
        <f>'3 escalar'!P966</f>
        <v/>
      </c>
      <c r="R963" s="7">
        <f>'3 escalar'!Q966</f>
        <v/>
      </c>
      <c r="S963" s="7">
        <f>'3 escalar'!R966</f>
        <v/>
      </c>
      <c r="T963" s="7">
        <f>'3 escalar'!S966</f>
        <v/>
      </c>
      <c r="U963" s="7">
        <f>'3 escalar'!T966</f>
        <v/>
      </c>
      <c r="V963" s="6">
        <f>$AC$12+D963*$AC$13+E963*$AC$14+F963*$AC$15+G963*$AC$16+H963*$AC$17+I963*$AC$18+J963*$AC$19+K963*$AC$20+L963*$AC$21+M963*$AC$22+N963*$AC$23+O963*$AC$24+P963*$AC$25+Q963*$AC$26+R963*$AC$27+S963*$AC$28+T963*$AC$29+U963*$AC$30</f>
        <v/>
      </c>
      <c r="W963" s="6">
        <f>1/(1+EXP(-V963))</f>
        <v/>
      </c>
      <c r="X963" s="8">
        <f>-IF(C963=1,LN(W963),LN(1-W963))</f>
        <v/>
      </c>
      <c r="Y963" s="9">
        <f>IF(W963&gt;$AC$32,1,0)</f>
        <v/>
      </c>
      <c r="Z963">
        <f>IF(Y963=C963,1,0)</f>
        <v/>
      </c>
    </row>
    <row r="964">
      <c r="A964">
        <f>'3 escalar'!A967</f>
        <v/>
      </c>
      <c r="B964" s="5">
        <f>'3 escalar'!U967</f>
        <v/>
      </c>
      <c r="C964">
        <f>'3 escalar'!B967</f>
        <v/>
      </c>
      <c r="D964" s="7">
        <f>'3 escalar'!C967</f>
        <v/>
      </c>
      <c r="E964" s="7">
        <f>'3 escalar'!D967</f>
        <v/>
      </c>
      <c r="F964" s="7">
        <f>'3 escalar'!E967</f>
        <v/>
      </c>
      <c r="G964" s="7">
        <f>'3 escalar'!F967</f>
        <v/>
      </c>
      <c r="H964" s="7">
        <f>'3 escalar'!G967</f>
        <v/>
      </c>
      <c r="I964" s="7">
        <f>'3 escalar'!H967</f>
        <v/>
      </c>
      <c r="J964" s="7">
        <f>'3 escalar'!I967</f>
        <v/>
      </c>
      <c r="K964" s="7">
        <f>'3 escalar'!J967</f>
        <v/>
      </c>
      <c r="L964" s="7">
        <f>'3 escalar'!K967</f>
        <v/>
      </c>
      <c r="M964" s="7">
        <f>'3 escalar'!L967</f>
        <v/>
      </c>
      <c r="N964" s="7">
        <f>'3 escalar'!M967</f>
        <v/>
      </c>
      <c r="O964" s="7">
        <f>'3 escalar'!N967</f>
        <v/>
      </c>
      <c r="P964" s="7">
        <f>'3 escalar'!O967</f>
        <v/>
      </c>
      <c r="Q964" s="7">
        <f>'3 escalar'!P967</f>
        <v/>
      </c>
      <c r="R964" s="7">
        <f>'3 escalar'!Q967</f>
        <v/>
      </c>
      <c r="S964" s="7">
        <f>'3 escalar'!R967</f>
        <v/>
      </c>
      <c r="T964" s="7">
        <f>'3 escalar'!S967</f>
        <v/>
      </c>
      <c r="U964" s="7">
        <f>'3 escalar'!T967</f>
        <v/>
      </c>
      <c r="V964" s="6">
        <f>$AC$12+D964*$AC$13+E964*$AC$14+F964*$AC$15+G964*$AC$16+H964*$AC$17+I964*$AC$18+J964*$AC$19+K964*$AC$20+L964*$AC$21+M964*$AC$22+N964*$AC$23+O964*$AC$24+P964*$AC$25+Q964*$AC$26+R964*$AC$27+S964*$AC$28+T964*$AC$29+U964*$AC$30</f>
        <v/>
      </c>
      <c r="W964" s="6">
        <f>1/(1+EXP(-V964))</f>
        <v/>
      </c>
      <c r="X964" s="8">
        <f>-IF(C964=1,LN(W964),LN(1-W964))</f>
        <v/>
      </c>
      <c r="Y964" s="9">
        <f>IF(W964&gt;$AC$32,1,0)</f>
        <v/>
      </c>
      <c r="Z964">
        <f>IF(Y964=C964,1,0)</f>
        <v/>
      </c>
    </row>
    <row r="965">
      <c r="A965">
        <f>'3 escalar'!A968</f>
        <v/>
      </c>
      <c r="B965" s="5">
        <f>'3 escalar'!U968</f>
        <v/>
      </c>
      <c r="C965">
        <f>'3 escalar'!B968</f>
        <v/>
      </c>
      <c r="D965" s="7">
        <f>'3 escalar'!C968</f>
        <v/>
      </c>
      <c r="E965" s="7">
        <f>'3 escalar'!D968</f>
        <v/>
      </c>
      <c r="F965" s="7">
        <f>'3 escalar'!E968</f>
        <v/>
      </c>
      <c r="G965" s="7">
        <f>'3 escalar'!F968</f>
        <v/>
      </c>
      <c r="H965" s="7">
        <f>'3 escalar'!G968</f>
        <v/>
      </c>
      <c r="I965" s="7">
        <f>'3 escalar'!H968</f>
        <v/>
      </c>
      <c r="J965" s="7">
        <f>'3 escalar'!I968</f>
        <v/>
      </c>
      <c r="K965" s="7">
        <f>'3 escalar'!J968</f>
        <v/>
      </c>
      <c r="L965" s="7">
        <f>'3 escalar'!K968</f>
        <v/>
      </c>
      <c r="M965" s="7">
        <f>'3 escalar'!L968</f>
        <v/>
      </c>
      <c r="N965" s="7">
        <f>'3 escalar'!M968</f>
        <v/>
      </c>
      <c r="O965" s="7">
        <f>'3 escalar'!N968</f>
        <v/>
      </c>
      <c r="P965" s="7">
        <f>'3 escalar'!O968</f>
        <v/>
      </c>
      <c r="Q965" s="7">
        <f>'3 escalar'!P968</f>
        <v/>
      </c>
      <c r="R965" s="7">
        <f>'3 escalar'!Q968</f>
        <v/>
      </c>
      <c r="S965" s="7">
        <f>'3 escalar'!R968</f>
        <v/>
      </c>
      <c r="T965" s="7">
        <f>'3 escalar'!S968</f>
        <v/>
      </c>
      <c r="U965" s="7">
        <f>'3 escalar'!T968</f>
        <v/>
      </c>
      <c r="V965" s="6">
        <f>$AC$12+D965*$AC$13+E965*$AC$14+F965*$AC$15+G965*$AC$16+H965*$AC$17+I965*$AC$18+J965*$AC$19+K965*$AC$20+L965*$AC$21+M965*$AC$22+N965*$AC$23+O965*$AC$24+P965*$AC$25+Q965*$AC$26+R965*$AC$27+S965*$AC$28+T965*$AC$29+U965*$AC$30</f>
        <v/>
      </c>
      <c r="W965" s="6">
        <f>1/(1+EXP(-V965))</f>
        <v/>
      </c>
      <c r="X965" s="8">
        <f>-IF(C965=1,LN(W965),LN(1-W965))</f>
        <v/>
      </c>
      <c r="Y965" s="9">
        <f>IF(W965&gt;$AC$32,1,0)</f>
        <v/>
      </c>
      <c r="Z965">
        <f>IF(Y965=C965,1,0)</f>
        <v/>
      </c>
    </row>
    <row r="966">
      <c r="A966">
        <f>'3 escalar'!A969</f>
        <v/>
      </c>
      <c r="B966" s="5">
        <f>'3 escalar'!U969</f>
        <v/>
      </c>
      <c r="C966">
        <f>'3 escalar'!B969</f>
        <v/>
      </c>
      <c r="D966" s="7">
        <f>'3 escalar'!C969</f>
        <v/>
      </c>
      <c r="E966" s="7">
        <f>'3 escalar'!D969</f>
        <v/>
      </c>
      <c r="F966" s="7">
        <f>'3 escalar'!E969</f>
        <v/>
      </c>
      <c r="G966" s="7">
        <f>'3 escalar'!F969</f>
        <v/>
      </c>
      <c r="H966" s="7">
        <f>'3 escalar'!G969</f>
        <v/>
      </c>
      <c r="I966" s="7">
        <f>'3 escalar'!H969</f>
        <v/>
      </c>
      <c r="J966" s="7">
        <f>'3 escalar'!I969</f>
        <v/>
      </c>
      <c r="K966" s="7">
        <f>'3 escalar'!J969</f>
        <v/>
      </c>
      <c r="L966" s="7">
        <f>'3 escalar'!K969</f>
        <v/>
      </c>
      <c r="M966" s="7">
        <f>'3 escalar'!L969</f>
        <v/>
      </c>
      <c r="N966" s="7">
        <f>'3 escalar'!M969</f>
        <v/>
      </c>
      <c r="O966" s="7">
        <f>'3 escalar'!N969</f>
        <v/>
      </c>
      <c r="P966" s="7">
        <f>'3 escalar'!O969</f>
        <v/>
      </c>
      <c r="Q966" s="7">
        <f>'3 escalar'!P969</f>
        <v/>
      </c>
      <c r="R966" s="7">
        <f>'3 escalar'!Q969</f>
        <v/>
      </c>
      <c r="S966" s="7">
        <f>'3 escalar'!R969</f>
        <v/>
      </c>
      <c r="T966" s="7">
        <f>'3 escalar'!S969</f>
        <v/>
      </c>
      <c r="U966" s="7">
        <f>'3 escalar'!T969</f>
        <v/>
      </c>
      <c r="V966" s="6">
        <f>$AC$12+D966*$AC$13+E966*$AC$14+F966*$AC$15+G966*$AC$16+H966*$AC$17+I966*$AC$18+J966*$AC$19+K966*$AC$20+L966*$AC$21+M966*$AC$22+N966*$AC$23+O966*$AC$24+P966*$AC$25+Q966*$AC$26+R966*$AC$27+S966*$AC$28+T966*$AC$29+U966*$AC$30</f>
        <v/>
      </c>
      <c r="W966" s="6">
        <f>1/(1+EXP(-V966))</f>
        <v/>
      </c>
      <c r="X966" s="8">
        <f>-IF(C966=1,LN(W966),LN(1-W966))</f>
        <v/>
      </c>
      <c r="Y966" s="9">
        <f>IF(W966&gt;$AC$32,1,0)</f>
        <v/>
      </c>
      <c r="Z966">
        <f>IF(Y966=C966,1,0)</f>
        <v/>
      </c>
    </row>
    <row r="967">
      <c r="A967">
        <f>'3 escalar'!A970</f>
        <v/>
      </c>
      <c r="B967" s="5">
        <f>'3 escalar'!U970</f>
        <v/>
      </c>
      <c r="C967">
        <f>'3 escalar'!B970</f>
        <v/>
      </c>
      <c r="D967" s="7">
        <f>'3 escalar'!C970</f>
        <v/>
      </c>
      <c r="E967" s="7">
        <f>'3 escalar'!D970</f>
        <v/>
      </c>
      <c r="F967" s="7">
        <f>'3 escalar'!E970</f>
        <v/>
      </c>
      <c r="G967" s="7">
        <f>'3 escalar'!F970</f>
        <v/>
      </c>
      <c r="H967" s="7">
        <f>'3 escalar'!G970</f>
        <v/>
      </c>
      <c r="I967" s="7">
        <f>'3 escalar'!H970</f>
        <v/>
      </c>
      <c r="J967" s="7">
        <f>'3 escalar'!I970</f>
        <v/>
      </c>
      <c r="K967" s="7">
        <f>'3 escalar'!J970</f>
        <v/>
      </c>
      <c r="L967" s="7">
        <f>'3 escalar'!K970</f>
        <v/>
      </c>
      <c r="M967" s="7">
        <f>'3 escalar'!L970</f>
        <v/>
      </c>
      <c r="N967" s="7">
        <f>'3 escalar'!M970</f>
        <v/>
      </c>
      <c r="O967" s="7">
        <f>'3 escalar'!N970</f>
        <v/>
      </c>
      <c r="P967" s="7">
        <f>'3 escalar'!O970</f>
        <v/>
      </c>
      <c r="Q967" s="7">
        <f>'3 escalar'!P970</f>
        <v/>
      </c>
      <c r="R967" s="7">
        <f>'3 escalar'!Q970</f>
        <v/>
      </c>
      <c r="S967" s="7">
        <f>'3 escalar'!R970</f>
        <v/>
      </c>
      <c r="T967" s="7">
        <f>'3 escalar'!S970</f>
        <v/>
      </c>
      <c r="U967" s="7">
        <f>'3 escalar'!T970</f>
        <v/>
      </c>
      <c r="V967" s="6">
        <f>$AC$12+D967*$AC$13+E967*$AC$14+F967*$AC$15+G967*$AC$16+H967*$AC$17+I967*$AC$18+J967*$AC$19+K967*$AC$20+L967*$AC$21+M967*$AC$22+N967*$AC$23+O967*$AC$24+P967*$AC$25+Q967*$AC$26+R967*$AC$27+S967*$AC$28+T967*$AC$29+U967*$AC$30</f>
        <v/>
      </c>
      <c r="W967" s="6">
        <f>1/(1+EXP(-V967))</f>
        <v/>
      </c>
      <c r="X967" s="8">
        <f>-IF(C967=1,LN(W967),LN(1-W967))</f>
        <v/>
      </c>
      <c r="Y967" s="9">
        <f>IF(W967&gt;$AC$32,1,0)</f>
        <v/>
      </c>
      <c r="Z967">
        <f>IF(Y967=C967,1,0)</f>
        <v/>
      </c>
    </row>
    <row r="968">
      <c r="A968">
        <f>'3 escalar'!A971</f>
        <v/>
      </c>
      <c r="B968" s="5">
        <f>'3 escalar'!U971</f>
        <v/>
      </c>
      <c r="C968">
        <f>'3 escalar'!B971</f>
        <v/>
      </c>
      <c r="D968" s="7">
        <f>'3 escalar'!C971</f>
        <v/>
      </c>
      <c r="E968" s="7">
        <f>'3 escalar'!D971</f>
        <v/>
      </c>
      <c r="F968" s="7">
        <f>'3 escalar'!E971</f>
        <v/>
      </c>
      <c r="G968" s="7">
        <f>'3 escalar'!F971</f>
        <v/>
      </c>
      <c r="H968" s="7">
        <f>'3 escalar'!G971</f>
        <v/>
      </c>
      <c r="I968" s="7">
        <f>'3 escalar'!H971</f>
        <v/>
      </c>
      <c r="J968" s="7">
        <f>'3 escalar'!I971</f>
        <v/>
      </c>
      <c r="K968" s="7">
        <f>'3 escalar'!J971</f>
        <v/>
      </c>
      <c r="L968" s="7">
        <f>'3 escalar'!K971</f>
        <v/>
      </c>
      <c r="M968" s="7">
        <f>'3 escalar'!L971</f>
        <v/>
      </c>
      <c r="N968" s="7">
        <f>'3 escalar'!M971</f>
        <v/>
      </c>
      <c r="O968" s="7">
        <f>'3 escalar'!N971</f>
        <v/>
      </c>
      <c r="P968" s="7">
        <f>'3 escalar'!O971</f>
        <v/>
      </c>
      <c r="Q968" s="7">
        <f>'3 escalar'!P971</f>
        <v/>
      </c>
      <c r="R968" s="7">
        <f>'3 escalar'!Q971</f>
        <v/>
      </c>
      <c r="S968" s="7">
        <f>'3 escalar'!R971</f>
        <v/>
      </c>
      <c r="T968" s="7">
        <f>'3 escalar'!S971</f>
        <v/>
      </c>
      <c r="U968" s="7">
        <f>'3 escalar'!T971</f>
        <v/>
      </c>
      <c r="V968" s="6">
        <f>$AC$12+D968*$AC$13+E968*$AC$14+F968*$AC$15+G968*$AC$16+H968*$AC$17+I968*$AC$18+J968*$AC$19+K968*$AC$20+L968*$AC$21+M968*$AC$22+N968*$AC$23+O968*$AC$24+P968*$AC$25+Q968*$AC$26+R968*$AC$27+S968*$AC$28+T968*$AC$29+U968*$AC$30</f>
        <v/>
      </c>
      <c r="W968" s="6">
        <f>1/(1+EXP(-V968))</f>
        <v/>
      </c>
      <c r="X968" s="8">
        <f>-IF(C968=1,LN(W968),LN(1-W968))</f>
        <v/>
      </c>
      <c r="Y968" s="9">
        <f>IF(W968&gt;$AC$32,1,0)</f>
        <v/>
      </c>
      <c r="Z968">
        <f>IF(Y968=C968,1,0)</f>
        <v/>
      </c>
    </row>
    <row r="969">
      <c r="A969">
        <f>'3 escalar'!A972</f>
        <v/>
      </c>
      <c r="B969" s="5">
        <f>'3 escalar'!U972</f>
        <v/>
      </c>
      <c r="C969">
        <f>'3 escalar'!B972</f>
        <v/>
      </c>
      <c r="D969" s="7">
        <f>'3 escalar'!C972</f>
        <v/>
      </c>
      <c r="E969" s="7">
        <f>'3 escalar'!D972</f>
        <v/>
      </c>
      <c r="F969" s="7">
        <f>'3 escalar'!E972</f>
        <v/>
      </c>
      <c r="G969" s="7">
        <f>'3 escalar'!F972</f>
        <v/>
      </c>
      <c r="H969" s="7">
        <f>'3 escalar'!G972</f>
        <v/>
      </c>
      <c r="I969" s="7">
        <f>'3 escalar'!H972</f>
        <v/>
      </c>
      <c r="J969" s="7">
        <f>'3 escalar'!I972</f>
        <v/>
      </c>
      <c r="K969" s="7">
        <f>'3 escalar'!J972</f>
        <v/>
      </c>
      <c r="L969" s="7">
        <f>'3 escalar'!K972</f>
        <v/>
      </c>
      <c r="M969" s="7">
        <f>'3 escalar'!L972</f>
        <v/>
      </c>
      <c r="N969" s="7">
        <f>'3 escalar'!M972</f>
        <v/>
      </c>
      <c r="O969" s="7">
        <f>'3 escalar'!N972</f>
        <v/>
      </c>
      <c r="P969" s="7">
        <f>'3 escalar'!O972</f>
        <v/>
      </c>
      <c r="Q969" s="7">
        <f>'3 escalar'!P972</f>
        <v/>
      </c>
      <c r="R969" s="7">
        <f>'3 escalar'!Q972</f>
        <v/>
      </c>
      <c r="S969" s="7">
        <f>'3 escalar'!R972</f>
        <v/>
      </c>
      <c r="T969" s="7">
        <f>'3 escalar'!S972</f>
        <v/>
      </c>
      <c r="U969" s="7">
        <f>'3 escalar'!T972</f>
        <v/>
      </c>
      <c r="V969" s="6">
        <f>$AC$12+D969*$AC$13+E969*$AC$14+F969*$AC$15+G969*$AC$16+H969*$AC$17+I969*$AC$18+J969*$AC$19+K969*$AC$20+L969*$AC$21+M969*$AC$22+N969*$AC$23+O969*$AC$24+P969*$AC$25+Q969*$AC$26+R969*$AC$27+S969*$AC$28+T969*$AC$29+U969*$AC$30</f>
        <v/>
      </c>
      <c r="W969" s="6">
        <f>1/(1+EXP(-V969))</f>
        <v/>
      </c>
      <c r="X969" s="8">
        <f>-IF(C969=1,LN(W969),LN(1-W969))</f>
        <v/>
      </c>
      <c r="Y969" s="9">
        <f>IF(W969&gt;$AC$32,1,0)</f>
        <v/>
      </c>
      <c r="Z969">
        <f>IF(Y969=C969,1,0)</f>
        <v/>
      </c>
    </row>
    <row r="970">
      <c r="A970">
        <f>'3 escalar'!A973</f>
        <v/>
      </c>
      <c r="B970" s="5">
        <f>'3 escalar'!U973</f>
        <v/>
      </c>
      <c r="C970">
        <f>'3 escalar'!B973</f>
        <v/>
      </c>
      <c r="D970" s="7">
        <f>'3 escalar'!C973</f>
        <v/>
      </c>
      <c r="E970" s="7">
        <f>'3 escalar'!D973</f>
        <v/>
      </c>
      <c r="F970" s="7">
        <f>'3 escalar'!E973</f>
        <v/>
      </c>
      <c r="G970" s="7">
        <f>'3 escalar'!F973</f>
        <v/>
      </c>
      <c r="H970" s="7">
        <f>'3 escalar'!G973</f>
        <v/>
      </c>
      <c r="I970" s="7">
        <f>'3 escalar'!H973</f>
        <v/>
      </c>
      <c r="J970" s="7">
        <f>'3 escalar'!I973</f>
        <v/>
      </c>
      <c r="K970" s="7">
        <f>'3 escalar'!J973</f>
        <v/>
      </c>
      <c r="L970" s="7">
        <f>'3 escalar'!K973</f>
        <v/>
      </c>
      <c r="M970" s="7">
        <f>'3 escalar'!L973</f>
        <v/>
      </c>
      <c r="N970" s="7">
        <f>'3 escalar'!M973</f>
        <v/>
      </c>
      <c r="O970" s="7">
        <f>'3 escalar'!N973</f>
        <v/>
      </c>
      <c r="P970" s="7">
        <f>'3 escalar'!O973</f>
        <v/>
      </c>
      <c r="Q970" s="7">
        <f>'3 escalar'!P973</f>
        <v/>
      </c>
      <c r="R970" s="7">
        <f>'3 escalar'!Q973</f>
        <v/>
      </c>
      <c r="S970" s="7">
        <f>'3 escalar'!R973</f>
        <v/>
      </c>
      <c r="T970" s="7">
        <f>'3 escalar'!S973</f>
        <v/>
      </c>
      <c r="U970" s="7">
        <f>'3 escalar'!T973</f>
        <v/>
      </c>
      <c r="V970" s="6">
        <f>$AC$12+D970*$AC$13+E970*$AC$14+F970*$AC$15+G970*$AC$16+H970*$AC$17+I970*$AC$18+J970*$AC$19+K970*$AC$20+L970*$AC$21+M970*$AC$22+N970*$AC$23+O970*$AC$24+P970*$AC$25+Q970*$AC$26+R970*$AC$27+S970*$AC$28+T970*$AC$29+U970*$AC$30</f>
        <v/>
      </c>
      <c r="W970" s="6">
        <f>1/(1+EXP(-V970))</f>
        <v/>
      </c>
      <c r="X970" s="8">
        <f>-IF(C970=1,LN(W970),LN(1-W970))</f>
        <v/>
      </c>
      <c r="Y970" s="9">
        <f>IF(W970&gt;$AC$32,1,0)</f>
        <v/>
      </c>
      <c r="Z970">
        <f>IF(Y970=C970,1,0)</f>
        <v/>
      </c>
    </row>
    <row r="971">
      <c r="A971">
        <f>'3 escalar'!A974</f>
        <v/>
      </c>
      <c r="B971" s="5">
        <f>'3 escalar'!U974</f>
        <v/>
      </c>
      <c r="C971">
        <f>'3 escalar'!B974</f>
        <v/>
      </c>
      <c r="D971" s="7">
        <f>'3 escalar'!C974</f>
        <v/>
      </c>
      <c r="E971" s="7">
        <f>'3 escalar'!D974</f>
        <v/>
      </c>
      <c r="F971" s="7">
        <f>'3 escalar'!E974</f>
        <v/>
      </c>
      <c r="G971" s="7">
        <f>'3 escalar'!F974</f>
        <v/>
      </c>
      <c r="H971" s="7">
        <f>'3 escalar'!G974</f>
        <v/>
      </c>
      <c r="I971" s="7">
        <f>'3 escalar'!H974</f>
        <v/>
      </c>
      <c r="J971" s="7">
        <f>'3 escalar'!I974</f>
        <v/>
      </c>
      <c r="K971" s="7">
        <f>'3 escalar'!J974</f>
        <v/>
      </c>
      <c r="L971" s="7">
        <f>'3 escalar'!K974</f>
        <v/>
      </c>
      <c r="M971" s="7">
        <f>'3 escalar'!L974</f>
        <v/>
      </c>
      <c r="N971" s="7">
        <f>'3 escalar'!M974</f>
        <v/>
      </c>
      <c r="O971" s="7">
        <f>'3 escalar'!N974</f>
        <v/>
      </c>
      <c r="P971" s="7">
        <f>'3 escalar'!O974</f>
        <v/>
      </c>
      <c r="Q971" s="7">
        <f>'3 escalar'!P974</f>
        <v/>
      </c>
      <c r="R971" s="7">
        <f>'3 escalar'!Q974</f>
        <v/>
      </c>
      <c r="S971" s="7">
        <f>'3 escalar'!R974</f>
        <v/>
      </c>
      <c r="T971" s="7">
        <f>'3 escalar'!S974</f>
        <v/>
      </c>
      <c r="U971" s="7">
        <f>'3 escalar'!T974</f>
        <v/>
      </c>
      <c r="V971" s="6">
        <f>$AC$12+D971*$AC$13+E971*$AC$14+F971*$AC$15+G971*$AC$16+H971*$AC$17+I971*$AC$18+J971*$AC$19+K971*$AC$20+L971*$AC$21+M971*$AC$22+N971*$AC$23+O971*$AC$24+P971*$AC$25+Q971*$AC$26+R971*$AC$27+S971*$AC$28+T971*$AC$29+U971*$AC$30</f>
        <v/>
      </c>
      <c r="W971" s="6">
        <f>1/(1+EXP(-V971))</f>
        <v/>
      </c>
      <c r="X971" s="8">
        <f>-IF(C971=1,LN(W971),LN(1-W971))</f>
        <v/>
      </c>
      <c r="Y971" s="9">
        <f>IF(W971&gt;$AC$32,1,0)</f>
        <v/>
      </c>
      <c r="Z971">
        <f>IF(Y971=C971,1,0)</f>
        <v/>
      </c>
    </row>
    <row r="972">
      <c r="A972">
        <f>'3 escalar'!A975</f>
        <v/>
      </c>
      <c r="B972" s="5">
        <f>'3 escalar'!U975</f>
        <v/>
      </c>
      <c r="C972">
        <f>'3 escalar'!B975</f>
        <v/>
      </c>
      <c r="D972" s="7">
        <f>'3 escalar'!C975</f>
        <v/>
      </c>
      <c r="E972" s="7">
        <f>'3 escalar'!D975</f>
        <v/>
      </c>
      <c r="F972" s="7">
        <f>'3 escalar'!E975</f>
        <v/>
      </c>
      <c r="G972" s="7">
        <f>'3 escalar'!F975</f>
        <v/>
      </c>
      <c r="H972" s="7">
        <f>'3 escalar'!G975</f>
        <v/>
      </c>
      <c r="I972" s="7">
        <f>'3 escalar'!H975</f>
        <v/>
      </c>
      <c r="J972" s="7">
        <f>'3 escalar'!I975</f>
        <v/>
      </c>
      <c r="K972" s="7">
        <f>'3 escalar'!J975</f>
        <v/>
      </c>
      <c r="L972" s="7">
        <f>'3 escalar'!K975</f>
        <v/>
      </c>
      <c r="M972" s="7">
        <f>'3 escalar'!L975</f>
        <v/>
      </c>
      <c r="N972" s="7">
        <f>'3 escalar'!M975</f>
        <v/>
      </c>
      <c r="O972" s="7">
        <f>'3 escalar'!N975</f>
        <v/>
      </c>
      <c r="P972" s="7">
        <f>'3 escalar'!O975</f>
        <v/>
      </c>
      <c r="Q972" s="7">
        <f>'3 escalar'!P975</f>
        <v/>
      </c>
      <c r="R972" s="7">
        <f>'3 escalar'!Q975</f>
        <v/>
      </c>
      <c r="S972" s="7">
        <f>'3 escalar'!R975</f>
        <v/>
      </c>
      <c r="T972" s="7">
        <f>'3 escalar'!S975</f>
        <v/>
      </c>
      <c r="U972" s="7">
        <f>'3 escalar'!T975</f>
        <v/>
      </c>
      <c r="V972" s="6">
        <f>$AC$12+D972*$AC$13+E972*$AC$14+F972*$AC$15+G972*$AC$16+H972*$AC$17+I972*$AC$18+J972*$AC$19+K972*$AC$20+L972*$AC$21+M972*$AC$22+N972*$AC$23+O972*$AC$24+P972*$AC$25+Q972*$AC$26+R972*$AC$27+S972*$AC$28+T972*$AC$29+U972*$AC$30</f>
        <v/>
      </c>
      <c r="W972" s="6">
        <f>1/(1+EXP(-V972))</f>
        <v/>
      </c>
      <c r="X972" s="8">
        <f>-IF(C972=1,LN(W972),LN(1-W972))</f>
        <v/>
      </c>
      <c r="Y972" s="9">
        <f>IF(W972&gt;$AC$32,1,0)</f>
        <v/>
      </c>
      <c r="Z972">
        <f>IF(Y972=C972,1,0)</f>
        <v/>
      </c>
    </row>
    <row r="973">
      <c r="A973">
        <f>'3 escalar'!A976</f>
        <v/>
      </c>
      <c r="B973" s="5">
        <f>'3 escalar'!U976</f>
        <v/>
      </c>
      <c r="C973">
        <f>'3 escalar'!B976</f>
        <v/>
      </c>
      <c r="D973" s="7">
        <f>'3 escalar'!C976</f>
        <v/>
      </c>
      <c r="E973" s="7">
        <f>'3 escalar'!D976</f>
        <v/>
      </c>
      <c r="F973" s="7">
        <f>'3 escalar'!E976</f>
        <v/>
      </c>
      <c r="G973" s="7">
        <f>'3 escalar'!F976</f>
        <v/>
      </c>
      <c r="H973" s="7">
        <f>'3 escalar'!G976</f>
        <v/>
      </c>
      <c r="I973" s="7">
        <f>'3 escalar'!H976</f>
        <v/>
      </c>
      <c r="J973" s="7">
        <f>'3 escalar'!I976</f>
        <v/>
      </c>
      <c r="K973" s="7">
        <f>'3 escalar'!J976</f>
        <v/>
      </c>
      <c r="L973" s="7">
        <f>'3 escalar'!K976</f>
        <v/>
      </c>
      <c r="M973" s="7">
        <f>'3 escalar'!L976</f>
        <v/>
      </c>
      <c r="N973" s="7">
        <f>'3 escalar'!M976</f>
        <v/>
      </c>
      <c r="O973" s="7">
        <f>'3 escalar'!N976</f>
        <v/>
      </c>
      <c r="P973" s="7">
        <f>'3 escalar'!O976</f>
        <v/>
      </c>
      <c r="Q973" s="7">
        <f>'3 escalar'!P976</f>
        <v/>
      </c>
      <c r="R973" s="7">
        <f>'3 escalar'!Q976</f>
        <v/>
      </c>
      <c r="S973" s="7">
        <f>'3 escalar'!R976</f>
        <v/>
      </c>
      <c r="T973" s="7">
        <f>'3 escalar'!S976</f>
        <v/>
      </c>
      <c r="U973" s="7">
        <f>'3 escalar'!T976</f>
        <v/>
      </c>
      <c r="V973" s="6">
        <f>$AC$12+D973*$AC$13+E973*$AC$14+F973*$AC$15+G973*$AC$16+H973*$AC$17+I973*$AC$18+J973*$AC$19+K973*$AC$20+L973*$AC$21+M973*$AC$22+N973*$AC$23+O973*$AC$24+P973*$AC$25+Q973*$AC$26+R973*$AC$27+S973*$AC$28+T973*$AC$29+U973*$AC$30</f>
        <v/>
      </c>
      <c r="W973" s="6">
        <f>1/(1+EXP(-V973))</f>
        <v/>
      </c>
      <c r="X973" s="8">
        <f>-IF(C973=1,LN(W973),LN(1-W973))</f>
        <v/>
      </c>
      <c r="Y973" s="9">
        <f>IF(W973&gt;$AC$32,1,0)</f>
        <v/>
      </c>
      <c r="Z973">
        <f>IF(Y973=C973,1,0)</f>
        <v/>
      </c>
    </row>
    <row r="974">
      <c r="A974">
        <f>'3 escalar'!A977</f>
        <v/>
      </c>
      <c r="B974" s="5">
        <f>'3 escalar'!U977</f>
        <v/>
      </c>
      <c r="C974">
        <f>'3 escalar'!B977</f>
        <v/>
      </c>
      <c r="D974" s="7">
        <f>'3 escalar'!C977</f>
        <v/>
      </c>
      <c r="E974" s="7">
        <f>'3 escalar'!D977</f>
        <v/>
      </c>
      <c r="F974" s="7">
        <f>'3 escalar'!E977</f>
        <v/>
      </c>
      <c r="G974" s="7">
        <f>'3 escalar'!F977</f>
        <v/>
      </c>
      <c r="H974" s="7">
        <f>'3 escalar'!G977</f>
        <v/>
      </c>
      <c r="I974" s="7">
        <f>'3 escalar'!H977</f>
        <v/>
      </c>
      <c r="J974" s="7">
        <f>'3 escalar'!I977</f>
        <v/>
      </c>
      <c r="K974" s="7">
        <f>'3 escalar'!J977</f>
        <v/>
      </c>
      <c r="L974" s="7">
        <f>'3 escalar'!K977</f>
        <v/>
      </c>
      <c r="M974" s="7">
        <f>'3 escalar'!L977</f>
        <v/>
      </c>
      <c r="N974" s="7">
        <f>'3 escalar'!M977</f>
        <v/>
      </c>
      <c r="O974" s="7">
        <f>'3 escalar'!N977</f>
        <v/>
      </c>
      <c r="P974" s="7">
        <f>'3 escalar'!O977</f>
        <v/>
      </c>
      <c r="Q974" s="7">
        <f>'3 escalar'!P977</f>
        <v/>
      </c>
      <c r="R974" s="7">
        <f>'3 escalar'!Q977</f>
        <v/>
      </c>
      <c r="S974" s="7">
        <f>'3 escalar'!R977</f>
        <v/>
      </c>
      <c r="T974" s="7">
        <f>'3 escalar'!S977</f>
        <v/>
      </c>
      <c r="U974" s="7">
        <f>'3 escalar'!T977</f>
        <v/>
      </c>
      <c r="V974" s="6">
        <f>$AC$12+D974*$AC$13+E974*$AC$14+F974*$AC$15+G974*$AC$16+H974*$AC$17+I974*$AC$18+J974*$AC$19+K974*$AC$20+L974*$AC$21+M974*$AC$22+N974*$AC$23+O974*$AC$24+P974*$AC$25+Q974*$AC$26+R974*$AC$27+S974*$AC$28+T974*$AC$29+U974*$AC$30</f>
        <v/>
      </c>
      <c r="W974" s="6">
        <f>1/(1+EXP(-V974))</f>
        <v/>
      </c>
      <c r="X974" s="8">
        <f>-IF(C974=1,LN(W974),LN(1-W974))</f>
        <v/>
      </c>
      <c r="Y974" s="9">
        <f>IF(W974&gt;$AC$32,1,0)</f>
        <v/>
      </c>
      <c r="Z974">
        <f>IF(Y974=C974,1,0)</f>
        <v/>
      </c>
    </row>
    <row r="975">
      <c r="A975">
        <f>'3 escalar'!A978</f>
        <v/>
      </c>
      <c r="B975" s="5">
        <f>'3 escalar'!U978</f>
        <v/>
      </c>
      <c r="C975">
        <f>'3 escalar'!B978</f>
        <v/>
      </c>
      <c r="D975" s="7">
        <f>'3 escalar'!C978</f>
        <v/>
      </c>
      <c r="E975" s="7">
        <f>'3 escalar'!D978</f>
        <v/>
      </c>
      <c r="F975" s="7">
        <f>'3 escalar'!E978</f>
        <v/>
      </c>
      <c r="G975" s="7">
        <f>'3 escalar'!F978</f>
        <v/>
      </c>
      <c r="H975" s="7">
        <f>'3 escalar'!G978</f>
        <v/>
      </c>
      <c r="I975" s="7">
        <f>'3 escalar'!H978</f>
        <v/>
      </c>
      <c r="J975" s="7">
        <f>'3 escalar'!I978</f>
        <v/>
      </c>
      <c r="K975" s="7">
        <f>'3 escalar'!J978</f>
        <v/>
      </c>
      <c r="L975" s="7">
        <f>'3 escalar'!K978</f>
        <v/>
      </c>
      <c r="M975" s="7">
        <f>'3 escalar'!L978</f>
        <v/>
      </c>
      <c r="N975" s="7">
        <f>'3 escalar'!M978</f>
        <v/>
      </c>
      <c r="O975" s="7">
        <f>'3 escalar'!N978</f>
        <v/>
      </c>
      <c r="P975" s="7">
        <f>'3 escalar'!O978</f>
        <v/>
      </c>
      <c r="Q975" s="7">
        <f>'3 escalar'!P978</f>
        <v/>
      </c>
      <c r="R975" s="7">
        <f>'3 escalar'!Q978</f>
        <v/>
      </c>
      <c r="S975" s="7">
        <f>'3 escalar'!R978</f>
        <v/>
      </c>
      <c r="T975" s="7">
        <f>'3 escalar'!S978</f>
        <v/>
      </c>
      <c r="U975" s="7">
        <f>'3 escalar'!T978</f>
        <v/>
      </c>
      <c r="V975" s="6">
        <f>$AC$12+D975*$AC$13+E975*$AC$14+F975*$AC$15+G975*$AC$16+H975*$AC$17+I975*$AC$18+J975*$AC$19+K975*$AC$20+L975*$AC$21+M975*$AC$22+N975*$AC$23+O975*$AC$24+P975*$AC$25+Q975*$AC$26+R975*$AC$27+S975*$AC$28+T975*$AC$29+U975*$AC$30</f>
        <v/>
      </c>
      <c r="W975" s="6">
        <f>1/(1+EXP(-V975))</f>
        <v/>
      </c>
      <c r="X975" s="8">
        <f>-IF(C975=1,LN(W975),LN(1-W975))</f>
        <v/>
      </c>
      <c r="Y975" s="9">
        <f>IF(W975&gt;$AC$32,1,0)</f>
        <v/>
      </c>
      <c r="Z975">
        <f>IF(Y975=C975,1,0)</f>
        <v/>
      </c>
    </row>
    <row r="976">
      <c r="A976">
        <f>'3 escalar'!A979</f>
        <v/>
      </c>
      <c r="B976" s="5">
        <f>'3 escalar'!U979</f>
        <v/>
      </c>
      <c r="C976">
        <f>'3 escalar'!B979</f>
        <v/>
      </c>
      <c r="D976" s="7">
        <f>'3 escalar'!C979</f>
        <v/>
      </c>
      <c r="E976" s="7">
        <f>'3 escalar'!D979</f>
        <v/>
      </c>
      <c r="F976" s="7">
        <f>'3 escalar'!E979</f>
        <v/>
      </c>
      <c r="G976" s="7">
        <f>'3 escalar'!F979</f>
        <v/>
      </c>
      <c r="H976" s="7">
        <f>'3 escalar'!G979</f>
        <v/>
      </c>
      <c r="I976" s="7">
        <f>'3 escalar'!H979</f>
        <v/>
      </c>
      <c r="J976" s="7">
        <f>'3 escalar'!I979</f>
        <v/>
      </c>
      <c r="K976" s="7">
        <f>'3 escalar'!J979</f>
        <v/>
      </c>
      <c r="L976" s="7">
        <f>'3 escalar'!K979</f>
        <v/>
      </c>
      <c r="M976" s="7">
        <f>'3 escalar'!L979</f>
        <v/>
      </c>
      <c r="N976" s="7">
        <f>'3 escalar'!M979</f>
        <v/>
      </c>
      <c r="O976" s="7">
        <f>'3 escalar'!N979</f>
        <v/>
      </c>
      <c r="P976" s="7">
        <f>'3 escalar'!O979</f>
        <v/>
      </c>
      <c r="Q976" s="7">
        <f>'3 escalar'!P979</f>
        <v/>
      </c>
      <c r="R976" s="7">
        <f>'3 escalar'!Q979</f>
        <v/>
      </c>
      <c r="S976" s="7">
        <f>'3 escalar'!R979</f>
        <v/>
      </c>
      <c r="T976" s="7">
        <f>'3 escalar'!S979</f>
        <v/>
      </c>
      <c r="U976" s="7">
        <f>'3 escalar'!T979</f>
        <v/>
      </c>
      <c r="V976" s="6">
        <f>$AC$12+D976*$AC$13+E976*$AC$14+F976*$AC$15+G976*$AC$16+H976*$AC$17+I976*$AC$18+J976*$AC$19+K976*$AC$20+L976*$AC$21+M976*$AC$22+N976*$AC$23+O976*$AC$24+P976*$AC$25+Q976*$AC$26+R976*$AC$27+S976*$AC$28+T976*$AC$29+U976*$AC$30</f>
        <v/>
      </c>
      <c r="W976" s="6">
        <f>1/(1+EXP(-V976))</f>
        <v/>
      </c>
      <c r="X976" s="8">
        <f>-IF(C976=1,LN(W976),LN(1-W976))</f>
        <v/>
      </c>
      <c r="Y976" s="9">
        <f>IF(W976&gt;$AC$32,1,0)</f>
        <v/>
      </c>
      <c r="Z976">
        <f>IF(Y976=C976,1,0)</f>
        <v/>
      </c>
    </row>
    <row r="977">
      <c r="A977">
        <f>'3 escalar'!A980</f>
        <v/>
      </c>
      <c r="B977" s="5">
        <f>'3 escalar'!U980</f>
        <v/>
      </c>
      <c r="C977">
        <f>'3 escalar'!B980</f>
        <v/>
      </c>
      <c r="D977" s="7">
        <f>'3 escalar'!C980</f>
        <v/>
      </c>
      <c r="E977" s="7">
        <f>'3 escalar'!D980</f>
        <v/>
      </c>
      <c r="F977" s="7">
        <f>'3 escalar'!E980</f>
        <v/>
      </c>
      <c r="G977" s="7">
        <f>'3 escalar'!F980</f>
        <v/>
      </c>
      <c r="H977" s="7">
        <f>'3 escalar'!G980</f>
        <v/>
      </c>
      <c r="I977" s="7">
        <f>'3 escalar'!H980</f>
        <v/>
      </c>
      <c r="J977" s="7">
        <f>'3 escalar'!I980</f>
        <v/>
      </c>
      <c r="K977" s="7">
        <f>'3 escalar'!J980</f>
        <v/>
      </c>
      <c r="L977" s="7">
        <f>'3 escalar'!K980</f>
        <v/>
      </c>
      <c r="M977" s="7">
        <f>'3 escalar'!L980</f>
        <v/>
      </c>
      <c r="N977" s="7">
        <f>'3 escalar'!M980</f>
        <v/>
      </c>
      <c r="O977" s="7">
        <f>'3 escalar'!N980</f>
        <v/>
      </c>
      <c r="P977" s="7">
        <f>'3 escalar'!O980</f>
        <v/>
      </c>
      <c r="Q977" s="7">
        <f>'3 escalar'!P980</f>
        <v/>
      </c>
      <c r="R977" s="7">
        <f>'3 escalar'!Q980</f>
        <v/>
      </c>
      <c r="S977" s="7">
        <f>'3 escalar'!R980</f>
        <v/>
      </c>
      <c r="T977" s="7">
        <f>'3 escalar'!S980</f>
        <v/>
      </c>
      <c r="U977" s="7">
        <f>'3 escalar'!T980</f>
        <v/>
      </c>
      <c r="V977" s="6">
        <f>$AC$12+D977*$AC$13+E977*$AC$14+F977*$AC$15+G977*$AC$16+H977*$AC$17+I977*$AC$18+J977*$AC$19+K977*$AC$20+L977*$AC$21+M977*$AC$22+N977*$AC$23+O977*$AC$24+P977*$AC$25+Q977*$AC$26+R977*$AC$27+S977*$AC$28+T977*$AC$29+U977*$AC$30</f>
        <v/>
      </c>
      <c r="W977" s="6">
        <f>1/(1+EXP(-V977))</f>
        <v/>
      </c>
      <c r="X977" s="8">
        <f>-IF(C977=1,LN(W977),LN(1-W977))</f>
        <v/>
      </c>
      <c r="Y977" s="9">
        <f>IF(W977&gt;$AC$32,1,0)</f>
        <v/>
      </c>
      <c r="Z977">
        <f>IF(Y977=C977,1,0)</f>
        <v/>
      </c>
    </row>
    <row r="978">
      <c r="A978">
        <f>'3 escalar'!A981</f>
        <v/>
      </c>
      <c r="B978" s="5">
        <f>'3 escalar'!U981</f>
        <v/>
      </c>
      <c r="C978">
        <f>'3 escalar'!B981</f>
        <v/>
      </c>
      <c r="D978" s="7">
        <f>'3 escalar'!C981</f>
        <v/>
      </c>
      <c r="E978" s="7">
        <f>'3 escalar'!D981</f>
        <v/>
      </c>
      <c r="F978" s="7">
        <f>'3 escalar'!E981</f>
        <v/>
      </c>
      <c r="G978" s="7">
        <f>'3 escalar'!F981</f>
        <v/>
      </c>
      <c r="H978" s="7">
        <f>'3 escalar'!G981</f>
        <v/>
      </c>
      <c r="I978" s="7">
        <f>'3 escalar'!H981</f>
        <v/>
      </c>
      <c r="J978" s="7">
        <f>'3 escalar'!I981</f>
        <v/>
      </c>
      <c r="K978" s="7">
        <f>'3 escalar'!J981</f>
        <v/>
      </c>
      <c r="L978" s="7">
        <f>'3 escalar'!K981</f>
        <v/>
      </c>
      <c r="M978" s="7">
        <f>'3 escalar'!L981</f>
        <v/>
      </c>
      <c r="N978" s="7">
        <f>'3 escalar'!M981</f>
        <v/>
      </c>
      <c r="O978" s="7">
        <f>'3 escalar'!N981</f>
        <v/>
      </c>
      <c r="P978" s="7">
        <f>'3 escalar'!O981</f>
        <v/>
      </c>
      <c r="Q978" s="7">
        <f>'3 escalar'!P981</f>
        <v/>
      </c>
      <c r="R978" s="7">
        <f>'3 escalar'!Q981</f>
        <v/>
      </c>
      <c r="S978" s="7">
        <f>'3 escalar'!R981</f>
        <v/>
      </c>
      <c r="T978" s="7">
        <f>'3 escalar'!S981</f>
        <v/>
      </c>
      <c r="U978" s="7">
        <f>'3 escalar'!T981</f>
        <v/>
      </c>
      <c r="V978" s="6">
        <f>$AC$12+D978*$AC$13+E978*$AC$14+F978*$AC$15+G978*$AC$16+H978*$AC$17+I978*$AC$18+J978*$AC$19+K978*$AC$20+L978*$AC$21+M978*$AC$22+N978*$AC$23+O978*$AC$24+P978*$AC$25+Q978*$AC$26+R978*$AC$27+S978*$AC$28+T978*$AC$29+U978*$AC$30</f>
        <v/>
      </c>
      <c r="W978" s="6">
        <f>1/(1+EXP(-V978))</f>
        <v/>
      </c>
      <c r="X978" s="8">
        <f>-IF(C978=1,LN(W978),LN(1-W978))</f>
        <v/>
      </c>
      <c r="Y978" s="9">
        <f>IF(W978&gt;$AC$32,1,0)</f>
        <v/>
      </c>
      <c r="Z978">
        <f>IF(Y978=C978,1,0)</f>
        <v/>
      </c>
    </row>
    <row r="979">
      <c r="A979">
        <f>'3 escalar'!A982</f>
        <v/>
      </c>
      <c r="B979" s="5">
        <f>'3 escalar'!U982</f>
        <v/>
      </c>
      <c r="C979">
        <f>'3 escalar'!B982</f>
        <v/>
      </c>
      <c r="D979" s="7">
        <f>'3 escalar'!C982</f>
        <v/>
      </c>
      <c r="E979" s="7">
        <f>'3 escalar'!D982</f>
        <v/>
      </c>
      <c r="F979" s="7">
        <f>'3 escalar'!E982</f>
        <v/>
      </c>
      <c r="G979" s="7">
        <f>'3 escalar'!F982</f>
        <v/>
      </c>
      <c r="H979" s="7">
        <f>'3 escalar'!G982</f>
        <v/>
      </c>
      <c r="I979" s="7">
        <f>'3 escalar'!H982</f>
        <v/>
      </c>
      <c r="J979" s="7">
        <f>'3 escalar'!I982</f>
        <v/>
      </c>
      <c r="K979" s="7">
        <f>'3 escalar'!J982</f>
        <v/>
      </c>
      <c r="L979" s="7">
        <f>'3 escalar'!K982</f>
        <v/>
      </c>
      <c r="M979" s="7">
        <f>'3 escalar'!L982</f>
        <v/>
      </c>
      <c r="N979" s="7">
        <f>'3 escalar'!M982</f>
        <v/>
      </c>
      <c r="O979" s="7">
        <f>'3 escalar'!N982</f>
        <v/>
      </c>
      <c r="P979" s="7">
        <f>'3 escalar'!O982</f>
        <v/>
      </c>
      <c r="Q979" s="7">
        <f>'3 escalar'!P982</f>
        <v/>
      </c>
      <c r="R979" s="7">
        <f>'3 escalar'!Q982</f>
        <v/>
      </c>
      <c r="S979" s="7">
        <f>'3 escalar'!R982</f>
        <v/>
      </c>
      <c r="T979" s="7">
        <f>'3 escalar'!S982</f>
        <v/>
      </c>
      <c r="U979" s="7">
        <f>'3 escalar'!T982</f>
        <v/>
      </c>
      <c r="V979" s="6">
        <f>$AC$12+D979*$AC$13+E979*$AC$14+F979*$AC$15+G979*$AC$16+H979*$AC$17+I979*$AC$18+J979*$AC$19+K979*$AC$20+L979*$AC$21+M979*$AC$22+N979*$AC$23+O979*$AC$24+P979*$AC$25+Q979*$AC$26+R979*$AC$27+S979*$AC$28+T979*$AC$29+U979*$AC$30</f>
        <v/>
      </c>
      <c r="W979" s="6">
        <f>1/(1+EXP(-V979))</f>
        <v/>
      </c>
      <c r="X979" s="8">
        <f>-IF(C979=1,LN(W979),LN(1-W979))</f>
        <v/>
      </c>
      <c r="Y979" s="9">
        <f>IF(W979&gt;$AC$32,1,0)</f>
        <v/>
      </c>
      <c r="Z979">
        <f>IF(Y979=C979,1,0)</f>
        <v/>
      </c>
    </row>
    <row r="980">
      <c r="A980">
        <f>'3 escalar'!A983</f>
        <v/>
      </c>
      <c r="B980" s="5">
        <f>'3 escalar'!U983</f>
        <v/>
      </c>
      <c r="C980">
        <f>'3 escalar'!B983</f>
        <v/>
      </c>
      <c r="D980" s="7">
        <f>'3 escalar'!C983</f>
        <v/>
      </c>
      <c r="E980" s="7">
        <f>'3 escalar'!D983</f>
        <v/>
      </c>
      <c r="F980" s="7">
        <f>'3 escalar'!E983</f>
        <v/>
      </c>
      <c r="G980" s="7">
        <f>'3 escalar'!F983</f>
        <v/>
      </c>
      <c r="H980" s="7">
        <f>'3 escalar'!G983</f>
        <v/>
      </c>
      <c r="I980" s="7">
        <f>'3 escalar'!H983</f>
        <v/>
      </c>
      <c r="J980" s="7">
        <f>'3 escalar'!I983</f>
        <v/>
      </c>
      <c r="K980" s="7">
        <f>'3 escalar'!J983</f>
        <v/>
      </c>
      <c r="L980" s="7">
        <f>'3 escalar'!K983</f>
        <v/>
      </c>
      <c r="M980" s="7">
        <f>'3 escalar'!L983</f>
        <v/>
      </c>
      <c r="N980" s="7">
        <f>'3 escalar'!M983</f>
        <v/>
      </c>
      <c r="O980" s="7">
        <f>'3 escalar'!N983</f>
        <v/>
      </c>
      <c r="P980" s="7">
        <f>'3 escalar'!O983</f>
        <v/>
      </c>
      <c r="Q980" s="7">
        <f>'3 escalar'!P983</f>
        <v/>
      </c>
      <c r="R980" s="7">
        <f>'3 escalar'!Q983</f>
        <v/>
      </c>
      <c r="S980" s="7">
        <f>'3 escalar'!R983</f>
        <v/>
      </c>
      <c r="T980" s="7">
        <f>'3 escalar'!S983</f>
        <v/>
      </c>
      <c r="U980" s="7">
        <f>'3 escalar'!T983</f>
        <v/>
      </c>
      <c r="V980" s="6">
        <f>$AC$12+D980*$AC$13+E980*$AC$14+F980*$AC$15+G980*$AC$16+H980*$AC$17+I980*$AC$18+J980*$AC$19+K980*$AC$20+L980*$AC$21+M980*$AC$22+N980*$AC$23+O980*$AC$24+P980*$AC$25+Q980*$AC$26+R980*$AC$27+S980*$AC$28+T980*$AC$29+U980*$AC$30</f>
        <v/>
      </c>
      <c r="W980" s="6">
        <f>1/(1+EXP(-V980))</f>
        <v/>
      </c>
      <c r="X980" s="8">
        <f>-IF(C980=1,LN(W980),LN(1-W980))</f>
        <v/>
      </c>
      <c r="Y980" s="9">
        <f>IF(W980&gt;$AC$32,1,0)</f>
        <v/>
      </c>
      <c r="Z980">
        <f>IF(Y980=C980,1,0)</f>
        <v/>
      </c>
    </row>
    <row r="981">
      <c r="A981">
        <f>'3 escalar'!A984</f>
        <v/>
      </c>
      <c r="B981" s="5">
        <f>'3 escalar'!U984</f>
        <v/>
      </c>
      <c r="C981">
        <f>'3 escalar'!B984</f>
        <v/>
      </c>
      <c r="D981" s="7">
        <f>'3 escalar'!C984</f>
        <v/>
      </c>
      <c r="E981" s="7">
        <f>'3 escalar'!D984</f>
        <v/>
      </c>
      <c r="F981" s="7">
        <f>'3 escalar'!E984</f>
        <v/>
      </c>
      <c r="G981" s="7">
        <f>'3 escalar'!F984</f>
        <v/>
      </c>
      <c r="H981" s="7">
        <f>'3 escalar'!G984</f>
        <v/>
      </c>
      <c r="I981" s="7">
        <f>'3 escalar'!H984</f>
        <v/>
      </c>
      <c r="J981" s="7">
        <f>'3 escalar'!I984</f>
        <v/>
      </c>
      <c r="K981" s="7">
        <f>'3 escalar'!J984</f>
        <v/>
      </c>
      <c r="L981" s="7">
        <f>'3 escalar'!K984</f>
        <v/>
      </c>
      <c r="M981" s="7">
        <f>'3 escalar'!L984</f>
        <v/>
      </c>
      <c r="N981" s="7">
        <f>'3 escalar'!M984</f>
        <v/>
      </c>
      <c r="O981" s="7">
        <f>'3 escalar'!N984</f>
        <v/>
      </c>
      <c r="P981" s="7">
        <f>'3 escalar'!O984</f>
        <v/>
      </c>
      <c r="Q981" s="7">
        <f>'3 escalar'!P984</f>
        <v/>
      </c>
      <c r="R981" s="7">
        <f>'3 escalar'!Q984</f>
        <v/>
      </c>
      <c r="S981" s="7">
        <f>'3 escalar'!R984</f>
        <v/>
      </c>
      <c r="T981" s="7">
        <f>'3 escalar'!S984</f>
        <v/>
      </c>
      <c r="U981" s="7">
        <f>'3 escalar'!T984</f>
        <v/>
      </c>
      <c r="V981" s="6">
        <f>$AC$12+D981*$AC$13+E981*$AC$14+F981*$AC$15+G981*$AC$16+H981*$AC$17+I981*$AC$18+J981*$AC$19+K981*$AC$20+L981*$AC$21+M981*$AC$22+N981*$AC$23+O981*$AC$24+P981*$AC$25+Q981*$AC$26+R981*$AC$27+S981*$AC$28+T981*$AC$29+U981*$AC$30</f>
        <v/>
      </c>
      <c r="W981" s="6">
        <f>1/(1+EXP(-V981))</f>
        <v/>
      </c>
      <c r="X981" s="8">
        <f>-IF(C981=1,LN(W981),LN(1-W981))</f>
        <v/>
      </c>
      <c r="Y981" s="9">
        <f>IF(W981&gt;$AC$32,1,0)</f>
        <v/>
      </c>
      <c r="Z981">
        <f>IF(Y981=C981,1,0)</f>
        <v/>
      </c>
    </row>
    <row r="982">
      <c r="A982">
        <f>'3 escalar'!A985</f>
        <v/>
      </c>
      <c r="B982" s="5">
        <f>'3 escalar'!U985</f>
        <v/>
      </c>
      <c r="C982">
        <f>'3 escalar'!B985</f>
        <v/>
      </c>
      <c r="D982" s="7">
        <f>'3 escalar'!C985</f>
        <v/>
      </c>
      <c r="E982" s="7">
        <f>'3 escalar'!D985</f>
        <v/>
      </c>
      <c r="F982" s="7">
        <f>'3 escalar'!E985</f>
        <v/>
      </c>
      <c r="G982" s="7">
        <f>'3 escalar'!F985</f>
        <v/>
      </c>
      <c r="H982" s="7">
        <f>'3 escalar'!G985</f>
        <v/>
      </c>
      <c r="I982" s="7">
        <f>'3 escalar'!H985</f>
        <v/>
      </c>
      <c r="J982" s="7">
        <f>'3 escalar'!I985</f>
        <v/>
      </c>
      <c r="K982" s="7">
        <f>'3 escalar'!J985</f>
        <v/>
      </c>
      <c r="L982" s="7">
        <f>'3 escalar'!K985</f>
        <v/>
      </c>
      <c r="M982" s="7">
        <f>'3 escalar'!L985</f>
        <v/>
      </c>
      <c r="N982" s="7">
        <f>'3 escalar'!M985</f>
        <v/>
      </c>
      <c r="O982" s="7">
        <f>'3 escalar'!N985</f>
        <v/>
      </c>
      <c r="P982" s="7">
        <f>'3 escalar'!O985</f>
        <v/>
      </c>
      <c r="Q982" s="7">
        <f>'3 escalar'!P985</f>
        <v/>
      </c>
      <c r="R982" s="7">
        <f>'3 escalar'!Q985</f>
        <v/>
      </c>
      <c r="S982" s="7">
        <f>'3 escalar'!R985</f>
        <v/>
      </c>
      <c r="T982" s="7">
        <f>'3 escalar'!S985</f>
        <v/>
      </c>
      <c r="U982" s="7">
        <f>'3 escalar'!T985</f>
        <v/>
      </c>
      <c r="V982" s="6">
        <f>$AC$12+D982*$AC$13+E982*$AC$14+F982*$AC$15+G982*$AC$16+H982*$AC$17+I982*$AC$18+J982*$AC$19+K982*$AC$20+L982*$AC$21+M982*$AC$22+N982*$AC$23+O982*$AC$24+P982*$AC$25+Q982*$AC$26+R982*$AC$27+S982*$AC$28+T982*$AC$29+U982*$AC$30</f>
        <v/>
      </c>
      <c r="W982" s="6">
        <f>1/(1+EXP(-V982))</f>
        <v/>
      </c>
      <c r="X982" s="8">
        <f>-IF(C982=1,LN(W982),LN(1-W982))</f>
        <v/>
      </c>
      <c r="Y982" s="9">
        <f>IF(W982&gt;$AC$32,1,0)</f>
        <v/>
      </c>
      <c r="Z982">
        <f>IF(Y982=C982,1,0)</f>
        <v/>
      </c>
    </row>
    <row r="983">
      <c r="A983">
        <f>'3 escalar'!A986</f>
        <v/>
      </c>
      <c r="B983" s="5">
        <f>'3 escalar'!U986</f>
        <v/>
      </c>
      <c r="C983">
        <f>'3 escalar'!B986</f>
        <v/>
      </c>
      <c r="D983" s="7">
        <f>'3 escalar'!C986</f>
        <v/>
      </c>
      <c r="E983" s="7">
        <f>'3 escalar'!D986</f>
        <v/>
      </c>
      <c r="F983" s="7">
        <f>'3 escalar'!E986</f>
        <v/>
      </c>
      <c r="G983" s="7">
        <f>'3 escalar'!F986</f>
        <v/>
      </c>
      <c r="H983" s="7">
        <f>'3 escalar'!G986</f>
        <v/>
      </c>
      <c r="I983" s="7">
        <f>'3 escalar'!H986</f>
        <v/>
      </c>
      <c r="J983" s="7">
        <f>'3 escalar'!I986</f>
        <v/>
      </c>
      <c r="K983" s="7">
        <f>'3 escalar'!J986</f>
        <v/>
      </c>
      <c r="L983" s="7">
        <f>'3 escalar'!K986</f>
        <v/>
      </c>
      <c r="M983" s="7">
        <f>'3 escalar'!L986</f>
        <v/>
      </c>
      <c r="N983" s="7">
        <f>'3 escalar'!M986</f>
        <v/>
      </c>
      <c r="O983" s="7">
        <f>'3 escalar'!N986</f>
        <v/>
      </c>
      <c r="P983" s="7">
        <f>'3 escalar'!O986</f>
        <v/>
      </c>
      <c r="Q983" s="7">
        <f>'3 escalar'!P986</f>
        <v/>
      </c>
      <c r="R983" s="7">
        <f>'3 escalar'!Q986</f>
        <v/>
      </c>
      <c r="S983" s="7">
        <f>'3 escalar'!R986</f>
        <v/>
      </c>
      <c r="T983" s="7">
        <f>'3 escalar'!S986</f>
        <v/>
      </c>
      <c r="U983" s="7">
        <f>'3 escalar'!T986</f>
        <v/>
      </c>
      <c r="V983" s="6">
        <f>$AC$12+D983*$AC$13+E983*$AC$14+F983*$AC$15+G983*$AC$16+H983*$AC$17+I983*$AC$18+J983*$AC$19+K983*$AC$20+L983*$AC$21+M983*$AC$22+N983*$AC$23+O983*$AC$24+P983*$AC$25+Q983*$AC$26+R983*$AC$27+S983*$AC$28+T983*$AC$29+U983*$AC$30</f>
        <v/>
      </c>
      <c r="W983" s="6">
        <f>1/(1+EXP(-V983))</f>
        <v/>
      </c>
      <c r="X983" s="8">
        <f>-IF(C983=1,LN(W983),LN(1-W983))</f>
        <v/>
      </c>
      <c r="Y983" s="9">
        <f>IF(W983&gt;$AC$32,1,0)</f>
        <v/>
      </c>
      <c r="Z983">
        <f>IF(Y983=C983,1,0)</f>
        <v/>
      </c>
    </row>
    <row r="984">
      <c r="A984">
        <f>'3 escalar'!A987</f>
        <v/>
      </c>
      <c r="B984" s="5">
        <f>'3 escalar'!U987</f>
        <v/>
      </c>
      <c r="C984">
        <f>'3 escalar'!B987</f>
        <v/>
      </c>
      <c r="D984" s="7">
        <f>'3 escalar'!C987</f>
        <v/>
      </c>
      <c r="E984" s="7">
        <f>'3 escalar'!D987</f>
        <v/>
      </c>
      <c r="F984" s="7">
        <f>'3 escalar'!E987</f>
        <v/>
      </c>
      <c r="G984" s="7">
        <f>'3 escalar'!F987</f>
        <v/>
      </c>
      <c r="H984" s="7">
        <f>'3 escalar'!G987</f>
        <v/>
      </c>
      <c r="I984" s="7">
        <f>'3 escalar'!H987</f>
        <v/>
      </c>
      <c r="J984" s="7">
        <f>'3 escalar'!I987</f>
        <v/>
      </c>
      <c r="K984" s="7">
        <f>'3 escalar'!J987</f>
        <v/>
      </c>
      <c r="L984" s="7">
        <f>'3 escalar'!K987</f>
        <v/>
      </c>
      <c r="M984" s="7">
        <f>'3 escalar'!L987</f>
        <v/>
      </c>
      <c r="N984" s="7">
        <f>'3 escalar'!M987</f>
        <v/>
      </c>
      <c r="O984" s="7">
        <f>'3 escalar'!N987</f>
        <v/>
      </c>
      <c r="P984" s="7">
        <f>'3 escalar'!O987</f>
        <v/>
      </c>
      <c r="Q984" s="7">
        <f>'3 escalar'!P987</f>
        <v/>
      </c>
      <c r="R984" s="7">
        <f>'3 escalar'!Q987</f>
        <v/>
      </c>
      <c r="S984" s="7">
        <f>'3 escalar'!R987</f>
        <v/>
      </c>
      <c r="T984" s="7">
        <f>'3 escalar'!S987</f>
        <v/>
      </c>
      <c r="U984" s="7">
        <f>'3 escalar'!T987</f>
        <v/>
      </c>
      <c r="V984" s="6">
        <f>$AC$12+D984*$AC$13+E984*$AC$14+F984*$AC$15+G984*$AC$16+H984*$AC$17+I984*$AC$18+J984*$AC$19+K984*$AC$20+L984*$AC$21+M984*$AC$22+N984*$AC$23+O984*$AC$24+P984*$AC$25+Q984*$AC$26+R984*$AC$27+S984*$AC$28+T984*$AC$29+U984*$AC$30</f>
        <v/>
      </c>
      <c r="W984" s="6">
        <f>1/(1+EXP(-V984))</f>
        <v/>
      </c>
      <c r="X984" s="8">
        <f>-IF(C984=1,LN(W984),LN(1-W984))</f>
        <v/>
      </c>
      <c r="Y984" s="9">
        <f>IF(W984&gt;$AC$32,1,0)</f>
        <v/>
      </c>
      <c r="Z984">
        <f>IF(Y984=C984,1,0)</f>
        <v/>
      </c>
    </row>
    <row r="985">
      <c r="A985">
        <f>'3 escalar'!A988</f>
        <v/>
      </c>
      <c r="B985" s="5">
        <f>'3 escalar'!U988</f>
        <v/>
      </c>
      <c r="C985">
        <f>'3 escalar'!B988</f>
        <v/>
      </c>
      <c r="D985" s="7">
        <f>'3 escalar'!C988</f>
        <v/>
      </c>
      <c r="E985" s="7">
        <f>'3 escalar'!D988</f>
        <v/>
      </c>
      <c r="F985" s="7">
        <f>'3 escalar'!E988</f>
        <v/>
      </c>
      <c r="G985" s="7">
        <f>'3 escalar'!F988</f>
        <v/>
      </c>
      <c r="H985" s="7">
        <f>'3 escalar'!G988</f>
        <v/>
      </c>
      <c r="I985" s="7">
        <f>'3 escalar'!H988</f>
        <v/>
      </c>
      <c r="J985" s="7">
        <f>'3 escalar'!I988</f>
        <v/>
      </c>
      <c r="K985" s="7">
        <f>'3 escalar'!J988</f>
        <v/>
      </c>
      <c r="L985" s="7">
        <f>'3 escalar'!K988</f>
        <v/>
      </c>
      <c r="M985" s="7">
        <f>'3 escalar'!L988</f>
        <v/>
      </c>
      <c r="N985" s="7">
        <f>'3 escalar'!M988</f>
        <v/>
      </c>
      <c r="O985" s="7">
        <f>'3 escalar'!N988</f>
        <v/>
      </c>
      <c r="P985" s="7">
        <f>'3 escalar'!O988</f>
        <v/>
      </c>
      <c r="Q985" s="7">
        <f>'3 escalar'!P988</f>
        <v/>
      </c>
      <c r="R985" s="7">
        <f>'3 escalar'!Q988</f>
        <v/>
      </c>
      <c r="S985" s="7">
        <f>'3 escalar'!R988</f>
        <v/>
      </c>
      <c r="T985" s="7">
        <f>'3 escalar'!S988</f>
        <v/>
      </c>
      <c r="U985" s="7">
        <f>'3 escalar'!T988</f>
        <v/>
      </c>
      <c r="V985" s="6">
        <f>$AC$12+D985*$AC$13+E985*$AC$14+F985*$AC$15+G985*$AC$16+H985*$AC$17+I985*$AC$18+J985*$AC$19+K985*$AC$20+L985*$AC$21+M985*$AC$22+N985*$AC$23+O985*$AC$24+P985*$AC$25+Q985*$AC$26+R985*$AC$27+S985*$AC$28+T985*$AC$29+U985*$AC$30</f>
        <v/>
      </c>
      <c r="W985" s="6">
        <f>1/(1+EXP(-V985))</f>
        <v/>
      </c>
      <c r="X985" s="8">
        <f>-IF(C985=1,LN(W985),LN(1-W985))</f>
        <v/>
      </c>
      <c r="Y985" s="9">
        <f>IF(W985&gt;$AC$32,1,0)</f>
        <v/>
      </c>
      <c r="Z985">
        <f>IF(Y985=C985,1,0)</f>
        <v/>
      </c>
    </row>
    <row r="986">
      <c r="A986">
        <f>'3 escalar'!A989</f>
        <v/>
      </c>
      <c r="B986" s="5">
        <f>'3 escalar'!U989</f>
        <v/>
      </c>
      <c r="C986">
        <f>'3 escalar'!B989</f>
        <v/>
      </c>
      <c r="D986" s="7">
        <f>'3 escalar'!C989</f>
        <v/>
      </c>
      <c r="E986" s="7">
        <f>'3 escalar'!D989</f>
        <v/>
      </c>
      <c r="F986" s="7">
        <f>'3 escalar'!E989</f>
        <v/>
      </c>
      <c r="G986" s="7">
        <f>'3 escalar'!F989</f>
        <v/>
      </c>
      <c r="H986" s="7">
        <f>'3 escalar'!G989</f>
        <v/>
      </c>
      <c r="I986" s="7">
        <f>'3 escalar'!H989</f>
        <v/>
      </c>
      <c r="J986" s="7">
        <f>'3 escalar'!I989</f>
        <v/>
      </c>
      <c r="K986" s="7">
        <f>'3 escalar'!J989</f>
        <v/>
      </c>
      <c r="L986" s="7">
        <f>'3 escalar'!K989</f>
        <v/>
      </c>
      <c r="M986" s="7">
        <f>'3 escalar'!L989</f>
        <v/>
      </c>
      <c r="N986" s="7">
        <f>'3 escalar'!M989</f>
        <v/>
      </c>
      <c r="O986" s="7">
        <f>'3 escalar'!N989</f>
        <v/>
      </c>
      <c r="P986" s="7">
        <f>'3 escalar'!O989</f>
        <v/>
      </c>
      <c r="Q986" s="7">
        <f>'3 escalar'!P989</f>
        <v/>
      </c>
      <c r="R986" s="7">
        <f>'3 escalar'!Q989</f>
        <v/>
      </c>
      <c r="S986" s="7">
        <f>'3 escalar'!R989</f>
        <v/>
      </c>
      <c r="T986" s="7">
        <f>'3 escalar'!S989</f>
        <v/>
      </c>
      <c r="U986" s="7">
        <f>'3 escalar'!T989</f>
        <v/>
      </c>
      <c r="V986" s="6">
        <f>$AC$12+D986*$AC$13+E986*$AC$14+F986*$AC$15+G986*$AC$16+H986*$AC$17+I986*$AC$18+J986*$AC$19+K986*$AC$20+L986*$AC$21+M986*$AC$22+N986*$AC$23+O986*$AC$24+P986*$AC$25+Q986*$AC$26+R986*$AC$27+S986*$AC$28+T986*$AC$29+U986*$AC$30</f>
        <v/>
      </c>
      <c r="W986" s="6">
        <f>1/(1+EXP(-V986))</f>
        <v/>
      </c>
      <c r="X986" s="8">
        <f>-IF(C986=1,LN(W986),LN(1-W986))</f>
        <v/>
      </c>
      <c r="Y986" s="9">
        <f>IF(W986&gt;$AC$32,1,0)</f>
        <v/>
      </c>
      <c r="Z986">
        <f>IF(Y986=C986,1,0)</f>
        <v/>
      </c>
    </row>
    <row r="987">
      <c r="A987">
        <f>'3 escalar'!A990</f>
        <v/>
      </c>
      <c r="B987" s="5">
        <f>'3 escalar'!U990</f>
        <v/>
      </c>
      <c r="C987">
        <f>'3 escalar'!B990</f>
        <v/>
      </c>
      <c r="D987" s="7">
        <f>'3 escalar'!C990</f>
        <v/>
      </c>
      <c r="E987" s="7">
        <f>'3 escalar'!D990</f>
        <v/>
      </c>
      <c r="F987" s="7">
        <f>'3 escalar'!E990</f>
        <v/>
      </c>
      <c r="G987" s="7">
        <f>'3 escalar'!F990</f>
        <v/>
      </c>
      <c r="H987" s="7">
        <f>'3 escalar'!G990</f>
        <v/>
      </c>
      <c r="I987" s="7">
        <f>'3 escalar'!H990</f>
        <v/>
      </c>
      <c r="J987" s="7">
        <f>'3 escalar'!I990</f>
        <v/>
      </c>
      <c r="K987" s="7">
        <f>'3 escalar'!J990</f>
        <v/>
      </c>
      <c r="L987" s="7">
        <f>'3 escalar'!K990</f>
        <v/>
      </c>
      <c r="M987" s="7">
        <f>'3 escalar'!L990</f>
        <v/>
      </c>
      <c r="N987" s="7">
        <f>'3 escalar'!M990</f>
        <v/>
      </c>
      <c r="O987" s="7">
        <f>'3 escalar'!N990</f>
        <v/>
      </c>
      <c r="P987" s="7">
        <f>'3 escalar'!O990</f>
        <v/>
      </c>
      <c r="Q987" s="7">
        <f>'3 escalar'!P990</f>
        <v/>
      </c>
      <c r="R987" s="7">
        <f>'3 escalar'!Q990</f>
        <v/>
      </c>
      <c r="S987" s="7">
        <f>'3 escalar'!R990</f>
        <v/>
      </c>
      <c r="T987" s="7">
        <f>'3 escalar'!S990</f>
        <v/>
      </c>
      <c r="U987" s="7">
        <f>'3 escalar'!T990</f>
        <v/>
      </c>
      <c r="V987" s="6">
        <f>$AC$12+D987*$AC$13+E987*$AC$14+F987*$AC$15+G987*$AC$16+H987*$AC$17+I987*$AC$18+J987*$AC$19+K987*$AC$20+L987*$AC$21+M987*$AC$22+N987*$AC$23+O987*$AC$24+P987*$AC$25+Q987*$AC$26+R987*$AC$27+S987*$AC$28+T987*$AC$29+U987*$AC$30</f>
        <v/>
      </c>
      <c r="W987" s="6">
        <f>1/(1+EXP(-V987))</f>
        <v/>
      </c>
      <c r="X987" s="8">
        <f>-IF(C987=1,LN(W987),LN(1-W987))</f>
        <v/>
      </c>
      <c r="Y987" s="9">
        <f>IF(W987&gt;$AC$32,1,0)</f>
        <v/>
      </c>
      <c r="Z987">
        <f>IF(Y987=C987,1,0)</f>
        <v/>
      </c>
    </row>
    <row r="988">
      <c r="A988">
        <f>'3 escalar'!A991</f>
        <v/>
      </c>
      <c r="B988" s="5">
        <f>'3 escalar'!U991</f>
        <v/>
      </c>
      <c r="C988">
        <f>'3 escalar'!B991</f>
        <v/>
      </c>
      <c r="D988" s="7">
        <f>'3 escalar'!C991</f>
        <v/>
      </c>
      <c r="E988" s="7">
        <f>'3 escalar'!D991</f>
        <v/>
      </c>
      <c r="F988" s="7">
        <f>'3 escalar'!E991</f>
        <v/>
      </c>
      <c r="G988" s="7">
        <f>'3 escalar'!F991</f>
        <v/>
      </c>
      <c r="H988" s="7">
        <f>'3 escalar'!G991</f>
        <v/>
      </c>
      <c r="I988" s="7">
        <f>'3 escalar'!H991</f>
        <v/>
      </c>
      <c r="J988" s="7">
        <f>'3 escalar'!I991</f>
        <v/>
      </c>
      <c r="K988" s="7">
        <f>'3 escalar'!J991</f>
        <v/>
      </c>
      <c r="L988" s="7">
        <f>'3 escalar'!K991</f>
        <v/>
      </c>
      <c r="M988" s="7">
        <f>'3 escalar'!L991</f>
        <v/>
      </c>
      <c r="N988" s="7">
        <f>'3 escalar'!M991</f>
        <v/>
      </c>
      <c r="O988" s="7">
        <f>'3 escalar'!N991</f>
        <v/>
      </c>
      <c r="P988" s="7">
        <f>'3 escalar'!O991</f>
        <v/>
      </c>
      <c r="Q988" s="7">
        <f>'3 escalar'!P991</f>
        <v/>
      </c>
      <c r="R988" s="7">
        <f>'3 escalar'!Q991</f>
        <v/>
      </c>
      <c r="S988" s="7">
        <f>'3 escalar'!R991</f>
        <v/>
      </c>
      <c r="T988" s="7">
        <f>'3 escalar'!S991</f>
        <v/>
      </c>
      <c r="U988" s="7">
        <f>'3 escalar'!T991</f>
        <v/>
      </c>
      <c r="V988" s="6">
        <f>$AC$12+D988*$AC$13+E988*$AC$14+F988*$AC$15+G988*$AC$16+H988*$AC$17+I988*$AC$18+J988*$AC$19+K988*$AC$20+L988*$AC$21+M988*$AC$22+N988*$AC$23+O988*$AC$24+P988*$AC$25+Q988*$AC$26+R988*$AC$27+S988*$AC$28+T988*$AC$29+U988*$AC$30</f>
        <v/>
      </c>
      <c r="W988" s="6">
        <f>1/(1+EXP(-V988))</f>
        <v/>
      </c>
      <c r="X988" s="8">
        <f>-IF(C988=1,LN(W988),LN(1-W988))</f>
        <v/>
      </c>
      <c r="Y988" s="9">
        <f>IF(W988&gt;$AC$32,1,0)</f>
        <v/>
      </c>
      <c r="Z988">
        <f>IF(Y988=C988,1,0)</f>
        <v/>
      </c>
    </row>
    <row r="989">
      <c r="A989">
        <f>'3 escalar'!A992</f>
        <v/>
      </c>
      <c r="B989" s="5">
        <f>'3 escalar'!U992</f>
        <v/>
      </c>
      <c r="C989">
        <f>'3 escalar'!B992</f>
        <v/>
      </c>
      <c r="D989" s="7">
        <f>'3 escalar'!C992</f>
        <v/>
      </c>
      <c r="E989" s="7">
        <f>'3 escalar'!D992</f>
        <v/>
      </c>
      <c r="F989" s="7">
        <f>'3 escalar'!E992</f>
        <v/>
      </c>
      <c r="G989" s="7">
        <f>'3 escalar'!F992</f>
        <v/>
      </c>
      <c r="H989" s="7">
        <f>'3 escalar'!G992</f>
        <v/>
      </c>
      <c r="I989" s="7">
        <f>'3 escalar'!H992</f>
        <v/>
      </c>
      <c r="J989" s="7">
        <f>'3 escalar'!I992</f>
        <v/>
      </c>
      <c r="K989" s="7">
        <f>'3 escalar'!J992</f>
        <v/>
      </c>
      <c r="L989" s="7">
        <f>'3 escalar'!K992</f>
        <v/>
      </c>
      <c r="M989" s="7">
        <f>'3 escalar'!L992</f>
        <v/>
      </c>
      <c r="N989" s="7">
        <f>'3 escalar'!M992</f>
        <v/>
      </c>
      <c r="O989" s="7">
        <f>'3 escalar'!N992</f>
        <v/>
      </c>
      <c r="P989" s="7">
        <f>'3 escalar'!O992</f>
        <v/>
      </c>
      <c r="Q989" s="7">
        <f>'3 escalar'!P992</f>
        <v/>
      </c>
      <c r="R989" s="7">
        <f>'3 escalar'!Q992</f>
        <v/>
      </c>
      <c r="S989" s="7">
        <f>'3 escalar'!R992</f>
        <v/>
      </c>
      <c r="T989" s="7">
        <f>'3 escalar'!S992</f>
        <v/>
      </c>
      <c r="U989" s="7">
        <f>'3 escalar'!T992</f>
        <v/>
      </c>
      <c r="V989" s="6">
        <f>$AC$12+D989*$AC$13+E989*$AC$14+F989*$AC$15+G989*$AC$16+H989*$AC$17+I989*$AC$18+J989*$AC$19+K989*$AC$20+L989*$AC$21+M989*$AC$22+N989*$AC$23+O989*$AC$24+P989*$AC$25+Q989*$AC$26+R989*$AC$27+S989*$AC$28+T989*$AC$29+U989*$AC$30</f>
        <v/>
      </c>
      <c r="W989" s="6">
        <f>1/(1+EXP(-V989))</f>
        <v/>
      </c>
      <c r="X989" s="8">
        <f>-IF(C989=1,LN(W989),LN(1-W989))</f>
        <v/>
      </c>
      <c r="Y989" s="9">
        <f>IF(W989&gt;$AC$32,1,0)</f>
        <v/>
      </c>
      <c r="Z989">
        <f>IF(Y989=C989,1,0)</f>
        <v/>
      </c>
    </row>
    <row r="990">
      <c r="A990">
        <f>'3 escalar'!A993</f>
        <v/>
      </c>
      <c r="B990" s="5">
        <f>'3 escalar'!U993</f>
        <v/>
      </c>
      <c r="C990">
        <f>'3 escalar'!B993</f>
        <v/>
      </c>
      <c r="D990" s="7">
        <f>'3 escalar'!C993</f>
        <v/>
      </c>
      <c r="E990" s="7">
        <f>'3 escalar'!D993</f>
        <v/>
      </c>
      <c r="F990" s="7">
        <f>'3 escalar'!E993</f>
        <v/>
      </c>
      <c r="G990" s="7">
        <f>'3 escalar'!F993</f>
        <v/>
      </c>
      <c r="H990" s="7">
        <f>'3 escalar'!G993</f>
        <v/>
      </c>
      <c r="I990" s="7">
        <f>'3 escalar'!H993</f>
        <v/>
      </c>
      <c r="J990" s="7">
        <f>'3 escalar'!I993</f>
        <v/>
      </c>
      <c r="K990" s="7">
        <f>'3 escalar'!J993</f>
        <v/>
      </c>
      <c r="L990" s="7">
        <f>'3 escalar'!K993</f>
        <v/>
      </c>
      <c r="M990" s="7">
        <f>'3 escalar'!L993</f>
        <v/>
      </c>
      <c r="N990" s="7">
        <f>'3 escalar'!M993</f>
        <v/>
      </c>
      <c r="O990" s="7">
        <f>'3 escalar'!N993</f>
        <v/>
      </c>
      <c r="P990" s="7">
        <f>'3 escalar'!O993</f>
        <v/>
      </c>
      <c r="Q990" s="7">
        <f>'3 escalar'!P993</f>
        <v/>
      </c>
      <c r="R990" s="7">
        <f>'3 escalar'!Q993</f>
        <v/>
      </c>
      <c r="S990" s="7">
        <f>'3 escalar'!R993</f>
        <v/>
      </c>
      <c r="T990" s="7">
        <f>'3 escalar'!S993</f>
        <v/>
      </c>
      <c r="U990" s="7">
        <f>'3 escalar'!T993</f>
        <v/>
      </c>
      <c r="V990" s="6">
        <f>$AC$12+D990*$AC$13+E990*$AC$14+F990*$AC$15+G990*$AC$16+H990*$AC$17+I990*$AC$18+J990*$AC$19+K990*$AC$20+L990*$AC$21+M990*$AC$22+N990*$AC$23+O990*$AC$24+P990*$AC$25+Q990*$AC$26+R990*$AC$27+S990*$AC$28+T990*$AC$29+U990*$AC$30</f>
        <v/>
      </c>
      <c r="W990" s="6">
        <f>1/(1+EXP(-V990))</f>
        <v/>
      </c>
      <c r="X990" s="8">
        <f>-IF(C990=1,LN(W990),LN(1-W990))</f>
        <v/>
      </c>
      <c r="Y990" s="9">
        <f>IF(W990&gt;$AC$32,1,0)</f>
        <v/>
      </c>
      <c r="Z990">
        <f>IF(Y990=C990,1,0)</f>
        <v/>
      </c>
    </row>
    <row r="991">
      <c r="A991">
        <f>'3 escalar'!A994</f>
        <v/>
      </c>
      <c r="B991" s="5">
        <f>'3 escalar'!U994</f>
        <v/>
      </c>
      <c r="C991">
        <f>'3 escalar'!B994</f>
        <v/>
      </c>
      <c r="D991" s="7">
        <f>'3 escalar'!C994</f>
        <v/>
      </c>
      <c r="E991" s="7">
        <f>'3 escalar'!D994</f>
        <v/>
      </c>
      <c r="F991" s="7">
        <f>'3 escalar'!E994</f>
        <v/>
      </c>
      <c r="G991" s="7">
        <f>'3 escalar'!F994</f>
        <v/>
      </c>
      <c r="H991" s="7">
        <f>'3 escalar'!G994</f>
        <v/>
      </c>
      <c r="I991" s="7">
        <f>'3 escalar'!H994</f>
        <v/>
      </c>
      <c r="J991" s="7">
        <f>'3 escalar'!I994</f>
        <v/>
      </c>
      <c r="K991" s="7">
        <f>'3 escalar'!J994</f>
        <v/>
      </c>
      <c r="L991" s="7">
        <f>'3 escalar'!K994</f>
        <v/>
      </c>
      <c r="M991" s="7">
        <f>'3 escalar'!L994</f>
        <v/>
      </c>
      <c r="N991" s="7">
        <f>'3 escalar'!M994</f>
        <v/>
      </c>
      <c r="O991" s="7">
        <f>'3 escalar'!N994</f>
        <v/>
      </c>
      <c r="P991" s="7">
        <f>'3 escalar'!O994</f>
        <v/>
      </c>
      <c r="Q991" s="7">
        <f>'3 escalar'!P994</f>
        <v/>
      </c>
      <c r="R991" s="7">
        <f>'3 escalar'!Q994</f>
        <v/>
      </c>
      <c r="S991" s="7">
        <f>'3 escalar'!R994</f>
        <v/>
      </c>
      <c r="T991" s="7">
        <f>'3 escalar'!S994</f>
        <v/>
      </c>
      <c r="U991" s="7">
        <f>'3 escalar'!T994</f>
        <v/>
      </c>
      <c r="V991" s="6">
        <f>$AC$12+D991*$AC$13+E991*$AC$14+F991*$AC$15+G991*$AC$16+H991*$AC$17+I991*$AC$18+J991*$AC$19+K991*$AC$20+L991*$AC$21+M991*$AC$22+N991*$AC$23+O991*$AC$24+P991*$AC$25+Q991*$AC$26+R991*$AC$27+S991*$AC$28+T991*$AC$29+U991*$AC$30</f>
        <v/>
      </c>
      <c r="W991" s="6">
        <f>1/(1+EXP(-V991))</f>
        <v/>
      </c>
      <c r="X991" s="8">
        <f>-IF(C991=1,LN(W991),LN(1-W991))</f>
        <v/>
      </c>
      <c r="Y991" s="9">
        <f>IF(W991&gt;$AC$32,1,0)</f>
        <v/>
      </c>
      <c r="Z991">
        <f>IF(Y991=C991,1,0)</f>
        <v/>
      </c>
    </row>
    <row r="992">
      <c r="A992">
        <f>'3 escalar'!A995</f>
        <v/>
      </c>
      <c r="B992" s="5">
        <f>'3 escalar'!U995</f>
        <v/>
      </c>
      <c r="C992">
        <f>'3 escalar'!B995</f>
        <v/>
      </c>
      <c r="D992" s="7">
        <f>'3 escalar'!C995</f>
        <v/>
      </c>
      <c r="E992" s="7">
        <f>'3 escalar'!D995</f>
        <v/>
      </c>
      <c r="F992" s="7">
        <f>'3 escalar'!E995</f>
        <v/>
      </c>
      <c r="G992" s="7">
        <f>'3 escalar'!F995</f>
        <v/>
      </c>
      <c r="H992" s="7">
        <f>'3 escalar'!G995</f>
        <v/>
      </c>
      <c r="I992" s="7">
        <f>'3 escalar'!H995</f>
        <v/>
      </c>
      <c r="J992" s="7">
        <f>'3 escalar'!I995</f>
        <v/>
      </c>
      <c r="K992" s="7">
        <f>'3 escalar'!J995</f>
        <v/>
      </c>
      <c r="L992" s="7">
        <f>'3 escalar'!K995</f>
        <v/>
      </c>
      <c r="M992" s="7">
        <f>'3 escalar'!L995</f>
        <v/>
      </c>
      <c r="N992" s="7">
        <f>'3 escalar'!M995</f>
        <v/>
      </c>
      <c r="O992" s="7">
        <f>'3 escalar'!N995</f>
        <v/>
      </c>
      <c r="P992" s="7">
        <f>'3 escalar'!O995</f>
        <v/>
      </c>
      <c r="Q992" s="7">
        <f>'3 escalar'!P995</f>
        <v/>
      </c>
      <c r="R992" s="7">
        <f>'3 escalar'!Q995</f>
        <v/>
      </c>
      <c r="S992" s="7">
        <f>'3 escalar'!R995</f>
        <v/>
      </c>
      <c r="T992" s="7">
        <f>'3 escalar'!S995</f>
        <v/>
      </c>
      <c r="U992" s="7">
        <f>'3 escalar'!T995</f>
        <v/>
      </c>
      <c r="V992" s="6">
        <f>$AC$12+D992*$AC$13+E992*$AC$14+F992*$AC$15+G992*$AC$16+H992*$AC$17+I992*$AC$18+J992*$AC$19+K992*$AC$20+L992*$AC$21+M992*$AC$22+N992*$AC$23+O992*$AC$24+P992*$AC$25+Q992*$AC$26+R992*$AC$27+S992*$AC$28+T992*$AC$29+U992*$AC$30</f>
        <v/>
      </c>
      <c r="W992" s="6">
        <f>1/(1+EXP(-V992))</f>
        <v/>
      </c>
      <c r="X992" s="8">
        <f>-IF(C992=1,LN(W992),LN(1-W992))</f>
        <v/>
      </c>
      <c r="Y992" s="9">
        <f>IF(W992&gt;$AC$32,1,0)</f>
        <v/>
      </c>
      <c r="Z992">
        <f>IF(Y992=C992,1,0)</f>
        <v/>
      </c>
    </row>
    <row r="993">
      <c r="A993">
        <f>'3 escalar'!A996</f>
        <v/>
      </c>
      <c r="B993" s="5">
        <f>'3 escalar'!U996</f>
        <v/>
      </c>
      <c r="C993">
        <f>'3 escalar'!B996</f>
        <v/>
      </c>
      <c r="D993" s="7">
        <f>'3 escalar'!C996</f>
        <v/>
      </c>
      <c r="E993" s="7">
        <f>'3 escalar'!D996</f>
        <v/>
      </c>
      <c r="F993" s="7">
        <f>'3 escalar'!E996</f>
        <v/>
      </c>
      <c r="G993" s="7">
        <f>'3 escalar'!F996</f>
        <v/>
      </c>
      <c r="H993" s="7">
        <f>'3 escalar'!G996</f>
        <v/>
      </c>
      <c r="I993" s="7">
        <f>'3 escalar'!H996</f>
        <v/>
      </c>
      <c r="J993" s="7">
        <f>'3 escalar'!I996</f>
        <v/>
      </c>
      <c r="K993" s="7">
        <f>'3 escalar'!J996</f>
        <v/>
      </c>
      <c r="L993" s="7">
        <f>'3 escalar'!K996</f>
        <v/>
      </c>
      <c r="M993" s="7">
        <f>'3 escalar'!L996</f>
        <v/>
      </c>
      <c r="N993" s="7">
        <f>'3 escalar'!M996</f>
        <v/>
      </c>
      <c r="O993" s="7">
        <f>'3 escalar'!N996</f>
        <v/>
      </c>
      <c r="P993" s="7">
        <f>'3 escalar'!O996</f>
        <v/>
      </c>
      <c r="Q993" s="7">
        <f>'3 escalar'!P996</f>
        <v/>
      </c>
      <c r="R993" s="7">
        <f>'3 escalar'!Q996</f>
        <v/>
      </c>
      <c r="S993" s="7">
        <f>'3 escalar'!R996</f>
        <v/>
      </c>
      <c r="T993" s="7">
        <f>'3 escalar'!S996</f>
        <v/>
      </c>
      <c r="U993" s="7">
        <f>'3 escalar'!T996</f>
        <v/>
      </c>
      <c r="V993" s="6">
        <f>$AC$12+D993*$AC$13+E993*$AC$14+F993*$AC$15+G993*$AC$16+H993*$AC$17+I993*$AC$18+J993*$AC$19+K993*$AC$20+L993*$AC$21+M993*$AC$22+N993*$AC$23+O993*$AC$24+P993*$AC$25+Q993*$AC$26+R993*$AC$27+S993*$AC$28+T993*$AC$29+U993*$AC$30</f>
        <v/>
      </c>
      <c r="W993" s="6">
        <f>1/(1+EXP(-V993))</f>
        <v/>
      </c>
      <c r="X993" s="8">
        <f>-IF(C993=1,LN(W993),LN(1-W993))</f>
        <v/>
      </c>
      <c r="Y993" s="9">
        <f>IF(W993&gt;$AC$32,1,0)</f>
        <v/>
      </c>
      <c r="Z993">
        <f>IF(Y993=C993,1,0)</f>
        <v/>
      </c>
    </row>
    <row r="994">
      <c r="A994">
        <f>'3 escalar'!A997</f>
        <v/>
      </c>
      <c r="B994" s="5">
        <f>'3 escalar'!U997</f>
        <v/>
      </c>
      <c r="C994">
        <f>'3 escalar'!B997</f>
        <v/>
      </c>
      <c r="D994" s="7">
        <f>'3 escalar'!C997</f>
        <v/>
      </c>
      <c r="E994" s="7">
        <f>'3 escalar'!D997</f>
        <v/>
      </c>
      <c r="F994" s="7">
        <f>'3 escalar'!E997</f>
        <v/>
      </c>
      <c r="G994" s="7">
        <f>'3 escalar'!F997</f>
        <v/>
      </c>
      <c r="H994" s="7">
        <f>'3 escalar'!G997</f>
        <v/>
      </c>
      <c r="I994" s="7">
        <f>'3 escalar'!H997</f>
        <v/>
      </c>
      <c r="J994" s="7">
        <f>'3 escalar'!I997</f>
        <v/>
      </c>
      <c r="K994" s="7">
        <f>'3 escalar'!J997</f>
        <v/>
      </c>
      <c r="L994" s="7">
        <f>'3 escalar'!K997</f>
        <v/>
      </c>
      <c r="M994" s="7">
        <f>'3 escalar'!L997</f>
        <v/>
      </c>
      <c r="N994" s="7">
        <f>'3 escalar'!M997</f>
        <v/>
      </c>
      <c r="O994" s="7">
        <f>'3 escalar'!N997</f>
        <v/>
      </c>
      <c r="P994" s="7">
        <f>'3 escalar'!O997</f>
        <v/>
      </c>
      <c r="Q994" s="7">
        <f>'3 escalar'!P997</f>
        <v/>
      </c>
      <c r="R994" s="7">
        <f>'3 escalar'!Q997</f>
        <v/>
      </c>
      <c r="S994" s="7">
        <f>'3 escalar'!R997</f>
        <v/>
      </c>
      <c r="T994" s="7">
        <f>'3 escalar'!S997</f>
        <v/>
      </c>
      <c r="U994" s="7">
        <f>'3 escalar'!T997</f>
        <v/>
      </c>
      <c r="V994" s="6">
        <f>$AC$12+D994*$AC$13+E994*$AC$14+F994*$AC$15+G994*$AC$16+H994*$AC$17+I994*$AC$18+J994*$AC$19+K994*$AC$20+L994*$AC$21+M994*$AC$22+N994*$AC$23+O994*$AC$24+P994*$AC$25+Q994*$AC$26+R994*$AC$27+S994*$AC$28+T994*$AC$29+U994*$AC$30</f>
        <v/>
      </c>
      <c r="W994" s="6">
        <f>1/(1+EXP(-V994))</f>
        <v/>
      </c>
      <c r="X994" s="8">
        <f>-IF(C994=1,LN(W994),LN(1-W994))</f>
        <v/>
      </c>
      <c r="Y994" s="9">
        <f>IF(W994&gt;$AC$32,1,0)</f>
        <v/>
      </c>
      <c r="Z994">
        <f>IF(Y994=C994,1,0)</f>
        <v/>
      </c>
    </row>
    <row r="995">
      <c r="A995">
        <f>'3 escalar'!A998</f>
        <v/>
      </c>
      <c r="B995" s="5">
        <f>'3 escalar'!U998</f>
        <v/>
      </c>
      <c r="C995">
        <f>'3 escalar'!B998</f>
        <v/>
      </c>
      <c r="D995" s="7">
        <f>'3 escalar'!C998</f>
        <v/>
      </c>
      <c r="E995" s="7">
        <f>'3 escalar'!D998</f>
        <v/>
      </c>
      <c r="F995" s="7">
        <f>'3 escalar'!E998</f>
        <v/>
      </c>
      <c r="G995" s="7">
        <f>'3 escalar'!F998</f>
        <v/>
      </c>
      <c r="H995" s="7">
        <f>'3 escalar'!G998</f>
        <v/>
      </c>
      <c r="I995" s="7">
        <f>'3 escalar'!H998</f>
        <v/>
      </c>
      <c r="J995" s="7">
        <f>'3 escalar'!I998</f>
        <v/>
      </c>
      <c r="K995" s="7">
        <f>'3 escalar'!J998</f>
        <v/>
      </c>
      <c r="L995" s="7">
        <f>'3 escalar'!K998</f>
        <v/>
      </c>
      <c r="M995" s="7">
        <f>'3 escalar'!L998</f>
        <v/>
      </c>
      <c r="N995" s="7">
        <f>'3 escalar'!M998</f>
        <v/>
      </c>
      <c r="O995" s="7">
        <f>'3 escalar'!N998</f>
        <v/>
      </c>
      <c r="P995" s="7">
        <f>'3 escalar'!O998</f>
        <v/>
      </c>
      <c r="Q995" s="7">
        <f>'3 escalar'!P998</f>
        <v/>
      </c>
      <c r="R995" s="7">
        <f>'3 escalar'!Q998</f>
        <v/>
      </c>
      <c r="S995" s="7">
        <f>'3 escalar'!R998</f>
        <v/>
      </c>
      <c r="T995" s="7">
        <f>'3 escalar'!S998</f>
        <v/>
      </c>
      <c r="U995" s="7">
        <f>'3 escalar'!T998</f>
        <v/>
      </c>
      <c r="V995" s="6">
        <f>$AC$12+D995*$AC$13+E995*$AC$14+F995*$AC$15+G995*$AC$16+H995*$AC$17+I995*$AC$18+J995*$AC$19+K995*$AC$20+L995*$AC$21+M995*$AC$22+N995*$AC$23+O995*$AC$24+P995*$AC$25+Q995*$AC$26+R995*$AC$27+S995*$AC$28+T995*$AC$29+U995*$AC$30</f>
        <v/>
      </c>
      <c r="W995" s="6">
        <f>1/(1+EXP(-V995))</f>
        <v/>
      </c>
      <c r="X995" s="8">
        <f>-IF(C995=1,LN(W995),LN(1-W995))</f>
        <v/>
      </c>
      <c r="Y995" s="9">
        <f>IF(W995&gt;$AC$32,1,0)</f>
        <v/>
      </c>
      <c r="Z995">
        <f>IF(Y995=C995,1,0)</f>
        <v/>
      </c>
    </row>
    <row r="996">
      <c r="A996">
        <f>'3 escalar'!A999</f>
        <v/>
      </c>
      <c r="B996" s="5">
        <f>'3 escalar'!U999</f>
        <v/>
      </c>
      <c r="C996">
        <f>'3 escalar'!B999</f>
        <v/>
      </c>
      <c r="D996" s="7">
        <f>'3 escalar'!C999</f>
        <v/>
      </c>
      <c r="E996" s="7">
        <f>'3 escalar'!D999</f>
        <v/>
      </c>
      <c r="F996" s="7">
        <f>'3 escalar'!E999</f>
        <v/>
      </c>
      <c r="G996" s="7">
        <f>'3 escalar'!F999</f>
        <v/>
      </c>
      <c r="H996" s="7">
        <f>'3 escalar'!G999</f>
        <v/>
      </c>
      <c r="I996" s="7">
        <f>'3 escalar'!H999</f>
        <v/>
      </c>
      <c r="J996" s="7">
        <f>'3 escalar'!I999</f>
        <v/>
      </c>
      <c r="K996" s="7">
        <f>'3 escalar'!J999</f>
        <v/>
      </c>
      <c r="L996" s="7">
        <f>'3 escalar'!K999</f>
        <v/>
      </c>
      <c r="M996" s="7">
        <f>'3 escalar'!L999</f>
        <v/>
      </c>
      <c r="N996" s="7">
        <f>'3 escalar'!M999</f>
        <v/>
      </c>
      <c r="O996" s="7">
        <f>'3 escalar'!N999</f>
        <v/>
      </c>
      <c r="P996" s="7">
        <f>'3 escalar'!O999</f>
        <v/>
      </c>
      <c r="Q996" s="7">
        <f>'3 escalar'!P999</f>
        <v/>
      </c>
      <c r="R996" s="7">
        <f>'3 escalar'!Q999</f>
        <v/>
      </c>
      <c r="S996" s="7">
        <f>'3 escalar'!R999</f>
        <v/>
      </c>
      <c r="T996" s="7">
        <f>'3 escalar'!S999</f>
        <v/>
      </c>
      <c r="U996" s="7">
        <f>'3 escalar'!T999</f>
        <v/>
      </c>
      <c r="V996" s="6">
        <f>$AC$12+D996*$AC$13+E996*$AC$14+F996*$AC$15+G996*$AC$16+H996*$AC$17+I996*$AC$18+J996*$AC$19+K996*$AC$20+L996*$AC$21+M996*$AC$22+N996*$AC$23+O996*$AC$24+P996*$AC$25+Q996*$AC$26+R996*$AC$27+S996*$AC$28+T996*$AC$29+U996*$AC$30</f>
        <v/>
      </c>
      <c r="W996" s="6">
        <f>1/(1+EXP(-V996))</f>
        <v/>
      </c>
      <c r="X996" s="8">
        <f>-IF(C996=1,LN(W996),LN(1-W996))</f>
        <v/>
      </c>
      <c r="Y996" s="9">
        <f>IF(W996&gt;$AC$32,1,0)</f>
        <v/>
      </c>
      <c r="Z996">
        <f>IF(Y996=C996,1,0)</f>
        <v/>
      </c>
    </row>
    <row r="997">
      <c r="A997">
        <f>'3 escalar'!A1000</f>
        <v/>
      </c>
      <c r="B997" s="5">
        <f>'3 escalar'!U1000</f>
        <v/>
      </c>
      <c r="C997">
        <f>'3 escalar'!B1000</f>
        <v/>
      </c>
      <c r="D997" s="7">
        <f>'3 escalar'!C1000</f>
        <v/>
      </c>
      <c r="E997" s="7">
        <f>'3 escalar'!D1000</f>
        <v/>
      </c>
      <c r="F997" s="7">
        <f>'3 escalar'!E1000</f>
        <v/>
      </c>
      <c r="G997" s="7">
        <f>'3 escalar'!F1000</f>
        <v/>
      </c>
      <c r="H997" s="7">
        <f>'3 escalar'!G1000</f>
        <v/>
      </c>
      <c r="I997" s="7">
        <f>'3 escalar'!H1000</f>
        <v/>
      </c>
      <c r="J997" s="7">
        <f>'3 escalar'!I1000</f>
        <v/>
      </c>
      <c r="K997" s="7">
        <f>'3 escalar'!J1000</f>
        <v/>
      </c>
      <c r="L997" s="7">
        <f>'3 escalar'!K1000</f>
        <v/>
      </c>
      <c r="M997" s="7">
        <f>'3 escalar'!L1000</f>
        <v/>
      </c>
      <c r="N997" s="7">
        <f>'3 escalar'!M1000</f>
        <v/>
      </c>
      <c r="O997" s="7">
        <f>'3 escalar'!N1000</f>
        <v/>
      </c>
      <c r="P997" s="7">
        <f>'3 escalar'!O1000</f>
        <v/>
      </c>
      <c r="Q997" s="7">
        <f>'3 escalar'!P1000</f>
        <v/>
      </c>
      <c r="R997" s="7">
        <f>'3 escalar'!Q1000</f>
        <v/>
      </c>
      <c r="S997" s="7">
        <f>'3 escalar'!R1000</f>
        <v/>
      </c>
      <c r="T997" s="7">
        <f>'3 escalar'!S1000</f>
        <v/>
      </c>
      <c r="U997" s="7">
        <f>'3 escalar'!T1000</f>
        <v/>
      </c>
      <c r="V997" s="6">
        <f>$AC$12+D997*$AC$13+E997*$AC$14+F997*$AC$15+G997*$AC$16+H997*$AC$17+I997*$AC$18+J997*$AC$19+K997*$AC$20+L997*$AC$21+M997*$AC$22+N997*$AC$23+O997*$AC$24+P997*$AC$25+Q997*$AC$26+R997*$AC$27+S997*$AC$28+T997*$AC$29+U997*$AC$30</f>
        <v/>
      </c>
      <c r="W997" s="6">
        <f>1/(1+EXP(-V997))</f>
        <v/>
      </c>
      <c r="X997" s="8">
        <f>-IF(C997=1,LN(W997),LN(1-W997))</f>
        <v/>
      </c>
      <c r="Y997" s="9">
        <f>IF(W997&gt;$AC$32,1,0)</f>
        <v/>
      </c>
      <c r="Z997">
        <f>IF(Y997=C997,1,0)</f>
        <v/>
      </c>
    </row>
    <row r="998">
      <c r="A998">
        <f>'3 escalar'!A1001</f>
        <v/>
      </c>
      <c r="B998" s="5">
        <f>'3 escalar'!U1001</f>
        <v/>
      </c>
      <c r="C998">
        <f>'3 escalar'!B1001</f>
        <v/>
      </c>
      <c r="D998" s="7">
        <f>'3 escalar'!C1001</f>
        <v/>
      </c>
      <c r="E998" s="7">
        <f>'3 escalar'!D1001</f>
        <v/>
      </c>
      <c r="F998" s="7">
        <f>'3 escalar'!E1001</f>
        <v/>
      </c>
      <c r="G998" s="7">
        <f>'3 escalar'!F1001</f>
        <v/>
      </c>
      <c r="H998" s="7">
        <f>'3 escalar'!G1001</f>
        <v/>
      </c>
      <c r="I998" s="7">
        <f>'3 escalar'!H1001</f>
        <v/>
      </c>
      <c r="J998" s="7">
        <f>'3 escalar'!I1001</f>
        <v/>
      </c>
      <c r="K998" s="7">
        <f>'3 escalar'!J1001</f>
        <v/>
      </c>
      <c r="L998" s="7">
        <f>'3 escalar'!K1001</f>
        <v/>
      </c>
      <c r="M998" s="7">
        <f>'3 escalar'!L1001</f>
        <v/>
      </c>
      <c r="N998" s="7">
        <f>'3 escalar'!M1001</f>
        <v/>
      </c>
      <c r="O998" s="7">
        <f>'3 escalar'!N1001</f>
        <v/>
      </c>
      <c r="P998" s="7">
        <f>'3 escalar'!O1001</f>
        <v/>
      </c>
      <c r="Q998" s="7">
        <f>'3 escalar'!P1001</f>
        <v/>
      </c>
      <c r="R998" s="7">
        <f>'3 escalar'!Q1001</f>
        <v/>
      </c>
      <c r="S998" s="7">
        <f>'3 escalar'!R1001</f>
        <v/>
      </c>
      <c r="T998" s="7">
        <f>'3 escalar'!S1001</f>
        <v/>
      </c>
      <c r="U998" s="7">
        <f>'3 escalar'!T1001</f>
        <v/>
      </c>
      <c r="V998" s="6">
        <f>$AC$12+D998*$AC$13+E998*$AC$14+F998*$AC$15+G998*$AC$16+H998*$AC$17+I998*$AC$18+J998*$AC$19+K998*$AC$20+L998*$AC$21+M998*$AC$22+N998*$AC$23+O998*$AC$24+P998*$AC$25+Q998*$AC$26+R998*$AC$27+S998*$AC$28+T998*$AC$29+U998*$AC$30</f>
        <v/>
      </c>
      <c r="W998" s="6">
        <f>1/(1+EXP(-V998))</f>
        <v/>
      </c>
      <c r="X998" s="8">
        <f>-IF(C998=1,LN(W998),LN(1-W998))</f>
        <v/>
      </c>
      <c r="Y998" s="9">
        <f>IF(W998&gt;$AC$32,1,0)</f>
        <v/>
      </c>
      <c r="Z998">
        <f>IF(Y998=C998,1,0)</f>
        <v/>
      </c>
    </row>
    <row r="999">
      <c r="A999">
        <f>'3 escalar'!A1002</f>
        <v/>
      </c>
      <c r="B999" s="5">
        <f>'3 escalar'!U1002</f>
        <v/>
      </c>
      <c r="C999">
        <f>'3 escalar'!B1002</f>
        <v/>
      </c>
      <c r="D999" s="7">
        <f>'3 escalar'!C1002</f>
        <v/>
      </c>
      <c r="E999" s="7">
        <f>'3 escalar'!D1002</f>
        <v/>
      </c>
      <c r="F999" s="7">
        <f>'3 escalar'!E1002</f>
        <v/>
      </c>
      <c r="G999" s="7">
        <f>'3 escalar'!F1002</f>
        <v/>
      </c>
      <c r="H999" s="7">
        <f>'3 escalar'!G1002</f>
        <v/>
      </c>
      <c r="I999" s="7">
        <f>'3 escalar'!H1002</f>
        <v/>
      </c>
      <c r="J999" s="7">
        <f>'3 escalar'!I1002</f>
        <v/>
      </c>
      <c r="K999" s="7">
        <f>'3 escalar'!J1002</f>
        <v/>
      </c>
      <c r="L999" s="7">
        <f>'3 escalar'!K1002</f>
        <v/>
      </c>
      <c r="M999" s="7">
        <f>'3 escalar'!L1002</f>
        <v/>
      </c>
      <c r="N999" s="7">
        <f>'3 escalar'!M1002</f>
        <v/>
      </c>
      <c r="O999" s="7">
        <f>'3 escalar'!N1002</f>
        <v/>
      </c>
      <c r="P999" s="7">
        <f>'3 escalar'!O1002</f>
        <v/>
      </c>
      <c r="Q999" s="7">
        <f>'3 escalar'!P1002</f>
        <v/>
      </c>
      <c r="R999" s="7">
        <f>'3 escalar'!Q1002</f>
        <v/>
      </c>
      <c r="S999" s="7">
        <f>'3 escalar'!R1002</f>
        <v/>
      </c>
      <c r="T999" s="7">
        <f>'3 escalar'!S1002</f>
        <v/>
      </c>
      <c r="U999" s="7">
        <f>'3 escalar'!T1002</f>
        <v/>
      </c>
      <c r="V999" s="6">
        <f>$AC$12+D999*$AC$13+E999*$AC$14+F999*$AC$15+G999*$AC$16+H999*$AC$17+I999*$AC$18+J999*$AC$19+K999*$AC$20+L999*$AC$21+M999*$AC$22+N999*$AC$23+O999*$AC$24+P999*$AC$25+Q999*$AC$26+R999*$AC$27+S999*$AC$28+T999*$AC$29+U999*$AC$30</f>
        <v/>
      </c>
      <c r="W999" s="6">
        <f>1/(1+EXP(-V999))</f>
        <v/>
      </c>
      <c r="X999" s="8">
        <f>-IF(C999=1,LN(W999),LN(1-W999))</f>
        <v/>
      </c>
      <c r="Y999" s="9">
        <f>IF(W999&gt;$AC$32,1,0)</f>
        <v/>
      </c>
      <c r="Z999">
        <f>IF(Y999=C999,1,0)</f>
        <v/>
      </c>
    </row>
    <row r="1000">
      <c r="A1000">
        <f>'3 escalar'!A1003</f>
        <v/>
      </c>
      <c r="B1000" s="5">
        <f>'3 escalar'!U1003</f>
        <v/>
      </c>
      <c r="C1000">
        <f>'3 escalar'!B1003</f>
        <v/>
      </c>
      <c r="D1000" s="7">
        <f>'3 escalar'!C1003</f>
        <v/>
      </c>
      <c r="E1000" s="7">
        <f>'3 escalar'!D1003</f>
        <v/>
      </c>
      <c r="F1000" s="7">
        <f>'3 escalar'!E1003</f>
        <v/>
      </c>
      <c r="G1000" s="7">
        <f>'3 escalar'!F1003</f>
        <v/>
      </c>
      <c r="H1000" s="7">
        <f>'3 escalar'!G1003</f>
        <v/>
      </c>
      <c r="I1000" s="7">
        <f>'3 escalar'!H1003</f>
        <v/>
      </c>
      <c r="J1000" s="7">
        <f>'3 escalar'!I1003</f>
        <v/>
      </c>
      <c r="K1000" s="7">
        <f>'3 escalar'!J1003</f>
        <v/>
      </c>
      <c r="L1000" s="7">
        <f>'3 escalar'!K1003</f>
        <v/>
      </c>
      <c r="M1000" s="7">
        <f>'3 escalar'!L1003</f>
        <v/>
      </c>
      <c r="N1000" s="7">
        <f>'3 escalar'!M1003</f>
        <v/>
      </c>
      <c r="O1000" s="7">
        <f>'3 escalar'!N1003</f>
        <v/>
      </c>
      <c r="P1000" s="7">
        <f>'3 escalar'!O1003</f>
        <v/>
      </c>
      <c r="Q1000" s="7">
        <f>'3 escalar'!P1003</f>
        <v/>
      </c>
      <c r="R1000" s="7">
        <f>'3 escalar'!Q1003</f>
        <v/>
      </c>
      <c r="S1000" s="7">
        <f>'3 escalar'!R1003</f>
        <v/>
      </c>
      <c r="T1000" s="7">
        <f>'3 escalar'!S1003</f>
        <v/>
      </c>
      <c r="U1000" s="7">
        <f>'3 escalar'!T1003</f>
        <v/>
      </c>
      <c r="V1000" s="6">
        <f>$AC$12+D1000*$AC$13+E1000*$AC$14+F1000*$AC$15+G1000*$AC$16+H1000*$AC$17+I1000*$AC$18+J1000*$AC$19+K1000*$AC$20+L1000*$AC$21+M1000*$AC$22+N1000*$AC$23+O1000*$AC$24+P1000*$AC$25+Q1000*$AC$26+R1000*$AC$27+S1000*$AC$28+T1000*$AC$29+U1000*$AC$30</f>
        <v/>
      </c>
      <c r="W1000" s="6">
        <f>1/(1+EXP(-V1000))</f>
        <v/>
      </c>
      <c r="X1000" s="8">
        <f>-IF(C1000=1,LN(W1000),LN(1-W1000))</f>
        <v/>
      </c>
      <c r="Y1000" s="9">
        <f>IF(W1000&gt;$AC$32,1,0)</f>
        <v/>
      </c>
      <c r="Z1000">
        <f>IF(Y1000=C1000,1,0)</f>
        <v/>
      </c>
    </row>
    <row r="1001">
      <c r="A1001">
        <f>'3 escalar'!A1004</f>
        <v/>
      </c>
      <c r="B1001" s="5">
        <f>'3 escalar'!U1004</f>
        <v/>
      </c>
      <c r="C1001">
        <f>'3 escalar'!B1004</f>
        <v/>
      </c>
      <c r="D1001" s="7">
        <f>'3 escalar'!C1004</f>
        <v/>
      </c>
      <c r="E1001" s="7">
        <f>'3 escalar'!D1004</f>
        <v/>
      </c>
      <c r="F1001" s="7">
        <f>'3 escalar'!E1004</f>
        <v/>
      </c>
      <c r="G1001" s="7">
        <f>'3 escalar'!F1004</f>
        <v/>
      </c>
      <c r="H1001" s="7">
        <f>'3 escalar'!G1004</f>
        <v/>
      </c>
      <c r="I1001" s="7">
        <f>'3 escalar'!H1004</f>
        <v/>
      </c>
      <c r="J1001" s="7">
        <f>'3 escalar'!I1004</f>
        <v/>
      </c>
      <c r="K1001" s="7">
        <f>'3 escalar'!J1004</f>
        <v/>
      </c>
      <c r="L1001" s="7">
        <f>'3 escalar'!K1004</f>
        <v/>
      </c>
      <c r="M1001" s="7">
        <f>'3 escalar'!L1004</f>
        <v/>
      </c>
      <c r="N1001" s="7">
        <f>'3 escalar'!M1004</f>
        <v/>
      </c>
      <c r="O1001" s="7">
        <f>'3 escalar'!N1004</f>
        <v/>
      </c>
      <c r="P1001" s="7">
        <f>'3 escalar'!O1004</f>
        <v/>
      </c>
      <c r="Q1001" s="7">
        <f>'3 escalar'!P1004</f>
        <v/>
      </c>
      <c r="R1001" s="7">
        <f>'3 escalar'!Q1004</f>
        <v/>
      </c>
      <c r="S1001" s="7">
        <f>'3 escalar'!R1004</f>
        <v/>
      </c>
      <c r="T1001" s="7">
        <f>'3 escalar'!S1004</f>
        <v/>
      </c>
      <c r="U1001" s="7">
        <f>'3 escalar'!T1004</f>
        <v/>
      </c>
      <c r="V1001" s="6">
        <f>$AC$12+D1001*$AC$13+E1001*$AC$14+F1001*$AC$15+G1001*$AC$16+H1001*$AC$17+I1001*$AC$18+J1001*$AC$19+K1001*$AC$20+L1001*$AC$21+M1001*$AC$22+N1001*$AC$23+O1001*$AC$24+P1001*$AC$25+Q1001*$AC$26+R1001*$AC$27+S1001*$AC$28+T1001*$AC$29+U1001*$AC$30</f>
        <v/>
      </c>
      <c r="W1001" s="6">
        <f>1/(1+EXP(-V1001))</f>
        <v/>
      </c>
      <c r="X1001" s="8">
        <f>-IF(C1001=1,LN(W1001),LN(1-W1001))</f>
        <v/>
      </c>
      <c r="Y1001" s="9">
        <f>IF(W1001&gt;$AC$32,1,0)</f>
        <v/>
      </c>
      <c r="Z1001">
        <f>IF(Y1001=C1001,1,0)</f>
        <v/>
      </c>
    </row>
    <row r="1002">
      <c r="A1002">
        <f>'3 escalar'!A1005</f>
        <v/>
      </c>
      <c r="B1002" s="5">
        <f>'3 escalar'!U1005</f>
        <v/>
      </c>
      <c r="C1002">
        <f>'3 escalar'!B1005</f>
        <v/>
      </c>
      <c r="D1002" s="7">
        <f>'3 escalar'!C1005</f>
        <v/>
      </c>
      <c r="E1002" s="7">
        <f>'3 escalar'!D1005</f>
        <v/>
      </c>
      <c r="F1002" s="7">
        <f>'3 escalar'!E1005</f>
        <v/>
      </c>
      <c r="G1002" s="7">
        <f>'3 escalar'!F1005</f>
        <v/>
      </c>
      <c r="H1002" s="7">
        <f>'3 escalar'!G1005</f>
        <v/>
      </c>
      <c r="I1002" s="7">
        <f>'3 escalar'!H1005</f>
        <v/>
      </c>
      <c r="J1002" s="7">
        <f>'3 escalar'!I1005</f>
        <v/>
      </c>
      <c r="K1002" s="7">
        <f>'3 escalar'!J1005</f>
        <v/>
      </c>
      <c r="L1002" s="7">
        <f>'3 escalar'!K1005</f>
        <v/>
      </c>
      <c r="M1002" s="7">
        <f>'3 escalar'!L1005</f>
        <v/>
      </c>
      <c r="N1002" s="7">
        <f>'3 escalar'!M1005</f>
        <v/>
      </c>
      <c r="O1002" s="7">
        <f>'3 escalar'!N1005</f>
        <v/>
      </c>
      <c r="P1002" s="7">
        <f>'3 escalar'!O1005</f>
        <v/>
      </c>
      <c r="Q1002" s="7">
        <f>'3 escalar'!P1005</f>
        <v/>
      </c>
      <c r="R1002" s="7">
        <f>'3 escalar'!Q1005</f>
        <v/>
      </c>
      <c r="S1002" s="7">
        <f>'3 escalar'!R1005</f>
        <v/>
      </c>
      <c r="T1002" s="7">
        <f>'3 escalar'!S1005</f>
        <v/>
      </c>
      <c r="U1002" s="7">
        <f>'3 escalar'!T1005</f>
        <v/>
      </c>
      <c r="V1002" s="6">
        <f>$AC$12+D1002*$AC$13+E1002*$AC$14+F1002*$AC$15+G1002*$AC$16+H1002*$AC$17+I1002*$AC$18+J1002*$AC$19+K1002*$AC$20+L1002*$AC$21+M1002*$AC$22+N1002*$AC$23+O1002*$AC$24+P1002*$AC$25+Q1002*$AC$26+R1002*$AC$27+S1002*$AC$28+T1002*$AC$29+U1002*$AC$30</f>
        <v/>
      </c>
      <c r="W1002" s="6">
        <f>1/(1+EXP(-V1002))</f>
        <v/>
      </c>
      <c r="X1002" s="8">
        <f>-IF(C1002=1,LN(W1002),LN(1-W1002))</f>
        <v/>
      </c>
      <c r="Y1002" s="9">
        <f>IF(W1002&gt;$AC$32,1,0)</f>
        <v/>
      </c>
      <c r="Z1002">
        <f>IF(Y1002=C1002,1,0)</f>
        <v/>
      </c>
    </row>
    <row r="1003">
      <c r="A1003">
        <f>'3 escalar'!A1006</f>
        <v/>
      </c>
      <c r="B1003" s="5">
        <f>'3 escalar'!U1006</f>
        <v/>
      </c>
      <c r="C1003">
        <f>'3 escalar'!B1006</f>
        <v/>
      </c>
      <c r="D1003" s="7">
        <f>'3 escalar'!C1006</f>
        <v/>
      </c>
      <c r="E1003" s="7">
        <f>'3 escalar'!D1006</f>
        <v/>
      </c>
      <c r="F1003" s="7">
        <f>'3 escalar'!E1006</f>
        <v/>
      </c>
      <c r="G1003" s="7">
        <f>'3 escalar'!F1006</f>
        <v/>
      </c>
      <c r="H1003" s="7">
        <f>'3 escalar'!G1006</f>
        <v/>
      </c>
      <c r="I1003" s="7">
        <f>'3 escalar'!H1006</f>
        <v/>
      </c>
      <c r="J1003" s="7">
        <f>'3 escalar'!I1006</f>
        <v/>
      </c>
      <c r="K1003" s="7">
        <f>'3 escalar'!J1006</f>
        <v/>
      </c>
      <c r="L1003" s="7">
        <f>'3 escalar'!K1006</f>
        <v/>
      </c>
      <c r="M1003" s="7">
        <f>'3 escalar'!L1006</f>
        <v/>
      </c>
      <c r="N1003" s="7">
        <f>'3 escalar'!M1006</f>
        <v/>
      </c>
      <c r="O1003" s="7">
        <f>'3 escalar'!N1006</f>
        <v/>
      </c>
      <c r="P1003" s="7">
        <f>'3 escalar'!O1006</f>
        <v/>
      </c>
      <c r="Q1003" s="7">
        <f>'3 escalar'!P1006</f>
        <v/>
      </c>
      <c r="R1003" s="7">
        <f>'3 escalar'!Q1006</f>
        <v/>
      </c>
      <c r="S1003" s="7">
        <f>'3 escalar'!R1006</f>
        <v/>
      </c>
      <c r="T1003" s="7">
        <f>'3 escalar'!S1006</f>
        <v/>
      </c>
      <c r="U1003" s="7">
        <f>'3 escalar'!T1006</f>
        <v/>
      </c>
      <c r="V1003" s="6">
        <f>$AC$12+D1003*$AC$13+E1003*$AC$14+F1003*$AC$15+G1003*$AC$16+H1003*$AC$17+I1003*$AC$18+J1003*$AC$19+K1003*$AC$20+L1003*$AC$21+M1003*$AC$22+N1003*$AC$23+O1003*$AC$24+P1003*$AC$25+Q1003*$AC$26+R1003*$AC$27+S1003*$AC$28+T1003*$AC$29+U1003*$AC$30</f>
        <v/>
      </c>
      <c r="W1003" s="6">
        <f>1/(1+EXP(-V1003))</f>
        <v/>
      </c>
      <c r="X1003" s="8">
        <f>-IF(C1003=1,LN(W1003),LN(1-W1003))</f>
        <v/>
      </c>
      <c r="Y1003" s="9">
        <f>IF(W1003&gt;$AC$32,1,0)</f>
        <v/>
      </c>
      <c r="Z1003">
        <f>IF(Y1003=C1003,1,0)</f>
        <v/>
      </c>
    </row>
    <row r="1004">
      <c r="A1004">
        <f>'3 escalar'!A1007</f>
        <v/>
      </c>
      <c r="B1004" s="5">
        <f>'3 escalar'!U1007</f>
        <v/>
      </c>
      <c r="C1004">
        <f>'3 escalar'!B1007</f>
        <v/>
      </c>
      <c r="D1004" s="7">
        <f>'3 escalar'!C1007</f>
        <v/>
      </c>
      <c r="E1004" s="7">
        <f>'3 escalar'!D1007</f>
        <v/>
      </c>
      <c r="F1004" s="7">
        <f>'3 escalar'!E1007</f>
        <v/>
      </c>
      <c r="G1004" s="7">
        <f>'3 escalar'!F1007</f>
        <v/>
      </c>
      <c r="H1004" s="7">
        <f>'3 escalar'!G1007</f>
        <v/>
      </c>
      <c r="I1004" s="7">
        <f>'3 escalar'!H1007</f>
        <v/>
      </c>
      <c r="J1004" s="7">
        <f>'3 escalar'!I1007</f>
        <v/>
      </c>
      <c r="K1004" s="7">
        <f>'3 escalar'!J1007</f>
        <v/>
      </c>
      <c r="L1004" s="7">
        <f>'3 escalar'!K1007</f>
        <v/>
      </c>
      <c r="M1004" s="7">
        <f>'3 escalar'!L1007</f>
        <v/>
      </c>
      <c r="N1004" s="7">
        <f>'3 escalar'!M1007</f>
        <v/>
      </c>
      <c r="O1004" s="7">
        <f>'3 escalar'!N1007</f>
        <v/>
      </c>
      <c r="P1004" s="7">
        <f>'3 escalar'!O1007</f>
        <v/>
      </c>
      <c r="Q1004" s="7">
        <f>'3 escalar'!P1007</f>
        <v/>
      </c>
      <c r="R1004" s="7">
        <f>'3 escalar'!Q1007</f>
        <v/>
      </c>
      <c r="S1004" s="7">
        <f>'3 escalar'!R1007</f>
        <v/>
      </c>
      <c r="T1004" s="7">
        <f>'3 escalar'!S1007</f>
        <v/>
      </c>
      <c r="U1004" s="7">
        <f>'3 escalar'!T1007</f>
        <v/>
      </c>
      <c r="V1004" s="6">
        <f>$AC$12+D1004*$AC$13+E1004*$AC$14+F1004*$AC$15+G1004*$AC$16+H1004*$AC$17+I1004*$AC$18+J1004*$AC$19+K1004*$AC$20+L1004*$AC$21+M1004*$AC$22+N1004*$AC$23+O1004*$AC$24+P1004*$AC$25+Q1004*$AC$26+R1004*$AC$27+S1004*$AC$28+T1004*$AC$29+U1004*$AC$30</f>
        <v/>
      </c>
      <c r="W1004" s="6">
        <f>1/(1+EXP(-V1004))</f>
        <v/>
      </c>
      <c r="X1004" s="8">
        <f>-IF(C1004=1,LN(W1004),LN(1-W1004))</f>
        <v/>
      </c>
      <c r="Y1004" s="9">
        <f>IF(W1004&gt;$AC$32,1,0)</f>
        <v/>
      </c>
      <c r="Z1004">
        <f>IF(Y1004=C1004,1,0)</f>
        <v/>
      </c>
    </row>
    <row r="1005">
      <c r="A1005">
        <f>'3 escalar'!A1008</f>
        <v/>
      </c>
      <c r="B1005" s="5">
        <f>'3 escalar'!U1008</f>
        <v/>
      </c>
      <c r="C1005">
        <f>'3 escalar'!B1008</f>
        <v/>
      </c>
      <c r="D1005" s="7">
        <f>'3 escalar'!C1008</f>
        <v/>
      </c>
      <c r="E1005" s="7">
        <f>'3 escalar'!D1008</f>
        <v/>
      </c>
      <c r="F1005" s="7">
        <f>'3 escalar'!E1008</f>
        <v/>
      </c>
      <c r="G1005" s="7">
        <f>'3 escalar'!F1008</f>
        <v/>
      </c>
      <c r="H1005" s="7">
        <f>'3 escalar'!G1008</f>
        <v/>
      </c>
      <c r="I1005" s="7">
        <f>'3 escalar'!H1008</f>
        <v/>
      </c>
      <c r="J1005" s="7">
        <f>'3 escalar'!I1008</f>
        <v/>
      </c>
      <c r="K1005" s="7">
        <f>'3 escalar'!J1008</f>
        <v/>
      </c>
      <c r="L1005" s="7">
        <f>'3 escalar'!K1008</f>
        <v/>
      </c>
      <c r="M1005" s="7">
        <f>'3 escalar'!L1008</f>
        <v/>
      </c>
      <c r="N1005" s="7">
        <f>'3 escalar'!M1008</f>
        <v/>
      </c>
      <c r="O1005" s="7">
        <f>'3 escalar'!N1008</f>
        <v/>
      </c>
      <c r="P1005" s="7">
        <f>'3 escalar'!O1008</f>
        <v/>
      </c>
      <c r="Q1005" s="7">
        <f>'3 escalar'!P1008</f>
        <v/>
      </c>
      <c r="R1005" s="7">
        <f>'3 escalar'!Q1008</f>
        <v/>
      </c>
      <c r="S1005" s="7">
        <f>'3 escalar'!R1008</f>
        <v/>
      </c>
      <c r="T1005" s="7">
        <f>'3 escalar'!S1008</f>
        <v/>
      </c>
      <c r="U1005" s="7">
        <f>'3 escalar'!T1008</f>
        <v/>
      </c>
      <c r="V1005" s="6">
        <f>$AC$12+D1005*$AC$13+E1005*$AC$14+F1005*$AC$15+G1005*$AC$16+H1005*$AC$17+I1005*$AC$18+J1005*$AC$19+K1005*$AC$20+L1005*$AC$21+M1005*$AC$22+N1005*$AC$23+O1005*$AC$24+P1005*$AC$25+Q1005*$AC$26+R1005*$AC$27+S1005*$AC$28+T1005*$AC$29+U1005*$AC$30</f>
        <v/>
      </c>
      <c r="W1005" s="6">
        <f>1/(1+EXP(-V1005))</f>
        <v/>
      </c>
      <c r="X1005" s="8">
        <f>-IF(C1005=1,LN(W1005),LN(1-W1005))</f>
        <v/>
      </c>
      <c r="Y1005" s="9">
        <f>IF(W1005&gt;$AC$32,1,0)</f>
        <v/>
      </c>
      <c r="Z1005">
        <f>IF(Y1005=C1005,1,0)</f>
        <v/>
      </c>
    </row>
    <row r="1006">
      <c r="A1006">
        <f>'3 escalar'!A1009</f>
        <v/>
      </c>
      <c r="B1006" s="5">
        <f>'3 escalar'!U1009</f>
        <v/>
      </c>
      <c r="C1006">
        <f>'3 escalar'!B1009</f>
        <v/>
      </c>
      <c r="D1006" s="7">
        <f>'3 escalar'!C1009</f>
        <v/>
      </c>
      <c r="E1006" s="7">
        <f>'3 escalar'!D1009</f>
        <v/>
      </c>
      <c r="F1006" s="7">
        <f>'3 escalar'!E1009</f>
        <v/>
      </c>
      <c r="G1006" s="7">
        <f>'3 escalar'!F1009</f>
        <v/>
      </c>
      <c r="H1006" s="7">
        <f>'3 escalar'!G1009</f>
        <v/>
      </c>
      <c r="I1006" s="7">
        <f>'3 escalar'!H1009</f>
        <v/>
      </c>
      <c r="J1006" s="7">
        <f>'3 escalar'!I1009</f>
        <v/>
      </c>
      <c r="K1006" s="7">
        <f>'3 escalar'!J1009</f>
        <v/>
      </c>
      <c r="L1006" s="7">
        <f>'3 escalar'!K1009</f>
        <v/>
      </c>
      <c r="M1006" s="7">
        <f>'3 escalar'!L1009</f>
        <v/>
      </c>
      <c r="N1006" s="7">
        <f>'3 escalar'!M1009</f>
        <v/>
      </c>
      <c r="O1006" s="7">
        <f>'3 escalar'!N1009</f>
        <v/>
      </c>
      <c r="P1006" s="7">
        <f>'3 escalar'!O1009</f>
        <v/>
      </c>
      <c r="Q1006" s="7">
        <f>'3 escalar'!P1009</f>
        <v/>
      </c>
      <c r="R1006" s="7">
        <f>'3 escalar'!Q1009</f>
        <v/>
      </c>
      <c r="S1006" s="7">
        <f>'3 escalar'!R1009</f>
        <v/>
      </c>
      <c r="T1006" s="7">
        <f>'3 escalar'!S1009</f>
        <v/>
      </c>
      <c r="U1006" s="7">
        <f>'3 escalar'!T1009</f>
        <v/>
      </c>
      <c r="V1006" s="6">
        <f>$AC$12+D1006*$AC$13+E1006*$AC$14+F1006*$AC$15+G1006*$AC$16+H1006*$AC$17+I1006*$AC$18+J1006*$AC$19+K1006*$AC$20+L1006*$AC$21+M1006*$AC$22+N1006*$AC$23+O1006*$AC$24+P1006*$AC$25+Q1006*$AC$26+R1006*$AC$27+S1006*$AC$28+T1006*$AC$29+U1006*$AC$30</f>
        <v/>
      </c>
      <c r="W1006" s="6">
        <f>1/(1+EXP(-V1006))</f>
        <v/>
      </c>
      <c r="X1006" s="8">
        <f>-IF(C1006=1,LN(W1006),LN(1-W1006))</f>
        <v/>
      </c>
      <c r="Y1006" s="9">
        <f>IF(W1006&gt;$AC$32,1,0)</f>
        <v/>
      </c>
      <c r="Z1006">
        <f>IF(Y1006=C1006,1,0)</f>
        <v/>
      </c>
    </row>
    <row r="1007">
      <c r="A1007">
        <f>'3 escalar'!A1010</f>
        <v/>
      </c>
      <c r="B1007" s="5">
        <f>'3 escalar'!U1010</f>
        <v/>
      </c>
      <c r="C1007">
        <f>'3 escalar'!B1010</f>
        <v/>
      </c>
      <c r="D1007" s="7">
        <f>'3 escalar'!C1010</f>
        <v/>
      </c>
      <c r="E1007" s="7">
        <f>'3 escalar'!D1010</f>
        <v/>
      </c>
      <c r="F1007" s="7">
        <f>'3 escalar'!E1010</f>
        <v/>
      </c>
      <c r="G1007" s="7">
        <f>'3 escalar'!F1010</f>
        <v/>
      </c>
      <c r="H1007" s="7">
        <f>'3 escalar'!G1010</f>
        <v/>
      </c>
      <c r="I1007" s="7">
        <f>'3 escalar'!H1010</f>
        <v/>
      </c>
      <c r="J1007" s="7">
        <f>'3 escalar'!I1010</f>
        <v/>
      </c>
      <c r="K1007" s="7">
        <f>'3 escalar'!J1010</f>
        <v/>
      </c>
      <c r="L1007" s="7">
        <f>'3 escalar'!K1010</f>
        <v/>
      </c>
      <c r="M1007" s="7">
        <f>'3 escalar'!L1010</f>
        <v/>
      </c>
      <c r="N1007" s="7">
        <f>'3 escalar'!M1010</f>
        <v/>
      </c>
      <c r="O1007" s="7">
        <f>'3 escalar'!N1010</f>
        <v/>
      </c>
      <c r="P1007" s="7">
        <f>'3 escalar'!O1010</f>
        <v/>
      </c>
      <c r="Q1007" s="7">
        <f>'3 escalar'!P1010</f>
        <v/>
      </c>
      <c r="R1007" s="7">
        <f>'3 escalar'!Q1010</f>
        <v/>
      </c>
      <c r="S1007" s="7">
        <f>'3 escalar'!R1010</f>
        <v/>
      </c>
      <c r="T1007" s="7">
        <f>'3 escalar'!S1010</f>
        <v/>
      </c>
      <c r="U1007" s="7">
        <f>'3 escalar'!T1010</f>
        <v/>
      </c>
      <c r="V1007" s="6">
        <f>$AC$12+D1007*$AC$13+E1007*$AC$14+F1007*$AC$15+G1007*$AC$16+H1007*$AC$17+I1007*$AC$18+J1007*$AC$19+K1007*$AC$20+L1007*$AC$21+M1007*$AC$22+N1007*$AC$23+O1007*$AC$24+P1007*$AC$25+Q1007*$AC$26+R1007*$AC$27+S1007*$AC$28+T1007*$AC$29+U1007*$AC$30</f>
        <v/>
      </c>
      <c r="W1007" s="6">
        <f>1/(1+EXP(-V1007))</f>
        <v/>
      </c>
      <c r="X1007" s="8">
        <f>-IF(C1007=1,LN(W1007),LN(1-W1007))</f>
        <v/>
      </c>
      <c r="Y1007" s="9">
        <f>IF(W1007&gt;$AC$32,1,0)</f>
        <v/>
      </c>
      <c r="Z1007">
        <f>IF(Y1007=C1007,1,0)</f>
        <v/>
      </c>
    </row>
    <row r="1008">
      <c r="A1008">
        <f>'3 escalar'!A1011</f>
        <v/>
      </c>
      <c r="B1008" s="5">
        <f>'3 escalar'!U1011</f>
        <v/>
      </c>
      <c r="C1008">
        <f>'3 escalar'!B1011</f>
        <v/>
      </c>
      <c r="D1008" s="7">
        <f>'3 escalar'!C1011</f>
        <v/>
      </c>
      <c r="E1008" s="7">
        <f>'3 escalar'!D1011</f>
        <v/>
      </c>
      <c r="F1008" s="7">
        <f>'3 escalar'!E1011</f>
        <v/>
      </c>
      <c r="G1008" s="7">
        <f>'3 escalar'!F1011</f>
        <v/>
      </c>
      <c r="H1008" s="7">
        <f>'3 escalar'!G1011</f>
        <v/>
      </c>
      <c r="I1008" s="7">
        <f>'3 escalar'!H1011</f>
        <v/>
      </c>
      <c r="J1008" s="7">
        <f>'3 escalar'!I1011</f>
        <v/>
      </c>
      <c r="K1008" s="7">
        <f>'3 escalar'!J1011</f>
        <v/>
      </c>
      <c r="L1008" s="7">
        <f>'3 escalar'!K1011</f>
        <v/>
      </c>
      <c r="M1008" s="7">
        <f>'3 escalar'!L1011</f>
        <v/>
      </c>
      <c r="N1008" s="7">
        <f>'3 escalar'!M1011</f>
        <v/>
      </c>
      <c r="O1008" s="7">
        <f>'3 escalar'!N1011</f>
        <v/>
      </c>
      <c r="P1008" s="7">
        <f>'3 escalar'!O1011</f>
        <v/>
      </c>
      <c r="Q1008" s="7">
        <f>'3 escalar'!P1011</f>
        <v/>
      </c>
      <c r="R1008" s="7">
        <f>'3 escalar'!Q1011</f>
        <v/>
      </c>
      <c r="S1008" s="7">
        <f>'3 escalar'!R1011</f>
        <v/>
      </c>
      <c r="T1008" s="7">
        <f>'3 escalar'!S1011</f>
        <v/>
      </c>
      <c r="U1008" s="7">
        <f>'3 escalar'!T1011</f>
        <v/>
      </c>
      <c r="V1008" s="6">
        <f>$AC$12+D1008*$AC$13+E1008*$AC$14+F1008*$AC$15+G1008*$AC$16+H1008*$AC$17+I1008*$AC$18+J1008*$AC$19+K1008*$AC$20+L1008*$AC$21+M1008*$AC$22+N1008*$AC$23+O1008*$AC$24+P1008*$AC$25+Q1008*$AC$26+R1008*$AC$27+S1008*$AC$28+T1008*$AC$29+U1008*$AC$30</f>
        <v/>
      </c>
      <c r="W1008" s="6">
        <f>1/(1+EXP(-V1008))</f>
        <v/>
      </c>
      <c r="X1008" s="8">
        <f>-IF(C1008=1,LN(W1008),LN(1-W1008))</f>
        <v/>
      </c>
      <c r="Y1008" s="9">
        <f>IF(W1008&gt;$AC$32,1,0)</f>
        <v/>
      </c>
      <c r="Z1008">
        <f>IF(Y1008=C1008,1,0)</f>
        <v/>
      </c>
    </row>
    <row r="1009">
      <c r="A1009">
        <f>'3 escalar'!A1012</f>
        <v/>
      </c>
      <c r="B1009" s="5">
        <f>'3 escalar'!U1012</f>
        <v/>
      </c>
      <c r="C1009">
        <f>'3 escalar'!B1012</f>
        <v/>
      </c>
      <c r="D1009" s="7">
        <f>'3 escalar'!C1012</f>
        <v/>
      </c>
      <c r="E1009" s="7">
        <f>'3 escalar'!D1012</f>
        <v/>
      </c>
      <c r="F1009" s="7">
        <f>'3 escalar'!E1012</f>
        <v/>
      </c>
      <c r="G1009" s="7">
        <f>'3 escalar'!F1012</f>
        <v/>
      </c>
      <c r="H1009" s="7">
        <f>'3 escalar'!G1012</f>
        <v/>
      </c>
      <c r="I1009" s="7">
        <f>'3 escalar'!H1012</f>
        <v/>
      </c>
      <c r="J1009" s="7">
        <f>'3 escalar'!I1012</f>
        <v/>
      </c>
      <c r="K1009" s="7">
        <f>'3 escalar'!J1012</f>
        <v/>
      </c>
      <c r="L1009" s="7">
        <f>'3 escalar'!K1012</f>
        <v/>
      </c>
      <c r="M1009" s="7">
        <f>'3 escalar'!L1012</f>
        <v/>
      </c>
      <c r="N1009" s="7">
        <f>'3 escalar'!M1012</f>
        <v/>
      </c>
      <c r="O1009" s="7">
        <f>'3 escalar'!N1012</f>
        <v/>
      </c>
      <c r="P1009" s="7">
        <f>'3 escalar'!O1012</f>
        <v/>
      </c>
      <c r="Q1009" s="7">
        <f>'3 escalar'!P1012</f>
        <v/>
      </c>
      <c r="R1009" s="7">
        <f>'3 escalar'!Q1012</f>
        <v/>
      </c>
      <c r="S1009" s="7">
        <f>'3 escalar'!R1012</f>
        <v/>
      </c>
      <c r="T1009" s="7">
        <f>'3 escalar'!S1012</f>
        <v/>
      </c>
      <c r="U1009" s="7">
        <f>'3 escalar'!T1012</f>
        <v/>
      </c>
      <c r="V1009" s="6">
        <f>$AC$12+D1009*$AC$13+E1009*$AC$14+F1009*$AC$15+G1009*$AC$16+H1009*$AC$17+I1009*$AC$18+J1009*$AC$19+K1009*$AC$20+L1009*$AC$21+M1009*$AC$22+N1009*$AC$23+O1009*$AC$24+P1009*$AC$25+Q1009*$AC$26+R1009*$AC$27+S1009*$AC$28+T1009*$AC$29+U1009*$AC$30</f>
        <v/>
      </c>
      <c r="W1009" s="6">
        <f>1/(1+EXP(-V1009))</f>
        <v/>
      </c>
      <c r="X1009" s="8">
        <f>-IF(C1009=1,LN(W1009),LN(1-W1009))</f>
        <v/>
      </c>
      <c r="Y1009" s="9">
        <f>IF(W1009&gt;$AC$32,1,0)</f>
        <v/>
      </c>
      <c r="Z1009">
        <f>IF(Y1009=C1009,1,0)</f>
        <v/>
      </c>
    </row>
    <row r="1010">
      <c r="A1010">
        <f>'3 escalar'!A1013</f>
        <v/>
      </c>
      <c r="B1010" s="5">
        <f>'3 escalar'!U1013</f>
        <v/>
      </c>
      <c r="C1010">
        <f>'3 escalar'!B1013</f>
        <v/>
      </c>
      <c r="D1010" s="7">
        <f>'3 escalar'!C1013</f>
        <v/>
      </c>
      <c r="E1010" s="7">
        <f>'3 escalar'!D1013</f>
        <v/>
      </c>
      <c r="F1010" s="7">
        <f>'3 escalar'!E1013</f>
        <v/>
      </c>
      <c r="G1010" s="7">
        <f>'3 escalar'!F1013</f>
        <v/>
      </c>
      <c r="H1010" s="7">
        <f>'3 escalar'!G1013</f>
        <v/>
      </c>
      <c r="I1010" s="7">
        <f>'3 escalar'!H1013</f>
        <v/>
      </c>
      <c r="J1010" s="7">
        <f>'3 escalar'!I1013</f>
        <v/>
      </c>
      <c r="K1010" s="7">
        <f>'3 escalar'!J1013</f>
        <v/>
      </c>
      <c r="L1010" s="7">
        <f>'3 escalar'!K1013</f>
        <v/>
      </c>
      <c r="M1010" s="7">
        <f>'3 escalar'!L1013</f>
        <v/>
      </c>
      <c r="N1010" s="7">
        <f>'3 escalar'!M1013</f>
        <v/>
      </c>
      <c r="O1010" s="7">
        <f>'3 escalar'!N1013</f>
        <v/>
      </c>
      <c r="P1010" s="7">
        <f>'3 escalar'!O1013</f>
        <v/>
      </c>
      <c r="Q1010" s="7">
        <f>'3 escalar'!P1013</f>
        <v/>
      </c>
      <c r="R1010" s="7">
        <f>'3 escalar'!Q1013</f>
        <v/>
      </c>
      <c r="S1010" s="7">
        <f>'3 escalar'!R1013</f>
        <v/>
      </c>
      <c r="T1010" s="7">
        <f>'3 escalar'!S1013</f>
        <v/>
      </c>
      <c r="U1010" s="7">
        <f>'3 escalar'!T1013</f>
        <v/>
      </c>
      <c r="V1010" s="6">
        <f>$AC$12+D1010*$AC$13+E1010*$AC$14+F1010*$AC$15+G1010*$AC$16+H1010*$AC$17+I1010*$AC$18+J1010*$AC$19+K1010*$AC$20+L1010*$AC$21+M1010*$AC$22+N1010*$AC$23+O1010*$AC$24+P1010*$AC$25+Q1010*$AC$26+R1010*$AC$27+S1010*$AC$28+T1010*$AC$29+U1010*$AC$30</f>
        <v/>
      </c>
      <c r="W1010" s="6">
        <f>1/(1+EXP(-V1010))</f>
        <v/>
      </c>
      <c r="X1010" s="8">
        <f>-IF(C1010=1,LN(W1010),LN(1-W1010))</f>
        <v/>
      </c>
      <c r="Y1010" s="9">
        <f>IF(W1010&gt;$AC$32,1,0)</f>
        <v/>
      </c>
      <c r="Z1010">
        <f>IF(Y1010=C1010,1,0)</f>
        <v/>
      </c>
    </row>
    <row r="1011">
      <c r="A1011">
        <f>'3 escalar'!A1014</f>
        <v/>
      </c>
      <c r="B1011" s="5">
        <f>'3 escalar'!U1014</f>
        <v/>
      </c>
      <c r="C1011">
        <f>'3 escalar'!B1014</f>
        <v/>
      </c>
      <c r="D1011" s="7">
        <f>'3 escalar'!C1014</f>
        <v/>
      </c>
      <c r="E1011" s="7">
        <f>'3 escalar'!D1014</f>
        <v/>
      </c>
      <c r="F1011" s="7">
        <f>'3 escalar'!E1014</f>
        <v/>
      </c>
      <c r="G1011" s="7">
        <f>'3 escalar'!F1014</f>
        <v/>
      </c>
      <c r="H1011" s="7">
        <f>'3 escalar'!G1014</f>
        <v/>
      </c>
      <c r="I1011" s="7">
        <f>'3 escalar'!H1014</f>
        <v/>
      </c>
      <c r="J1011" s="7">
        <f>'3 escalar'!I1014</f>
        <v/>
      </c>
      <c r="K1011" s="7">
        <f>'3 escalar'!J1014</f>
        <v/>
      </c>
      <c r="L1011" s="7">
        <f>'3 escalar'!K1014</f>
        <v/>
      </c>
      <c r="M1011" s="7">
        <f>'3 escalar'!L1014</f>
        <v/>
      </c>
      <c r="N1011" s="7">
        <f>'3 escalar'!M1014</f>
        <v/>
      </c>
      <c r="O1011" s="7">
        <f>'3 escalar'!N1014</f>
        <v/>
      </c>
      <c r="P1011" s="7">
        <f>'3 escalar'!O1014</f>
        <v/>
      </c>
      <c r="Q1011" s="7">
        <f>'3 escalar'!P1014</f>
        <v/>
      </c>
      <c r="R1011" s="7">
        <f>'3 escalar'!Q1014</f>
        <v/>
      </c>
      <c r="S1011" s="7">
        <f>'3 escalar'!R1014</f>
        <v/>
      </c>
      <c r="T1011" s="7">
        <f>'3 escalar'!S1014</f>
        <v/>
      </c>
      <c r="U1011" s="7">
        <f>'3 escalar'!T1014</f>
        <v/>
      </c>
      <c r="V1011" s="6">
        <f>$AC$12+D1011*$AC$13+E1011*$AC$14+F1011*$AC$15+G1011*$AC$16+H1011*$AC$17+I1011*$AC$18+J1011*$AC$19+K1011*$AC$20+L1011*$AC$21+M1011*$AC$22+N1011*$AC$23+O1011*$AC$24+P1011*$AC$25+Q1011*$AC$26+R1011*$AC$27+S1011*$AC$28+T1011*$AC$29+U1011*$AC$30</f>
        <v/>
      </c>
      <c r="W1011" s="6">
        <f>1/(1+EXP(-V1011))</f>
        <v/>
      </c>
      <c r="X1011" s="8">
        <f>-IF(C1011=1,LN(W1011),LN(1-W1011))</f>
        <v/>
      </c>
      <c r="Y1011" s="9">
        <f>IF(W1011&gt;$AC$32,1,0)</f>
        <v/>
      </c>
      <c r="Z1011">
        <f>IF(Y1011=C1011,1,0)</f>
        <v/>
      </c>
    </row>
    <row r="1012"/>
    <row r="1013">
      <c r="A1013" s="3" t="inlineStr">
        <is>
          <t>¿Se escapa del rango? Mínimo y máximo de la predicción, por conjunto</t>
        </is>
      </c>
    </row>
    <row r="1014">
      <c r="A1014" s="4" t="inlineStr"/>
      <c r="B1014" s="4" t="inlineStr">
        <is>
          <t>training</t>
        </is>
      </c>
      <c r="C1014" s="4" t="inlineStr">
        <is>
          <t>testing</t>
        </is>
      </c>
    </row>
    <row r="1015">
      <c r="A1015" t="inlineStr">
        <is>
          <t>ŷ mínimo (recta Z)</t>
        </is>
      </c>
      <c r="B1015" s="13">
        <f>_xlfn.MINIFS($V$12:$V$1011,$B$12:$B$1011,"training")</f>
        <v/>
      </c>
      <c r="C1015" s="13">
        <f>_xlfn.MINIFS($V$12:$V$1011,$B$12:$B$1011,"testing")</f>
        <v/>
      </c>
    </row>
    <row r="1016">
      <c r="A1016" t="inlineStr">
        <is>
          <t>ŷ máximo (recta Z)</t>
        </is>
      </c>
      <c r="B1016" s="13">
        <f>_xlfn.MAXIFS($V$12:$V$1011,$B$12:$B$1011,"training")</f>
        <v/>
      </c>
      <c r="C1016" s="13">
        <f>_xlfn.MAXIFS($V$12:$V$1011,$B$12:$B$1011,"testing")</f>
        <v/>
      </c>
    </row>
    <row r="1017">
      <c r="A1017" t="inlineStr">
        <is>
          <t>p mínimo (logística)</t>
        </is>
      </c>
      <c r="B1017" s="13">
        <f>_xlfn.MINIFS($W$12:$W$1011,$B$12:$B$1011,"training")</f>
        <v/>
      </c>
      <c r="C1017" s="13">
        <f>_xlfn.MINIFS($W$12:$W$1011,$B$12:$B$1011,"testing")</f>
        <v/>
      </c>
    </row>
    <row r="1018">
      <c r="A1018" t="inlineStr">
        <is>
          <t>p máximo (logística)</t>
        </is>
      </c>
      <c r="B1018" s="13">
        <f>_xlfn.MAXIFS($W$12:$W$1011,$B$12:$B$1011,"training")</f>
        <v/>
      </c>
      <c r="C1018" s="13">
        <f>_xlfn.MAXIFS($W$12:$W$1011,$B$12:$B$1011,"testing")</f>
        <v/>
      </c>
    </row>
    <row r="1019">
      <c r="A1019" t="inlineStr">
        <is>
          <t>filas con ŷ (recta) fuera de [0, 1]</t>
        </is>
      </c>
      <c r="B1019" s="9">
        <f>COUNTIFS($B$12:$B$1011,"training",$V$12:$V$1011,"&lt;0")+COUNTIFS($B$12:$B$1011,"training",$V$12:$V$1011,"&gt;1")</f>
        <v/>
      </c>
      <c r="C1019" s="9">
        <f>COUNTIFS($B$12:$B$1011,"testing",$V$12:$V$1011,"&lt;0")+COUNTIFS($B$12:$B$1011,"testing",$V$12:$V$1011,"&gt;1")</f>
        <v/>
      </c>
    </row>
    <row r="1020">
      <c r="A1020" t="inlineStr">
        <is>
          <t>Con los pesos en 0,3 la recta llega a valores de varias unidades, positivas y negativas: leída como predicción de y no sirve. La columna p, con los mismos pesos, nunca sale de (0, 1). Después de Solver la recta sigue sin respetar el rango; es la logística la que lo garantiza.</t>
        </is>
      </c>
    </row>
    <row r="1021"/>
    <row r="1022">
      <c r="A1022" s="3" t="inlineStr">
        <is>
          <t>hipotético</t>
        </is>
      </c>
      <c r="B1022" t="inlineStr">
        <is>
          <t>(no entra en nada)</t>
        </is>
      </c>
      <c r="C1022" t="inlineStr">
        <is>
          <t>?</t>
        </is>
      </c>
      <c r="D1022" s="21">
        <f>(72-'3 escalar'!$B$6)/'3 escalar'!$C$6</f>
        <v/>
      </c>
      <c r="E1022" s="21">
        <f>(18000-'3 escalar'!$B$7)/'3 escalar'!$C$7</f>
        <v/>
      </c>
      <c r="F1022" s="21">
        <f>(21-'3 escalar'!$B$8)/'3 escalar'!$C$8</f>
        <v/>
      </c>
      <c r="G1022" s="21">
        <f>(4-'3 escalar'!$B$9)/'3 escalar'!$C$9</f>
        <v/>
      </c>
      <c r="H1022" s="21" t="n">
        <v>1</v>
      </c>
      <c r="I1022" s="21" t="n">
        <v>0</v>
      </c>
      <c r="J1022" s="21" t="n">
        <v>0</v>
      </c>
      <c r="K1022" s="21" t="n">
        <v>0</v>
      </c>
      <c r="L1022" s="21" t="n">
        <v>1</v>
      </c>
      <c r="M1022" s="21" t="n">
        <v>0</v>
      </c>
      <c r="N1022" s="21" t="n">
        <v>0</v>
      </c>
      <c r="O1022" s="21" t="n">
        <v>0</v>
      </c>
      <c r="P1022" s="21" t="n">
        <v>0</v>
      </c>
      <c r="Q1022" s="21" t="n">
        <v>1</v>
      </c>
      <c r="R1022" s="21" t="n">
        <v>0</v>
      </c>
      <c r="S1022" s="21" t="n">
        <v>0</v>
      </c>
      <c r="T1022" s="21" t="n">
        <v>0</v>
      </c>
      <c r="U1022" s="21" t="n">
        <v>0</v>
      </c>
      <c r="V1022" s="6">
        <f>$AC$12+D1022*$AC$13+E1022*$AC$14+F1022*$AC$15+G1022*$AC$16+H1022*$AC$17+I1022*$AC$18+J1022*$AC$19+K1022*$AC$20+L1022*$AC$21+M1022*$AC$22+N1022*$AC$23+O1022*$AC$24+P1022*$AC$25+Q1022*$AC$26+R1022*$AC$27+S1022*$AC$28+T1022*$AC$29+U1022*$AC$30</f>
        <v/>
      </c>
      <c r="W1022" s="6">
        <f>1/(1+EXP(-V1022))</f>
        <v/>
      </c>
    </row>
    <row r="1023">
      <c r="A1023" t="inlineStr">
        <is>
          <t>Fila hipotética (celeste, editable): crédito de 72 meses por 18.000 DM, cliente de 21 años con cuota alta, cuenta corriente negativa, atrasos previos y arriendo. Un cliente extremo empuja la recta lejos del rango; p lo trae de vuelta.</t>
        </is>
      </c>
    </row>
  </sheetData>
  <mergeCells count="9">
    <mergeCell ref="A3:R3"/>
    <mergeCell ref="AB47:AD47"/>
    <mergeCell ref="A7:R7"/>
    <mergeCell ref="AB46:AD46"/>
    <mergeCell ref="A2:R2"/>
    <mergeCell ref="AB45:AD45"/>
    <mergeCell ref="A5:R5"/>
    <mergeCell ref="A6:R6"/>
    <mergeCell ref="A4:R4"/>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cols>
    <col width="41" customWidth="1" min="1" max="1"/>
    <col width="10" customWidth="1" min="2" max="2"/>
    <col width="10" customWidth="1" min="3" max="3"/>
    <col width="10" customWidth="1" min="4" max="4"/>
    <col width="10" customWidth="1" min="5" max="5"/>
    <col width="10" customWidth="1" min="6" max="6"/>
    <col width="13" customWidth="1" min="7" max="7"/>
    <col width="10" customWidth="1" min="8" max="8"/>
    <col width="32" customWidth="1" min="9" max="9"/>
    <col width="14" customWidth="1" min="10" max="10"/>
    <col width="19" customWidth="1" min="11" max="11"/>
  </cols>
  <sheetData>
    <row r="1">
      <c r="A1" s="3" t="inlineStr">
        <is>
          <t>Por qué 50%: todas las métricas en testing como función del umbral, y la curva ROC</t>
        </is>
      </c>
    </row>
    <row r="2" ht="65" customHeight="1">
      <c r="A2" s="2" t="inlineStr">
        <is>
          <t>Por qué 50% y no otro número. El umbral no es parte del modelo; es una decisión. Esta hoja lee los pesos y el umbral de la hoja 4 (conviene tenerlos ya entrenados con Solver, o copiada la columna de referencia) y recalcula la matriz de confusión sobre testing para cada umbral entre 0 y 1 (de 0,05 en 0,05) y muestra cómo se mueven recall, precision, F1 y el acierto. Bajar el umbral atrapa más malos pagadores (sube recall) a costa de marcar más buenos (baja precision); subirlo hace lo contrario. No hay umbral que mejore las dos a la vez: eso es el trade-off, ahora con números.</t>
        </is>
      </c>
    </row>
    <row r="3" ht="80.5" customHeight="1">
      <c r="A3" s="2" t="inlineStr">
        <is>
          <t>La curva ROC es esa misma tabla dibujada: en el eje horizontal la tasa de falsos positivos (FP / (FP + TN), qué fracción de los buenos marqué), en el vertical el recall (también llamado tasa de verdaderos positivos). Cada punto es un umbral; recorrer la curva es mover el umbral desde 1 (nadie marcado, esquina inferior izquierda) hasta 0 (todos marcados, esquina superior derecha). Un modelo que adivina al azar sigue la diagonal; uno perfecto sube por el borde izquierdo. El área bajo la curva (AUC) resume qué tan lejos de la diagonal está, y se calcula aquí como suma de trapecios sobre los 21 puntos. Es una aproximación: scikit-learn usa los 300 scores como umbrales y obtiene un área un poco mayor, que se muestra al lado para comparar.</t>
        </is>
      </c>
    </row>
    <row r="4" ht="49.5" customHeight="1">
      <c r="A4" s="2" t="inlineStr">
        <is>
          <t>Una lectura complementaria del AUC que conviene conocer: es la probabilidad de que, tomando al azar un mal pagador y un buen pagador, el modelo le haya asignado más riesgo al malo. Es útil para comparar modelos sin fijar umbral, pero esconde el trade-off, y cuando dos curvas ROC se cruzan un solo número no decide nada; ahí hay que mirar la curva en la zona de umbrales que el negocio va a usar.</t>
        </is>
      </c>
    </row>
    <row r="5">
      <c r="A5" s="4" t="inlineStr">
        <is>
          <t>umbral</t>
        </is>
      </c>
      <c r="B5" s="4" t="inlineStr">
        <is>
          <t>TP</t>
        </is>
      </c>
      <c r="C5" s="4" t="inlineStr">
        <is>
          <t>FP</t>
        </is>
      </c>
      <c r="D5" s="4" t="inlineStr">
        <is>
          <t>TN</t>
        </is>
      </c>
      <c r="E5" s="4" t="inlineStr">
        <is>
          <t>FN</t>
        </is>
      </c>
      <c r="F5" s="4" t="inlineStr">
        <is>
          <t>acierto</t>
        </is>
      </c>
      <c r="G5" s="4" t="inlineStr">
        <is>
          <t>recall (TPR)</t>
        </is>
      </c>
      <c r="H5" s="4" t="inlineStr">
        <is>
          <t>precision</t>
        </is>
      </c>
      <c r="I5" s="4" t="inlineStr">
        <is>
          <t>F1</t>
        </is>
      </c>
      <c r="J5" s="4" t="inlineStr">
        <is>
          <t>tasa FP (FPR)</t>
        </is>
      </c>
      <c r="K5" s="4" t="inlineStr">
        <is>
          <t>trapecio</t>
        </is>
      </c>
    </row>
    <row r="6">
      <c r="A6" s="22" t="n">
        <v>1</v>
      </c>
      <c r="B6" s="12">
        <f>COUNTIFS('4 modelo, umbral y evaluación'!$B$12:$B$1011,"testing",'4 modelo, umbral y evaluación'!$C$12:$C$1011,1,'4 modelo, umbral y evaluación'!$W$12:$W$1011,"&gt;"&amp;A6)</f>
        <v/>
      </c>
      <c r="C6" s="12">
        <f>COUNTIFS('4 modelo, umbral y evaluación'!$B$12:$B$1011,"testing",'4 modelo, umbral y evaluación'!$C$12:$C$1011,0,'4 modelo, umbral y evaluación'!$W$12:$W$1011,"&gt;"&amp;A6)</f>
        <v/>
      </c>
      <c r="D6" s="12">
        <f>COUNTIFS('4 modelo, umbral y evaluación'!$B$12:$B$1011,"testing",'4 modelo, umbral y evaluación'!$C$12:$C$1011,0,'4 modelo, umbral y evaluación'!$W$12:$W$1011,"&lt;="&amp;A6)</f>
        <v/>
      </c>
      <c r="E6" s="12">
        <f>COUNTIFS('4 modelo, umbral y evaluación'!$B$12:$B$1011,"testing",'4 modelo, umbral y evaluación'!$C$12:$C$1011,1,'4 modelo, umbral y evaluación'!$W$12:$W$1011,"&lt;="&amp;A6)</f>
        <v/>
      </c>
      <c r="F6" s="19">
        <f>(B6+D6)/(B6+C6+D6+E6)</f>
        <v/>
      </c>
      <c r="G6" s="13">
        <f>IF(B6+E6=0,0,B6/(B6+E6))</f>
        <v/>
      </c>
      <c r="H6" s="13">
        <f>IF(B6+C6=0,0,B6/(B6+C6))</f>
        <v/>
      </c>
      <c r="I6" s="13">
        <f>IF(G6+H6=0,0,2*G6*H6/(G6+H6))</f>
        <v/>
      </c>
      <c r="J6" s="13">
        <f>IF(C6+D6=0,0,C6/(C6+D6))</f>
        <v/>
      </c>
    </row>
    <row r="7">
      <c r="A7" s="22" t="n">
        <v>0.95</v>
      </c>
      <c r="B7" s="12">
        <f>COUNTIFS('4 modelo, umbral y evaluación'!$B$12:$B$1011,"testing",'4 modelo, umbral y evaluación'!$C$12:$C$1011,1,'4 modelo, umbral y evaluación'!$W$12:$W$1011,"&gt;"&amp;A7)</f>
        <v/>
      </c>
      <c r="C7" s="12">
        <f>COUNTIFS('4 modelo, umbral y evaluación'!$B$12:$B$1011,"testing",'4 modelo, umbral y evaluación'!$C$12:$C$1011,0,'4 modelo, umbral y evaluación'!$W$12:$W$1011,"&gt;"&amp;A7)</f>
        <v/>
      </c>
      <c r="D7" s="12">
        <f>COUNTIFS('4 modelo, umbral y evaluación'!$B$12:$B$1011,"testing",'4 modelo, umbral y evaluación'!$C$12:$C$1011,0,'4 modelo, umbral y evaluación'!$W$12:$W$1011,"&lt;="&amp;A7)</f>
        <v/>
      </c>
      <c r="E7" s="12">
        <f>COUNTIFS('4 modelo, umbral y evaluación'!$B$12:$B$1011,"testing",'4 modelo, umbral y evaluación'!$C$12:$C$1011,1,'4 modelo, umbral y evaluación'!$W$12:$W$1011,"&lt;="&amp;A7)</f>
        <v/>
      </c>
      <c r="F7" s="19">
        <f>(B7+D7)/(B7+C7+D7+E7)</f>
        <v/>
      </c>
      <c r="G7" s="13">
        <f>IF(B7+E7=0,0,B7/(B7+E7))</f>
        <v/>
      </c>
      <c r="H7" s="13">
        <f>IF(B7+C7=0,0,B7/(B7+C7))</f>
        <v/>
      </c>
      <c r="I7" s="13">
        <f>IF(G7+H7=0,0,2*G7*H7/(G7+H7))</f>
        <v/>
      </c>
      <c r="J7" s="13">
        <f>IF(C7+D7=0,0,C7/(C7+D7))</f>
        <v/>
      </c>
      <c r="K7" s="23">
        <f>(J7-J6)*(G7+G6)/2</f>
        <v/>
      </c>
    </row>
    <row r="8">
      <c r="A8" s="22" t="n">
        <v>0.9</v>
      </c>
      <c r="B8" s="12">
        <f>COUNTIFS('4 modelo, umbral y evaluación'!$B$12:$B$1011,"testing",'4 modelo, umbral y evaluación'!$C$12:$C$1011,1,'4 modelo, umbral y evaluación'!$W$12:$W$1011,"&gt;"&amp;A8)</f>
        <v/>
      </c>
      <c r="C8" s="12">
        <f>COUNTIFS('4 modelo, umbral y evaluación'!$B$12:$B$1011,"testing",'4 modelo, umbral y evaluación'!$C$12:$C$1011,0,'4 modelo, umbral y evaluación'!$W$12:$W$1011,"&gt;"&amp;A8)</f>
        <v/>
      </c>
      <c r="D8" s="12">
        <f>COUNTIFS('4 modelo, umbral y evaluación'!$B$12:$B$1011,"testing",'4 modelo, umbral y evaluación'!$C$12:$C$1011,0,'4 modelo, umbral y evaluación'!$W$12:$W$1011,"&lt;="&amp;A8)</f>
        <v/>
      </c>
      <c r="E8" s="12">
        <f>COUNTIFS('4 modelo, umbral y evaluación'!$B$12:$B$1011,"testing",'4 modelo, umbral y evaluación'!$C$12:$C$1011,1,'4 modelo, umbral y evaluación'!$W$12:$W$1011,"&lt;="&amp;A8)</f>
        <v/>
      </c>
      <c r="F8" s="19">
        <f>(B8+D8)/(B8+C8+D8+E8)</f>
        <v/>
      </c>
      <c r="G8" s="13">
        <f>IF(B8+E8=0,0,B8/(B8+E8))</f>
        <v/>
      </c>
      <c r="H8" s="13">
        <f>IF(B8+C8=0,0,B8/(B8+C8))</f>
        <v/>
      </c>
      <c r="I8" s="13">
        <f>IF(G8+H8=0,0,2*G8*H8/(G8+H8))</f>
        <v/>
      </c>
      <c r="J8" s="13">
        <f>IF(C8+D8=0,0,C8/(C8+D8))</f>
        <v/>
      </c>
      <c r="K8" s="23">
        <f>(J8-J7)*(G8+G7)/2</f>
        <v/>
      </c>
    </row>
    <row r="9">
      <c r="A9" s="22" t="n">
        <v>0.85</v>
      </c>
      <c r="B9" s="12">
        <f>COUNTIFS('4 modelo, umbral y evaluación'!$B$12:$B$1011,"testing",'4 modelo, umbral y evaluación'!$C$12:$C$1011,1,'4 modelo, umbral y evaluación'!$W$12:$W$1011,"&gt;"&amp;A9)</f>
        <v/>
      </c>
      <c r="C9" s="12">
        <f>COUNTIFS('4 modelo, umbral y evaluación'!$B$12:$B$1011,"testing",'4 modelo, umbral y evaluación'!$C$12:$C$1011,0,'4 modelo, umbral y evaluación'!$W$12:$W$1011,"&gt;"&amp;A9)</f>
        <v/>
      </c>
      <c r="D9" s="12">
        <f>COUNTIFS('4 modelo, umbral y evaluación'!$B$12:$B$1011,"testing",'4 modelo, umbral y evaluación'!$C$12:$C$1011,0,'4 modelo, umbral y evaluación'!$W$12:$W$1011,"&lt;="&amp;A9)</f>
        <v/>
      </c>
      <c r="E9" s="12">
        <f>COUNTIFS('4 modelo, umbral y evaluación'!$B$12:$B$1011,"testing",'4 modelo, umbral y evaluación'!$C$12:$C$1011,1,'4 modelo, umbral y evaluación'!$W$12:$W$1011,"&lt;="&amp;A9)</f>
        <v/>
      </c>
      <c r="F9" s="19">
        <f>(B9+D9)/(B9+C9+D9+E9)</f>
        <v/>
      </c>
      <c r="G9" s="13">
        <f>IF(B9+E9=0,0,B9/(B9+E9))</f>
        <v/>
      </c>
      <c r="H9" s="13">
        <f>IF(B9+C9=0,0,B9/(B9+C9))</f>
        <v/>
      </c>
      <c r="I9" s="13">
        <f>IF(G9+H9=0,0,2*G9*H9/(G9+H9))</f>
        <v/>
      </c>
      <c r="J9" s="13">
        <f>IF(C9+D9=0,0,C9/(C9+D9))</f>
        <v/>
      </c>
      <c r="K9" s="23">
        <f>(J9-J8)*(G9+G8)/2</f>
        <v/>
      </c>
    </row>
    <row r="10">
      <c r="A10" s="22" t="n">
        <v>0.8</v>
      </c>
      <c r="B10" s="12">
        <f>COUNTIFS('4 modelo, umbral y evaluación'!$B$12:$B$1011,"testing",'4 modelo, umbral y evaluación'!$C$12:$C$1011,1,'4 modelo, umbral y evaluación'!$W$12:$W$1011,"&gt;"&amp;A10)</f>
        <v/>
      </c>
      <c r="C10" s="12">
        <f>COUNTIFS('4 modelo, umbral y evaluación'!$B$12:$B$1011,"testing",'4 modelo, umbral y evaluación'!$C$12:$C$1011,0,'4 modelo, umbral y evaluación'!$W$12:$W$1011,"&gt;"&amp;A10)</f>
        <v/>
      </c>
      <c r="D10" s="12">
        <f>COUNTIFS('4 modelo, umbral y evaluación'!$B$12:$B$1011,"testing",'4 modelo, umbral y evaluación'!$C$12:$C$1011,0,'4 modelo, umbral y evaluación'!$W$12:$W$1011,"&lt;="&amp;A10)</f>
        <v/>
      </c>
      <c r="E10" s="12">
        <f>COUNTIFS('4 modelo, umbral y evaluación'!$B$12:$B$1011,"testing",'4 modelo, umbral y evaluación'!$C$12:$C$1011,1,'4 modelo, umbral y evaluación'!$W$12:$W$1011,"&lt;="&amp;A10)</f>
        <v/>
      </c>
      <c r="F10" s="19">
        <f>(B10+D10)/(B10+C10+D10+E10)</f>
        <v/>
      </c>
      <c r="G10" s="13">
        <f>IF(B10+E10=0,0,B10/(B10+E10))</f>
        <v/>
      </c>
      <c r="H10" s="13">
        <f>IF(B10+C10=0,0,B10/(B10+C10))</f>
        <v/>
      </c>
      <c r="I10" s="13">
        <f>IF(G10+H10=0,0,2*G10*H10/(G10+H10))</f>
        <v/>
      </c>
      <c r="J10" s="13">
        <f>IF(C10+D10=0,0,C10/(C10+D10))</f>
        <v/>
      </c>
      <c r="K10" s="23">
        <f>(J10-J9)*(G10+G9)/2</f>
        <v/>
      </c>
    </row>
    <row r="11">
      <c r="A11" s="22" t="n">
        <v>0.75</v>
      </c>
      <c r="B11" s="12">
        <f>COUNTIFS('4 modelo, umbral y evaluación'!$B$12:$B$1011,"testing",'4 modelo, umbral y evaluación'!$C$12:$C$1011,1,'4 modelo, umbral y evaluación'!$W$12:$W$1011,"&gt;"&amp;A11)</f>
        <v/>
      </c>
      <c r="C11" s="12">
        <f>COUNTIFS('4 modelo, umbral y evaluación'!$B$12:$B$1011,"testing",'4 modelo, umbral y evaluación'!$C$12:$C$1011,0,'4 modelo, umbral y evaluación'!$W$12:$W$1011,"&gt;"&amp;A11)</f>
        <v/>
      </c>
      <c r="D11" s="12">
        <f>COUNTIFS('4 modelo, umbral y evaluación'!$B$12:$B$1011,"testing",'4 modelo, umbral y evaluación'!$C$12:$C$1011,0,'4 modelo, umbral y evaluación'!$W$12:$W$1011,"&lt;="&amp;A11)</f>
        <v/>
      </c>
      <c r="E11" s="12">
        <f>COUNTIFS('4 modelo, umbral y evaluación'!$B$12:$B$1011,"testing",'4 modelo, umbral y evaluación'!$C$12:$C$1011,1,'4 modelo, umbral y evaluación'!$W$12:$W$1011,"&lt;="&amp;A11)</f>
        <v/>
      </c>
      <c r="F11" s="19">
        <f>(B11+D11)/(B11+C11+D11+E11)</f>
        <v/>
      </c>
      <c r="G11" s="13">
        <f>IF(B11+E11=0,0,B11/(B11+E11))</f>
        <v/>
      </c>
      <c r="H11" s="13">
        <f>IF(B11+C11=0,0,B11/(B11+C11))</f>
        <v/>
      </c>
      <c r="I11" s="13">
        <f>IF(G11+H11=0,0,2*G11*H11/(G11+H11))</f>
        <v/>
      </c>
      <c r="J11" s="13">
        <f>IF(C11+D11=0,0,C11/(C11+D11))</f>
        <v/>
      </c>
      <c r="K11" s="23">
        <f>(J11-J10)*(G11+G10)/2</f>
        <v/>
      </c>
    </row>
    <row r="12">
      <c r="A12" s="22" t="n">
        <v>0.7</v>
      </c>
      <c r="B12" s="12">
        <f>COUNTIFS('4 modelo, umbral y evaluación'!$B$12:$B$1011,"testing",'4 modelo, umbral y evaluación'!$C$12:$C$1011,1,'4 modelo, umbral y evaluación'!$W$12:$W$1011,"&gt;"&amp;A12)</f>
        <v/>
      </c>
      <c r="C12" s="12">
        <f>COUNTIFS('4 modelo, umbral y evaluación'!$B$12:$B$1011,"testing",'4 modelo, umbral y evaluación'!$C$12:$C$1011,0,'4 modelo, umbral y evaluación'!$W$12:$W$1011,"&gt;"&amp;A12)</f>
        <v/>
      </c>
      <c r="D12" s="12">
        <f>COUNTIFS('4 modelo, umbral y evaluación'!$B$12:$B$1011,"testing",'4 modelo, umbral y evaluación'!$C$12:$C$1011,0,'4 modelo, umbral y evaluación'!$W$12:$W$1011,"&lt;="&amp;A12)</f>
        <v/>
      </c>
      <c r="E12" s="12">
        <f>COUNTIFS('4 modelo, umbral y evaluación'!$B$12:$B$1011,"testing",'4 modelo, umbral y evaluación'!$C$12:$C$1011,1,'4 modelo, umbral y evaluación'!$W$12:$W$1011,"&lt;="&amp;A12)</f>
        <v/>
      </c>
      <c r="F12" s="19">
        <f>(B12+D12)/(B12+C12+D12+E12)</f>
        <v/>
      </c>
      <c r="G12" s="13">
        <f>IF(B12+E12=0,0,B12/(B12+E12))</f>
        <v/>
      </c>
      <c r="H12" s="13">
        <f>IF(B12+C12=0,0,B12/(B12+C12))</f>
        <v/>
      </c>
      <c r="I12" s="13">
        <f>IF(G12+H12=0,0,2*G12*H12/(G12+H12))</f>
        <v/>
      </c>
      <c r="J12" s="13">
        <f>IF(C12+D12=0,0,C12/(C12+D12))</f>
        <v/>
      </c>
      <c r="K12" s="23">
        <f>(J12-J11)*(G12+G11)/2</f>
        <v/>
      </c>
    </row>
    <row r="13">
      <c r="A13" s="22" t="n">
        <v>0.65</v>
      </c>
      <c r="B13" s="12">
        <f>COUNTIFS('4 modelo, umbral y evaluación'!$B$12:$B$1011,"testing",'4 modelo, umbral y evaluación'!$C$12:$C$1011,1,'4 modelo, umbral y evaluación'!$W$12:$W$1011,"&gt;"&amp;A13)</f>
        <v/>
      </c>
      <c r="C13" s="12">
        <f>COUNTIFS('4 modelo, umbral y evaluación'!$B$12:$B$1011,"testing",'4 modelo, umbral y evaluación'!$C$12:$C$1011,0,'4 modelo, umbral y evaluación'!$W$12:$W$1011,"&gt;"&amp;A13)</f>
        <v/>
      </c>
      <c r="D13" s="12">
        <f>COUNTIFS('4 modelo, umbral y evaluación'!$B$12:$B$1011,"testing",'4 modelo, umbral y evaluación'!$C$12:$C$1011,0,'4 modelo, umbral y evaluación'!$W$12:$W$1011,"&lt;="&amp;A13)</f>
        <v/>
      </c>
      <c r="E13" s="12">
        <f>COUNTIFS('4 modelo, umbral y evaluación'!$B$12:$B$1011,"testing",'4 modelo, umbral y evaluación'!$C$12:$C$1011,1,'4 modelo, umbral y evaluación'!$W$12:$W$1011,"&lt;="&amp;A13)</f>
        <v/>
      </c>
      <c r="F13" s="19">
        <f>(B13+D13)/(B13+C13+D13+E13)</f>
        <v/>
      </c>
      <c r="G13" s="13">
        <f>IF(B13+E13=0,0,B13/(B13+E13))</f>
        <v/>
      </c>
      <c r="H13" s="13">
        <f>IF(B13+C13=0,0,B13/(B13+C13))</f>
        <v/>
      </c>
      <c r="I13" s="13">
        <f>IF(G13+H13=0,0,2*G13*H13/(G13+H13))</f>
        <v/>
      </c>
      <c r="J13" s="13">
        <f>IF(C13+D13=0,0,C13/(C13+D13))</f>
        <v/>
      </c>
      <c r="K13" s="23">
        <f>(J13-J12)*(G13+G12)/2</f>
        <v/>
      </c>
    </row>
    <row r="14">
      <c r="A14" s="22" t="n">
        <v>0.6</v>
      </c>
      <c r="B14" s="12">
        <f>COUNTIFS('4 modelo, umbral y evaluación'!$B$12:$B$1011,"testing",'4 modelo, umbral y evaluación'!$C$12:$C$1011,1,'4 modelo, umbral y evaluación'!$W$12:$W$1011,"&gt;"&amp;A14)</f>
        <v/>
      </c>
      <c r="C14" s="12">
        <f>COUNTIFS('4 modelo, umbral y evaluación'!$B$12:$B$1011,"testing",'4 modelo, umbral y evaluación'!$C$12:$C$1011,0,'4 modelo, umbral y evaluación'!$W$12:$W$1011,"&gt;"&amp;A14)</f>
        <v/>
      </c>
      <c r="D14" s="12">
        <f>COUNTIFS('4 modelo, umbral y evaluación'!$B$12:$B$1011,"testing",'4 modelo, umbral y evaluación'!$C$12:$C$1011,0,'4 modelo, umbral y evaluación'!$W$12:$W$1011,"&lt;="&amp;A14)</f>
        <v/>
      </c>
      <c r="E14" s="12">
        <f>COUNTIFS('4 modelo, umbral y evaluación'!$B$12:$B$1011,"testing",'4 modelo, umbral y evaluación'!$C$12:$C$1011,1,'4 modelo, umbral y evaluación'!$W$12:$W$1011,"&lt;="&amp;A14)</f>
        <v/>
      </c>
      <c r="F14" s="19">
        <f>(B14+D14)/(B14+C14+D14+E14)</f>
        <v/>
      </c>
      <c r="G14" s="13">
        <f>IF(B14+E14=0,0,B14/(B14+E14))</f>
        <v/>
      </c>
      <c r="H14" s="13">
        <f>IF(B14+C14=0,0,B14/(B14+C14))</f>
        <v/>
      </c>
      <c r="I14" s="13">
        <f>IF(G14+H14=0,0,2*G14*H14/(G14+H14))</f>
        <v/>
      </c>
      <c r="J14" s="13">
        <f>IF(C14+D14=0,0,C14/(C14+D14))</f>
        <v/>
      </c>
      <c r="K14" s="23">
        <f>(J14-J13)*(G14+G13)/2</f>
        <v/>
      </c>
    </row>
    <row r="15">
      <c r="A15" s="22" t="n">
        <v>0.55</v>
      </c>
      <c r="B15" s="12">
        <f>COUNTIFS('4 modelo, umbral y evaluación'!$B$12:$B$1011,"testing",'4 modelo, umbral y evaluación'!$C$12:$C$1011,1,'4 modelo, umbral y evaluación'!$W$12:$W$1011,"&gt;"&amp;A15)</f>
        <v/>
      </c>
      <c r="C15" s="12">
        <f>COUNTIFS('4 modelo, umbral y evaluación'!$B$12:$B$1011,"testing",'4 modelo, umbral y evaluación'!$C$12:$C$1011,0,'4 modelo, umbral y evaluación'!$W$12:$W$1011,"&gt;"&amp;A15)</f>
        <v/>
      </c>
      <c r="D15" s="12">
        <f>COUNTIFS('4 modelo, umbral y evaluación'!$B$12:$B$1011,"testing",'4 modelo, umbral y evaluación'!$C$12:$C$1011,0,'4 modelo, umbral y evaluación'!$W$12:$W$1011,"&lt;="&amp;A15)</f>
        <v/>
      </c>
      <c r="E15" s="12">
        <f>COUNTIFS('4 modelo, umbral y evaluación'!$B$12:$B$1011,"testing",'4 modelo, umbral y evaluación'!$C$12:$C$1011,1,'4 modelo, umbral y evaluación'!$W$12:$W$1011,"&lt;="&amp;A15)</f>
        <v/>
      </c>
      <c r="F15" s="19">
        <f>(B15+D15)/(B15+C15+D15+E15)</f>
        <v/>
      </c>
      <c r="G15" s="13">
        <f>IF(B15+E15=0,0,B15/(B15+E15))</f>
        <v/>
      </c>
      <c r="H15" s="13">
        <f>IF(B15+C15=0,0,B15/(B15+C15))</f>
        <v/>
      </c>
      <c r="I15" s="13">
        <f>IF(G15+H15=0,0,2*G15*H15/(G15+H15))</f>
        <v/>
      </c>
      <c r="J15" s="13">
        <f>IF(C15+D15=0,0,C15/(C15+D15))</f>
        <v/>
      </c>
      <c r="K15" s="23">
        <f>(J15-J14)*(G15+G14)/2</f>
        <v/>
      </c>
    </row>
    <row r="16">
      <c r="A16" s="22" t="n">
        <v>0.5</v>
      </c>
      <c r="B16" s="12">
        <f>COUNTIFS('4 modelo, umbral y evaluación'!$B$12:$B$1011,"testing",'4 modelo, umbral y evaluación'!$C$12:$C$1011,1,'4 modelo, umbral y evaluación'!$W$12:$W$1011,"&gt;"&amp;A16)</f>
        <v/>
      </c>
      <c r="C16" s="12">
        <f>COUNTIFS('4 modelo, umbral y evaluación'!$B$12:$B$1011,"testing",'4 modelo, umbral y evaluación'!$C$12:$C$1011,0,'4 modelo, umbral y evaluación'!$W$12:$W$1011,"&gt;"&amp;A16)</f>
        <v/>
      </c>
      <c r="D16" s="12">
        <f>COUNTIFS('4 modelo, umbral y evaluación'!$B$12:$B$1011,"testing",'4 modelo, umbral y evaluación'!$C$12:$C$1011,0,'4 modelo, umbral y evaluación'!$W$12:$W$1011,"&lt;="&amp;A16)</f>
        <v/>
      </c>
      <c r="E16" s="12">
        <f>COUNTIFS('4 modelo, umbral y evaluación'!$B$12:$B$1011,"testing",'4 modelo, umbral y evaluación'!$C$12:$C$1011,1,'4 modelo, umbral y evaluación'!$W$12:$W$1011,"&lt;="&amp;A16)</f>
        <v/>
      </c>
      <c r="F16" s="19">
        <f>(B16+D16)/(B16+C16+D16+E16)</f>
        <v/>
      </c>
      <c r="G16" s="13">
        <f>IF(B16+E16=0,0,B16/(B16+E16))</f>
        <v/>
      </c>
      <c r="H16" s="13">
        <f>IF(B16+C16=0,0,B16/(B16+C16))</f>
        <v/>
      </c>
      <c r="I16" s="13">
        <f>IF(G16+H16=0,0,2*G16*H16/(G16+H16))</f>
        <v/>
      </c>
      <c r="J16" s="13">
        <f>IF(C16+D16=0,0,C16/(C16+D16))</f>
        <v/>
      </c>
      <c r="K16" s="23">
        <f>(J16-J15)*(G16+G15)/2</f>
        <v/>
      </c>
    </row>
    <row r="17">
      <c r="A17" s="22" t="n">
        <v>0.45</v>
      </c>
      <c r="B17" s="12">
        <f>COUNTIFS('4 modelo, umbral y evaluación'!$B$12:$B$1011,"testing",'4 modelo, umbral y evaluación'!$C$12:$C$1011,1,'4 modelo, umbral y evaluación'!$W$12:$W$1011,"&gt;"&amp;A17)</f>
        <v/>
      </c>
      <c r="C17" s="12">
        <f>COUNTIFS('4 modelo, umbral y evaluación'!$B$12:$B$1011,"testing",'4 modelo, umbral y evaluación'!$C$12:$C$1011,0,'4 modelo, umbral y evaluación'!$W$12:$W$1011,"&gt;"&amp;A17)</f>
        <v/>
      </c>
      <c r="D17" s="12">
        <f>COUNTIFS('4 modelo, umbral y evaluación'!$B$12:$B$1011,"testing",'4 modelo, umbral y evaluación'!$C$12:$C$1011,0,'4 modelo, umbral y evaluación'!$W$12:$W$1011,"&lt;="&amp;A17)</f>
        <v/>
      </c>
      <c r="E17" s="12">
        <f>COUNTIFS('4 modelo, umbral y evaluación'!$B$12:$B$1011,"testing",'4 modelo, umbral y evaluación'!$C$12:$C$1011,1,'4 modelo, umbral y evaluación'!$W$12:$W$1011,"&lt;="&amp;A17)</f>
        <v/>
      </c>
      <c r="F17" s="19">
        <f>(B17+D17)/(B17+C17+D17+E17)</f>
        <v/>
      </c>
      <c r="G17" s="13">
        <f>IF(B17+E17=0,0,B17/(B17+E17))</f>
        <v/>
      </c>
      <c r="H17" s="13">
        <f>IF(B17+C17=0,0,B17/(B17+C17))</f>
        <v/>
      </c>
      <c r="I17" s="13">
        <f>IF(G17+H17=0,0,2*G17*H17/(G17+H17))</f>
        <v/>
      </c>
      <c r="J17" s="13">
        <f>IF(C17+D17=0,0,C17/(C17+D17))</f>
        <v/>
      </c>
      <c r="K17" s="23">
        <f>(J17-J16)*(G17+G16)/2</f>
        <v/>
      </c>
    </row>
    <row r="18">
      <c r="A18" s="22" t="n">
        <v>0.4</v>
      </c>
      <c r="B18" s="12">
        <f>COUNTIFS('4 modelo, umbral y evaluación'!$B$12:$B$1011,"testing",'4 modelo, umbral y evaluación'!$C$12:$C$1011,1,'4 modelo, umbral y evaluación'!$W$12:$W$1011,"&gt;"&amp;A18)</f>
        <v/>
      </c>
      <c r="C18" s="12">
        <f>COUNTIFS('4 modelo, umbral y evaluación'!$B$12:$B$1011,"testing",'4 modelo, umbral y evaluación'!$C$12:$C$1011,0,'4 modelo, umbral y evaluación'!$W$12:$W$1011,"&gt;"&amp;A18)</f>
        <v/>
      </c>
      <c r="D18" s="12">
        <f>COUNTIFS('4 modelo, umbral y evaluación'!$B$12:$B$1011,"testing",'4 modelo, umbral y evaluación'!$C$12:$C$1011,0,'4 modelo, umbral y evaluación'!$W$12:$W$1011,"&lt;="&amp;A18)</f>
        <v/>
      </c>
      <c r="E18" s="12">
        <f>COUNTIFS('4 modelo, umbral y evaluación'!$B$12:$B$1011,"testing",'4 modelo, umbral y evaluación'!$C$12:$C$1011,1,'4 modelo, umbral y evaluación'!$W$12:$W$1011,"&lt;="&amp;A18)</f>
        <v/>
      </c>
      <c r="F18" s="19">
        <f>(B18+D18)/(B18+C18+D18+E18)</f>
        <v/>
      </c>
      <c r="G18" s="13">
        <f>IF(B18+E18=0,0,B18/(B18+E18))</f>
        <v/>
      </c>
      <c r="H18" s="13">
        <f>IF(B18+C18=0,0,B18/(B18+C18))</f>
        <v/>
      </c>
      <c r="I18" s="13">
        <f>IF(G18+H18=0,0,2*G18*H18/(G18+H18))</f>
        <v/>
      </c>
      <c r="J18" s="13">
        <f>IF(C18+D18=0,0,C18/(C18+D18))</f>
        <v/>
      </c>
      <c r="K18" s="23">
        <f>(J18-J17)*(G18+G17)/2</f>
        <v/>
      </c>
    </row>
    <row r="19">
      <c r="A19" s="22" t="n">
        <v>0.35</v>
      </c>
      <c r="B19" s="12">
        <f>COUNTIFS('4 modelo, umbral y evaluación'!$B$12:$B$1011,"testing",'4 modelo, umbral y evaluación'!$C$12:$C$1011,1,'4 modelo, umbral y evaluación'!$W$12:$W$1011,"&gt;"&amp;A19)</f>
        <v/>
      </c>
      <c r="C19" s="12">
        <f>COUNTIFS('4 modelo, umbral y evaluación'!$B$12:$B$1011,"testing",'4 modelo, umbral y evaluación'!$C$12:$C$1011,0,'4 modelo, umbral y evaluación'!$W$12:$W$1011,"&gt;"&amp;A19)</f>
        <v/>
      </c>
      <c r="D19" s="12">
        <f>COUNTIFS('4 modelo, umbral y evaluación'!$B$12:$B$1011,"testing",'4 modelo, umbral y evaluación'!$C$12:$C$1011,0,'4 modelo, umbral y evaluación'!$W$12:$W$1011,"&lt;="&amp;A19)</f>
        <v/>
      </c>
      <c r="E19" s="12">
        <f>COUNTIFS('4 modelo, umbral y evaluación'!$B$12:$B$1011,"testing",'4 modelo, umbral y evaluación'!$C$12:$C$1011,1,'4 modelo, umbral y evaluación'!$W$12:$W$1011,"&lt;="&amp;A19)</f>
        <v/>
      </c>
      <c r="F19" s="19">
        <f>(B19+D19)/(B19+C19+D19+E19)</f>
        <v/>
      </c>
      <c r="G19" s="13">
        <f>IF(B19+E19=0,0,B19/(B19+E19))</f>
        <v/>
      </c>
      <c r="H19" s="13">
        <f>IF(B19+C19=0,0,B19/(B19+C19))</f>
        <v/>
      </c>
      <c r="I19" s="13">
        <f>IF(G19+H19=0,0,2*G19*H19/(G19+H19))</f>
        <v/>
      </c>
      <c r="J19" s="13">
        <f>IF(C19+D19=0,0,C19/(C19+D19))</f>
        <v/>
      </c>
      <c r="K19" s="23">
        <f>(J19-J18)*(G19+G18)/2</f>
        <v/>
      </c>
    </row>
    <row r="20">
      <c r="A20" s="22" t="n">
        <v>0.3</v>
      </c>
      <c r="B20" s="12">
        <f>COUNTIFS('4 modelo, umbral y evaluación'!$B$12:$B$1011,"testing",'4 modelo, umbral y evaluación'!$C$12:$C$1011,1,'4 modelo, umbral y evaluación'!$W$12:$W$1011,"&gt;"&amp;A20)</f>
        <v/>
      </c>
      <c r="C20" s="12">
        <f>COUNTIFS('4 modelo, umbral y evaluación'!$B$12:$B$1011,"testing",'4 modelo, umbral y evaluación'!$C$12:$C$1011,0,'4 modelo, umbral y evaluación'!$W$12:$W$1011,"&gt;"&amp;A20)</f>
        <v/>
      </c>
      <c r="D20" s="12">
        <f>COUNTIFS('4 modelo, umbral y evaluación'!$B$12:$B$1011,"testing",'4 modelo, umbral y evaluación'!$C$12:$C$1011,0,'4 modelo, umbral y evaluación'!$W$12:$W$1011,"&lt;="&amp;A20)</f>
        <v/>
      </c>
      <c r="E20" s="12">
        <f>COUNTIFS('4 modelo, umbral y evaluación'!$B$12:$B$1011,"testing",'4 modelo, umbral y evaluación'!$C$12:$C$1011,1,'4 modelo, umbral y evaluación'!$W$12:$W$1011,"&lt;="&amp;A20)</f>
        <v/>
      </c>
      <c r="F20" s="19">
        <f>(B20+D20)/(B20+C20+D20+E20)</f>
        <v/>
      </c>
      <c r="G20" s="13">
        <f>IF(B20+E20=0,0,B20/(B20+E20))</f>
        <v/>
      </c>
      <c r="H20" s="13">
        <f>IF(B20+C20=0,0,B20/(B20+C20))</f>
        <v/>
      </c>
      <c r="I20" s="13">
        <f>IF(G20+H20=0,0,2*G20*H20/(G20+H20))</f>
        <v/>
      </c>
      <c r="J20" s="13">
        <f>IF(C20+D20=0,0,C20/(C20+D20))</f>
        <v/>
      </c>
      <c r="K20" s="23">
        <f>(J20-J19)*(G20+G19)/2</f>
        <v/>
      </c>
    </row>
    <row r="21">
      <c r="A21" s="22" t="n">
        <v>0.25</v>
      </c>
      <c r="B21" s="12">
        <f>COUNTIFS('4 modelo, umbral y evaluación'!$B$12:$B$1011,"testing",'4 modelo, umbral y evaluación'!$C$12:$C$1011,1,'4 modelo, umbral y evaluación'!$W$12:$W$1011,"&gt;"&amp;A21)</f>
        <v/>
      </c>
      <c r="C21" s="12">
        <f>COUNTIFS('4 modelo, umbral y evaluación'!$B$12:$B$1011,"testing",'4 modelo, umbral y evaluación'!$C$12:$C$1011,0,'4 modelo, umbral y evaluación'!$W$12:$W$1011,"&gt;"&amp;A21)</f>
        <v/>
      </c>
      <c r="D21" s="12">
        <f>COUNTIFS('4 modelo, umbral y evaluación'!$B$12:$B$1011,"testing",'4 modelo, umbral y evaluación'!$C$12:$C$1011,0,'4 modelo, umbral y evaluación'!$W$12:$W$1011,"&lt;="&amp;A21)</f>
        <v/>
      </c>
      <c r="E21" s="12">
        <f>COUNTIFS('4 modelo, umbral y evaluación'!$B$12:$B$1011,"testing",'4 modelo, umbral y evaluación'!$C$12:$C$1011,1,'4 modelo, umbral y evaluación'!$W$12:$W$1011,"&lt;="&amp;A21)</f>
        <v/>
      </c>
      <c r="F21" s="19">
        <f>(B21+D21)/(B21+C21+D21+E21)</f>
        <v/>
      </c>
      <c r="G21" s="13">
        <f>IF(B21+E21=0,0,B21/(B21+E21))</f>
        <v/>
      </c>
      <c r="H21" s="13">
        <f>IF(B21+C21=0,0,B21/(B21+C21))</f>
        <v/>
      </c>
      <c r="I21" s="13">
        <f>IF(G21+H21=0,0,2*G21*H21/(G21+H21))</f>
        <v/>
      </c>
      <c r="J21" s="13">
        <f>IF(C21+D21=0,0,C21/(C21+D21))</f>
        <v/>
      </c>
      <c r="K21" s="23">
        <f>(J21-J20)*(G21+G20)/2</f>
        <v/>
      </c>
    </row>
    <row r="22">
      <c r="A22" s="22" t="n">
        <v>0.2</v>
      </c>
      <c r="B22" s="12">
        <f>COUNTIFS('4 modelo, umbral y evaluación'!$B$12:$B$1011,"testing",'4 modelo, umbral y evaluación'!$C$12:$C$1011,1,'4 modelo, umbral y evaluación'!$W$12:$W$1011,"&gt;"&amp;A22)</f>
        <v/>
      </c>
      <c r="C22" s="12">
        <f>COUNTIFS('4 modelo, umbral y evaluación'!$B$12:$B$1011,"testing",'4 modelo, umbral y evaluación'!$C$12:$C$1011,0,'4 modelo, umbral y evaluación'!$W$12:$W$1011,"&gt;"&amp;A22)</f>
        <v/>
      </c>
      <c r="D22" s="12">
        <f>COUNTIFS('4 modelo, umbral y evaluación'!$B$12:$B$1011,"testing",'4 modelo, umbral y evaluación'!$C$12:$C$1011,0,'4 modelo, umbral y evaluación'!$W$12:$W$1011,"&lt;="&amp;A22)</f>
        <v/>
      </c>
      <c r="E22" s="12">
        <f>COUNTIFS('4 modelo, umbral y evaluación'!$B$12:$B$1011,"testing",'4 modelo, umbral y evaluación'!$C$12:$C$1011,1,'4 modelo, umbral y evaluación'!$W$12:$W$1011,"&lt;="&amp;A22)</f>
        <v/>
      </c>
      <c r="F22" s="19">
        <f>(B22+D22)/(B22+C22+D22+E22)</f>
        <v/>
      </c>
      <c r="G22" s="13">
        <f>IF(B22+E22=0,0,B22/(B22+E22))</f>
        <v/>
      </c>
      <c r="H22" s="13">
        <f>IF(B22+C22=0,0,B22/(B22+C22))</f>
        <v/>
      </c>
      <c r="I22" s="13">
        <f>IF(G22+H22=0,0,2*G22*H22/(G22+H22))</f>
        <v/>
      </c>
      <c r="J22" s="13">
        <f>IF(C22+D22=0,0,C22/(C22+D22))</f>
        <v/>
      </c>
      <c r="K22" s="23">
        <f>(J22-J21)*(G22+G21)/2</f>
        <v/>
      </c>
    </row>
    <row r="23">
      <c r="A23" s="22" t="n">
        <v>0.15</v>
      </c>
      <c r="B23" s="12">
        <f>COUNTIFS('4 modelo, umbral y evaluación'!$B$12:$B$1011,"testing",'4 modelo, umbral y evaluación'!$C$12:$C$1011,1,'4 modelo, umbral y evaluación'!$W$12:$W$1011,"&gt;"&amp;A23)</f>
        <v/>
      </c>
      <c r="C23" s="12">
        <f>COUNTIFS('4 modelo, umbral y evaluación'!$B$12:$B$1011,"testing",'4 modelo, umbral y evaluación'!$C$12:$C$1011,0,'4 modelo, umbral y evaluación'!$W$12:$W$1011,"&gt;"&amp;A23)</f>
        <v/>
      </c>
      <c r="D23" s="12">
        <f>COUNTIFS('4 modelo, umbral y evaluación'!$B$12:$B$1011,"testing",'4 modelo, umbral y evaluación'!$C$12:$C$1011,0,'4 modelo, umbral y evaluación'!$W$12:$W$1011,"&lt;="&amp;A23)</f>
        <v/>
      </c>
      <c r="E23" s="12">
        <f>COUNTIFS('4 modelo, umbral y evaluación'!$B$12:$B$1011,"testing",'4 modelo, umbral y evaluación'!$C$12:$C$1011,1,'4 modelo, umbral y evaluación'!$W$12:$W$1011,"&lt;="&amp;A23)</f>
        <v/>
      </c>
      <c r="F23" s="19">
        <f>(B23+D23)/(B23+C23+D23+E23)</f>
        <v/>
      </c>
      <c r="G23" s="13">
        <f>IF(B23+E23=0,0,B23/(B23+E23))</f>
        <v/>
      </c>
      <c r="H23" s="13">
        <f>IF(B23+C23=0,0,B23/(B23+C23))</f>
        <v/>
      </c>
      <c r="I23" s="13">
        <f>IF(G23+H23=0,0,2*G23*H23/(G23+H23))</f>
        <v/>
      </c>
      <c r="J23" s="13">
        <f>IF(C23+D23=0,0,C23/(C23+D23))</f>
        <v/>
      </c>
      <c r="K23" s="23">
        <f>(J23-J22)*(G23+G22)/2</f>
        <v/>
      </c>
    </row>
    <row r="24">
      <c r="A24" s="22" t="n">
        <v>0.1</v>
      </c>
      <c r="B24" s="12">
        <f>COUNTIFS('4 modelo, umbral y evaluación'!$B$12:$B$1011,"testing",'4 modelo, umbral y evaluación'!$C$12:$C$1011,1,'4 modelo, umbral y evaluación'!$W$12:$W$1011,"&gt;"&amp;A24)</f>
        <v/>
      </c>
      <c r="C24" s="12">
        <f>COUNTIFS('4 modelo, umbral y evaluación'!$B$12:$B$1011,"testing",'4 modelo, umbral y evaluación'!$C$12:$C$1011,0,'4 modelo, umbral y evaluación'!$W$12:$W$1011,"&gt;"&amp;A24)</f>
        <v/>
      </c>
      <c r="D24" s="12">
        <f>COUNTIFS('4 modelo, umbral y evaluación'!$B$12:$B$1011,"testing",'4 modelo, umbral y evaluación'!$C$12:$C$1011,0,'4 modelo, umbral y evaluación'!$W$12:$W$1011,"&lt;="&amp;A24)</f>
        <v/>
      </c>
      <c r="E24" s="12">
        <f>COUNTIFS('4 modelo, umbral y evaluación'!$B$12:$B$1011,"testing",'4 modelo, umbral y evaluación'!$C$12:$C$1011,1,'4 modelo, umbral y evaluación'!$W$12:$W$1011,"&lt;="&amp;A24)</f>
        <v/>
      </c>
      <c r="F24" s="19">
        <f>(B24+D24)/(B24+C24+D24+E24)</f>
        <v/>
      </c>
      <c r="G24" s="13">
        <f>IF(B24+E24=0,0,B24/(B24+E24))</f>
        <v/>
      </c>
      <c r="H24" s="13">
        <f>IF(B24+C24=0,0,B24/(B24+C24))</f>
        <v/>
      </c>
      <c r="I24" s="13">
        <f>IF(G24+H24=0,0,2*G24*H24/(G24+H24))</f>
        <v/>
      </c>
      <c r="J24" s="13">
        <f>IF(C24+D24=0,0,C24/(C24+D24))</f>
        <v/>
      </c>
      <c r="K24" s="23">
        <f>(J24-J23)*(G24+G23)/2</f>
        <v/>
      </c>
    </row>
    <row r="25">
      <c r="A25" s="22" t="n">
        <v>0.05</v>
      </c>
      <c r="B25" s="12">
        <f>COUNTIFS('4 modelo, umbral y evaluación'!$B$12:$B$1011,"testing",'4 modelo, umbral y evaluación'!$C$12:$C$1011,1,'4 modelo, umbral y evaluación'!$W$12:$W$1011,"&gt;"&amp;A25)</f>
        <v/>
      </c>
      <c r="C25" s="12">
        <f>COUNTIFS('4 modelo, umbral y evaluación'!$B$12:$B$1011,"testing",'4 modelo, umbral y evaluación'!$C$12:$C$1011,0,'4 modelo, umbral y evaluación'!$W$12:$W$1011,"&gt;"&amp;A25)</f>
        <v/>
      </c>
      <c r="D25" s="12">
        <f>COUNTIFS('4 modelo, umbral y evaluación'!$B$12:$B$1011,"testing",'4 modelo, umbral y evaluación'!$C$12:$C$1011,0,'4 modelo, umbral y evaluación'!$W$12:$W$1011,"&lt;="&amp;A25)</f>
        <v/>
      </c>
      <c r="E25" s="12">
        <f>COUNTIFS('4 modelo, umbral y evaluación'!$B$12:$B$1011,"testing",'4 modelo, umbral y evaluación'!$C$12:$C$1011,1,'4 modelo, umbral y evaluación'!$W$12:$W$1011,"&lt;="&amp;A25)</f>
        <v/>
      </c>
      <c r="F25" s="19">
        <f>(B25+D25)/(B25+C25+D25+E25)</f>
        <v/>
      </c>
      <c r="G25" s="13">
        <f>IF(B25+E25=0,0,B25/(B25+E25))</f>
        <v/>
      </c>
      <c r="H25" s="13">
        <f>IF(B25+C25=0,0,B25/(B25+C25))</f>
        <v/>
      </c>
      <c r="I25" s="13">
        <f>IF(G25+H25=0,0,2*G25*H25/(G25+H25))</f>
        <v/>
      </c>
      <c r="J25" s="13">
        <f>IF(C25+D25=0,0,C25/(C25+D25))</f>
        <v/>
      </c>
      <c r="K25" s="23">
        <f>(J25-J24)*(G25+G24)/2</f>
        <v/>
      </c>
    </row>
    <row r="26">
      <c r="A26" s="22" t="n">
        <v>-0</v>
      </c>
      <c r="B26" s="12">
        <f>COUNTIFS('4 modelo, umbral y evaluación'!$B$12:$B$1011,"testing",'4 modelo, umbral y evaluación'!$C$12:$C$1011,1,'4 modelo, umbral y evaluación'!$W$12:$W$1011,"&gt;"&amp;A26)</f>
        <v/>
      </c>
      <c r="C26" s="12">
        <f>COUNTIFS('4 modelo, umbral y evaluación'!$B$12:$B$1011,"testing",'4 modelo, umbral y evaluación'!$C$12:$C$1011,0,'4 modelo, umbral y evaluación'!$W$12:$W$1011,"&gt;"&amp;A26)</f>
        <v/>
      </c>
      <c r="D26" s="12">
        <f>COUNTIFS('4 modelo, umbral y evaluación'!$B$12:$B$1011,"testing",'4 modelo, umbral y evaluación'!$C$12:$C$1011,0,'4 modelo, umbral y evaluación'!$W$12:$W$1011,"&lt;="&amp;A26)</f>
        <v/>
      </c>
      <c r="E26" s="12">
        <f>COUNTIFS('4 modelo, umbral y evaluación'!$B$12:$B$1011,"testing",'4 modelo, umbral y evaluación'!$C$12:$C$1011,1,'4 modelo, umbral y evaluación'!$W$12:$W$1011,"&lt;="&amp;A26)</f>
        <v/>
      </c>
      <c r="F26" s="19">
        <f>(B26+D26)/(B26+C26+D26+E26)</f>
        <v/>
      </c>
      <c r="G26" s="13">
        <f>IF(B26+E26=0,0,B26/(B26+E26))</f>
        <v/>
      </c>
      <c r="H26" s="13">
        <f>IF(B26+C26=0,0,B26/(B26+C26))</f>
        <v/>
      </c>
      <c r="I26" s="13">
        <f>IF(G26+H26=0,0,2*G26*H26/(G26+H26))</f>
        <v/>
      </c>
      <c r="J26" s="13">
        <f>IF(C26+D26=0,0,C26/(C26+D26))</f>
        <v/>
      </c>
      <c r="K26" s="23">
        <f>(J26-J25)*(G26+G25)/2</f>
        <v/>
      </c>
    </row>
    <row r="27"/>
    <row r="28">
      <c r="I28" s="3" t="inlineStr">
        <is>
          <t>AUC (trapecios, 21 puntos)</t>
        </is>
      </c>
      <c r="K28" s="18">
        <f>SUM(K7:K26)</f>
        <v/>
      </c>
    </row>
    <row r="29">
      <c r="I29" s="3" t="inlineStr">
        <is>
          <t>AUC scikit-learn (300 umbrales)</t>
        </is>
      </c>
      <c r="K29" s="11" t="n">
        <v>0.8216931216931216</v>
      </c>
    </row>
    <row r="30">
      <c r="I30" s="3" t="inlineStr">
        <is>
          <t>AUC en training (scikit-learn)</t>
        </is>
      </c>
      <c r="K30" s="11" t="n">
        <v>0.7767541302235179</v>
      </c>
    </row>
    <row r="31"/>
    <row r="32">
      <c r="A32" t="inlineStr">
        <is>
          <t>Umbral 0,5 en la tabla: la fila donde el umbral vale 0,50 reproduce la matriz de testing de la hoja 4 (si el umbral de la hoja 4 está en 0,5). Bajar el umbral sube recall y baja precision; subirlo hace lo contrario.</t>
        </is>
      </c>
    </row>
    <row r="33"/>
    <row r="34">
      <c r="I34" s="3" t="inlineStr">
        <is>
          <t>diagonal (azar)</t>
        </is>
      </c>
    </row>
    <row r="35">
      <c r="J35" t="n">
        <v>0</v>
      </c>
      <c r="K35" t="n">
        <v>0</v>
      </c>
    </row>
    <row r="36">
      <c r="J36" t="n">
        <v>1</v>
      </c>
      <c r="K36" t="n">
        <v>1</v>
      </c>
    </row>
  </sheetData>
  <mergeCells count="3">
    <mergeCell ref="A4:P4"/>
    <mergeCell ref="A3:P3"/>
    <mergeCell ref="A2:P2"/>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58" customWidth="1" min="1" max="1"/>
    <col width="10" customWidth="1" min="2" max="2"/>
    <col width="10" customWidth="1" min="3" max="3"/>
    <col width="10" customWidth="1" min="4" max="4"/>
    <col width="10" customWidth="1" min="5" max="5"/>
    <col width="23" customWidth="1" min="6" max="6"/>
    <col width="18" customWidth="1" min="7" max="7"/>
  </cols>
  <sheetData>
    <row r="1">
      <c r="A1" s="3" t="inlineStr">
        <is>
          <t>Si sé cuánto cuesta cada error: el umbral que conviene</t>
        </is>
      </c>
    </row>
    <row r="2" ht="65" customHeight="1">
      <c r="A2" s="2" t="inlineStr">
        <is>
          <t>Si sé cuánto cuesta cada tipo de error, el umbral deja de ser una discusión y pasa a ser un cálculo. Las cuatro celdas celestes contienen el costo de cada resultado. Los valores iniciales son la matriz de costos que trae la propia base german credit: aprobar a un mal pagador (FN) cuesta 5, rechazar a un buen pagador (FP) cuesta 1, y acertar no cuesta nada. La tabla recalcula el costo total en testing para cada umbral de la hoja 5 (con los pesos de la hoja 4, ya entrenados), y el mínimo señala el umbral que conviene con esos costos.</t>
        </is>
      </c>
    </row>
    <row r="3" ht="80.5" customHeight="1">
      <c r="A3" s="2" t="inlineStr">
        <is>
          <t>Hay también una fórmula cerrada. Marcar a un cliente como malo conviene cuando el costo esperado de marcarlo, (1 − p)·c_FP, es menor que el de dejarlo pasar, p·c_FN. Igualando las dos expresiones y despejando p: umbral óptimo = c_FP / (c_FP + c_FN), que con 1 y 5 da 0,167. Si además hubiera beneficios por acertar, la fórmula es (c_FP − b_TN) / ((c_FP − b_TN) + (c_FN − b_TP)); la hoja la calcula con las cuatro celdas. La fórmula supone que p es una probabilidad bien calibrada; sobre una muestra concreta de 300 clientes el mínimo de la tabla puede caer en otro punto, y la diferencia entre los dos es una buena conversación sobre ruido muestral, que se retoma en el notebook.</t>
        </is>
      </c>
    </row>
    <row r="4"/>
    <row r="5">
      <c r="A5" s="3" t="inlineStr">
        <is>
          <t>Costo de cada resultado (celeste: cámbialo; un beneficio va con signo negativo)</t>
        </is>
      </c>
    </row>
    <row r="6">
      <c r="A6" t="inlineStr">
        <is>
          <t>TP: mal pagador marcado (rechazado)</t>
        </is>
      </c>
      <c r="B6" s="14" t="n">
        <v>0</v>
      </c>
    </row>
    <row r="7">
      <c r="A7" t="inlineStr">
        <is>
          <t>FP: buen pagador marcado (rechazado)</t>
        </is>
      </c>
      <c r="B7" s="14" t="n">
        <v>1</v>
      </c>
    </row>
    <row r="8">
      <c r="A8" t="inlineStr">
        <is>
          <t>TN: buen pagador aprobado</t>
        </is>
      </c>
      <c r="B8" s="14" t="n">
        <v>0</v>
      </c>
    </row>
    <row r="9">
      <c r="A9" t="inlineStr">
        <is>
          <t>FN: mal pagador aprobado</t>
        </is>
      </c>
      <c r="B9" s="14" t="n">
        <v>5</v>
      </c>
    </row>
    <row r="10"/>
    <row r="11">
      <c r="A11" s="3" t="inlineStr">
        <is>
          <t>umbral óptimo (fórmula) = (c_FP − c_TN) / ((c_FP − c_TN) + (c_FN − c_TP))</t>
        </is>
      </c>
      <c r="B11" s="13">
        <f>(B7-B8)/((B7-B8)+(B9-B6))</f>
        <v/>
      </c>
    </row>
    <row r="12"/>
    <row r="13">
      <c r="A13" s="4" t="inlineStr">
        <is>
          <t>umbral</t>
        </is>
      </c>
      <c r="B13" s="4" t="inlineStr">
        <is>
          <t>TP</t>
        </is>
      </c>
      <c r="C13" s="4" t="inlineStr">
        <is>
          <t>FP</t>
        </is>
      </c>
      <c r="D13" s="4" t="inlineStr">
        <is>
          <t>TN</t>
        </is>
      </c>
      <c r="E13" s="4" t="inlineStr">
        <is>
          <t>FN</t>
        </is>
      </c>
      <c r="F13" s="4" t="inlineStr">
        <is>
          <t>costo total en testing</t>
        </is>
      </c>
      <c r="G13" s="4" t="inlineStr">
        <is>
          <t>costo por cliente</t>
        </is>
      </c>
    </row>
    <row r="14">
      <c r="A14" s="22">
        <f>'5 métricas según umbral'!A6</f>
        <v/>
      </c>
      <c r="B14">
        <f>'5 métricas según umbral'!B6</f>
        <v/>
      </c>
      <c r="C14">
        <f>'5 métricas según umbral'!C6</f>
        <v/>
      </c>
      <c r="D14">
        <f>'5 métricas según umbral'!D6</f>
        <v/>
      </c>
      <c r="E14">
        <f>'5 métricas según umbral'!E6</f>
        <v/>
      </c>
      <c r="F14" s="24">
        <f>B14*$B$6+C14*$B$7+D14*$B$8+E14*$B$9</f>
        <v/>
      </c>
      <c r="G14" s="13">
        <f>F14/(B14+C14+D14+E14)</f>
        <v/>
      </c>
    </row>
    <row r="15">
      <c r="A15" s="22">
        <f>'5 métricas según umbral'!A7</f>
        <v/>
      </c>
      <c r="B15">
        <f>'5 métricas según umbral'!B7</f>
        <v/>
      </c>
      <c r="C15">
        <f>'5 métricas según umbral'!C7</f>
        <v/>
      </c>
      <c r="D15">
        <f>'5 métricas según umbral'!D7</f>
        <v/>
      </c>
      <c r="E15">
        <f>'5 métricas según umbral'!E7</f>
        <v/>
      </c>
      <c r="F15" s="24">
        <f>B15*$B$6+C15*$B$7+D15*$B$8+E15*$B$9</f>
        <v/>
      </c>
      <c r="G15" s="13">
        <f>F15/(B15+C15+D15+E15)</f>
        <v/>
      </c>
    </row>
    <row r="16">
      <c r="A16" s="22">
        <f>'5 métricas según umbral'!A8</f>
        <v/>
      </c>
      <c r="B16">
        <f>'5 métricas según umbral'!B8</f>
        <v/>
      </c>
      <c r="C16">
        <f>'5 métricas según umbral'!C8</f>
        <v/>
      </c>
      <c r="D16">
        <f>'5 métricas según umbral'!D8</f>
        <v/>
      </c>
      <c r="E16">
        <f>'5 métricas según umbral'!E8</f>
        <v/>
      </c>
      <c r="F16" s="24">
        <f>B16*$B$6+C16*$B$7+D16*$B$8+E16*$B$9</f>
        <v/>
      </c>
      <c r="G16" s="13">
        <f>F16/(B16+C16+D16+E16)</f>
        <v/>
      </c>
    </row>
    <row r="17">
      <c r="A17" s="22">
        <f>'5 métricas según umbral'!A9</f>
        <v/>
      </c>
      <c r="B17">
        <f>'5 métricas según umbral'!B9</f>
        <v/>
      </c>
      <c r="C17">
        <f>'5 métricas según umbral'!C9</f>
        <v/>
      </c>
      <c r="D17">
        <f>'5 métricas según umbral'!D9</f>
        <v/>
      </c>
      <c r="E17">
        <f>'5 métricas según umbral'!E9</f>
        <v/>
      </c>
      <c r="F17" s="24">
        <f>B17*$B$6+C17*$B$7+D17*$B$8+E17*$B$9</f>
        <v/>
      </c>
      <c r="G17" s="13">
        <f>F17/(B17+C17+D17+E17)</f>
        <v/>
      </c>
    </row>
    <row r="18">
      <c r="A18" s="22">
        <f>'5 métricas según umbral'!A10</f>
        <v/>
      </c>
      <c r="B18">
        <f>'5 métricas según umbral'!B10</f>
        <v/>
      </c>
      <c r="C18">
        <f>'5 métricas según umbral'!C10</f>
        <v/>
      </c>
      <c r="D18">
        <f>'5 métricas según umbral'!D10</f>
        <v/>
      </c>
      <c r="E18">
        <f>'5 métricas según umbral'!E10</f>
        <v/>
      </c>
      <c r="F18" s="24">
        <f>B18*$B$6+C18*$B$7+D18*$B$8+E18*$B$9</f>
        <v/>
      </c>
      <c r="G18" s="13">
        <f>F18/(B18+C18+D18+E18)</f>
        <v/>
      </c>
    </row>
    <row r="19">
      <c r="A19" s="22">
        <f>'5 métricas según umbral'!A11</f>
        <v/>
      </c>
      <c r="B19">
        <f>'5 métricas según umbral'!B11</f>
        <v/>
      </c>
      <c r="C19">
        <f>'5 métricas según umbral'!C11</f>
        <v/>
      </c>
      <c r="D19">
        <f>'5 métricas según umbral'!D11</f>
        <v/>
      </c>
      <c r="E19">
        <f>'5 métricas según umbral'!E11</f>
        <v/>
      </c>
      <c r="F19" s="24">
        <f>B19*$B$6+C19*$B$7+D19*$B$8+E19*$B$9</f>
        <v/>
      </c>
      <c r="G19" s="13">
        <f>F19/(B19+C19+D19+E19)</f>
        <v/>
      </c>
    </row>
    <row r="20">
      <c r="A20" s="22">
        <f>'5 métricas según umbral'!A12</f>
        <v/>
      </c>
      <c r="B20">
        <f>'5 métricas según umbral'!B12</f>
        <v/>
      </c>
      <c r="C20">
        <f>'5 métricas según umbral'!C12</f>
        <v/>
      </c>
      <c r="D20">
        <f>'5 métricas según umbral'!D12</f>
        <v/>
      </c>
      <c r="E20">
        <f>'5 métricas según umbral'!E12</f>
        <v/>
      </c>
      <c r="F20" s="24">
        <f>B20*$B$6+C20*$B$7+D20*$B$8+E20*$B$9</f>
        <v/>
      </c>
      <c r="G20" s="13">
        <f>F20/(B20+C20+D20+E20)</f>
        <v/>
      </c>
    </row>
    <row r="21">
      <c r="A21" s="22">
        <f>'5 métricas según umbral'!A13</f>
        <v/>
      </c>
      <c r="B21">
        <f>'5 métricas según umbral'!B13</f>
        <v/>
      </c>
      <c r="C21">
        <f>'5 métricas según umbral'!C13</f>
        <v/>
      </c>
      <c r="D21">
        <f>'5 métricas según umbral'!D13</f>
        <v/>
      </c>
      <c r="E21">
        <f>'5 métricas según umbral'!E13</f>
        <v/>
      </c>
      <c r="F21" s="24">
        <f>B21*$B$6+C21*$B$7+D21*$B$8+E21*$B$9</f>
        <v/>
      </c>
      <c r="G21" s="13">
        <f>F21/(B21+C21+D21+E21)</f>
        <v/>
      </c>
    </row>
    <row r="22">
      <c r="A22" s="22">
        <f>'5 métricas según umbral'!A14</f>
        <v/>
      </c>
      <c r="B22">
        <f>'5 métricas según umbral'!B14</f>
        <v/>
      </c>
      <c r="C22">
        <f>'5 métricas según umbral'!C14</f>
        <v/>
      </c>
      <c r="D22">
        <f>'5 métricas según umbral'!D14</f>
        <v/>
      </c>
      <c r="E22">
        <f>'5 métricas según umbral'!E14</f>
        <v/>
      </c>
      <c r="F22" s="24">
        <f>B22*$B$6+C22*$B$7+D22*$B$8+E22*$B$9</f>
        <v/>
      </c>
      <c r="G22" s="13">
        <f>F22/(B22+C22+D22+E22)</f>
        <v/>
      </c>
    </row>
    <row r="23">
      <c r="A23" s="22">
        <f>'5 métricas según umbral'!A15</f>
        <v/>
      </c>
      <c r="B23">
        <f>'5 métricas según umbral'!B15</f>
        <v/>
      </c>
      <c r="C23">
        <f>'5 métricas según umbral'!C15</f>
        <v/>
      </c>
      <c r="D23">
        <f>'5 métricas según umbral'!D15</f>
        <v/>
      </c>
      <c r="E23">
        <f>'5 métricas según umbral'!E15</f>
        <v/>
      </c>
      <c r="F23" s="24">
        <f>B23*$B$6+C23*$B$7+D23*$B$8+E23*$B$9</f>
        <v/>
      </c>
      <c r="G23" s="13">
        <f>F23/(B23+C23+D23+E23)</f>
        <v/>
      </c>
    </row>
    <row r="24">
      <c r="A24" s="22">
        <f>'5 métricas según umbral'!A16</f>
        <v/>
      </c>
      <c r="B24">
        <f>'5 métricas según umbral'!B16</f>
        <v/>
      </c>
      <c r="C24">
        <f>'5 métricas según umbral'!C16</f>
        <v/>
      </c>
      <c r="D24">
        <f>'5 métricas según umbral'!D16</f>
        <v/>
      </c>
      <c r="E24">
        <f>'5 métricas según umbral'!E16</f>
        <v/>
      </c>
      <c r="F24" s="24">
        <f>B24*$B$6+C24*$B$7+D24*$B$8+E24*$B$9</f>
        <v/>
      </c>
      <c r="G24" s="13">
        <f>F24/(B24+C24+D24+E24)</f>
        <v/>
      </c>
    </row>
    <row r="25">
      <c r="A25" s="22">
        <f>'5 métricas según umbral'!A17</f>
        <v/>
      </c>
      <c r="B25">
        <f>'5 métricas según umbral'!B17</f>
        <v/>
      </c>
      <c r="C25">
        <f>'5 métricas según umbral'!C17</f>
        <v/>
      </c>
      <c r="D25">
        <f>'5 métricas según umbral'!D17</f>
        <v/>
      </c>
      <c r="E25">
        <f>'5 métricas según umbral'!E17</f>
        <v/>
      </c>
      <c r="F25" s="24">
        <f>B25*$B$6+C25*$B$7+D25*$B$8+E25*$B$9</f>
        <v/>
      </c>
      <c r="G25" s="13">
        <f>F25/(B25+C25+D25+E25)</f>
        <v/>
      </c>
    </row>
    <row r="26">
      <c r="A26" s="22">
        <f>'5 métricas según umbral'!A18</f>
        <v/>
      </c>
      <c r="B26">
        <f>'5 métricas según umbral'!B18</f>
        <v/>
      </c>
      <c r="C26">
        <f>'5 métricas según umbral'!C18</f>
        <v/>
      </c>
      <c r="D26">
        <f>'5 métricas según umbral'!D18</f>
        <v/>
      </c>
      <c r="E26">
        <f>'5 métricas según umbral'!E18</f>
        <v/>
      </c>
      <c r="F26" s="24">
        <f>B26*$B$6+C26*$B$7+D26*$B$8+E26*$B$9</f>
        <v/>
      </c>
      <c r="G26" s="13">
        <f>F26/(B26+C26+D26+E26)</f>
        <v/>
      </c>
    </row>
    <row r="27">
      <c r="A27" s="22">
        <f>'5 métricas según umbral'!A19</f>
        <v/>
      </c>
      <c r="B27">
        <f>'5 métricas según umbral'!B19</f>
        <v/>
      </c>
      <c r="C27">
        <f>'5 métricas según umbral'!C19</f>
        <v/>
      </c>
      <c r="D27">
        <f>'5 métricas según umbral'!D19</f>
        <v/>
      </c>
      <c r="E27">
        <f>'5 métricas según umbral'!E19</f>
        <v/>
      </c>
      <c r="F27" s="24">
        <f>B27*$B$6+C27*$B$7+D27*$B$8+E27*$B$9</f>
        <v/>
      </c>
      <c r="G27" s="13">
        <f>F27/(B27+C27+D27+E27)</f>
        <v/>
      </c>
    </row>
    <row r="28">
      <c r="A28" s="22">
        <f>'5 métricas según umbral'!A20</f>
        <v/>
      </c>
      <c r="B28">
        <f>'5 métricas según umbral'!B20</f>
        <v/>
      </c>
      <c r="C28">
        <f>'5 métricas según umbral'!C20</f>
        <v/>
      </c>
      <c r="D28">
        <f>'5 métricas según umbral'!D20</f>
        <v/>
      </c>
      <c r="E28">
        <f>'5 métricas según umbral'!E20</f>
        <v/>
      </c>
      <c r="F28" s="24">
        <f>B28*$B$6+C28*$B$7+D28*$B$8+E28*$B$9</f>
        <v/>
      </c>
      <c r="G28" s="13">
        <f>F28/(B28+C28+D28+E28)</f>
        <v/>
      </c>
    </row>
    <row r="29">
      <c r="A29" s="22">
        <f>'5 métricas según umbral'!A21</f>
        <v/>
      </c>
      <c r="B29">
        <f>'5 métricas según umbral'!B21</f>
        <v/>
      </c>
      <c r="C29">
        <f>'5 métricas según umbral'!C21</f>
        <v/>
      </c>
      <c r="D29">
        <f>'5 métricas según umbral'!D21</f>
        <v/>
      </c>
      <c r="E29">
        <f>'5 métricas según umbral'!E21</f>
        <v/>
      </c>
      <c r="F29" s="24">
        <f>B29*$B$6+C29*$B$7+D29*$B$8+E29*$B$9</f>
        <v/>
      </c>
      <c r="G29" s="13">
        <f>F29/(B29+C29+D29+E29)</f>
        <v/>
      </c>
    </row>
    <row r="30">
      <c r="A30" s="22">
        <f>'5 métricas según umbral'!A22</f>
        <v/>
      </c>
      <c r="B30">
        <f>'5 métricas según umbral'!B22</f>
        <v/>
      </c>
      <c r="C30">
        <f>'5 métricas según umbral'!C22</f>
        <v/>
      </c>
      <c r="D30">
        <f>'5 métricas según umbral'!D22</f>
        <v/>
      </c>
      <c r="E30">
        <f>'5 métricas según umbral'!E22</f>
        <v/>
      </c>
      <c r="F30" s="24">
        <f>B30*$B$6+C30*$B$7+D30*$B$8+E30*$B$9</f>
        <v/>
      </c>
      <c r="G30" s="13">
        <f>F30/(B30+C30+D30+E30)</f>
        <v/>
      </c>
    </row>
    <row r="31">
      <c r="A31" s="22">
        <f>'5 métricas según umbral'!A23</f>
        <v/>
      </c>
      <c r="B31">
        <f>'5 métricas según umbral'!B23</f>
        <v/>
      </c>
      <c r="C31">
        <f>'5 métricas según umbral'!C23</f>
        <v/>
      </c>
      <c r="D31">
        <f>'5 métricas según umbral'!D23</f>
        <v/>
      </c>
      <c r="E31">
        <f>'5 métricas según umbral'!E23</f>
        <v/>
      </c>
      <c r="F31" s="24">
        <f>B31*$B$6+C31*$B$7+D31*$B$8+E31*$B$9</f>
        <v/>
      </c>
      <c r="G31" s="13">
        <f>F31/(B31+C31+D31+E31)</f>
        <v/>
      </c>
    </row>
    <row r="32">
      <c r="A32" s="22">
        <f>'5 métricas según umbral'!A24</f>
        <v/>
      </c>
      <c r="B32">
        <f>'5 métricas según umbral'!B24</f>
        <v/>
      </c>
      <c r="C32">
        <f>'5 métricas según umbral'!C24</f>
        <v/>
      </c>
      <c r="D32">
        <f>'5 métricas según umbral'!D24</f>
        <v/>
      </c>
      <c r="E32">
        <f>'5 métricas según umbral'!E24</f>
        <v/>
      </c>
      <c r="F32" s="24">
        <f>B32*$B$6+C32*$B$7+D32*$B$8+E32*$B$9</f>
        <v/>
      </c>
      <c r="G32" s="13">
        <f>F32/(B32+C32+D32+E32)</f>
        <v/>
      </c>
    </row>
    <row r="33">
      <c r="A33" s="22">
        <f>'5 métricas según umbral'!A25</f>
        <v/>
      </c>
      <c r="B33">
        <f>'5 métricas según umbral'!B25</f>
        <v/>
      </c>
      <c r="C33">
        <f>'5 métricas según umbral'!C25</f>
        <v/>
      </c>
      <c r="D33">
        <f>'5 métricas según umbral'!D25</f>
        <v/>
      </c>
      <c r="E33">
        <f>'5 métricas según umbral'!E25</f>
        <v/>
      </c>
      <c r="F33" s="24">
        <f>B33*$B$6+C33*$B$7+D33*$B$8+E33*$B$9</f>
        <v/>
      </c>
      <c r="G33" s="13">
        <f>F33/(B33+C33+D33+E33)</f>
        <v/>
      </c>
    </row>
    <row r="34">
      <c r="A34" s="22">
        <f>'5 métricas según umbral'!A26</f>
        <v/>
      </c>
      <c r="B34">
        <f>'5 métricas según umbral'!B26</f>
        <v/>
      </c>
      <c r="C34">
        <f>'5 métricas según umbral'!C26</f>
        <v/>
      </c>
      <c r="D34">
        <f>'5 métricas según umbral'!D26</f>
        <v/>
      </c>
      <c r="E34">
        <f>'5 métricas según umbral'!E26</f>
        <v/>
      </c>
      <c r="F34" s="24">
        <f>B34*$B$6+C34*$B$7+D34*$B$8+E34*$B$9</f>
        <v/>
      </c>
      <c r="G34" s="13">
        <f>F34/(B34+C34+D34+E34)</f>
        <v/>
      </c>
    </row>
    <row r="35"/>
    <row r="36">
      <c r="A36" s="3" t="inlineStr">
        <is>
          <t>costo mínimo en la tabla</t>
        </is>
      </c>
      <c r="F36" s="25">
        <f>MIN(F14:F34)</f>
        <v/>
      </c>
    </row>
    <row r="37">
      <c r="A37" s="3" t="inlineStr">
        <is>
          <t>umbral que lo alcanza</t>
        </is>
      </c>
      <c r="F37" s="16">
        <f>INDEX(A14:A34,MATCH(F36,F14:F34,0))</f>
        <v/>
      </c>
    </row>
    <row r="38">
      <c r="A38" s="3" t="inlineStr">
        <is>
          <t>costo con umbral 0,50</t>
        </is>
      </c>
      <c r="F38" s="25">
        <f>INDEX(F14:F34,MATCH(0.5,A14:A34,0))</f>
        <v/>
      </c>
    </row>
    <row r="39">
      <c r="A39" s="3" t="inlineStr">
        <is>
          <t>costo del modelo 'todos pagan' (umbral 1)</t>
        </is>
      </c>
      <c r="F39" s="25">
        <f>F14</f>
        <v/>
      </c>
    </row>
    <row r="40">
      <c r="A40" s="3" t="inlineStr">
        <is>
          <t>referencia Python: umbral óptimo exacto (300 scores) y su costo</t>
        </is>
      </c>
      <c r="F40" s="17" t="n">
        <v>0.2648</v>
      </c>
      <c r="G40" s="5" t="n">
        <v>131</v>
      </c>
    </row>
    <row r="41"/>
    <row r="42">
      <c r="A42" t="inlineStr">
        <is>
          <t>Lectura, con los pesos entrenados: con estos costos, el umbral 0,5 es caro porque deja pasar a demasiados malos pagadores (cada uno cuesta 5). El mínimo de la tabla cae cerca de 0,25 y la fórmula dice 0,167; la diferencia es ruido de una muestra de 300 y de un modelo cuyas probabilidades no están perfectamente calibradas. Lo que no cambia es la dirección: hay que ser mucho más estricto que 50%.</t>
        </is>
      </c>
    </row>
  </sheetData>
  <mergeCells count="2">
    <mergeCell ref="A3:N3"/>
    <mergeCell ref="A2:N2"/>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cols>
    <col width="41" customWidth="1" min="1" max="1"/>
    <col width="7" customWidth="1" min="2" max="2"/>
    <col width="24" customWidth="1" min="3" max="3"/>
    <col width="28" customWidth="1" min="4" max="4"/>
    <col width="26" customWidth="1" min="5" max="5"/>
    <col width="15" customWidth="1" min="8" max="8"/>
    <col width="10" customWidth="1" min="9" max="9"/>
  </cols>
  <sheetData>
    <row r="1">
      <c r="A1" s="3" t="inlineStr">
        <is>
          <t>Hoja auxiliar: la función logística (y su prima, la probit)</t>
        </is>
      </c>
    </row>
    <row r="2" ht="80.5" customHeight="1">
      <c r="A2" s="2" t="inlineStr">
        <is>
          <t>La función logística (o sigmoide) toma cualquier número Z y devuelve un valor entre 0 y 1: p = 1 / (1 + exp(−Z)). En Z = 0 vale exactamente 0,5; para Z muy positivo se acerca a 1 y para Z muy negativo se acerca a 0, sin tocar nunca los bordes. Por eso sirve como función de escalamiento: la recta puede dar lo que quiera, la sigmoide lo trae al rango de una probabilidad. Al lado se muestra la versión probit, que usa la normal acumulada y produce una curva casi idéntica; la logística se prefiere porque su derivada es más simple y porque sus pesos se pueden interpretar en términos de razones de chances (odds).</t>
        </is>
      </c>
    </row>
    <row r="3" ht="18.5" customHeight="1">
      <c r="A3" s="2" t="inlineStr">
        <is>
          <t>La tabla tiene Z de −6 a 6 y el gráfico dibuja las dos curvas. La celda celeste permite evaluar la función en un Z cualquiera.</t>
        </is>
      </c>
    </row>
    <row r="4"/>
    <row r="5">
      <c r="B5" s="4" t="inlineStr">
        <is>
          <t>Z</t>
        </is>
      </c>
      <c r="C5" s="4" t="inlineStr">
        <is>
          <t>logística 1/(1+exp(−Z))</t>
        </is>
      </c>
      <c r="D5" s="4" t="inlineStr">
        <is>
          <t>logística exp(Z)/(1+exp(Z))</t>
        </is>
      </c>
      <c r="E5" s="4" t="inlineStr">
        <is>
          <t>probit (normal acumulada)</t>
        </is>
      </c>
      <c r="H5" s="3" t="inlineStr">
        <is>
          <t>Z =</t>
        </is>
      </c>
      <c r="I5" s="14" t="n">
        <v>1.5</v>
      </c>
    </row>
    <row r="6">
      <c r="B6" s="22" t="n">
        <v>-6</v>
      </c>
      <c r="C6" s="23">
        <f>1/(1+EXP(-B6))</f>
        <v/>
      </c>
      <c r="D6" s="23">
        <f>EXP(B6)/(1+EXP(B6))</f>
        <v/>
      </c>
      <c r="E6" s="23">
        <f>_xlfn.NORM.S.DIST(B6,TRUE)</f>
        <v/>
      </c>
      <c r="H6" t="inlineStr">
        <is>
          <t>logística(Z)</t>
        </is>
      </c>
      <c r="I6" s="18">
        <f>1/(1+EXP(-I5))</f>
        <v/>
      </c>
    </row>
    <row r="7">
      <c r="B7" s="22" t="n">
        <v>-5.75</v>
      </c>
      <c r="C7" s="23">
        <f>1/(1+EXP(-B7))</f>
        <v/>
      </c>
      <c r="D7" s="23">
        <f>EXP(B7)/(1+EXP(B7))</f>
        <v/>
      </c>
      <c r="E7" s="23">
        <f>_xlfn.NORM.S.DIST(B7,TRUE)</f>
        <v/>
      </c>
      <c r="H7" t="inlineStr">
        <is>
          <t>probit(Z)</t>
        </is>
      </c>
      <c r="I7" s="18">
        <f>_xlfn.NORM.S.DIST(I5,TRUE)</f>
        <v/>
      </c>
    </row>
    <row r="8">
      <c r="B8" s="22" t="n">
        <v>-5.5</v>
      </c>
      <c r="C8" s="23">
        <f>1/(1+EXP(-B8))</f>
        <v/>
      </c>
      <c r="D8" s="23">
        <f>EXP(B8)/(1+EXP(B8))</f>
        <v/>
      </c>
      <c r="E8" s="23">
        <f>_xlfn.NORM.S.DIST(B8,TRUE)</f>
        <v/>
      </c>
      <c r="H8" t="inlineStr">
        <is>
          <t>odds = p/(1−p)</t>
        </is>
      </c>
      <c r="I8" s="13">
        <f>I6/(1-I6)</f>
        <v/>
      </c>
    </row>
    <row r="9">
      <c r="B9" s="22" t="n">
        <v>-5.25</v>
      </c>
      <c r="C9" s="23">
        <f>1/(1+EXP(-B9))</f>
        <v/>
      </c>
      <c r="D9" s="23">
        <f>EXP(B9)/(1+EXP(B9))</f>
        <v/>
      </c>
      <c r="E9" s="23">
        <f>_xlfn.NORM.S.DIST(B9,TRUE)</f>
        <v/>
      </c>
      <c r="H9" t="inlineStr">
        <is>
          <t>ln(odds) = Z</t>
        </is>
      </c>
      <c r="I9" s="13">
        <f>LN(I8)</f>
        <v/>
      </c>
    </row>
    <row r="10">
      <c r="B10" s="22" t="n">
        <v>-5</v>
      </c>
      <c r="C10" s="23">
        <f>1/(1+EXP(-B10))</f>
        <v/>
      </c>
      <c r="D10" s="23">
        <f>EXP(B10)/(1+EXP(B10))</f>
        <v/>
      </c>
      <c r="E10" s="23">
        <f>_xlfn.NORM.S.DIST(B10,TRUE)</f>
        <v/>
      </c>
    </row>
    <row r="11">
      <c r="B11" s="22" t="n">
        <v>-4.75</v>
      </c>
      <c r="C11" s="23">
        <f>1/(1+EXP(-B11))</f>
        <v/>
      </c>
      <c r="D11" s="23">
        <f>EXP(B11)/(1+EXP(B11))</f>
        <v/>
      </c>
      <c r="E11" s="23">
        <f>_xlfn.NORM.S.DIST(B11,TRUE)</f>
        <v/>
      </c>
    </row>
    <row r="12">
      <c r="B12" s="22" t="n">
        <v>-4.5</v>
      </c>
      <c r="C12" s="23">
        <f>1/(1+EXP(-B12))</f>
        <v/>
      </c>
      <c r="D12" s="23">
        <f>EXP(B12)/(1+EXP(B12))</f>
        <v/>
      </c>
      <c r="E12" s="23">
        <f>_xlfn.NORM.S.DIST(B12,TRUE)</f>
        <v/>
      </c>
    </row>
    <row r="13">
      <c r="B13" s="22" t="n">
        <v>-4.25</v>
      </c>
      <c r="C13" s="23">
        <f>1/(1+EXP(-B13))</f>
        <v/>
      </c>
      <c r="D13" s="23">
        <f>EXP(B13)/(1+EXP(B13))</f>
        <v/>
      </c>
      <c r="E13" s="23">
        <f>_xlfn.NORM.S.DIST(B13,TRUE)</f>
        <v/>
      </c>
    </row>
    <row r="14">
      <c r="B14" s="22" t="n">
        <v>-4</v>
      </c>
      <c r="C14" s="23">
        <f>1/(1+EXP(-B14))</f>
        <v/>
      </c>
      <c r="D14" s="23">
        <f>EXP(B14)/(1+EXP(B14))</f>
        <v/>
      </c>
      <c r="E14" s="23">
        <f>_xlfn.NORM.S.DIST(B14,TRUE)</f>
        <v/>
      </c>
    </row>
    <row r="15">
      <c r="B15" s="22" t="n">
        <v>-3.75</v>
      </c>
      <c r="C15" s="23">
        <f>1/(1+EXP(-B15))</f>
        <v/>
      </c>
      <c r="D15" s="23">
        <f>EXP(B15)/(1+EXP(B15))</f>
        <v/>
      </c>
      <c r="E15" s="23">
        <f>_xlfn.NORM.S.DIST(B15,TRUE)</f>
        <v/>
      </c>
    </row>
    <row r="16">
      <c r="B16" s="22" t="n">
        <v>-3.5</v>
      </c>
      <c r="C16" s="23">
        <f>1/(1+EXP(-B16))</f>
        <v/>
      </c>
      <c r="D16" s="23">
        <f>EXP(B16)/(1+EXP(B16))</f>
        <v/>
      </c>
      <c r="E16" s="23">
        <f>_xlfn.NORM.S.DIST(B16,TRUE)</f>
        <v/>
      </c>
    </row>
    <row r="17">
      <c r="B17" s="22" t="n">
        <v>-3.25</v>
      </c>
      <c r="C17" s="23">
        <f>1/(1+EXP(-B17))</f>
        <v/>
      </c>
      <c r="D17" s="23">
        <f>EXP(B17)/(1+EXP(B17))</f>
        <v/>
      </c>
      <c r="E17" s="23">
        <f>_xlfn.NORM.S.DIST(B17,TRUE)</f>
        <v/>
      </c>
    </row>
    <row r="18">
      <c r="B18" s="22" t="n">
        <v>-3</v>
      </c>
      <c r="C18" s="23">
        <f>1/(1+EXP(-B18))</f>
        <v/>
      </c>
      <c r="D18" s="23">
        <f>EXP(B18)/(1+EXP(B18))</f>
        <v/>
      </c>
      <c r="E18" s="23">
        <f>_xlfn.NORM.S.DIST(B18,TRUE)</f>
        <v/>
      </c>
    </row>
    <row r="19">
      <c r="B19" s="22" t="n">
        <v>-2.75</v>
      </c>
      <c r="C19" s="23">
        <f>1/(1+EXP(-B19))</f>
        <v/>
      </c>
      <c r="D19" s="23">
        <f>EXP(B19)/(1+EXP(B19))</f>
        <v/>
      </c>
      <c r="E19" s="23">
        <f>_xlfn.NORM.S.DIST(B19,TRUE)</f>
        <v/>
      </c>
    </row>
    <row r="20">
      <c r="B20" s="22" t="n">
        <v>-2.5</v>
      </c>
      <c r="C20" s="23">
        <f>1/(1+EXP(-B20))</f>
        <v/>
      </c>
      <c r="D20" s="23">
        <f>EXP(B20)/(1+EXP(B20))</f>
        <v/>
      </c>
      <c r="E20" s="23">
        <f>_xlfn.NORM.S.DIST(B20,TRUE)</f>
        <v/>
      </c>
    </row>
    <row r="21">
      <c r="B21" s="22" t="n">
        <v>-2.25</v>
      </c>
      <c r="C21" s="23">
        <f>1/(1+EXP(-B21))</f>
        <v/>
      </c>
      <c r="D21" s="23">
        <f>EXP(B21)/(1+EXP(B21))</f>
        <v/>
      </c>
      <c r="E21" s="23">
        <f>_xlfn.NORM.S.DIST(B21,TRUE)</f>
        <v/>
      </c>
    </row>
    <row r="22">
      <c r="B22" s="22" t="n">
        <v>-2</v>
      </c>
      <c r="C22" s="23">
        <f>1/(1+EXP(-B22))</f>
        <v/>
      </c>
      <c r="D22" s="23">
        <f>EXP(B22)/(1+EXP(B22))</f>
        <v/>
      </c>
      <c r="E22" s="23">
        <f>_xlfn.NORM.S.DIST(B22,TRUE)</f>
        <v/>
      </c>
    </row>
    <row r="23">
      <c r="B23" s="22" t="n">
        <v>-1.75</v>
      </c>
      <c r="C23" s="23">
        <f>1/(1+EXP(-B23))</f>
        <v/>
      </c>
      <c r="D23" s="23">
        <f>EXP(B23)/(1+EXP(B23))</f>
        <v/>
      </c>
      <c r="E23" s="23">
        <f>_xlfn.NORM.S.DIST(B23,TRUE)</f>
        <v/>
      </c>
    </row>
    <row r="24">
      <c r="B24" s="22" t="n">
        <v>-1.5</v>
      </c>
      <c r="C24" s="23">
        <f>1/(1+EXP(-B24))</f>
        <v/>
      </c>
      <c r="D24" s="23">
        <f>EXP(B24)/(1+EXP(B24))</f>
        <v/>
      </c>
      <c r="E24" s="23">
        <f>_xlfn.NORM.S.DIST(B24,TRUE)</f>
        <v/>
      </c>
    </row>
    <row r="25">
      <c r="B25" s="22" t="n">
        <v>-1.25</v>
      </c>
      <c r="C25" s="23">
        <f>1/(1+EXP(-B25))</f>
        <v/>
      </c>
      <c r="D25" s="23">
        <f>EXP(B25)/(1+EXP(B25))</f>
        <v/>
      </c>
      <c r="E25" s="23">
        <f>_xlfn.NORM.S.DIST(B25,TRUE)</f>
        <v/>
      </c>
    </row>
    <row r="26">
      <c r="B26" s="22" t="n">
        <v>-1</v>
      </c>
      <c r="C26" s="23">
        <f>1/(1+EXP(-B26))</f>
        <v/>
      </c>
      <c r="D26" s="23">
        <f>EXP(B26)/(1+EXP(B26))</f>
        <v/>
      </c>
      <c r="E26" s="23">
        <f>_xlfn.NORM.S.DIST(B26,TRUE)</f>
        <v/>
      </c>
    </row>
    <row r="27">
      <c r="B27" s="22" t="n">
        <v>-0.75</v>
      </c>
      <c r="C27" s="23">
        <f>1/(1+EXP(-B27))</f>
        <v/>
      </c>
      <c r="D27" s="23">
        <f>EXP(B27)/(1+EXP(B27))</f>
        <v/>
      </c>
      <c r="E27" s="23">
        <f>_xlfn.NORM.S.DIST(B27,TRUE)</f>
        <v/>
      </c>
    </row>
    <row r="28">
      <c r="B28" s="22" t="n">
        <v>-0.5</v>
      </c>
      <c r="C28" s="23">
        <f>1/(1+EXP(-B28))</f>
        <v/>
      </c>
      <c r="D28" s="23">
        <f>EXP(B28)/(1+EXP(B28))</f>
        <v/>
      </c>
      <c r="E28" s="23">
        <f>_xlfn.NORM.S.DIST(B28,TRUE)</f>
        <v/>
      </c>
    </row>
    <row r="29">
      <c r="B29" s="22" t="n">
        <v>-0.25</v>
      </c>
      <c r="C29" s="23">
        <f>1/(1+EXP(-B29))</f>
        <v/>
      </c>
      <c r="D29" s="23">
        <f>EXP(B29)/(1+EXP(B29))</f>
        <v/>
      </c>
      <c r="E29" s="23">
        <f>_xlfn.NORM.S.DIST(B29,TRUE)</f>
        <v/>
      </c>
    </row>
    <row r="30">
      <c r="B30" s="22" t="n">
        <v>0</v>
      </c>
      <c r="C30" s="23">
        <f>1/(1+EXP(-B30))</f>
        <v/>
      </c>
      <c r="D30" s="23">
        <f>EXP(B30)/(1+EXP(B30))</f>
        <v/>
      </c>
      <c r="E30" s="23">
        <f>_xlfn.NORM.S.DIST(B30,TRUE)</f>
        <v/>
      </c>
    </row>
    <row r="31">
      <c r="B31" s="22" t="n">
        <v>0.25</v>
      </c>
      <c r="C31" s="23">
        <f>1/(1+EXP(-B31))</f>
        <v/>
      </c>
      <c r="D31" s="23">
        <f>EXP(B31)/(1+EXP(B31))</f>
        <v/>
      </c>
      <c r="E31" s="23">
        <f>_xlfn.NORM.S.DIST(B31,TRUE)</f>
        <v/>
      </c>
    </row>
    <row r="32">
      <c r="B32" s="22" t="n">
        <v>0.5</v>
      </c>
      <c r="C32" s="23">
        <f>1/(1+EXP(-B32))</f>
        <v/>
      </c>
      <c r="D32" s="23">
        <f>EXP(B32)/(1+EXP(B32))</f>
        <v/>
      </c>
      <c r="E32" s="23">
        <f>_xlfn.NORM.S.DIST(B32,TRUE)</f>
        <v/>
      </c>
    </row>
    <row r="33">
      <c r="B33" s="22" t="n">
        <v>0.75</v>
      </c>
      <c r="C33" s="23">
        <f>1/(1+EXP(-B33))</f>
        <v/>
      </c>
      <c r="D33" s="23">
        <f>EXP(B33)/(1+EXP(B33))</f>
        <v/>
      </c>
      <c r="E33" s="23">
        <f>_xlfn.NORM.S.DIST(B33,TRUE)</f>
        <v/>
      </c>
    </row>
    <row r="34">
      <c r="B34" s="22" t="n">
        <v>1</v>
      </c>
      <c r="C34" s="23">
        <f>1/(1+EXP(-B34))</f>
        <v/>
      </c>
      <c r="D34" s="23">
        <f>EXP(B34)/(1+EXP(B34))</f>
        <v/>
      </c>
      <c r="E34" s="23">
        <f>_xlfn.NORM.S.DIST(B34,TRUE)</f>
        <v/>
      </c>
    </row>
    <row r="35">
      <c r="B35" s="22" t="n">
        <v>1.25</v>
      </c>
      <c r="C35" s="23">
        <f>1/(1+EXP(-B35))</f>
        <v/>
      </c>
      <c r="D35" s="23">
        <f>EXP(B35)/(1+EXP(B35))</f>
        <v/>
      </c>
      <c r="E35" s="23">
        <f>_xlfn.NORM.S.DIST(B35,TRUE)</f>
        <v/>
      </c>
    </row>
    <row r="36">
      <c r="B36" s="22" t="n">
        <v>1.5</v>
      </c>
      <c r="C36" s="23">
        <f>1/(1+EXP(-B36))</f>
        <v/>
      </c>
      <c r="D36" s="23">
        <f>EXP(B36)/(1+EXP(B36))</f>
        <v/>
      </c>
      <c r="E36" s="23">
        <f>_xlfn.NORM.S.DIST(B36,TRUE)</f>
        <v/>
      </c>
    </row>
    <row r="37">
      <c r="B37" s="22" t="n">
        <v>1.75</v>
      </c>
      <c r="C37" s="23">
        <f>1/(1+EXP(-B37))</f>
        <v/>
      </c>
      <c r="D37" s="23">
        <f>EXP(B37)/(1+EXP(B37))</f>
        <v/>
      </c>
      <c r="E37" s="23">
        <f>_xlfn.NORM.S.DIST(B37,TRUE)</f>
        <v/>
      </c>
    </row>
    <row r="38">
      <c r="B38" s="22" t="n">
        <v>2</v>
      </c>
      <c r="C38" s="23">
        <f>1/(1+EXP(-B38))</f>
        <v/>
      </c>
      <c r="D38" s="23">
        <f>EXP(B38)/(1+EXP(B38))</f>
        <v/>
      </c>
      <c r="E38" s="23">
        <f>_xlfn.NORM.S.DIST(B38,TRUE)</f>
        <v/>
      </c>
    </row>
    <row r="39">
      <c r="B39" s="22" t="n">
        <v>2.25</v>
      </c>
      <c r="C39" s="23">
        <f>1/(1+EXP(-B39))</f>
        <v/>
      </c>
      <c r="D39" s="23">
        <f>EXP(B39)/(1+EXP(B39))</f>
        <v/>
      </c>
      <c r="E39" s="23">
        <f>_xlfn.NORM.S.DIST(B39,TRUE)</f>
        <v/>
      </c>
    </row>
    <row r="40">
      <c r="B40" s="22" t="n">
        <v>2.5</v>
      </c>
      <c r="C40" s="23">
        <f>1/(1+EXP(-B40))</f>
        <v/>
      </c>
      <c r="D40" s="23">
        <f>EXP(B40)/(1+EXP(B40))</f>
        <v/>
      </c>
      <c r="E40" s="23">
        <f>_xlfn.NORM.S.DIST(B40,TRUE)</f>
        <v/>
      </c>
    </row>
    <row r="41">
      <c r="B41" s="22" t="n">
        <v>2.75</v>
      </c>
      <c r="C41" s="23">
        <f>1/(1+EXP(-B41))</f>
        <v/>
      </c>
      <c r="D41" s="23">
        <f>EXP(B41)/(1+EXP(B41))</f>
        <v/>
      </c>
      <c r="E41" s="23">
        <f>_xlfn.NORM.S.DIST(B41,TRUE)</f>
        <v/>
      </c>
    </row>
    <row r="42">
      <c r="B42" s="22" t="n">
        <v>3</v>
      </c>
      <c r="C42" s="23">
        <f>1/(1+EXP(-B42))</f>
        <v/>
      </c>
      <c r="D42" s="23">
        <f>EXP(B42)/(1+EXP(B42))</f>
        <v/>
      </c>
      <c r="E42" s="23">
        <f>_xlfn.NORM.S.DIST(B42,TRUE)</f>
        <v/>
      </c>
    </row>
    <row r="43">
      <c r="B43" s="22" t="n">
        <v>3.25</v>
      </c>
      <c r="C43" s="23">
        <f>1/(1+EXP(-B43))</f>
        <v/>
      </c>
      <c r="D43" s="23">
        <f>EXP(B43)/(1+EXP(B43))</f>
        <v/>
      </c>
      <c r="E43" s="23">
        <f>_xlfn.NORM.S.DIST(B43,TRUE)</f>
        <v/>
      </c>
    </row>
    <row r="44">
      <c r="B44" s="22" t="n">
        <v>3.5</v>
      </c>
      <c r="C44" s="23">
        <f>1/(1+EXP(-B44))</f>
        <v/>
      </c>
      <c r="D44" s="23">
        <f>EXP(B44)/(1+EXP(B44))</f>
        <v/>
      </c>
      <c r="E44" s="23">
        <f>_xlfn.NORM.S.DIST(B44,TRUE)</f>
        <v/>
      </c>
    </row>
    <row r="45">
      <c r="B45" s="22" t="n">
        <v>3.75</v>
      </c>
      <c r="C45" s="23">
        <f>1/(1+EXP(-B45))</f>
        <v/>
      </c>
      <c r="D45" s="23">
        <f>EXP(B45)/(1+EXP(B45))</f>
        <v/>
      </c>
      <c r="E45" s="23">
        <f>_xlfn.NORM.S.DIST(B45,TRUE)</f>
        <v/>
      </c>
    </row>
    <row r="46">
      <c r="B46" s="22" t="n">
        <v>4</v>
      </c>
      <c r="C46" s="23">
        <f>1/(1+EXP(-B46))</f>
        <v/>
      </c>
      <c r="D46" s="23">
        <f>EXP(B46)/(1+EXP(B46))</f>
        <v/>
      </c>
      <c r="E46" s="23">
        <f>_xlfn.NORM.S.DIST(B46,TRUE)</f>
        <v/>
      </c>
    </row>
    <row r="47">
      <c r="B47" s="22" t="n">
        <v>4.25</v>
      </c>
      <c r="C47" s="23">
        <f>1/(1+EXP(-B47))</f>
        <v/>
      </c>
      <c r="D47" s="23">
        <f>EXP(B47)/(1+EXP(B47))</f>
        <v/>
      </c>
      <c r="E47" s="23">
        <f>_xlfn.NORM.S.DIST(B47,TRUE)</f>
        <v/>
      </c>
    </row>
    <row r="48">
      <c r="B48" s="22" t="n">
        <v>4.5</v>
      </c>
      <c r="C48" s="23">
        <f>1/(1+EXP(-B48))</f>
        <v/>
      </c>
      <c r="D48" s="23">
        <f>EXP(B48)/(1+EXP(B48))</f>
        <v/>
      </c>
      <c r="E48" s="23">
        <f>_xlfn.NORM.S.DIST(B48,TRUE)</f>
        <v/>
      </c>
    </row>
    <row r="49">
      <c r="B49" s="22" t="n">
        <v>4.75</v>
      </c>
      <c r="C49" s="23">
        <f>1/(1+EXP(-B49))</f>
        <v/>
      </c>
      <c r="D49" s="23">
        <f>EXP(B49)/(1+EXP(B49))</f>
        <v/>
      </c>
      <c r="E49" s="23">
        <f>_xlfn.NORM.S.DIST(B49,TRUE)</f>
        <v/>
      </c>
    </row>
    <row r="50">
      <c r="B50" s="22" t="n">
        <v>5</v>
      </c>
      <c r="C50" s="23">
        <f>1/(1+EXP(-B50))</f>
        <v/>
      </c>
      <c r="D50" s="23">
        <f>EXP(B50)/(1+EXP(B50))</f>
        <v/>
      </c>
      <c r="E50" s="23">
        <f>_xlfn.NORM.S.DIST(B50,TRUE)</f>
        <v/>
      </c>
    </row>
    <row r="51">
      <c r="B51" s="22" t="n">
        <v>5.25</v>
      </c>
      <c r="C51" s="23">
        <f>1/(1+EXP(-B51))</f>
        <v/>
      </c>
      <c r="D51" s="23">
        <f>EXP(B51)/(1+EXP(B51))</f>
        <v/>
      </c>
      <c r="E51" s="23">
        <f>_xlfn.NORM.S.DIST(B51,TRUE)</f>
        <v/>
      </c>
    </row>
    <row r="52">
      <c r="B52" s="22" t="n">
        <v>5.5</v>
      </c>
      <c r="C52" s="23">
        <f>1/(1+EXP(-B52))</f>
        <v/>
      </c>
      <c r="D52" s="23">
        <f>EXP(B52)/(1+EXP(B52))</f>
        <v/>
      </c>
      <c r="E52" s="23">
        <f>_xlfn.NORM.S.DIST(B52,TRUE)</f>
        <v/>
      </c>
    </row>
    <row r="53">
      <c r="B53" s="22" t="n">
        <v>5.75</v>
      </c>
      <c r="C53" s="23">
        <f>1/(1+EXP(-B53))</f>
        <v/>
      </c>
      <c r="D53" s="23">
        <f>EXP(B53)/(1+EXP(B53))</f>
        <v/>
      </c>
      <c r="E53" s="23">
        <f>_xlfn.NORM.S.DIST(B53,TRUE)</f>
        <v/>
      </c>
    </row>
    <row r="54">
      <c r="B54" s="22" t="n">
        <v>6</v>
      </c>
      <c r="C54" s="23">
        <f>1/(1+EXP(-B54))</f>
        <v/>
      </c>
      <c r="D54" s="23">
        <f>EXP(B54)/(1+EXP(B54))</f>
        <v/>
      </c>
      <c r="E54" s="23">
        <f>_xlfn.NORM.S.DIST(B54,TRUE)</f>
        <v/>
      </c>
    </row>
  </sheetData>
  <mergeCells count="2">
    <mergeCell ref="A3:L3"/>
    <mergeCell ref="A2:L2"/>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cols>
    <col width="35" customWidth="1" min="1" max="1"/>
    <col width="35" customWidth="1" min="2" max="2"/>
    <col width="29" customWidth="1" min="3" max="3"/>
    <col width="25" customWidth="1" min="4" max="4"/>
    <col width="35" customWidth="1" min="5" max="5"/>
    <col width="10" customWidth="1" min="6" max="6"/>
  </cols>
  <sheetData>
    <row r="1">
      <c r="A1" s="3" t="inlineStr">
        <is>
          <t>Hoja auxiliar: la entropía cruzada binaria, fila por fila</t>
        </is>
      </c>
    </row>
    <row r="2" ht="65" customHeight="1">
      <c r="A2" s="2" t="inlineStr">
        <is>
          <t>Cómo mide sus errores un modelo que predice probabilidades. Si un cliente resultó malo (y = 1) y el modelo le había dado p = 0,9, se equivocó poco; si le había dado p = 0,1, se equivocó mucho. La pérdida −ln(p) captura eso: vale 0,105 en el primer caso y 2,303 en el segundo, y crece sin límite a medida que p se acerca a 0. Para un cliente bueno (y = 0) la pérdida es −ln(1 − p), la imagen espejo. Escritas juntas: pérdida = −[y·ln(p) + (1 − y)·ln(1 − p)], que se llama entropía cruzada binaria o log loss. El promedio sobre todas las filas es la función de costo del modelo.</t>
        </is>
      </c>
    </row>
    <row r="3" ht="49.5" customHeight="1">
      <c r="A3" s="2" t="inlineStr">
        <is>
          <t>Por qué el logaritmo y no, por ejemplo, el error cuadrático (y − p)². Porque el logaritmo castiga la seguridad equivocada: decir 99% y fallar cuesta 4,6, decir 60% y fallar cuesta 0,9. Un modelo que quiere minimizar esta pérdida aprende a no ser más seguro de lo que los datos justifican. Los dos ejemplos de cuatro clientes, abajo, muestran la pérdida total de un modelo que acierta más y de uno que acierta menos.</t>
        </is>
      </c>
    </row>
    <row r="4"/>
    <row r="5">
      <c r="B5" s="4" t="inlineStr">
        <is>
          <t>p predicha</t>
        </is>
      </c>
      <c r="C5" s="4" t="inlineStr">
        <is>
          <t>pérdida si y = 0: −ln(1 − p)</t>
        </is>
      </c>
      <c r="D5" s="4" t="inlineStr">
        <is>
          <t>pérdida si y = 1: −ln(p)</t>
        </is>
      </c>
      <c r="E5" s="4" t="inlineStr">
        <is>
          <t>error cuadrático si y = 1: (1 − p)²</t>
        </is>
      </c>
    </row>
    <row r="6">
      <c r="B6" s="7" t="n">
        <v>0.001</v>
      </c>
      <c r="C6" s="7">
        <f>-LN(1-B6)</f>
        <v/>
      </c>
      <c r="D6" s="7">
        <f>-LN(B6)</f>
        <v/>
      </c>
      <c r="E6" s="7">
        <f>(1-B6)^2</f>
        <v/>
      </c>
    </row>
    <row r="7">
      <c r="B7" s="7" t="n">
        <v>0.01</v>
      </c>
      <c r="C7" s="7">
        <f>-LN(1-B7)</f>
        <v/>
      </c>
      <c r="D7" s="7">
        <f>-LN(B7)</f>
        <v/>
      </c>
      <c r="E7" s="7">
        <f>(1-B7)^2</f>
        <v/>
      </c>
    </row>
    <row r="8">
      <c r="B8" s="7" t="n">
        <v>0.05</v>
      </c>
      <c r="C8" s="7">
        <f>-LN(1-B8)</f>
        <v/>
      </c>
      <c r="D8" s="7">
        <f>-LN(B8)</f>
        <v/>
      </c>
      <c r="E8" s="7">
        <f>(1-B8)^2</f>
        <v/>
      </c>
    </row>
    <row r="9">
      <c r="B9" s="7" t="n">
        <v>0.1</v>
      </c>
      <c r="C9" s="7">
        <f>-LN(1-B9)</f>
        <v/>
      </c>
      <c r="D9" s="7">
        <f>-LN(B9)</f>
        <v/>
      </c>
      <c r="E9" s="7">
        <f>(1-B9)^2</f>
        <v/>
      </c>
    </row>
    <row r="10">
      <c r="B10" s="7" t="n">
        <v>0.2</v>
      </c>
      <c r="C10" s="7">
        <f>-LN(1-B10)</f>
        <v/>
      </c>
      <c r="D10" s="7">
        <f>-LN(B10)</f>
        <v/>
      </c>
      <c r="E10" s="7">
        <f>(1-B10)^2</f>
        <v/>
      </c>
    </row>
    <row r="11">
      <c r="B11" s="7" t="n">
        <v>0.3</v>
      </c>
      <c r="C11" s="7">
        <f>-LN(1-B11)</f>
        <v/>
      </c>
      <c r="D11" s="7">
        <f>-LN(B11)</f>
        <v/>
      </c>
      <c r="E11" s="7">
        <f>(1-B11)^2</f>
        <v/>
      </c>
    </row>
    <row r="12">
      <c r="B12" s="7" t="n">
        <v>0.4</v>
      </c>
      <c r="C12" s="7">
        <f>-LN(1-B12)</f>
        <v/>
      </c>
      <c r="D12" s="7">
        <f>-LN(B12)</f>
        <v/>
      </c>
      <c r="E12" s="7">
        <f>(1-B12)^2</f>
        <v/>
      </c>
    </row>
    <row r="13">
      <c r="B13" s="7" t="n">
        <v>0.5</v>
      </c>
      <c r="C13" s="7">
        <f>-LN(1-B13)</f>
        <v/>
      </c>
      <c r="D13" s="7">
        <f>-LN(B13)</f>
        <v/>
      </c>
      <c r="E13" s="7">
        <f>(1-B13)^2</f>
        <v/>
      </c>
    </row>
    <row r="14">
      <c r="B14" s="7" t="n">
        <v>0.6</v>
      </c>
      <c r="C14" s="7">
        <f>-LN(1-B14)</f>
        <v/>
      </c>
      <c r="D14" s="7">
        <f>-LN(B14)</f>
        <v/>
      </c>
      <c r="E14" s="7">
        <f>(1-B14)^2</f>
        <v/>
      </c>
    </row>
    <row r="15">
      <c r="B15" s="7" t="n">
        <v>0.7</v>
      </c>
      <c r="C15" s="7">
        <f>-LN(1-B15)</f>
        <v/>
      </c>
      <c r="D15" s="7">
        <f>-LN(B15)</f>
        <v/>
      </c>
      <c r="E15" s="7">
        <f>(1-B15)^2</f>
        <v/>
      </c>
    </row>
    <row r="16">
      <c r="B16" s="7" t="n">
        <v>0.8</v>
      </c>
      <c r="C16" s="7">
        <f>-LN(1-B16)</f>
        <v/>
      </c>
      <c r="D16" s="7">
        <f>-LN(B16)</f>
        <v/>
      </c>
      <c r="E16" s="7">
        <f>(1-B16)^2</f>
        <v/>
      </c>
    </row>
    <row r="17">
      <c r="B17" s="7" t="n">
        <v>0.9</v>
      </c>
      <c r="C17" s="7">
        <f>-LN(1-B17)</f>
        <v/>
      </c>
      <c r="D17" s="7">
        <f>-LN(B17)</f>
        <v/>
      </c>
      <c r="E17" s="7">
        <f>(1-B17)^2</f>
        <v/>
      </c>
    </row>
    <row r="18">
      <c r="B18" s="7" t="n">
        <v>0.95</v>
      </c>
      <c r="C18" s="7">
        <f>-LN(1-B18)</f>
        <v/>
      </c>
      <c r="D18" s="7">
        <f>-LN(B18)</f>
        <v/>
      </c>
      <c r="E18" s="7">
        <f>(1-B18)^2</f>
        <v/>
      </c>
    </row>
    <row r="19">
      <c r="B19" s="7" t="n">
        <v>0.99</v>
      </c>
      <c r="C19" s="7">
        <f>-LN(1-B19)</f>
        <v/>
      </c>
      <c r="D19" s="7">
        <f>-LN(B19)</f>
        <v/>
      </c>
      <c r="E19" s="7">
        <f>(1-B19)^2</f>
        <v/>
      </c>
    </row>
    <row r="20">
      <c r="B20" s="7" t="n">
        <v>0.999</v>
      </c>
      <c r="C20" s="7">
        <f>-LN(1-B20)</f>
        <v/>
      </c>
      <c r="D20" s="7">
        <f>-LN(B20)</f>
        <v/>
      </c>
      <c r="E20" s="7">
        <f>(1-B20)^2</f>
        <v/>
      </c>
    </row>
    <row r="21"/>
    <row r="22"/>
    <row r="23">
      <c r="B23" s="3" t="inlineStr">
        <is>
          <t>Ejemplo A: un modelo que se equivoca dos veces con confianza</t>
        </is>
      </c>
    </row>
    <row r="24">
      <c r="B24" s="4" t="inlineStr">
        <is>
          <t>clase real y</t>
        </is>
      </c>
      <c r="C24" s="4" t="inlineStr">
        <is>
          <t>p predicha (1)</t>
        </is>
      </c>
      <c r="D24" s="4" t="inlineStr">
        <is>
          <t>pérdida</t>
        </is>
      </c>
      <c r="E24" s="4" t="inlineStr">
        <is>
          <t>predicción con umbral 0,5</t>
        </is>
      </c>
      <c r="F24" s="4" t="inlineStr">
        <is>
          <t>acierto</t>
        </is>
      </c>
    </row>
    <row r="25">
      <c r="B25" t="n">
        <v>0</v>
      </c>
      <c r="C25" s="14" t="n">
        <v>0.01</v>
      </c>
      <c r="D25" s="6">
        <f>-IF(B25=1,LN(C25),LN(1-C25))</f>
        <v/>
      </c>
      <c r="E25">
        <f>IF(C25&gt;0.5,1,0)</f>
        <v/>
      </c>
      <c r="F25">
        <f>IF(E25=B25,1,0)</f>
        <v/>
      </c>
    </row>
    <row r="26">
      <c r="B26" t="n">
        <v>0</v>
      </c>
      <c r="C26" s="14" t="n">
        <v>0.8</v>
      </c>
      <c r="D26" s="6">
        <f>-IF(B26=1,LN(C26),LN(1-C26))</f>
        <v/>
      </c>
      <c r="E26">
        <f>IF(C26&gt;0.5,1,0)</f>
        <v/>
      </c>
      <c r="F26">
        <f>IF(E26=B26,1,0)</f>
        <v/>
      </c>
    </row>
    <row r="27">
      <c r="B27" t="n">
        <v>1</v>
      </c>
      <c r="C27" s="14" t="n">
        <v>0.9</v>
      </c>
      <c r="D27" s="6">
        <f>-IF(B27=1,LN(C27),LN(1-C27))</f>
        <v/>
      </c>
      <c r="E27">
        <f>IF(C27&gt;0.5,1,0)</f>
        <v/>
      </c>
      <c r="F27">
        <f>IF(E27=B27,1,0)</f>
        <v/>
      </c>
    </row>
    <row r="28">
      <c r="B28" t="n">
        <v>1</v>
      </c>
      <c r="C28" s="14" t="n">
        <v>0.1</v>
      </c>
      <c r="D28" s="6">
        <f>-IF(B28=1,LN(C28),LN(1-C28))</f>
        <v/>
      </c>
      <c r="E28">
        <f>IF(C28&gt;0.5,1,0)</f>
        <v/>
      </c>
      <c r="F28">
        <f>IF(E28=B28,1,0)</f>
        <v/>
      </c>
    </row>
    <row r="29">
      <c r="B29" t="inlineStr">
        <is>
          <t>pérdida total</t>
        </is>
      </c>
      <c r="D29" s="13">
        <f>SUM(D25:D28)</f>
        <v/>
      </c>
      <c r="E29" t="inlineStr">
        <is>
          <t>aciertos</t>
        </is>
      </c>
      <c r="F29" s="9">
        <f>SUM(F25:F28)</f>
        <v/>
      </c>
    </row>
    <row r="30">
      <c r="B30" t="inlineStr">
        <is>
          <t>dos aciertos con confianza y dos errores con confianza: la pérdida total se la llevan los errores</t>
        </is>
      </c>
    </row>
    <row r="31"/>
    <row r="32">
      <c r="B32" s="3" t="inlineStr">
        <is>
          <t>Ejemplo B: el mismo modelo, mejor calibrado</t>
        </is>
      </c>
    </row>
    <row r="33">
      <c r="B33" s="4" t="inlineStr">
        <is>
          <t>clase real y</t>
        </is>
      </c>
      <c r="C33" s="4" t="inlineStr">
        <is>
          <t>p predicha (1)</t>
        </is>
      </c>
      <c r="D33" s="4" t="inlineStr">
        <is>
          <t>pérdida</t>
        </is>
      </c>
      <c r="E33" s="4" t="inlineStr">
        <is>
          <t>predicción con umbral 0,5</t>
        </is>
      </c>
      <c r="F33" s="4" t="inlineStr">
        <is>
          <t>acierto</t>
        </is>
      </c>
    </row>
    <row r="34">
      <c r="B34" t="n">
        <v>0</v>
      </c>
      <c r="C34" s="14" t="n">
        <v>0.01</v>
      </c>
      <c r="D34" s="6">
        <f>-IF(B34=1,LN(C34),LN(1-C34))</f>
        <v/>
      </c>
      <c r="E34">
        <f>IF(C34&gt;0.5,1,0)</f>
        <v/>
      </c>
      <c r="F34">
        <f>IF(E34=B34,1,0)</f>
        <v/>
      </c>
    </row>
    <row r="35">
      <c r="B35" t="n">
        <v>0</v>
      </c>
      <c r="C35" s="14" t="n">
        <v>0.05</v>
      </c>
      <c r="D35" s="6">
        <f>-IF(B35=1,LN(C35),LN(1-C35))</f>
        <v/>
      </c>
      <c r="E35">
        <f>IF(C35&gt;0.5,1,0)</f>
        <v/>
      </c>
      <c r="F35">
        <f>IF(E35=B35,1,0)</f>
        <v/>
      </c>
    </row>
    <row r="36">
      <c r="B36" t="n">
        <v>1</v>
      </c>
      <c r="C36" s="14" t="n">
        <v>0.9</v>
      </c>
      <c r="D36" s="6">
        <f>-IF(B36=1,LN(C36),LN(1-C36))</f>
        <v/>
      </c>
      <c r="E36">
        <f>IF(C36&gt;0.5,1,0)</f>
        <v/>
      </c>
      <c r="F36">
        <f>IF(E36=B36,1,0)</f>
        <v/>
      </c>
    </row>
    <row r="37">
      <c r="B37" t="n">
        <v>1</v>
      </c>
      <c r="C37" s="14" t="n">
        <v>0.8</v>
      </c>
      <c r="D37" s="6">
        <f>-IF(B37=1,LN(C37),LN(1-C37))</f>
        <v/>
      </c>
      <c r="E37">
        <f>IF(C37&gt;0.5,1,0)</f>
        <v/>
      </c>
      <c r="F37">
        <f>IF(E37=B37,1,0)</f>
        <v/>
      </c>
    </row>
    <row r="38">
      <c r="B38" t="inlineStr">
        <is>
          <t>pérdida total</t>
        </is>
      </c>
      <c r="D38" s="13">
        <f>SUM(D34:D37)</f>
        <v/>
      </c>
      <c r="E38" t="inlineStr">
        <is>
          <t>aciertos</t>
        </is>
      </c>
      <c r="F38" s="9">
        <f>SUM(F34:F37)</f>
        <v/>
      </c>
    </row>
    <row r="39">
      <c r="B39" t="inlineStr">
        <is>
          <t>los cuatro bien clasificados y con confianza: pérdida total mucho menor</t>
        </is>
      </c>
    </row>
  </sheetData>
  <mergeCells count="2">
    <mergeCell ref="A3:L3"/>
    <mergeCell ref="A2:L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2026-09-28T18:45:50Z</dcterms:created>
  <dcterms:modified xmlns:dcterms="http://purl.org/dc/terms/" xmlns:xsi="http://www.w3.org/2001/XMLSchema-instance" xsi:type="dcterms:W3CDTF">2026-09-28T18:45:51Z</dcterms:modified>
</cp:coreProperties>
</file>